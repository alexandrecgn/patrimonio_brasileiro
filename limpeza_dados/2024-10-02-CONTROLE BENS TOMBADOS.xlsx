
<file path=[Content_Types].xml><?xml version="1.0" encoding="utf-8"?>
<Types xmlns="http://schemas.openxmlformats.org/package/2006/content-types">
  <Default Extension="xml" ContentType="application/xml"/>
  <Default Extension="gif" ContentType="image/gif"/>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drawings/drawing2.xml" ContentType="application/vnd.openxmlformats-officedocument.drawing+xml"/>
  <Override PartName="/xl/worksheets/sheet7.xml" ContentType="application/vnd.openxmlformats-officedocument.spreadsheetml.worksheet+xml"/>
  <Override PartName="/xl/tables/table5.xml" ContentType="application/vnd.openxmlformats-officedocument.spreadsheetml.table+xml"/>
  <Override PartName="/xl/pivotTables/pivotTable2.xml" ContentType="application/vnd.openxmlformats-officedocument.spreadsheetml.pivotTable+xml"/>
  <Override PartName="/xl/worksheets/sheet6.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styles.xml" ContentType="application/vnd.openxmlformats-officedocument.spreadsheetml.styles+xml"/>
  <Override PartName="/xl/worksheets/sheet3.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worksheets/sheet35.xml" ContentType="application/vnd.openxmlformats-officedocument.spreadsheetml.worksheet+xml"/>
  <Override PartName="/xl/worksheets/sheet9.xml" ContentType="application/vnd.openxmlformats-officedocument.spreadsheetml.worksheet+xml"/>
  <Override PartName="/docProps/app.xml" ContentType="application/vnd.openxmlformats-officedocument.extended-properties+xml"/>
  <Override PartName="/xl/worksheets/sheet13.xml" ContentType="application/vnd.openxmlformats-officedocument.spreadsheetml.worksheet+xml"/>
  <Override PartName="/xl/pivotTables/pivotTable1.xml" ContentType="application/vnd.openxmlformats-officedocument.spreadsheetml.pivotTable+xml"/>
  <Override PartName="/xl/workbook.xml" ContentType="application/vnd.openxmlformats-officedocument.spreadsheetml.sheet.main+xml"/>
  <Override PartName="/xl/worksheets/sheet10.xml" ContentType="application/vnd.openxmlformats-officedocument.spreadsheetml.worksheet+xml"/>
  <Override PartName="/xl/worksheets/sheet16.xml" ContentType="application/vnd.openxmlformats-officedocument.spreadsheetml.worksheet+xml"/>
  <Override PartName="/xl/worksheets/sheet18.xml" ContentType="application/vnd.openxmlformats-officedocument.spreadsheetml.worksheet+xml"/>
  <Override PartName="/xl/worksheets/sheet12.xml" ContentType="application/vnd.openxmlformats-officedocument.spreadsheetml.worksheet+xml"/>
  <Override PartName="/xl/worksheets/sheet28.xml" ContentType="application/vnd.openxmlformats-officedocument.spreadsheetml.worksheet+xml"/>
  <Override PartName="/xl/worksheets/sheet31.xml" ContentType="application/vnd.openxmlformats-officedocument.spreadsheetml.worksheet+xml"/>
  <Override PartName="/xl/worksheets/sheet25.xml" ContentType="application/vnd.openxmlformats-officedocument.spreadsheetml.worksheet+xml"/>
  <Override PartName="/docProps/core.xml" ContentType="application/vnd.openxmlformats-package.core-properties+xml"/>
  <Override PartName="/xl/charts/chart1.xml" ContentType="application/vnd.openxmlformats-officedocument.drawingml.chart+xml"/>
  <Override PartName="/xl/worksheets/sheet4.xml" ContentType="application/vnd.openxmlformats-officedocument.spreadsheetml.worksheet+xml"/>
  <Override PartName="/xl/charts/chart7.xml" ContentType="application/vnd.openxmlformats-officedocument.drawingml.chart+xml"/>
  <Override PartName="/xl/pivotCache/pivotCacheDefinition1.xml" ContentType="application/vnd.openxmlformats-officedocument.spreadsheetml.pivotCacheDefinition+xml"/>
  <Override PartName="/xl/charts/chart2.xml" ContentType="application/vnd.openxmlformats-officedocument.drawingml.chart+xml"/>
  <Override PartName="/xl/charts/chart9.xml" ContentType="application/vnd.openxmlformats-officedocument.drawingml.chart+xml"/>
  <Override PartName="/xl/charts/chart5.xml" ContentType="application/vnd.openxmlformats-officedocument.drawingml.chart+xml"/>
  <Override PartName="/xl/worksheets/sheet11.xml" ContentType="application/vnd.openxmlformats-officedocument.spreadsheetml.worksheet+xml"/>
  <Override PartName="/xl/worksheets/sheet34.xml" ContentType="application/vnd.openxmlformats-officedocument.spreadsheetml.worksheet+xml"/>
  <Override PartName="/xl/worksheets/sheet23.xml" ContentType="application/vnd.openxmlformats-officedocument.spreadsheetml.worksheet+xml"/>
  <Override PartName="/xl/worksheets/sheet36.xml" ContentType="application/vnd.openxmlformats-officedocument.spreadsheetml.worksheet+xml"/>
  <Override PartName="/docProps/custom.xml" ContentType="application/vnd.openxmlformats-officedocument.custom-properties+xml"/>
  <Override PartName="/xl/worksheets/sheet14.xml" ContentType="application/vnd.openxmlformats-officedocument.spreadsheetml.worksheet+xml"/>
  <Override PartName="/xl/worksheets/sheet20.xml" ContentType="application/vnd.openxmlformats-officedocument.spreadsheetml.worksheet+xml"/>
  <Override PartName="/xl/charts/chart10.xml" ContentType="application/vnd.openxmlformats-officedocument.drawingml.chart+xml"/>
  <Override PartName="/xl/worksheets/sheet22.xml" ContentType="application/vnd.openxmlformats-officedocument.spreadsheetml.worksheet+xml"/>
  <Override PartName="/xl/charts/chart8.xml" ContentType="application/vnd.openxmlformats-officedocument.drawingml.chart+xml"/>
  <Override PartName="/xl/worksheets/sheet15.xml" ContentType="application/vnd.openxmlformats-officedocument.spreadsheetml.worksheet+xml"/>
  <Override PartName="/xl/worksheets/sheet1.xml" ContentType="application/vnd.openxmlformats-officedocument.spreadsheetml.worksheet+xml"/>
  <Override PartName="/xl/charts/chart3.xml" ContentType="application/vnd.openxmlformats-officedocument.drawingml.chart+xml"/>
  <Override PartName="/xl/drawings/drawing1.xml" ContentType="application/vnd.openxmlformats-officedocument.drawing+xml"/>
  <Override PartName="/xl/worksheets/sheet19.xml" ContentType="application/vnd.openxmlformats-officedocument.spreadsheetml.worksheet+xml"/>
  <Override PartName="/xl/pivotCache/pivotCacheRecords1.xml" ContentType="application/vnd.openxmlformats-officedocument.spreadsheetml.pivotCacheRecords+xml"/>
  <Override PartName="/xl/worksheets/sheet21.xml" ContentType="application/vnd.openxmlformats-officedocument.spreadsheetml.worksheet+xml"/>
  <Override PartName="/xl/worksheets/sheet24.xml" ContentType="application/vnd.openxmlformats-officedocument.spreadsheetml.worksheet+xml"/>
  <Override PartName="/xl/worksheets/sheet29.xml" ContentType="application/vnd.openxmlformats-officedocument.spreadsheetml.worksheet+xml"/>
  <Override PartName="/xl/worksheets/sheet27.xml" ContentType="application/vnd.openxmlformats-officedocument.spreadsheetml.worksheet+xml"/>
  <Override PartName="/xl/drawings/drawing3.xml" ContentType="application/vnd.openxmlformats-officedocument.drawing+xml"/>
  <Override PartName="/xl/charts/chart4.xml" ContentType="application/vnd.openxmlformats-officedocument.drawingml.chart+xml"/>
  <Override PartName="/xl/worksheets/sheet17.xml" ContentType="application/vnd.openxmlformats-officedocument.spreadsheetml.worksheet+xml"/>
  <Override PartName="/xl/worksheets/sheet26.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0.xml" ContentType="application/vnd.openxmlformats-officedocument.spreadsheetml.worksheet+xml"/>
  <Override PartName="/xl/worksheets/sheet8.xml" ContentType="application/vnd.openxmlformats-officedocument.spreadsheetml.worksheet+xml"/>
  <Override PartName="/xl/charts/chart6.xml" ContentType="application/vnd.openxmlformats-officedocument.drawingml.chart+xml"/>
  <Override PartName="/xl/worksheets/sheet32.xml" ContentType="application/vnd.openxmlformats-officedocument.spreadsheetml.worksheet+xml"/>
  <Override PartName="/xl/tables/table4.xml" ContentType="application/vnd.openxmlformats-officedocument.spreadsheetml.table+xml"/>
  <Override PartName="/xl/tables/table2.xml" ContentType="application/vnd.openxmlformats-officedocument.spreadsheetml.table+xml"/>
  <Override PartName="/xl/worksheets/sheet3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0" showHorizontalScroll="1" showVerticalScroll="1"/>
  </bookViews>
  <sheets>
    <sheet name="BENS TOMBADOS E PROCESSO ABERTO" sheetId="1" state="visible" r:id="rId2"/>
    <sheet name="PASSIVO" sheetId="2" state="visible" r:id="rId3"/>
    <sheet name="RECENTES" sheetId="3" state="visible" r:id="rId4"/>
    <sheet name="NOTIFICADOS" sheetId="4" state="visible" r:id="rId5"/>
    <sheet name="RERRATIFICACAO" sheetId="5" state="visible" r:id="rId6"/>
    <sheet name="ORDENAMENTO GERAL" sheetId="6" state="visible" r:id="rId7"/>
    <sheet name="TAXA DE CONGESTIONAMENTO" sheetId="7" state="visible" r:id="rId8"/>
    <sheet name="TABELAS DINAMICAS" sheetId="8" state="visible" r:id="rId9"/>
    <sheet name="LEGENDA E FONTES" sheetId="9" state="visible" r:id="rId10"/>
    <sheet name="RJ - Bens Tombados" sheetId="10" state="visible" r:id="rId11"/>
    <sheet name="AC - Bens Tombados" sheetId="11" state="visible" r:id="rId12"/>
    <sheet name="AL - Bens Tombados" sheetId="12" state="visible" r:id="rId13"/>
    <sheet name="AM - Bens Tombados" sheetId="13" state="visible" r:id="rId14"/>
    <sheet name="AP - Bens Tombados" sheetId="14" state="visible" r:id="rId15"/>
    <sheet name="BA - Bens Tombados" sheetId="15" state="visible" r:id="rId16"/>
    <sheet name="CE - Bens Tombados" sheetId="16" state="visible" r:id="rId17"/>
    <sheet name="DF - Bens Tombados" sheetId="17" state="visible" r:id="rId18"/>
    <sheet name="ES - Bens Tombados" sheetId="18" state="visible" r:id="rId19"/>
    <sheet name="GO - Bens Tombados" sheetId="19" state="visible" r:id="rId20"/>
    <sheet name="MA - Bens Tombados" sheetId="20" state="visible" r:id="rId21"/>
    <sheet name="MG - Bens Tombados" sheetId="21" state="visible" r:id="rId22"/>
    <sheet name="MS - Bens Tombados " sheetId="22" state="visible" r:id="rId23"/>
    <sheet name="MT - Bens Tombados" sheetId="23" state="visible" r:id="rId24"/>
    <sheet name="PA - Bens Tombados" sheetId="24" state="visible" r:id="rId25"/>
    <sheet name="PB - Bens Tombados" sheetId="25" state="visible" r:id="rId26"/>
    <sheet name="PE - Bens Tombados" sheetId="26" state="visible" r:id="rId27"/>
    <sheet name="PI - Bens Tombados" sheetId="27" state="visible" r:id="rId28"/>
    <sheet name="PR - Bens Tombados" sheetId="28" state="visible" r:id="rId29"/>
    <sheet name="RN - Bens Tombados" sheetId="29" state="visible" r:id="rId30"/>
    <sheet name="RO - Bens Tombados" sheetId="30" state="visible" r:id="rId31"/>
    <sheet name="RR - Bens Tombados" sheetId="31" state="visible" r:id="rId32"/>
    <sheet name="RS - Bens Tombados" sheetId="32" state="visible" r:id="rId33"/>
    <sheet name="SC - Bens Tombados" sheetId="33" state="visible" r:id="rId34"/>
    <sheet name="SE - Bens Tombados" sheetId="34" state="visible" r:id="rId35"/>
    <sheet name="SP - Bens Tombados" sheetId="35" state="visible" r:id="rId36"/>
    <sheet name="TO - Bens Tombados" sheetId="36" state="visible" r:id="rId37"/>
  </sheets>
  <definedNames>
    <definedName name="_xlnm._FilterDatabase" localSheetId="0" hidden="1">'BENS TOMBADOS E PROCESSO ABERTO'!$A$1:$AW$2573</definedName>
    <definedName name="_Hlk92368891" localSheetId="0" hidden="0">'BENS TOMBADOS E PROCESSO ABERTO'!$E$2010</definedName>
    <definedName name="A" hidden="0">'BENS TOMBADOS E PROCESSO ABERTO'!$G$1</definedName>
    <definedName name="_xlnm._FilterDatabase" localSheetId="0" hidden="1">'BENS TOMBADOS E PROCESSO ABERTO'!$A$1:$AW$2573</definedName>
  </definedNames>
  <calcPr refMode="A1" iterate="0" iterateCount="100" iterateDelta="0.0001"/>
  <pivotCaches>
    <pivotCache cacheId="0" r:id="rId1"/>
  </pivotCaches>
  <extLst>
    <ext xmlns:x15="http://schemas.microsoft.com/office/spreadsheetml/2010/11/main" uri="{D0CA8CA8-9F24-4464-BF8E-62219DCF47F9}"/>
  </extLst>
</workbook>
</file>

<file path=xl/sharedStrings.xml><?xml version="1.0" encoding="utf-8"?>
<sst xmlns="http://schemas.openxmlformats.org/spreadsheetml/2006/main" count="7991" uniqueCount="7991">
  <si>
    <t xml:space="preserve">Data de chegada do processo à CGID/ DEPAM</t>
  </si>
  <si>
    <t xml:space="preserve">Localização processo</t>
  </si>
  <si>
    <t xml:space="preserve">Observações sobre o processo (tramitação)</t>
  </si>
  <si>
    <t xml:space="preserve">Processo (CPROD)</t>
  </si>
  <si>
    <t>R</t>
  </si>
  <si>
    <t>UF</t>
  </si>
  <si>
    <t>Município</t>
  </si>
  <si>
    <t xml:space="preserve">Classificação (relacionada à forma de proteção)</t>
  </si>
  <si>
    <t xml:space="preserve">Nome atribuído</t>
  </si>
  <si>
    <t xml:space="preserve">Contagem de bens</t>
  </si>
  <si>
    <t xml:space="preserve">Situação legal do bem</t>
  </si>
  <si>
    <t xml:space="preserve">Contagem processo T</t>
  </si>
  <si>
    <t xml:space="preserve">Número Processo "T"</t>
  </si>
  <si>
    <t xml:space="preserve">Ano de abertura</t>
  </si>
  <si>
    <t xml:space="preserve">Data do pedido</t>
  </si>
  <si>
    <t xml:space="preserve">Origem do pedido</t>
  </si>
  <si>
    <t xml:space="preserve">Data abertura processo T</t>
  </si>
  <si>
    <t xml:space="preserve">Década abertura</t>
  </si>
  <si>
    <t xml:space="preserve">Estágio da Instrução (Portaria 11/86)</t>
  </si>
  <si>
    <t xml:space="preserve">Recomendação de tombamento</t>
  </si>
  <si>
    <t xml:space="preserve">Data informação interessado (tombamento definitivo ou arquivamento)</t>
  </si>
  <si>
    <t xml:space="preserve">Data de notificação</t>
  </si>
  <si>
    <t xml:space="preserve">CÓDIGO IPHAN</t>
  </si>
  <si>
    <t>Natureza</t>
  </si>
  <si>
    <t>Tipo</t>
  </si>
  <si>
    <t>Classificação</t>
  </si>
  <si>
    <t xml:space="preserve">Arqueológico, etnográfico e paisagístico</t>
  </si>
  <si>
    <t xml:space="preserve">Histórico </t>
  </si>
  <si>
    <t xml:space="preserve">Belas Artes</t>
  </si>
  <si>
    <t xml:space="preserve">Artes Aplicadas</t>
  </si>
  <si>
    <t xml:space="preserve">Ano decisão Conselho Consultivo</t>
  </si>
  <si>
    <t xml:space="preserve">Nº Reunião Conselho Consultivo</t>
  </si>
  <si>
    <t xml:space="preserve">Ano tombamento (inscrição)</t>
  </si>
  <si>
    <t xml:space="preserve">Década tombamento</t>
  </si>
  <si>
    <t xml:space="preserve">Ano rerratificação</t>
  </si>
  <si>
    <t xml:space="preserve">Data do Indeferimento</t>
  </si>
  <si>
    <t xml:space="preserve">Década indeferimento</t>
  </si>
  <si>
    <t xml:space="preserve">Observações sobre o tombamento</t>
  </si>
  <si>
    <t xml:space="preserve">Poligonal de tombamento descrita</t>
  </si>
  <si>
    <t xml:space="preserve">Poligonal de tombamento em mapa</t>
  </si>
  <si>
    <t xml:space="preserve">Poligonal de entorno descrita</t>
  </si>
  <si>
    <t xml:space="preserve">Poligonal de entorno em mapa</t>
  </si>
  <si>
    <t xml:space="preserve">Existe mapa digital da área com as delimitações?</t>
  </si>
  <si>
    <t xml:space="preserve">Norma em vigor</t>
  </si>
  <si>
    <t xml:space="preserve">Estudo ou diretrizes para normatização</t>
  </si>
  <si>
    <t xml:space="preserve">Número da norma ou ano dos estudos</t>
  </si>
  <si>
    <t xml:space="preserve">Anos desde a abertura</t>
  </si>
  <si>
    <t>ARQUIVO</t>
  </si>
  <si>
    <t>S</t>
  </si>
  <si>
    <t>RS</t>
  </si>
  <si>
    <t xml:space="preserve">Rio Grande</t>
  </si>
  <si>
    <t xml:space="preserve">Edificação e Acervo</t>
  </si>
  <si>
    <t xml:space="preserve">Igreja Matriz de São Pedro e Capela da Ordem Terceira de São Francisco</t>
  </si>
  <si>
    <t>T</t>
  </si>
  <si>
    <t>TOMBADO</t>
  </si>
  <si>
    <t>RS4315602BIED00002</t>
  </si>
  <si>
    <t xml:space="preserve">Bem Imóvel</t>
  </si>
  <si>
    <t>Edificação</t>
  </si>
  <si>
    <t xml:space="preserve">Arquitetura Religiosa</t>
  </si>
  <si>
    <t xml:space="preserve">Não se aplica</t>
  </si>
  <si>
    <t>VAGO</t>
  </si>
  <si>
    <t xml:space="preserve">Número VAGO</t>
  </si>
  <si>
    <t> </t>
  </si>
  <si>
    <t>NE</t>
  </si>
  <si>
    <t>PE</t>
  </si>
  <si>
    <t>Ipojuca</t>
  </si>
  <si>
    <t xml:space="preserve">Convento e Igreja de Santo Antônio</t>
  </si>
  <si>
    <t xml:space="preserve">PE-2607208-BI-CA-00001 </t>
  </si>
  <si>
    <t xml:space="preserve">Conjunto Arquitetônico</t>
  </si>
  <si>
    <t>Recife</t>
  </si>
  <si>
    <t xml:space="preserve">Igreja de Nossa Senhora da Conceição dos Militares</t>
  </si>
  <si>
    <t>PE2611606BIED00028</t>
  </si>
  <si>
    <t xml:space="preserve">Na 110º reunião do Conselho foi decidida a poligonal de tombamento.</t>
  </si>
  <si>
    <t>sim</t>
  </si>
  <si>
    <t xml:space="preserve">Delimitação de entorno incluindo vários bens, que teria sido apresentada ao Conselho Consultivo (verificar). Mapas com delimitações no Sambaqui.</t>
  </si>
  <si>
    <t xml:space="preserve">Jaboatão dos Guararapes</t>
  </si>
  <si>
    <t xml:space="preserve">Igreja de Nossa Senhora dos Prazeres</t>
  </si>
  <si>
    <t>PE2607901BIED00002</t>
  </si>
  <si>
    <t xml:space="preserve">Convertido em Monumento Nacional pelo Decreto nº 25.175, de 03/07/1948. O tombamento inclui todo o seu acervo, de acordo com a Resolução do Conselho Consultivo da SPHAN, de 13/08/1985, referente ao Proc. Administ. nº 13/85/SPHAN</t>
  </si>
  <si>
    <t xml:space="preserve">Capela Dourada, claustro e Igreja da Ordem Terceira de São Francisco</t>
  </si>
  <si>
    <t>PE-2611606-BI-ED-00003</t>
  </si>
  <si>
    <t xml:space="preserve">Livro Belas Artes: Nº insc.: 168; Vol. 1; f.: 029; data: 15/07/38. Na 110ª reunião do Conselho foi decidida a poligonal de tombamento.</t>
  </si>
  <si>
    <t xml:space="preserve">não se aplica</t>
  </si>
  <si>
    <t>SE</t>
  </si>
  <si>
    <t>RJ</t>
  </si>
  <si>
    <t xml:space="preserve">Rio de Janeiro</t>
  </si>
  <si>
    <t>RJ3304557BIED00090</t>
  </si>
  <si>
    <t xml:space="preserve">Santa Maria</t>
  </si>
  <si>
    <t xml:space="preserve">Coleção ou acervo</t>
  </si>
  <si>
    <t xml:space="preserve">Museu da União dos Caixeiros Viajantes: acervo</t>
  </si>
  <si>
    <t>RS4316907BMCL00001</t>
  </si>
  <si>
    <t xml:space="preserve">Bem Móvel e Integrado</t>
  </si>
  <si>
    <t>Acervo</t>
  </si>
  <si>
    <t xml:space="preserve">O arrolamento, datado de em 1981, do acervo do Museu Victor Bersani (no processo) por ocasião de sua doação à Universidade Federal de Santa Maria inclui os itens tombados  do Museu da União dos Caixeiros Viajantes, mas não é possível identificar o que foi tombado em 1938. (fls. 16-80)</t>
  </si>
  <si>
    <t xml:space="preserve">Mosteiro e Igreja de São Bento</t>
  </si>
  <si>
    <t>RJ3304557BIED00021</t>
  </si>
  <si>
    <t xml:space="preserve">informação número 93</t>
  </si>
  <si>
    <t xml:space="preserve">Casa na Ladeira do Morro do Valongo, 21</t>
  </si>
  <si>
    <t>RJ3304557BIED00075</t>
  </si>
  <si>
    <t xml:space="preserve">vários bens no mesmo processo</t>
  </si>
  <si>
    <t>P</t>
  </si>
  <si>
    <t xml:space="preserve">PORTARIA Nº  135, DE 13 DE FEVEREIRO DE 2013</t>
  </si>
  <si>
    <t xml:space="preserve">Asilo São Cornélio: prédio (Casa à Rua do Catete, nº 6)</t>
  </si>
  <si>
    <t>RJ3304557BIED00078</t>
  </si>
  <si>
    <t>não</t>
  </si>
  <si>
    <t xml:space="preserve">Normatização: Portaria Iphan nº 8/80</t>
  </si>
  <si>
    <t xml:space="preserve">Hospital da Santa Casa de Misericórdia: prédio</t>
  </si>
  <si>
    <t>RJ3304557BIED00049</t>
  </si>
  <si>
    <t xml:space="preserve">Igreja de Nossa Senhora do Bom Sucesso</t>
  </si>
  <si>
    <t>RJ3304557BIED00037</t>
  </si>
  <si>
    <t xml:space="preserve">Casa da Marquesa dos Santos</t>
  </si>
  <si>
    <t>RJ3304557BIED00063</t>
  </si>
  <si>
    <t xml:space="preserve">Atual Museu do Primeiro Reinado</t>
  </si>
  <si>
    <t xml:space="preserve">Igreja de Santa Luzia</t>
  </si>
  <si>
    <t>RJ3304557BIED00033</t>
  </si>
  <si>
    <t xml:space="preserve">Igreja de São José</t>
  </si>
  <si>
    <t>RJ3304557BIED00026</t>
  </si>
  <si>
    <t xml:space="preserve">Igreja de Santa Cruz dos Militares</t>
  </si>
  <si>
    <t>RJ3304557BIED00034</t>
  </si>
  <si>
    <t xml:space="preserve">Igreja de Nossa Senhora da Lapa dos Mercadores</t>
  </si>
  <si>
    <t>RJ3304557BIED00040</t>
  </si>
  <si>
    <t xml:space="preserve">Inserida na poligonal de tombamento da Praça XV</t>
  </si>
  <si>
    <t xml:space="preserve">Igreja de Santa Rita</t>
  </si>
  <si>
    <t>RJ3304557BIED00031</t>
  </si>
  <si>
    <t xml:space="preserve">Casa do Bispo - Seminário São José</t>
  </si>
  <si>
    <t>RJ3304557BIED00071</t>
  </si>
  <si>
    <t xml:space="preserve">Igreja de São Pedro dos Clérigos, Rua São Pedro, nº 91, esquina com a rua Ourives</t>
  </si>
  <si>
    <t>TC</t>
  </si>
  <si>
    <t xml:space="preserve">TOMB. CANCEL.</t>
  </si>
  <si>
    <t>c</t>
  </si>
  <si>
    <t xml:space="preserve">Cancelada a Inscrição nº 195 no Livro das Belas Artes e a inscrição nº 92 no Livro Histórico, na forma do disposto no artigo único do Decreto-lei nº 3866 de 29/11/1941, por despacho do Sr. Presidente da República datado de 08/01/1943, exarado no Processo P.R. 310/41.</t>
  </si>
  <si>
    <t>01500.001883/2015-91</t>
  </si>
  <si>
    <t xml:space="preserve">Igreja do Rosário e São Benedito</t>
  </si>
  <si>
    <t>RJ3304557BIED00024</t>
  </si>
  <si>
    <t xml:space="preserve">Igreja do Santíssimo Sacramento da Antiga Sé</t>
  </si>
  <si>
    <t>RJ3304557BIED00023</t>
  </si>
  <si>
    <t>S/D</t>
  </si>
  <si>
    <t xml:space="preserve">Segundo Superintendência (Marcia Franqueira), não existe delimitação de poligonal de entorno</t>
  </si>
  <si>
    <t xml:space="preserve">Igreja da Mãe dos Homens</t>
  </si>
  <si>
    <t>RJ3304557BIED00045</t>
  </si>
  <si>
    <t>PR</t>
  </si>
  <si>
    <t>Guaratuba</t>
  </si>
  <si>
    <t xml:space="preserve">Igreja Matriz de Guaratuba</t>
  </si>
  <si>
    <t>PR4109609BIED00001</t>
  </si>
  <si>
    <t xml:space="preserve">junto com a Matriz da Lapa</t>
  </si>
  <si>
    <t xml:space="preserve">Em 1951, sob a jurisdição dos Padres Redentoristas de Paranaguá." </t>
  </si>
  <si>
    <t>Lapa</t>
  </si>
  <si>
    <t xml:space="preserve">Igreja Matriz da Lapa</t>
  </si>
  <si>
    <t>PR4113205BIED00004</t>
  </si>
  <si>
    <t xml:space="preserve">junto com a Matriz de Guaratuba</t>
  </si>
  <si>
    <t xml:space="preserve">Igreja de São Francisco da Penitência, Cemitério e Museu de Arte Sacra: acervo </t>
  </si>
  <si>
    <t>RJ3304557BIED00030</t>
  </si>
  <si>
    <t xml:space="preserve">Igreja de São Francisco da Prainha</t>
  </si>
  <si>
    <t>RJ3304557BIED00029</t>
  </si>
  <si>
    <t xml:space="preserve">Igreja de Nossa Senhora do Carmo da Lapa do Desterro</t>
  </si>
  <si>
    <t>RJ3304557BIED00036</t>
  </si>
  <si>
    <t xml:space="preserve">Igreja da Ordem Terceira de Nossa Senhora do Carmo (rerratificação incluiu a Igreja da Ordem 3ª de N. Sª do Carmo e as edificações anexas à Igreja: Hospital da Ordem, atual sede do Museu de Arte Sacra e os imóveis de números 46,48,50,52 e 54 situados na Rua do Carmo)</t>
  </si>
  <si>
    <t>RJ-3304557-BI-ED-00044</t>
  </si>
  <si>
    <t xml:space="preserve">Inserida na poligonal de tombamento da Praça XV. Conforme resolução do Conselho Consultivo deste Instituto, em reunião realizada em 7 de outubro de 1975, de acordo com o artigo 4º do Decreto-Lei nº 25, foi determinada a inscrição, como extensão do tombamento da Igreja da Ordem 3ª de N. Sª do Carmo, das seguintes edificações anexas a mesma Igreja: Hospital da Ordem, atual sede do Museu de Arte Sacra e os imóveis de números 46,48,50,52 e 54 situados na Rua do Carmo, nesta Cidade.Rio de Janeiro, 16 de janeiro de 1976</t>
  </si>
  <si>
    <t xml:space="preserve">Igreja de Nossa Senhora da Conceição e Boa Morte</t>
  </si>
  <si>
    <t>RJ3304557BIED00042</t>
  </si>
  <si>
    <t xml:space="preserve">Casa de Banhos de D. João VI - Praia do Cajú, 115, atual 385</t>
  </si>
  <si>
    <t>RJ3304557BIED00067</t>
  </si>
  <si>
    <t xml:space="preserve">O ato de cancelamento do tombamento (ocorrido por meio de ofício de 13 de janeirode 2022) foi suspenso judicialmente em 17/2/2022.</t>
  </si>
  <si>
    <t>01500.003970/2014-01</t>
  </si>
  <si>
    <t xml:space="preserve">Prédio à Rua dos Inválidos, 193-203</t>
  </si>
  <si>
    <t>RJ3304557BIED00009</t>
  </si>
  <si>
    <t xml:space="preserve">Casa de José Bonifácio - Praia da Guarda, 119</t>
  </si>
  <si>
    <t>RJ3304557BIED00068</t>
  </si>
  <si>
    <t xml:space="preserve">Atual Praia José Bonifácio</t>
  </si>
  <si>
    <t xml:space="preserve">Casa do Coronel Joaquim Lacerda</t>
  </si>
  <si>
    <t>PR4113205BIED00003</t>
  </si>
  <si>
    <t>BA</t>
  </si>
  <si>
    <t>Salvador</t>
  </si>
  <si>
    <t xml:space="preserve">Convento e Igreja de Nossa Senhora da Lapa </t>
  </si>
  <si>
    <t>BA2927408BIED00034</t>
  </si>
  <si>
    <t xml:space="preserve">O tombamento inclui todo o seu acervo, de acordo com a Resolução do Conselho Consultivo da SPHAN, de 13/08/85, referente ao Proc. Administ. nº 13/85/SPHAN".</t>
  </si>
  <si>
    <t xml:space="preserve">Convento e Igreja do Desterro</t>
  </si>
  <si>
    <t>BA2927408BIED00033</t>
  </si>
  <si>
    <t>MG</t>
  </si>
  <si>
    <t xml:space="preserve">Ouro Preto</t>
  </si>
  <si>
    <t>Ruína</t>
  </si>
  <si>
    <t xml:space="preserve">Fábrica de Ferro Patriótica: ruínas</t>
  </si>
  <si>
    <t>MG3146107BIED00029</t>
  </si>
  <si>
    <t xml:space="preserve">Casa à Avenida Joana Angélica, 149</t>
  </si>
  <si>
    <t>BA2927408BIED00011</t>
  </si>
  <si>
    <t xml:space="preserve">Igreja de São Francisco de Paula</t>
  </si>
  <si>
    <t>RJ3304557BIED00028</t>
  </si>
  <si>
    <t xml:space="preserve">Convento e Igreja de Santa Teresa</t>
  </si>
  <si>
    <t>RJ3304557BIED00088</t>
  </si>
  <si>
    <t>SUPERINT</t>
  </si>
  <si>
    <t xml:space="preserve">Reaberto a pedido da ALERJ para Rerratificação. Solicitada a instrução em 15/12/2022</t>
  </si>
  <si>
    <t>01500.900458/2017-49</t>
  </si>
  <si>
    <t xml:space="preserve">Acervo Nosso Sagrado</t>
  </si>
  <si>
    <t xml:space="preserve">Notificação 68 (tombamento por ofício) </t>
  </si>
  <si>
    <t>RERRATIFIC.</t>
  </si>
  <si>
    <t>RJ3304557BMAC00003</t>
  </si>
  <si>
    <t xml:space="preserve">Convertido em Museu do Departamento Federal de Segurança Pública".</t>
  </si>
  <si>
    <t xml:space="preserve">Igreja de Nossa Senhora da Saúde</t>
  </si>
  <si>
    <t>RJ3304557BIED00038</t>
  </si>
  <si>
    <t xml:space="preserve">Igreja Bom Jesus Calvário</t>
  </si>
  <si>
    <t xml:space="preserve">Cancelada a Inscrição nº 196 no Livro das Belas Artes e a inscrição nº 93 no Livro Histórico,  na forma do disposto no artigo único do Decreto-lei nº 3866 de 29/11/1941, por despacho do Sr. Presidente da República datado de 08/01/1943, exarado no Processo P.R. 310/41.</t>
  </si>
  <si>
    <t xml:space="preserve">Igreja de Nossa Senhora da Pena, em Jacarepaguá</t>
  </si>
  <si>
    <t>RJ3304557BIED00039</t>
  </si>
  <si>
    <t xml:space="preserve">Entorno e Normatização: Portaria Iphan nº 3/90</t>
  </si>
  <si>
    <t>01458.001168/2012-79</t>
  </si>
  <si>
    <t xml:space="preserve">Igreja Matriz de São Salvador do Mundo, Guaratiba </t>
  </si>
  <si>
    <t>RJ3304557BIED00022</t>
  </si>
  <si>
    <t>x</t>
  </si>
  <si>
    <t xml:space="preserve"> Tombado em 1938 com inscrição no livro de tombo histórico e de belas artes. Em 11/06/2015 rerratificado, com a retirada da inscrição no livro de belas artes.</t>
  </si>
  <si>
    <t>Curitiba</t>
  </si>
  <si>
    <t xml:space="preserve">Museu Coronel David Carneiro: coleção etnográfica, arqueológica, histórica e artística</t>
  </si>
  <si>
    <t>PR4106902BIED00001</t>
  </si>
  <si>
    <t xml:space="preserve">Bem Arqueológico</t>
  </si>
  <si>
    <t>Coleção</t>
  </si>
  <si>
    <t xml:space="preserve">Conforme documento do Chefe do Arquivo Sra. Meise Caetano Amaral Paes, o Catalogo corresponde a Coleção Etnográica, Arqueológica, Histórica e Artística do Museu David Carneiro (fl. 11)</t>
  </si>
  <si>
    <t xml:space="preserve">DEPAM/RJ - Reaberto para rerratificação</t>
  </si>
  <si>
    <t>PB</t>
  </si>
  <si>
    <t>Cabedelo</t>
  </si>
  <si>
    <t xml:space="preserve">Igreja de Nossa Senhora dos Navegantes: ruínas</t>
  </si>
  <si>
    <t>PB-2503209-BI-ED-00003</t>
  </si>
  <si>
    <t xml:space="preserve">João Pessoa</t>
  </si>
  <si>
    <t xml:space="preserve">Igreja da Ordem Terceira de São Francisco</t>
  </si>
  <si>
    <t>PB2507507BIED00012</t>
  </si>
  <si>
    <t xml:space="preserve">Situada na poligonal de tombamento do Centro Histórico de João Pessoa</t>
  </si>
  <si>
    <t xml:space="preserve">Igreja da Ordem Terceira do Carmo ou de Santa Teresa de Jesus</t>
  </si>
  <si>
    <t>PB2507507BIED00021</t>
  </si>
  <si>
    <t xml:space="preserve">Igreja de Nossa Senhora da Ajuda</t>
  </si>
  <si>
    <t>RJ3304557BIED00043</t>
  </si>
  <si>
    <t xml:space="preserve">Capela do Engenho da Graça</t>
  </si>
  <si>
    <t>PB2507507BIED00006</t>
  </si>
  <si>
    <t xml:space="preserve">Igreja de Tambaú - ruínas</t>
  </si>
  <si>
    <t xml:space="preserve">Cancelada a inscrição nº 249 do Llivro Histórico por decisão do Conselho Consultivo em 13/10/1989. Em 1957, informado pelo 1º Distrito sobre a destruição das ruínas, já havia indicação do Chefe da Seção de História para encaminhar o processo para o Conselho Consultivo do DPHAN analisar o cancelamento. O caso foi apreciado na 137ª reunião do Conselho, em 13/10/1989, sendo determinado o cancelamento, efetivado em 06/12/1990.</t>
  </si>
  <si>
    <t xml:space="preserve">À vista da informação prestada pelo Dr. Airton Carvalho, o Processo foi INDEFERIDO em 07/10/1943.</t>
  </si>
  <si>
    <t xml:space="preserve">Pedras de Fogo</t>
  </si>
  <si>
    <t xml:space="preserve">Engenho Aurora</t>
  </si>
  <si>
    <t>INDEFERIDO</t>
  </si>
  <si>
    <t xml:space="preserve">Arquitetura de Produção</t>
  </si>
  <si>
    <t xml:space="preserve">Forte Velho: ruínas</t>
  </si>
  <si>
    <t>PB2503209BIED00001</t>
  </si>
  <si>
    <t xml:space="preserve">Igreja de Nossa Senhora da Glória do Outeiro</t>
  </si>
  <si>
    <t>RJ3304557BIED00041</t>
  </si>
  <si>
    <t xml:space="preserve">Normatização: Portaria Iphan nº 8/80. Entorno: proposta.</t>
  </si>
  <si>
    <t>Olinda</t>
  </si>
  <si>
    <t xml:space="preserve">Igreja e Mosteiro de São Bento</t>
  </si>
  <si>
    <t>PE2609600BIED00012</t>
  </si>
  <si>
    <t xml:space="preserve">Igreja da Candelária</t>
  </si>
  <si>
    <t>RJ3304557BIED00047</t>
  </si>
  <si>
    <t xml:space="preserve">A área de entorno e critérios de altura foram estabelecidos pelo município no Boletim nº 22/83, com base em informações do IPHAN. A SE usa como regra.</t>
  </si>
  <si>
    <t xml:space="preserve">Processo INDEFERIDO em 26/02/2004. </t>
  </si>
  <si>
    <t xml:space="preserve">Igreja Nossa Senhora da Penha de França</t>
  </si>
  <si>
    <t xml:space="preserve">Impugnação aceita na 5º reunião do Conselho Consultivo.</t>
  </si>
  <si>
    <t xml:space="preserve">Processo INDEFERIDO em 26/02/2004. Em 1938 havia indicação de tombamento (ver observações), verificar porque não foi inscrito.</t>
  </si>
  <si>
    <t xml:space="preserve">Casa do Visconde da Estrela - Casa à Praça Condessa de Frontin, 52</t>
  </si>
  <si>
    <t xml:space="preserve">Na ata número 1 há o tombamento do bem e a negação de todas as impugnações apresentadas ao mesmo, “a menos que a proprietária do imóvel custeie o levantamento completo da edificação, compreendendo plantas, inclusive das coberturas, os cortes longitudinais e transversais e as fachadas e detalhes designadas pelo serviço competente, acompanhando o levantamento da documentação fotográfica de conjuntos e pormenores, ocorrendo ainda à mesma proprietária, ao pagamento com a despesa da execução de uma maquete da construção atual e obrigando-se, a mandar fazer, no edifício, que vier a se erigir no local, num baixo relevo reproduzindo o prédio primitivo.” Verificar porque não foi inscrito.</t>
  </si>
  <si>
    <t xml:space="preserve">rerratificação INDEFERIDA</t>
  </si>
  <si>
    <t>01458.001004/2012-41</t>
  </si>
  <si>
    <t xml:space="preserve">Conjunto Rural</t>
  </si>
  <si>
    <t xml:space="preserve">Casa: Fazenda do Viegas - Volume II - Extensão de área tombada</t>
  </si>
  <si>
    <t>RJ3304557BIED00077</t>
  </si>
  <si>
    <t>Misto</t>
  </si>
  <si>
    <t xml:space="preserve">Casa à Praça Quinze de Novembro, 32, esquina da Travessa do Comércio</t>
  </si>
  <si>
    <t>RJ-3304557-BI-ED-00107</t>
  </si>
  <si>
    <t xml:space="preserve">Inserido na poligonal de tombamento da Praça XV</t>
  </si>
  <si>
    <t xml:space="preserve">Verificar inserção no conjunto da Praça XV</t>
  </si>
  <si>
    <t xml:space="preserve">Casa à Praça Quinze de Novembro, 34</t>
  </si>
  <si>
    <t>RJ-3304557-BI-ED-00108</t>
  </si>
  <si>
    <t xml:space="preserve">Processo INDEFERIDO em 27/02/2004. Bem tombado em conjunto com outros através do Processo nº 99-T-38</t>
  </si>
  <si>
    <t xml:space="preserve">Casa da Ladeira do Valongo; Prédio da Ladeira do Morro do Valongo nº 25</t>
  </si>
  <si>
    <t xml:space="preserve">Prédio da Ladeira do Morro do Valongo, nº 29</t>
  </si>
  <si>
    <t xml:space="preserve">Casa na Ladeira do Morro do Valongo; Prédio da Ladeira do Morro do Valongo nº 31</t>
  </si>
  <si>
    <t xml:space="preserve">Prédio da Ladeira  do Morro do Valongo, nº 45</t>
  </si>
  <si>
    <t xml:space="preserve">Sobrado à Rua Peregrino de Carvalho, 117</t>
  </si>
  <si>
    <t>PB2507507BIED00015</t>
  </si>
  <si>
    <t xml:space="preserve">Fazenda da Taquara: casa e Capela de Nossa Senhora dos Remédios (em Jacarepaguá)</t>
  </si>
  <si>
    <t>RJ3304557BICA00009</t>
  </si>
  <si>
    <t xml:space="preserve">Convento e Igreja de Santo Antônio e Casa de Oração e claustro da Ordem Terceira de São Francisco</t>
  </si>
  <si>
    <t xml:space="preserve">	PB-2507507-BI-ED-00009</t>
  </si>
  <si>
    <t xml:space="preserve">Igreja de São Bento</t>
  </si>
  <si>
    <t>PB2507507BIED00009</t>
  </si>
  <si>
    <t xml:space="preserve">Reaberto em 4/02/2022 para resolver pendêcnia</t>
  </si>
  <si>
    <t xml:space="preserve">01458.000008/2022-84 </t>
  </si>
  <si>
    <t xml:space="preserve">CONVENTO E IGREJA DO CARMO</t>
  </si>
  <si>
    <t>INSTRUÇÃO</t>
  </si>
  <si>
    <t>PB2507507BIED00004</t>
  </si>
  <si>
    <t xml:space="preserve">Origem: DEPAM, destino: Arquivo Central, em 13/06/2016, para guarda até a Superintendência concluir os estudos para rerratificação. A ele foi ANEXADO o processo nº 1367-T-98, referente à Serra dos Cristais.</t>
  </si>
  <si>
    <t>01458.001169/2013-02</t>
  </si>
  <si>
    <t>Diamantina</t>
  </si>
  <si>
    <t xml:space="preserve">Conjunto Urbano</t>
  </si>
  <si>
    <t xml:space="preserve">Diamantina, MG: conjunto arquitetônico e urbanístico</t>
  </si>
  <si>
    <t>MG-3121605-BI-CU-00001</t>
  </si>
  <si>
    <t xml:space="preserve">em andamento em 2015:  A SE/MG contratou em DEZ/14 os estudos, mapeamentos, aplicação do SICG (módulo conhecimento) e pré-setorização e diretrizes para 6 conjuntos urbanos, incluindo Tiradentes.</t>
  </si>
  <si>
    <t xml:space="preserve">Poligonais de tombamento e entorno: Portaria Iphan 12/2002  de 17/10/2002 emitida pela Superintendência. </t>
  </si>
  <si>
    <t>71004.000681/2020-43</t>
  </si>
  <si>
    <t xml:space="preserve">Serro </t>
  </si>
  <si>
    <t xml:space="preserve">Serro, MG: conjunto arquitetônico e urbanístico</t>
  </si>
  <si>
    <t>MG-3167103-BI-CU-00001</t>
  </si>
  <si>
    <t xml:space="preserve">Poligonal de tombamento: arquivo no servidor Sambaqui.</t>
  </si>
  <si>
    <t>Tiradentes</t>
  </si>
  <si>
    <t xml:space="preserve">Capela do Bom Jesus</t>
  </si>
  <si>
    <t>MG3168804BIED00005</t>
  </si>
  <si>
    <t xml:space="preserve">Tiradentes, MG: conjunto arquitetônico e urbanístico</t>
  </si>
  <si>
    <t>MG-3168804-BI-CU-00001</t>
  </si>
  <si>
    <t xml:space="preserve">O processo de tombamento encontra-se em fase de rerratificação, já tendo a proposta, de delimitação da área tombada e respectivos critérios de intervenção, sido aprovada pelo Conselho Consultivo do IPHAN.</t>
  </si>
  <si>
    <t xml:space="preserve">Estudo concluído (INCEU) para normatização; falta avaliação ET e CGCH; revisar resultados. Informações sobre delimitação das poligonais: DEPAM-RJ 98-99</t>
  </si>
  <si>
    <t xml:space="preserve">Capela da Santíssima Trindade</t>
  </si>
  <si>
    <t>MG3168804BIED00009</t>
  </si>
  <si>
    <t xml:space="preserve">Capela de Nossa Senhora das Mercês</t>
  </si>
  <si>
    <t>MG3168804BIED00008</t>
  </si>
  <si>
    <t xml:space="preserve">Capela de São Francisco de Paula </t>
  </si>
  <si>
    <t>MG3168804BIED00007</t>
  </si>
  <si>
    <t xml:space="preserve">Capela de São João Evangelista</t>
  </si>
  <si>
    <t>MG3168804BIED00006</t>
  </si>
  <si>
    <t>Caeté</t>
  </si>
  <si>
    <t xml:space="preserve">Igreja Matriz de Nossa Senhora do Bonsucesso</t>
  </si>
  <si>
    <t>MG3110004BIED00003</t>
  </si>
  <si>
    <t>Raposos</t>
  </si>
  <si>
    <t xml:space="preserve">Igreja de Nossa Senhora da Conceição</t>
  </si>
  <si>
    <t>MG3153905BIED00001</t>
  </si>
  <si>
    <t xml:space="preserve">Sabará </t>
  </si>
  <si>
    <t xml:space="preserve">Igreja de Nossa Senhora do Ó</t>
  </si>
  <si>
    <t>MG-3156700-BI-ED-00016</t>
  </si>
  <si>
    <t xml:space="preserve">Igreja de Nossa Senhora das Mercês</t>
  </si>
  <si>
    <t>MG3156700BIED00004</t>
  </si>
  <si>
    <t xml:space="preserve">Igreja de Nossa Senhora do Carmo </t>
  </si>
  <si>
    <t>MG3156700BIED00005</t>
  </si>
  <si>
    <t xml:space="preserve">Igreja de Nossa Senhora do Rosário</t>
  </si>
  <si>
    <t>MG3156700BIED00006</t>
  </si>
  <si>
    <t xml:space="preserve">Igreja de São Francisco de Assis</t>
  </si>
  <si>
    <t>MG3156700BIED00008</t>
  </si>
  <si>
    <t xml:space="preserve">Igreja Matriz de Nossa Senhora da Conceição</t>
  </si>
  <si>
    <t>MG3156700BIED00009</t>
  </si>
  <si>
    <t xml:space="preserve">Reaberto para rerratificação, aguardando instrução. Ver fls. 6 do Processo nº 68-T-38.Na Superintendência MG em 26/02/2014</t>
  </si>
  <si>
    <t>01458.001484/2012-41</t>
  </si>
  <si>
    <t xml:space="preserve">São João Del Rei</t>
  </si>
  <si>
    <t xml:space="preserve">São João del Rei, MG: conjunto arquitetônico e urbanístico</t>
  </si>
  <si>
    <t>MG-3162500-BI-CU-00001</t>
  </si>
  <si>
    <t xml:space="preserve">Na 52ª reunião do Conselho Consultivo (1969), o tombamento foi rerratificado para diminuir a poligonal</t>
  </si>
  <si>
    <t xml:space="preserve">Não existe no processo uma delimitação da área tombada, instruída formalmente.
A definição da atual área de tombamento se deu em 1947, com a definição de uma lista das ruas tombadas.
Ou seja, não há uma delimitação de área tombada, o que este documento de 1947 faz é elencar todas as ruas e igrejas tombadas. A partir de então, o “entendimento” do Iphan era que os imóveis e lotes inseridos nessas ruas, estavam tombados e isto gerou um mapa com a área tombada
 Informações sobre delimitação das poligonais: DEPAM-RJ 98-99</t>
  </si>
  <si>
    <t>Mariana</t>
  </si>
  <si>
    <t xml:space="preserve">Mariana, MG: conjunto arquitetônico e urbanístico</t>
  </si>
  <si>
    <t>MG-3140001-BI-CU-00002</t>
  </si>
  <si>
    <t xml:space="preserve">Estudo concluído (Depam RJ; Monumenta) para normatização; falta avaliação ET e CGCH. Poligonal de tombamento: arquivo no servidor Sambaqui.Monumento Nacional de acordo com o Decreto-lei nº 7713, de 06/07/1945</t>
  </si>
  <si>
    <t xml:space="preserve">Ouro Preto, MG: conjunto arquitetônico e urbanístico</t>
  </si>
  <si>
    <t>MG-3146107-BI-CU-00001</t>
  </si>
  <si>
    <t xml:space="preserve">1986 / 1989</t>
  </si>
  <si>
    <t xml:space="preserve">rerratificação em 1986 (outros livros do tombo) e 1989 (delimitação poligonal). Na reunião 137 (1989), teria sido EXCLUÍDO o Livro do Tombo das Belas Artes,  devendo ser feitos estudos para valorar exatamente o que seria inscrito neste livro.</t>
  </si>
  <si>
    <t>2008-2010</t>
  </si>
  <si>
    <t xml:space="preserve">Normatização: Portaria Iphan 312/2010. Monumento Nacional de acordo com o Decreto nº 22928, de 12/07/1933.” Em 22 de maio de 1989, foi feita a averbação do perímetro tombado do " Conjunto Arquitetônico e Urbanístico da Cidade de Ouro Preto " como se segue: Livro do Tombo Arqueológico, Etnográfico e Paisagístico, nas folhas 47 a 65; Livro do Tombo Histórico, 1º volume, na folha 98; e 2º volume, na folha 17; de acordo com a Ata da 137ª Reunião do Conselho Consultivo do PHAN, realizada em 13/10/1989</t>
  </si>
  <si>
    <t>MG3140001BIED00008</t>
  </si>
  <si>
    <t>MG3140001BIED00012</t>
  </si>
  <si>
    <t xml:space="preserve">Processo INDEFERIDO em 27/05/2008.</t>
  </si>
  <si>
    <t xml:space="preserve">Igreja São Francisco de Assis, no Distrito de Antônio Pereira</t>
  </si>
  <si>
    <t xml:space="preserve">INDEFERIDO em 05/07/1999.</t>
  </si>
  <si>
    <t>MA</t>
  </si>
  <si>
    <t>Caxias</t>
  </si>
  <si>
    <t xml:space="preserve">Igreja Matriz de N. S. da Conceição e São José</t>
  </si>
  <si>
    <t xml:space="preserve">Rafael da SE-PI informou que este processo não está tombado. No site do Noronha Santos também não está constando. (04/04/2013 por telefone).</t>
  </si>
  <si>
    <t xml:space="preserve">Barão de Cocais</t>
  </si>
  <si>
    <t xml:space="preserve">Igreja Matriz de São João Batista</t>
  </si>
  <si>
    <t>MG-3105400-BI-ED-00003</t>
  </si>
  <si>
    <t xml:space="preserve">Capela de Nossa Senhora do Rosário</t>
  </si>
  <si>
    <t>MG3105400BIED00001</t>
  </si>
  <si>
    <t xml:space="preserve">Capela de Santana</t>
  </si>
  <si>
    <t>MG3105400BIED00002</t>
  </si>
  <si>
    <t xml:space="preserve">Catas Altas</t>
  </si>
  <si>
    <t>MG3115359BIED00001</t>
  </si>
  <si>
    <t>Congonhas</t>
  </si>
  <si>
    <t xml:space="preserve">Santuário de Bom Jesus de Matozinhos: conjunto arquitetônico, paisagístico e escultórico</t>
  </si>
  <si>
    <t>MG3118007BICA00002</t>
  </si>
  <si>
    <t xml:space="preserve">“A inscrição abrange o conjunto arquitetônico, escultórico e paisagístico do Santuário. (Despacho de 17/03/1950, do Diretor do PHAN). </t>
  </si>
  <si>
    <t>MG3140001BIED00009</t>
  </si>
  <si>
    <t xml:space="preserve">Igreja de Nossa Senhora do Rosário dos Pretos</t>
  </si>
  <si>
    <t>MG3140001BIED00011</t>
  </si>
  <si>
    <t xml:space="preserve">Igreja da Sé</t>
  </si>
  <si>
    <t>MG3140001BICU00001</t>
  </si>
  <si>
    <t xml:space="preserve">Capela de Nossa Senhora dos Anjos da Arquiconfraria de São Francisco </t>
  </si>
  <si>
    <t>MG3140001BIED00001</t>
  </si>
  <si>
    <t xml:space="preserve">Igreja Matriz de Nossa Senhora do Pilar</t>
  </si>
  <si>
    <t>MG3146107BIED00015</t>
  </si>
  <si>
    <t xml:space="preserve">Passo da Rua do Rosário</t>
  </si>
  <si>
    <t>MG3146107BIED00033</t>
  </si>
  <si>
    <t xml:space="preserve">Bem móvel ou integrado</t>
  </si>
  <si>
    <t xml:space="preserve">Oratório da Rua Barão de Ouro Branco</t>
  </si>
  <si>
    <t>MG3146107BMAR00001</t>
  </si>
  <si>
    <t>Artefato</t>
  </si>
  <si>
    <t xml:space="preserve">Igreja de Santa Efigênia</t>
  </si>
  <si>
    <t>MG-3146107-BI-ED-00008</t>
  </si>
  <si>
    <t xml:space="preserve">Igreja do Bom Jesus do Matozinhos</t>
  </si>
  <si>
    <t>MG3146107BIED00012</t>
  </si>
  <si>
    <t xml:space="preserve">Passo à Praça Tiradentes</t>
  </si>
  <si>
    <t>MG3146107BIED00032</t>
  </si>
  <si>
    <t xml:space="preserve">Capela de Nossa Senhora do Rosário de Padre Faria </t>
  </si>
  <si>
    <t>MG3146107BIED00023</t>
  </si>
  <si>
    <t xml:space="preserve">Capela de Nossa Senhora da Piedade</t>
  </si>
  <si>
    <t>MG3146107BIED00021</t>
  </si>
  <si>
    <t xml:space="preserve">Capela de São Sebastião</t>
  </si>
  <si>
    <t>MG3146107BIED00002</t>
  </si>
  <si>
    <t xml:space="preserve">Passo da Rua São José</t>
  </si>
  <si>
    <t>MG3146107BIED00018</t>
  </si>
  <si>
    <t xml:space="preserve">Capela de São João</t>
  </si>
  <si>
    <t>MG3146107BIED00025</t>
  </si>
  <si>
    <t xml:space="preserve">Igreja de São Francisco de Paula </t>
  </si>
  <si>
    <t>MG3146107BIED00011</t>
  </si>
  <si>
    <t xml:space="preserve">Capela do Bom Jesus das Flores </t>
  </si>
  <si>
    <t>MG3146107BIED00026</t>
  </si>
  <si>
    <t xml:space="preserve">Capela do Senhor do Bonfim</t>
  </si>
  <si>
    <t>MG3146107BIED00027</t>
  </si>
  <si>
    <t xml:space="preserve">Igreja de Nossa Senhora das Mercês e Perdões</t>
  </si>
  <si>
    <t>MG3146107BIED00005</t>
  </si>
  <si>
    <t xml:space="preserve">Passo da Ponte Seca</t>
  </si>
  <si>
    <t>MG3146107BIED00017</t>
  </si>
  <si>
    <t xml:space="preserve">Passo de Antônio Dias</t>
  </si>
  <si>
    <t>MG3146107BIED00019</t>
  </si>
  <si>
    <t xml:space="preserve">Igreja de Nossa Senhora do Rosário </t>
  </si>
  <si>
    <t>MG3146107BIED00007</t>
  </si>
  <si>
    <t xml:space="preserve">Capela de São José</t>
  </si>
  <si>
    <t>MG3146107BIED00001</t>
  </si>
  <si>
    <t xml:space="preserve">Capela de Nossa Senhora das Dores</t>
  </si>
  <si>
    <t>MG3146107BIED00022</t>
  </si>
  <si>
    <t xml:space="preserve">Igreja Nossa Senhora das Mercês e Misericórdia</t>
  </si>
  <si>
    <t>MG3146107BIED00016</t>
  </si>
  <si>
    <t xml:space="preserve">Igreja Matriz de Nossa Senhora da Conceição de Antônio Dias </t>
  </si>
  <si>
    <t>MG-3146107-BI-ED-00013</t>
  </si>
  <si>
    <t xml:space="preserve">Solar del Rei</t>
  </si>
  <si>
    <t>RJ3304557BIED00007</t>
  </si>
  <si>
    <t xml:space="preserve">Col. arqueol. Balbino de Freitas: conchais do litoral sul</t>
  </si>
  <si>
    <t>RJ3304557BMCL00002</t>
  </si>
  <si>
    <t>CE</t>
  </si>
  <si>
    <t>Fortaleza</t>
  </si>
  <si>
    <t xml:space="preserve">Col. arqueol. do Museu da Escola Normal Justiniano de Serpa</t>
  </si>
  <si>
    <t>CE2304400BMCL00001</t>
  </si>
  <si>
    <t xml:space="preserve">Igreja e Mosteiro de Monte Serrat</t>
  </si>
  <si>
    <t>BA2927408BIED00049</t>
  </si>
  <si>
    <t xml:space="preserve">Mosteiro e Igreja da Graça</t>
  </si>
  <si>
    <t>BA2927408BIED00050</t>
  </si>
  <si>
    <t>BA2927408BIED00048</t>
  </si>
  <si>
    <t xml:space="preserve">Santa Casa da Misericórdia da Bahia e Igreja</t>
  </si>
  <si>
    <t>BA2927408BIED00032</t>
  </si>
  <si>
    <t xml:space="preserve">Casa Pia e Colégio dos Órfãos de São Joaquim</t>
  </si>
  <si>
    <t>BA-2927408-BI-ED-00036</t>
  </si>
  <si>
    <t xml:space="preserve">Igreja e Casa da Ordem Terceira do Carmo</t>
  </si>
  <si>
    <t>BA2927408BIED00051</t>
  </si>
  <si>
    <t xml:space="preserve">Igreja e Casa da Ordem Terceira de São Domingos</t>
  </si>
  <si>
    <t>BA2927408BIED00056</t>
  </si>
  <si>
    <t xml:space="preserve">Catedral Basílica de Salvador</t>
  </si>
  <si>
    <t>BA2927408BIED00001</t>
  </si>
  <si>
    <t xml:space="preserve">“O tombamento inclui todo o seu acervo, de acordo com a Resolução do Conselho Consultivo da SPHAN, de 13/08/85, referente ao Proc. Administ. nº 13/85/SPHAN".</t>
  </si>
  <si>
    <t xml:space="preserve">Fazenda do Engenho d' Água: casa (em Jacarepaguá)</t>
  </si>
  <si>
    <t>RJ3304557BIED00059</t>
  </si>
  <si>
    <t xml:space="preserve">Convento e Igreja de São Francisco</t>
  </si>
  <si>
    <t>BA2927408BIED00058</t>
  </si>
  <si>
    <t xml:space="preserve">Marco da Fundação da Cidade do Rio de Janeiro</t>
  </si>
  <si>
    <t>RJ3304557BMAR00004</t>
  </si>
  <si>
    <t xml:space="preserve">Lápide tumular de Estácio de Sá</t>
  </si>
  <si>
    <t>RJ3304557BMAR00006</t>
  </si>
  <si>
    <t xml:space="preserve">Sob a guarda dos Missionários Capuchinhos do Rio de Janeiro, na Igreja Matriz de São Sebastião</t>
  </si>
  <si>
    <t>BA2927408BIED00017</t>
  </si>
  <si>
    <t xml:space="preserve"> Igreja de São Miguel</t>
  </si>
  <si>
    <t>BA2927408BIED00060</t>
  </si>
  <si>
    <t xml:space="preserve">Convento e Igreja de Nossa Senhora do Carmo</t>
  </si>
  <si>
    <t>BA2927408BIED00039</t>
  </si>
  <si>
    <t xml:space="preserve">Fortim de Caetano Madeira</t>
  </si>
  <si>
    <t>RJ3304557BICA00007</t>
  </si>
  <si>
    <t xml:space="preserve">Solar Grandjean de Montigny e jardim</t>
  </si>
  <si>
    <t>RJ3304557BICA00001</t>
  </si>
  <si>
    <t xml:space="preserve">Passou para a propriedade da Pontifícia Universidade Católica do Rio de Janeiro, em 18/12/1951</t>
  </si>
  <si>
    <t xml:space="preserve">Processo INDEFERIDO em 07/02/1948.</t>
  </si>
  <si>
    <t xml:space="preserve">Porto Alegre</t>
  </si>
  <si>
    <t xml:space="preserve">Coleção Vicente Prestes de Almeida</t>
  </si>
  <si>
    <t>Triunfo</t>
  </si>
  <si>
    <t xml:space="preserve">Casa natal de Bento Gonçalves</t>
  </si>
  <si>
    <t>RS4322004BIED00001</t>
  </si>
  <si>
    <t xml:space="preserve">O Processo teve parecer de indeferimento em 07/02/1948, sendo INDEFERIDO em 30/09/1999.</t>
  </si>
  <si>
    <t xml:space="preserve">São Leopoldo</t>
  </si>
  <si>
    <t xml:space="preserve">Casa do Colono Alemão ou Casa da Feitoria Velha</t>
  </si>
  <si>
    <t xml:space="preserve">Igreja de Nossa Senhora das Dores</t>
  </si>
  <si>
    <t>RS4314902BIED00002</t>
  </si>
  <si>
    <t xml:space="preserve">PORTARIA Nº 483,06/12/ 2016</t>
  </si>
  <si>
    <t xml:space="preserve">Dispõe sobre a delimitação da área de entorno dos bens tombados pelo IPHAN no Centro Histórico da Cidade de Porto Alegre, Rio Grande do Sul, e estabelece diretrizes para intervenções nos bens inseridos na área delimitada.
</t>
  </si>
  <si>
    <t>Viamão</t>
  </si>
  <si>
    <t xml:space="preserve">Igreja de Nossa Senhora da Conceição de Viamão</t>
  </si>
  <si>
    <t>RS4323002BIED00001</t>
  </si>
  <si>
    <t>Piratini</t>
  </si>
  <si>
    <t xml:space="preserve">Casa de Garibaldi</t>
  </si>
  <si>
    <t>RS4314605BIED00001</t>
  </si>
  <si>
    <t xml:space="preserve">Estudo realizado pela SE e Governo do Estado indica delimitação da área de entorno dos bens tombados e normatização; falta análise CGCH.</t>
  </si>
  <si>
    <t xml:space="preserve">Palácio Farroupilha</t>
  </si>
  <si>
    <t>RS4314605BIED00002</t>
  </si>
  <si>
    <t xml:space="preserve">Despacho para INDEFERIR o Processo em 07/02/1948.</t>
  </si>
  <si>
    <t xml:space="preserve">Solar de D. Diogo de Souza</t>
  </si>
  <si>
    <t xml:space="preserve">Infraestrutura ou equipamento urbano</t>
  </si>
  <si>
    <t xml:space="preserve">Chafariz das Saracuras</t>
  </si>
  <si>
    <t>RJ-3304557-BM-AR-00013</t>
  </si>
  <si>
    <t xml:space="preserve">Equipamento Urbano</t>
  </si>
  <si>
    <t xml:space="preserve">Transferida a propriedadepara o estado da Guanabara, atual Estado do Rio de Janeiro, de acordo com o Decreto nº 48145, de 28/04/60, que instituiu a Comissão de Transferência do Serviço Público Federal</t>
  </si>
  <si>
    <t xml:space="preserve">Quinta da Boa Vista</t>
  </si>
  <si>
    <t>RJ-3304557-BI-CA-00002</t>
  </si>
  <si>
    <t xml:space="preserve">Outro processo 101-T-38</t>
  </si>
  <si>
    <t xml:space="preserve">Entorno e Normatização: Portaria Iphan nº 02/86 revogada pela Portaria nº 135 de 13 DE FEVEREIRO DE 2013</t>
  </si>
  <si>
    <t xml:space="preserve">Casa natal do Barão do Rio Branco</t>
  </si>
  <si>
    <t xml:space="preserve">Jardim Histórico</t>
  </si>
  <si>
    <t xml:space="preserve">Campo de Sant'Anna</t>
  </si>
  <si>
    <t>RJ3304557BIED00076</t>
  </si>
  <si>
    <t xml:space="preserve">Bem Paisagístico</t>
  </si>
  <si>
    <t xml:space="preserve">Tombamento cancelado em 1943 por despacho do Sr. Presidente da República, datado de 08/01/1943, em função da abertura da Avenida Presidente Vargas</t>
  </si>
  <si>
    <t xml:space="preserve">Arco do Teles </t>
  </si>
  <si>
    <t>RJ3304557BIOE00004</t>
  </si>
  <si>
    <t xml:space="preserve">Patrimônio Natural</t>
  </si>
  <si>
    <t xml:space="preserve">Morros da Cidade do Rio de Janeiro</t>
  </si>
  <si>
    <t>RJ3304557PSPS00013</t>
  </si>
  <si>
    <t>Paisagem</t>
  </si>
  <si>
    <t xml:space="preserve">Jardim e Morro do Valongo: conjunto arquitetônico e paisagístico</t>
  </si>
  <si>
    <t>RJ-3304557-BI-CA-00013</t>
  </si>
  <si>
    <t xml:space="preserve"> Outro processo 101-T-38</t>
  </si>
  <si>
    <t xml:space="preserve">Passeio Público: chafariz dos Jacarés, obeliscos e portão do Mestre Valentim</t>
  </si>
  <si>
    <t>RJ-3304557-PS-JD-00006</t>
  </si>
  <si>
    <t xml:space="preserve">Praias de Paquetá</t>
  </si>
  <si>
    <t>RJ3304557PSPS00012</t>
  </si>
  <si>
    <t xml:space="preserve">Marco da Fazenda Real de Santa Cruz</t>
  </si>
  <si>
    <t>RJ3304557BMAR00005</t>
  </si>
  <si>
    <t xml:space="preserve">Arcos da Lapa  ou Aqueduto da Carioca</t>
  </si>
  <si>
    <t>RJ3304557BIOE00005</t>
  </si>
  <si>
    <t xml:space="preserve">Obra de Engenharia</t>
  </si>
  <si>
    <t xml:space="preserve">Parcialmente destombado em 1949</t>
  </si>
  <si>
    <t xml:space="preserve">Arcos da Lapa (aqueduto da Carioca) Normatização: Portaria Iphan nº 8/80. Parcialmente cancelada a inscrição, para o efeito especial de ser retirado um dos pilares, a fim de facilitar o escoamento do tráfego pela Av. Mem de Sá para a zona sul do D.F. (Decreto nº 26.670, de 12/05/49</t>
  </si>
  <si>
    <t xml:space="preserve">Ponte dos Jesuítas sobre o Rio Gandu</t>
  </si>
  <si>
    <t>RJ3304557BIOE00001</t>
  </si>
  <si>
    <t xml:space="preserve">Ilha de Itamaracá</t>
  </si>
  <si>
    <t xml:space="preserve">Forte Orange</t>
  </si>
  <si>
    <t>PE2607604BIED00001</t>
  </si>
  <si>
    <t xml:space="preserve">Outro processo 155-T-38</t>
  </si>
  <si>
    <t>Paranaguá</t>
  </si>
  <si>
    <t xml:space="preserve">Colégio dos Jesuítas</t>
  </si>
  <si>
    <t xml:space="preserve">PE-2607604-BI-ED-00001 </t>
  </si>
  <si>
    <t xml:space="preserve">Entregue ao Ministério da Educação conforme consta do Processo MES 90.689-50, em 15/V/1951."</t>
  </si>
  <si>
    <t xml:space="preserve">Forte do Buraco</t>
  </si>
  <si>
    <t xml:space="preserve">"Cancelada a inscrição em 19.01.1955, em cumprimento ao despacho do senhor presidente da República, de 10.01.1955, exarado nos termos do Decreto-lei nº 3.866, de 29.11.1941, à vista da exposição de motivos do Ministério da Marinha e do parecer do Gabinete Militar anexado ao Processo".
(C. Drummond, Chefe da Seção de História)</t>
  </si>
  <si>
    <t xml:space="preserve">Forte das Cinco Pontas </t>
  </si>
  <si>
    <t xml:space="preserve">	PE-2611606-BI-ED-00009</t>
  </si>
  <si>
    <t xml:space="preserve">Forte Cinco Pontas: Delimitação de entorno incluindo vários bens, que teria sido apresentada ao Conselho Consultivo (verificar). Mapas com delimitações no Sambaqui.</t>
  </si>
  <si>
    <t xml:space="preserve">Forte do Brum</t>
  </si>
  <si>
    <t xml:space="preserve"> PE-2611606-BI-ED-00035</t>
  </si>
  <si>
    <t xml:space="preserve">Museu Nacional, inclusive a Coleção Arqueológica Balbino de Freitas</t>
  </si>
  <si>
    <t xml:space="preserve">sim </t>
  </si>
  <si>
    <t xml:space="preserve">Ver informação número 55/78 boletim número 17/78.</t>
  </si>
  <si>
    <t xml:space="preserve">Edifício da antiga Alfândega e antiga Praça do Comércio, atual sede da Fundação Casa França-Brasil</t>
  </si>
  <si>
    <t>RJ3304557BIED00097</t>
  </si>
  <si>
    <t xml:space="preserve">Fortaleza de São João: portão</t>
  </si>
  <si>
    <t>RJ-3304557-BM-AR-00025</t>
  </si>
  <si>
    <t xml:space="preserve">Casa de Rui Barbosa </t>
  </si>
  <si>
    <t>RJ3304557BIED00069</t>
  </si>
  <si>
    <t xml:space="preserve">Aqueduto da Colônia de Psicopatas </t>
  </si>
  <si>
    <t>RJ3304557BIOE00003</t>
  </si>
  <si>
    <t xml:space="preserve">Outro processo 0154-T-38</t>
  </si>
  <si>
    <t xml:space="preserve">Aqueduto: Entorno e Normatização: Portaria Iphan nº 3/90. Transferida a propriedade para o Estado da Guanabara, atual Estado do Rio de Janeiro, de acordo com o Decreto nº 48145, de 28/04/60, que instituiu a Comissão de Transferência do Serviço Público Federal." </t>
  </si>
  <si>
    <t xml:space="preserve">Bebedouro da Estrada Velha da Tijuca</t>
  </si>
  <si>
    <t>RJ3304557BMAR00018</t>
  </si>
  <si>
    <t xml:space="preserve">Inserido na poligonal de tombamento da Floresta da Tijuca</t>
  </si>
  <si>
    <t xml:space="preserve">Bebedouro : Transferida a propriedade para o Estado da Guanabara, atual Estado do Rio de Janeiro, de acordo com o Decreto nº 48145, de 28/04/60, que instituiu a Comissão de transferência do Serviço Público Federal. </t>
  </si>
  <si>
    <t xml:space="preserve">Palácio Guanabara</t>
  </si>
  <si>
    <t>RJ3304557BIED00014</t>
  </si>
  <si>
    <t xml:space="preserve">Origem: DEPAM. Destino: Presid~encia, em 13/05/2016. Estava como processo 155, mas verificando as inscrições, Andressa viu que fazia referência ao processo 101. Optamos por remanejar o volume para processo 101, para ficar de acordo com a inscrição. Precisa corrigir no aviso de tombamento definitivo.</t>
  </si>
  <si>
    <t>01458.000297/2011-69</t>
  </si>
  <si>
    <t>SC</t>
  </si>
  <si>
    <t>Florianópolis</t>
  </si>
  <si>
    <t xml:space="preserve">Rerratificação (2015): "Fortaleza de Santo Antônio de Ratones e suas defesas anexas, incluindo a ilha de Ratones Grande, onde se situa, e seu material de artilharia, assim como a ilha de Ratones Pequeno" (Livros do Tombo Histórico e Arqueológico, Etnográfico e Paisagístico); "Fortaleza de Santo Antônio, em Ratones" (Livro do Tombo das Belas Artes)</t>
  </si>
  <si>
    <t>SC-4205407-BI-ED-00006</t>
  </si>
  <si>
    <t xml:space="preserve">Durante a rerratificação, foi aprovada a inscrição no Livro do Tombo Arqueológico, Etnográfico e Paisagístico, inclusão do acervo de artilharia (a ser conferida pela SE), delimitação de poligonais e alteração na inscrição no Livro do Tombo Histórico (apenas). Rerratificação homologada por meio da PORTARIA No- 99, DE 7 DE OUTUBRO DE 2015</t>
  </si>
  <si>
    <t xml:space="preserve">Poligonais de tombamento e entorno descritas no processo de rerratificação.</t>
  </si>
  <si>
    <t xml:space="preserve">Processo INDEFERIDO em 27/07/1962.</t>
  </si>
  <si>
    <t xml:space="preserve">Coleção de pratos portugueses, vasos, objetos diversos do sec. XVII, arquivo fotográfico do Rio Grande, dois quadros de autores espanhóis Antigos </t>
  </si>
  <si>
    <t xml:space="preserve">Igreja da Misericórdia</t>
  </si>
  <si>
    <t>PB2507507BIED00011</t>
  </si>
  <si>
    <t xml:space="preserve">Casa demolida (desapareceu), precisa ter a inscrição cancelada!</t>
  </si>
  <si>
    <t>Entre-Ijuís</t>
  </si>
  <si>
    <t xml:space="preserve">Casa construída com material missioneiro</t>
  </si>
  <si>
    <t>RS4306932BIED00001</t>
  </si>
  <si>
    <t xml:space="preserve">Casa já ruiu</t>
  </si>
  <si>
    <t xml:space="preserve">Igreja Matriz de Santo Antônio</t>
  </si>
  <si>
    <t>PE2611606BIED00024</t>
  </si>
  <si>
    <t xml:space="preserve">Na 110ª reunião do Conselho teria sido decidida a poligonal de tombamento.</t>
  </si>
  <si>
    <t xml:space="preserve">Casa de Câmara e Cadeia</t>
  </si>
  <si>
    <t>PR4113205BIED00002</t>
  </si>
  <si>
    <t xml:space="preserve">Na 105º reunião o conselho aprovou por unanimidade a rerratificação do tombamento que, anteriormente só protegia o andar superior da construção, não seu térreo. Houve o entendimento de que o edifício é uma unidade indivisível e deveria ser tombado em sua totalidade, o que justifica a rerratificação.</t>
  </si>
  <si>
    <t>Tibagi</t>
  </si>
  <si>
    <t xml:space="preserve">Fazenda Fortaleza</t>
  </si>
  <si>
    <t xml:space="preserve">Casa à Rua Francisco Cunha</t>
  </si>
  <si>
    <t>PR4113205BIED00001</t>
  </si>
  <si>
    <t xml:space="preserve">Santa Rita</t>
  </si>
  <si>
    <t xml:space="preserve">Capela de Nossa Senhora das Batalhas </t>
  </si>
  <si>
    <t>PB2513703BIED00002</t>
  </si>
  <si>
    <t xml:space="preserve">Capela de Nossa Senhora do Socorro</t>
  </si>
  <si>
    <t>PB2513703BIED00003</t>
  </si>
  <si>
    <t xml:space="preserve">Igreja de Nossa Senhora do Carmo</t>
  </si>
  <si>
    <t>MG3146107BIED00006</t>
  </si>
  <si>
    <t>MG3146107BIED00009</t>
  </si>
  <si>
    <t xml:space="preserve">Palácio da Associação Comercial da Bahia</t>
  </si>
  <si>
    <t>BA2927408BIED00062</t>
  </si>
  <si>
    <t xml:space="preserve">Palácio do Saldanha</t>
  </si>
  <si>
    <t>BA2927408BIED00055</t>
  </si>
  <si>
    <t xml:space="preserve">Casa à rua Carlos Gomes, 57</t>
  </si>
  <si>
    <t>BA2927408BIED00013</t>
  </si>
  <si>
    <t xml:space="preserve">Doado a Santa Casa da Misericórdia de Salvador em 1941.</t>
  </si>
  <si>
    <t xml:space="preserve">Casa a Rua Carlos Gomes, 26</t>
  </si>
  <si>
    <t xml:space="preserve">Cancelado o tombamento registrado na Inscrição nº 44 no Livro das Belas Artes, na forma do disposto no artigo único do Decreto-lei nº 3866 de 29/11/1941, por despacho do Sr. Presidente da República datado de 10/08/1943.</t>
  </si>
  <si>
    <t xml:space="preserve">Casa Marback</t>
  </si>
  <si>
    <t>BA2927408BIED00061</t>
  </si>
  <si>
    <t xml:space="preserve">Sobrado à Praça Anchieta, 18 (Casa Natal de Gregório de Matos)</t>
  </si>
  <si>
    <t>BA2927408BIED00059</t>
  </si>
  <si>
    <t xml:space="preserve">Solar do Barão do Rio Real</t>
  </si>
  <si>
    <t>BA2927408BIED00047</t>
  </si>
  <si>
    <t xml:space="preserve">Solar do Berquó</t>
  </si>
  <si>
    <t>BA2927408BIED00063</t>
  </si>
  <si>
    <t xml:space="preserve">Solar Ferrão</t>
  </si>
  <si>
    <t>BA2927408BIED00016</t>
  </si>
  <si>
    <t xml:space="preserve">Solar do Conde dos Arcos</t>
  </si>
  <si>
    <t>BA2927408BIED00072</t>
  </si>
  <si>
    <t>Cachoeira</t>
  </si>
  <si>
    <t xml:space="preserve">Igreja do Seminário de Belém</t>
  </si>
  <si>
    <t>BA2904902BIED00023</t>
  </si>
  <si>
    <t xml:space="preserve">Capela da Ajuda</t>
  </si>
  <si>
    <t>BA-2927408-BI-ED-00072</t>
  </si>
  <si>
    <t xml:space="preserve">Seminário de São Dâmaso</t>
  </si>
  <si>
    <t>BA2927408BIED00071</t>
  </si>
  <si>
    <t xml:space="preserve">Igreja do Rosário dos Pretos </t>
  </si>
  <si>
    <t>BA2927408BIED00064</t>
  </si>
  <si>
    <t xml:space="preserve">Oratório público da Cruz do Pascoal</t>
  </si>
  <si>
    <t>BA2927408BMAR00003</t>
  </si>
  <si>
    <t xml:space="preserve">Igreja de Santo Antônio da Barra</t>
  </si>
  <si>
    <t>BA2927408BIED00066</t>
  </si>
  <si>
    <t>BA2927408BIED00019</t>
  </si>
  <si>
    <t xml:space="preserve">Igreja do Senhor do Bonfim</t>
  </si>
  <si>
    <t>BA2927408BIED00052</t>
  </si>
  <si>
    <t xml:space="preserve">Igreja e Hospício da Boa Viagem</t>
  </si>
  <si>
    <t>BA2927408BIED00057</t>
  </si>
  <si>
    <t xml:space="preserve">Igreja Matriz de Nossa Senhora da Conceição da Praia</t>
  </si>
  <si>
    <t>BA2927408BIED00041</t>
  </si>
  <si>
    <t xml:space="preserve">Inscrições tumulares da Igreja da Vitória</t>
  </si>
  <si>
    <t>BA2927408BMAR00004</t>
  </si>
  <si>
    <t xml:space="preserve">Palácio Arquiepiscopal </t>
  </si>
  <si>
    <t>BA2927408BIED00026</t>
  </si>
  <si>
    <t xml:space="preserve">Capela do Corpo Santo</t>
  </si>
  <si>
    <t>BA2927408BIED00008</t>
  </si>
  <si>
    <t xml:space="preserve">Igreja da Palma </t>
  </si>
  <si>
    <t>BA2927408BIED00080</t>
  </si>
  <si>
    <t xml:space="preserve">Igreja da Rua do Passo - Santíssimo Sacramento</t>
  </si>
  <si>
    <t>BA2927408BIED00054</t>
  </si>
  <si>
    <t xml:space="preserve">Igreja de Santo Antônio da Mouraria</t>
  </si>
  <si>
    <t>BA2927408BIED00038</t>
  </si>
  <si>
    <t xml:space="preserve">Igreja do Pilar</t>
  </si>
  <si>
    <t>BA2927408BIED00035</t>
  </si>
  <si>
    <t xml:space="preserve">Igreja de São Pedro dos Clérigos e Pátio de São Pedro: conjunto arquitetônico</t>
  </si>
  <si>
    <t>PE2611606BIED00013</t>
  </si>
  <si>
    <t xml:space="preserve">50, 110, 111</t>
  </si>
  <si>
    <t xml:space="preserve">1968/  1984</t>
  </si>
  <si>
    <t xml:space="preserve">Na 50 reunião do Conselho (1968) foi rerratificado e  recomendada a inscrição também no livro histórico: foi inscrito nas observações do livro de belas; em 1984 (reuniões110 e 111) outra rerratificação para delimitar poligonal de tombamento. Solicitamos cópia de todo o processo para esclarecer dúvidas.</t>
  </si>
  <si>
    <t xml:space="preserve">Delimitação de entorno incluindo vários bens, que teria sido apresentada ao Conselho Consultivo (verificar). Mapas com delimitações no Sambaqui. Informações sobre delimitação das poligonais: DEPAM-RJ 98-99 O tombamento inclui o conjunto arquitetônico do Pátio de São Pedro, com os lanços das casas que o envolvem e os que ladeiam a igreja, até os nºs 63 a 164. resolução do Conselho Consultivo da DPHAN, de 12/03/1968." </t>
  </si>
  <si>
    <t>BA2927408BIED00020</t>
  </si>
  <si>
    <t xml:space="preserve">Casa dos Sete Candeeiros</t>
  </si>
  <si>
    <t>PE2609600BIED00008</t>
  </si>
  <si>
    <t xml:space="preserve">Escritura de 20 de junho de 1951."</t>
  </si>
  <si>
    <t xml:space="preserve">Igreja da Ordem Terceira do Carmo</t>
  </si>
  <si>
    <t>PE2611606BIED00036</t>
  </si>
  <si>
    <t xml:space="preserve">Na 110ª reunião do Conselho Consultivo teria sido definida a poligonal de proteção. Verificar!</t>
  </si>
  <si>
    <t xml:space="preserve">Casa de Castro Alves</t>
  </si>
  <si>
    <t>BA2927408BIED00021</t>
  </si>
  <si>
    <t xml:space="preserve">Fonte do Tambiá</t>
  </si>
  <si>
    <t>PB2507507BIED00010</t>
  </si>
  <si>
    <t xml:space="preserve">Mata de São João</t>
  </si>
  <si>
    <t xml:space="preserve">Casa da Torre de Garcia d'Ávila e Capela de Nossa Senhora da Conceição</t>
  </si>
  <si>
    <t>BA2921005BIED00001</t>
  </si>
  <si>
    <t xml:space="preserve">Na 77ª reunião do Conselho (1977), devido ao entendimento de que os projetos de uso turístico da área e de construção de uma rodovia nas proximidades do bem tombado viriam a impactar a ambientação do local que deseja-se preservar, foi definida a poligonal de tombamento como sendo caracterizada da seguinte forma: "Rio Pajuca até o leito futuro da Estrada dos Cocos, seguindo ao longo desta até a inserção com a reta que passa pela falda norte da elevação onde se encontra a Casa da Torre e pelo Farol, seguindo a referida reta até o litoral e, ao longo deste até a foz do Rio Pajuca, por onde se iniciou a demarcação."</t>
  </si>
  <si>
    <t xml:space="preserve">“ O tombamento inclui a capela de Nossa Senhora da Conceição e toda a área desde a elevação onde se encontra o monumento até a orla marítima, na Enseada de Tatuapara." Aditamento, em 21/10/1981: " O tombamento abrange a seguinte área demarcada no Processo nº 128-T-38: Rio Pojuca até o leito futuro da Estrada dos Côcos, seguindo ao longo desta até a interseção com a reta que passa pela fralda norte da elevação onde se encontra a Casa da Torre e pelo farol, seguindo a referida reta até o litoral e, ao longo deste, até a foz do Rio Pojuca, por onde se iniciou a demarcação."</t>
  </si>
  <si>
    <t xml:space="preserve">Marco divisório da Capitania de Itamaracá</t>
  </si>
  <si>
    <t>PE2611606BMAR00001</t>
  </si>
  <si>
    <t xml:space="preserve">Está recolhido à sede do Instituto Arqueológico, Histórico e Geográfico de Pernambucano."</t>
  </si>
  <si>
    <t xml:space="preserve">Palácio da Soledade</t>
  </si>
  <si>
    <t>PE2611606BIED00017</t>
  </si>
  <si>
    <t>Igarassu</t>
  </si>
  <si>
    <t>PE2606804BICA00001</t>
  </si>
  <si>
    <t xml:space="preserve">Igreja de Nossa Senhora da Graça e Seminário de Olinda </t>
  </si>
  <si>
    <t>PE-2609600-BI-ED-00009</t>
  </si>
  <si>
    <t xml:space="preserve">Palácio Episcopal</t>
  </si>
  <si>
    <t>PE2609600BIED00014</t>
  </si>
  <si>
    <t xml:space="preserve">Solar à Rua Visconde do Rio Branco Nº 18</t>
  </si>
  <si>
    <t xml:space="preserve">Cancelada a Inscrição nº 05 no Livro das Belas Artes, por despacho do Sr. Diretor do PHAN em 05/02/1957, constante do Processo 132-T. Assina C.D.A. [Carlos Drummond de Andrade]. Em 1957, informado pelo 2º Distrito sobre a descaracterização do bem, o Chefe da Seção de História propõe o cancelamento do tombamento, sendo aprovado pelo Diretor e efetivado em 05/02/1957.</t>
  </si>
  <si>
    <t xml:space="preserve">Capela de Nossa Senhora da Conceição da Jaqueira</t>
  </si>
  <si>
    <t>PE2611606BIED00033</t>
  </si>
  <si>
    <t xml:space="preserve">3, 110, 111</t>
  </si>
  <si>
    <t xml:space="preserve">Na 110ª e 111ª reuniões do Conselho Consultivo teria sido definida a poligonal de proteção. </t>
  </si>
  <si>
    <t xml:space="preserve">"Ver demarcação da poligonal e planta de rerratificação do tombamento a fls. 2 a 4, do 2º volume do Processo nº 133-T-38, homologada em 08/03/1985."</t>
  </si>
  <si>
    <t xml:space="preserve">Igreja da Madre de Deus</t>
  </si>
  <si>
    <t>PE2611606BIED00032</t>
  </si>
  <si>
    <t>N</t>
  </si>
  <si>
    <t>PA</t>
  </si>
  <si>
    <t>Belém</t>
  </si>
  <si>
    <t xml:space="preserve">Col. arqueol. e etnográfica do Museu Paraense Emílio Goeldi</t>
  </si>
  <si>
    <t>PA1501402BMCL00001</t>
  </si>
  <si>
    <t xml:space="preserve">Museu do Estado de Pernambuco: acervo</t>
  </si>
  <si>
    <t>PE2611606BIED00016</t>
  </si>
  <si>
    <t xml:space="preserve">“O material inscrito é o que corresponde ao acervo artístico do Museu do Estado."</t>
  </si>
  <si>
    <t xml:space="preserve">Igreja de São Gonçalo</t>
  </si>
  <si>
    <t>PE2611606BIED00011</t>
  </si>
  <si>
    <t>SP</t>
  </si>
  <si>
    <t xml:space="preserve">São Paulo</t>
  </si>
  <si>
    <t xml:space="preserve">Coleções arqueológicas, etnográficas, artísticas e históricas do Museu Paulista da Universidade de São Paulo</t>
  </si>
  <si>
    <t>SP-3550308-BA-CL-00001</t>
  </si>
  <si>
    <t xml:space="preserve">Museu Paranaense: coleção etnográfica, arqueológica, histórica e artística</t>
  </si>
  <si>
    <t>PR4106902BIED00002</t>
  </si>
  <si>
    <t xml:space="preserve">Caçapava do Sul</t>
  </si>
  <si>
    <t xml:space="preserve">Forte de Caçapava</t>
  </si>
  <si>
    <t xml:space="preserve">RS4302808BIED00001 </t>
  </si>
  <si>
    <t xml:space="preserve">Col. arqueol., etnográfica, histórica e artística do Museu Júlio de Castilhos</t>
  </si>
  <si>
    <t>RS4314902BACL00001</t>
  </si>
  <si>
    <t xml:space="preserve">São Miguel das Missões</t>
  </si>
  <si>
    <t xml:space="preserve">Povo de São Miguel: remanescentes e ruínas da Igreja de São Miguel</t>
  </si>
  <si>
    <t>RS4319158BICA00001</t>
  </si>
  <si>
    <t xml:space="preserve">Informações sobre delimitação das poligonais: DEPAM-RJ 98-99</t>
  </si>
  <si>
    <t xml:space="preserve"> Igreja de Santa Teresa</t>
  </si>
  <si>
    <t>PE2609600BIED00011</t>
  </si>
  <si>
    <t xml:space="preserve">Convento e Igreja de São Francisco: capela, casa de oração e claustro dos Terceiros Franciscanos</t>
  </si>
  <si>
    <t>PE2609600BIED00006</t>
  </si>
  <si>
    <t>PE2611606BIED00007</t>
  </si>
  <si>
    <t>Sirinhaém</t>
  </si>
  <si>
    <t xml:space="preserve">Convento de Santo Antônio</t>
  </si>
  <si>
    <t>PE2614204BIED00001</t>
  </si>
  <si>
    <t>01458.000032/2022-13</t>
  </si>
  <si>
    <t>Goiana</t>
  </si>
  <si>
    <t xml:space="preserve">Capela de Santo Antônio - Engenho Novo </t>
  </si>
  <si>
    <t>PE2606200BIED00001</t>
  </si>
  <si>
    <t>PE2606200BIED00003</t>
  </si>
  <si>
    <t>PE2606200BIED00004</t>
  </si>
  <si>
    <t xml:space="preserve">Igreja de Nossa Senhora da Misericórdia</t>
  </si>
  <si>
    <t>PE2606200BIED00005</t>
  </si>
  <si>
    <t xml:space="preserve">Igreja de Nossa Senhora do Amparo</t>
  </si>
  <si>
    <t>PE2606200BIED00006</t>
  </si>
  <si>
    <t>PE2606200BIED00007</t>
  </si>
  <si>
    <t xml:space="preserve">Igreja Matriz de Nossa Senhora do Rosário</t>
  </si>
  <si>
    <t>PE2606200BIED00008</t>
  </si>
  <si>
    <t xml:space="preserve">Convento e Igreja de Nossa Senhora da Soledade</t>
  </si>
  <si>
    <t>PE2606200BIED00002</t>
  </si>
  <si>
    <t xml:space="preserve">Convento do Carmo</t>
  </si>
  <si>
    <t>PE2609600BIED00005</t>
  </si>
  <si>
    <t>PE2611606BIED00008</t>
  </si>
  <si>
    <t xml:space="preserve">Igreja de Nossa Senhora da Boa Vista</t>
  </si>
  <si>
    <t>PE2611606BIED00037</t>
  </si>
  <si>
    <t xml:space="preserve">Casa do General Osório - Rua Riachuelo, 303</t>
  </si>
  <si>
    <t>RJ3304557BIED00073</t>
  </si>
  <si>
    <t xml:space="preserve">Igreja de Nossa Senhora do Desterro - Igreja da Pedra de Guaratiba </t>
  </si>
  <si>
    <t>RJ3304557BIED00035</t>
  </si>
  <si>
    <t xml:space="preserve">Entorno e Normatização: Portaria Iphan nº 15/1986</t>
  </si>
  <si>
    <t xml:space="preserve">Palacete Durchisch</t>
  </si>
  <si>
    <t xml:space="preserve">24ª reunião do Conselho Consultivo (1957) decidiu: A inscrição nº 21 do Livro Histórico foi cancelada "por terem perecido irreparávelmente as pinturas que haviam motivado a inscrição do edifício em causa nos Livros do Tombo", conforme decisão do Conselho Consultivo do PHAN, em 18/12/1957. Também foi cancelada a inscrição nº 49 do Livro das Belas Artes, pelo mesmo motivo. </t>
  </si>
  <si>
    <t xml:space="preserve">01500.000691/2011-34 (extensão do tombamento)</t>
  </si>
  <si>
    <t xml:space="preserve">Palácio do Catete, parque e Rua do Catete: conjunto arquitetônico</t>
  </si>
  <si>
    <t>RJ3304557BICA00003</t>
  </si>
  <si>
    <t xml:space="preserve">Tombado em 1938 e rerratificado em 1963 (38ª reunião do Conselho) para aumentar a área. Pareceres devem estar no volume I que não foi localizado; volume II tem documentos a partir de 1975 (certidões, etc). Outro processo 101-T-38. Pedido de extensão do tombamento para inclusão do imóvel nº 124, da Rua do Catete</t>
  </si>
  <si>
    <t xml:space="preserve">"O Conselho Consultivo da DPHAN, em 15/05/1962, resolve tornar extensivo o tombamento ao segmento da rua do Catete compreendido entre os números 126 e 196, de um lado, e 179 e 187, do outro".Informações sobre delimitação das poligonais: DEPAM-RJ 98-99. Normatização: Portaria Iphan nº 08/1977 (engenhos publicitarios)</t>
  </si>
  <si>
    <t xml:space="preserve">Bica da Rainha</t>
  </si>
  <si>
    <t>RJ3304557BMAR00019</t>
  </si>
  <si>
    <t xml:space="preserve">Transferida a propriedade para o Estado da Guanabara, atual Estado do Rio de Janeiro, de acordo com o Decreto nº 48145, de 28/04/60, que instituiu a Comissão de Transferência do Serviço Público Federal. </t>
  </si>
  <si>
    <t xml:space="preserve">Chafariz à Rua do Riachuelo</t>
  </si>
  <si>
    <t>RJ3304557BMAR00011</t>
  </si>
  <si>
    <t xml:space="preserve">Chafariz da Glória </t>
  </si>
  <si>
    <t>RJ3304557BMAR00012</t>
  </si>
  <si>
    <t xml:space="preserve">Chafariz de Grandjean de Montigny</t>
  </si>
  <si>
    <t>RJ3304557BMAR00016</t>
  </si>
  <si>
    <t xml:space="preserve">Removido para o Alto da Boa Vista." Transferida a propriedade para o Estado da Guanabara, atual Estado do Rio de Janeiro, de acordo com o Decreto nº 48145, de 28/04/60, que instituiu a Comissão de Transferência do Serviço Público Federal (serve para chafariz praça 15 de novembro e rua do Riachuelo)."</t>
  </si>
  <si>
    <t xml:space="preserve">Chafariz de Paulo Fernandes</t>
  </si>
  <si>
    <t>RJ3304557BMAR00017</t>
  </si>
  <si>
    <t xml:space="preserve">Chafariz do Mestre Valentim</t>
  </si>
  <si>
    <t>RJ3304557BMAR00015</t>
  </si>
  <si>
    <t xml:space="preserve">Chafariz do Lagarto</t>
  </si>
  <si>
    <t>RJ3304557BIED00074</t>
  </si>
  <si>
    <t xml:space="preserve">Fortaleza de Santa Catarina</t>
  </si>
  <si>
    <t>PB2503209BIED00002</t>
  </si>
  <si>
    <t xml:space="preserve">mesmo bem tombado através do processo nº 46-T-38</t>
  </si>
  <si>
    <t>Cairu</t>
  </si>
  <si>
    <t xml:space="preserve">Fortaleza do Morro de São Paulo</t>
  </si>
  <si>
    <t>BA2905404BIED00002</t>
  </si>
  <si>
    <t xml:space="preserve">Outro processo 101-T-38. Vários bens no mesmo processo. Reaberto para rerratificação do Forte de Santo Antônio, em Ratones, sendo concluído pelo Depam-RJ. </t>
  </si>
  <si>
    <t xml:space="preserve">Fortaleza de Santana </t>
  </si>
  <si>
    <t>SC4205407BIED00005</t>
  </si>
  <si>
    <t xml:space="preserve">Entorno: PORTARIA Nº 500, DE 20 DE OUTUBRO DE 2014</t>
  </si>
  <si>
    <t xml:space="preserve">Fortaleza de São José da Ponta Grossa</t>
  </si>
  <si>
    <t>SC4205407BIED00007</t>
  </si>
  <si>
    <t xml:space="preserve">PORTARIA Nº 438, DE 21 DE OUTUBRO DE 2016 (revogada a PORTARIA Nº 532, DE 11 DE NOVEMBRO DE 2014)</t>
  </si>
  <si>
    <t xml:space="preserve">Governador Celso Ramos</t>
  </si>
  <si>
    <t xml:space="preserve">Fortaleza de Santa Cruz de Anhatomirim</t>
  </si>
  <si>
    <t>SC4206009BIED00001</t>
  </si>
  <si>
    <t>Itaparica</t>
  </si>
  <si>
    <t xml:space="preserve">Forte de São Lourenço</t>
  </si>
  <si>
    <t>BA2916104BIED00002</t>
  </si>
  <si>
    <t>Maragogipe</t>
  </si>
  <si>
    <t xml:space="preserve">Forte do Paraguassú</t>
  </si>
  <si>
    <t>BA2920601BIED00003</t>
  </si>
  <si>
    <t>Niterói</t>
  </si>
  <si>
    <t xml:space="preserve">Forte de Gragoatá</t>
  </si>
  <si>
    <t>RJ3303302BIED00003</t>
  </si>
  <si>
    <t xml:space="preserve">Fortaleza de Nossa Senhora dos Prazeres</t>
  </si>
  <si>
    <t>PR4118204BIED00002</t>
  </si>
  <si>
    <t>Paulista</t>
  </si>
  <si>
    <t xml:space="preserve">Forte do Pau Amarelo</t>
  </si>
  <si>
    <t>PE2610707BIED00001</t>
  </si>
  <si>
    <t xml:space="preserve">Fortaleza da Conceição</t>
  </si>
  <si>
    <t>RJ3304557BICA00008</t>
  </si>
  <si>
    <t>RJ3304557BIED00015</t>
  </si>
  <si>
    <t xml:space="preserve">Forte da Gambôa</t>
  </si>
  <si>
    <t>BA2927408BIED00074</t>
  </si>
  <si>
    <t xml:space="preserve">Outro processo 0101-T-38</t>
  </si>
  <si>
    <t xml:space="preserve">Forte de Santa Maria</t>
  </si>
  <si>
    <t>BA2927408BIED00075</t>
  </si>
  <si>
    <t xml:space="preserve">Forte de Santo Antônio da Barra</t>
  </si>
  <si>
    <t>BA2927408BIED00084</t>
  </si>
  <si>
    <t xml:space="preserve">Forte de São Marcelo</t>
  </si>
  <si>
    <t>BA2927408BIED00077</t>
  </si>
  <si>
    <t xml:space="preserve">Casa da Moeda: prédio</t>
  </si>
  <si>
    <t>RJ3304557BIED00064</t>
  </si>
  <si>
    <t xml:space="preserve">Rerratificação. Origem: DEPAM. Destino: Arquivo  Central, em 19/11/2013</t>
  </si>
  <si>
    <t>01450.013394/2007-13</t>
  </si>
  <si>
    <t xml:space="preserve">Jardim Botânico (Especificadamente o Portão da Antiga Fábrica de Pólvora e o Pórtico Da Antiga Academia Imperial de Belas Artes;</t>
  </si>
  <si>
    <t>RJ-3304557-PS-JD-00005</t>
  </si>
  <si>
    <r>
      <rPr>
        <sz val="10"/>
        <rFont val="Arial"/>
      </rPr>
      <t xml:space="preserve">Era só o Jardim Botânico, mas </t>
    </r>
    <r>
      <rPr>
        <sz val="10"/>
        <color indexed="2"/>
        <rFont val="Arial"/>
      </rPr>
      <t xml:space="preserve">verificar se agora terá caráter urbano. </t>
    </r>
  </si>
  <si>
    <t xml:space="preserve">Inclusive o Aqueduto do Horto Florestal.Informações sobre delimitação das poligonais: DEPAM-RJ 98-99</t>
  </si>
  <si>
    <t xml:space="preserve">Reabertura do processo em 16/08/2023. Solicitação parte da Chefia do Escritório de Representação do Ministério das Relações Exteriores no Rio de Janeiro (Ofício n. 06/2021 de 02/06/2021).Solicitada instrução da rerratificação em 22/08/2023</t>
  </si>
  <si>
    <t>01500.001912/2021-63</t>
  </si>
  <si>
    <t xml:space="preserve">Palácio Itamaraty</t>
  </si>
  <si>
    <t xml:space="preserve">ex officio Notificação nº 250 de 01/04/1938</t>
  </si>
  <si>
    <t xml:space="preserve">Notificação nº 250 de 01/04/1938</t>
  </si>
  <si>
    <t>RJ3304557BIED00013</t>
  </si>
  <si>
    <t xml:space="preserve">Entorno e Normatização: Portaria Iphan nº 02/86</t>
  </si>
  <si>
    <t xml:space="preserve">Paço Imperial</t>
  </si>
  <si>
    <t>RJ3304557BIED00018</t>
  </si>
  <si>
    <t xml:space="preserve">Inserido na poligonal de entorno da Praça XV</t>
  </si>
  <si>
    <t xml:space="preserve">Duque de Caxias</t>
  </si>
  <si>
    <t>RJ3301702BIED00001</t>
  </si>
  <si>
    <t>Joinville</t>
  </si>
  <si>
    <t xml:space="preserve">Palácio dos Príncipes de Joinville ou Palácio do Domínio Dona Francisca</t>
  </si>
  <si>
    <t>SC4209102BIED00002</t>
  </si>
  <si>
    <t xml:space="preserve">Igreja Matriz de S. Francisco Xavier, inclusive o outeiro onde está situado e o antigo marco jesuítico localizado no sopé</t>
  </si>
  <si>
    <t>RJ3303302BIED00006</t>
  </si>
  <si>
    <t xml:space="preserve">Capela e Cemitério de Maruí</t>
  </si>
  <si>
    <t>RJ3303302BICA00001</t>
  </si>
  <si>
    <t xml:space="preserve">Igreja de São Lourenço dos Índios</t>
  </si>
  <si>
    <t>RJ3303302BIED00001</t>
  </si>
  <si>
    <t xml:space="preserve">Ilha da Boa Viagem: conjunto arquitetônico e paisagístico</t>
  </si>
  <si>
    <t>RJ-3303302-BI-CA-00002</t>
  </si>
  <si>
    <t xml:space="preserve">Casa à Avenida Frederico Pontes</t>
  </si>
  <si>
    <t>BA2927408BIED00010</t>
  </si>
  <si>
    <t>Petrópolis</t>
  </si>
  <si>
    <t xml:space="preserve">Palácio Imperial de Petrópolis, parque e Quartel dos Semanários</t>
  </si>
  <si>
    <t>RJ-3303906-BI-CA-00001</t>
  </si>
  <si>
    <t xml:space="preserve">Conforme despacho de 23/09/1954, no Processo 504-T, o tombamento do Palácio foi rerratificado como : "Palácio Imperial de Petrópolis, compreendendo o respectivo parque e a antiga Casa ou Quartel dos Semanários, à Rua Dr. Joaquim Moreira, nº 130". "O Palácio Imperial de Petrópolis e respectivo parque estão situados na Avenida Sete de Setembro."</t>
  </si>
  <si>
    <t xml:space="preserve">Bem isolado incluído no conjunto tombado. </t>
  </si>
  <si>
    <t xml:space="preserve">Casa na Rua Borba Gato, 7</t>
  </si>
  <si>
    <t>MG3156700BIED00003</t>
  </si>
  <si>
    <t xml:space="preserve">Santa Bárbara</t>
  </si>
  <si>
    <t>MG3157203BIED00001</t>
  </si>
  <si>
    <t xml:space="preserve">Processo INDEFERIDO em 03/09/2007.</t>
  </si>
  <si>
    <t xml:space="preserve">Igreja da Matriz do Salvador do Mundo; Sé de Olinda</t>
  </si>
  <si>
    <t xml:space="preserve">Igreja de Nossa Senhora do Monte</t>
  </si>
  <si>
    <t>PE2609600BIED00010</t>
  </si>
  <si>
    <t>MG3162500BIED00006</t>
  </si>
  <si>
    <t xml:space="preserve">Igreja Nossa Senhora do Carmo</t>
  </si>
  <si>
    <t>MG3162500BIED00004</t>
  </si>
  <si>
    <t xml:space="preserve">Convento e Igreja de Santo Alberto de Sicília e cruzeiro</t>
  </si>
  <si>
    <t>PE2606200BICA00001</t>
  </si>
  <si>
    <t xml:space="preserve">Campos dos Goytacazes</t>
  </si>
  <si>
    <t xml:space="preserve">Capela de Nossa Senhora do Rosário do Engenho do Visconde</t>
  </si>
  <si>
    <t>RJ3301009BIED00002</t>
  </si>
  <si>
    <t xml:space="preserve">Solar do Visconde</t>
  </si>
  <si>
    <t>RJ3301009BIED00003</t>
  </si>
  <si>
    <t xml:space="preserve">Solar e Capela do Engenho do Colégio e capela</t>
  </si>
  <si>
    <t>RJ3301009BICA00001</t>
  </si>
  <si>
    <t xml:space="preserve">Solar de Santo Antônio</t>
  </si>
  <si>
    <t>RJ3301009BIED00001</t>
  </si>
  <si>
    <t xml:space="preserve">Solar dos Airizes</t>
  </si>
  <si>
    <t>RJ3301009BIED00004</t>
  </si>
  <si>
    <t xml:space="preserve">Tombamento Cancelado</t>
  </si>
  <si>
    <t xml:space="preserve">Inscrição Cancelada na folha 37 do Livro do Tombo das Belas Artes, conforme despacho do Presidente da República em 08/12/1941.</t>
  </si>
  <si>
    <t xml:space="preserve">São Pedro da Aldeia</t>
  </si>
  <si>
    <t xml:space="preserve">Igreja jesuítica e residência anexa de São Pedro d'Aldeia</t>
  </si>
  <si>
    <t>RJ3305208BIED00001</t>
  </si>
  <si>
    <t>Embu</t>
  </si>
  <si>
    <t xml:space="preserve">Igreja de Nossa Senhora do Rosário e residência anexa</t>
  </si>
  <si>
    <t>SP-3515004-BI-CA-00001</t>
  </si>
  <si>
    <t xml:space="preserve">Igreja de São Miguel Paulista</t>
  </si>
  <si>
    <t>SP3515004BICA00001</t>
  </si>
  <si>
    <t>SP3550308BIED00002</t>
  </si>
  <si>
    <t xml:space="preserve">Na 17ª Reunião do Conselho Consultivo, em 1953, foi decidido pelo envio do pedido de destombamento ao Presidente da República. Anotação no processo: "A inscrição nº 110 do Livro Histórico e a de nº 220 do Livro das Belas Artes foram  canceladas visto o tombamento ter sido cancelado em 25/05/1953, por determinação do Sr. Presidente da República, em despacho exarado na Exposição de Motivos nº 421, de 11/05/1953, do Sr. Ministro da Educação e Saúde."</t>
  </si>
  <si>
    <t xml:space="preserve">Igreja da Ordem terceira do Carmo</t>
  </si>
  <si>
    <t xml:space="preserve">BA2904902BICA00005 (bens filhos BA-2904902-BI-ED-00018 e BA-2904902-BI-ED-00021)</t>
  </si>
  <si>
    <t xml:space="preserve">BA-2904902-BI-CA-00006 ( bens filhos BA-2904902-BI-ED-00004 e BA-2904902-BI-ED-00022)</t>
  </si>
  <si>
    <t xml:space="preserve">Rio Claro</t>
  </si>
  <si>
    <t xml:space="preserve">Conjunto urbano</t>
  </si>
  <si>
    <t xml:space="preserve">Conjunto Arquitetônico e Urbanístico de São João Marcos - Itaverá - Cidade de São João Marcos</t>
  </si>
  <si>
    <t xml:space="preserve">Tombado a pedido de um cidadão, pois um projeto de hidrelétrica ameaçava o bem. Passou pelo Conselho e foi aprovado. Tombamento cancelado em 1940, com anotação no Livro do Tombo, em função da Lei nº 2.269, de 3 de junho de 1940 (para permitir a construção da hidrelétrica)</t>
  </si>
  <si>
    <t>PI</t>
  </si>
  <si>
    <t>Teresina</t>
  </si>
  <si>
    <t xml:space="preserve">Igreja de São Benedito especificamente as respectivas portas</t>
  </si>
  <si>
    <t>PI2211001BIED00001</t>
  </si>
  <si>
    <t xml:space="preserve">Campo Maior</t>
  </si>
  <si>
    <t xml:space="preserve">Cemitério do Batalhão</t>
  </si>
  <si>
    <t>PI2202208PSJD00001</t>
  </si>
  <si>
    <t xml:space="preserve">Arquitetura Funerária</t>
  </si>
  <si>
    <t xml:space="preserve">Declarado Monumento Nacional pelo Decreto nº 99.058, de 07/03/90".</t>
  </si>
  <si>
    <t>Oeiras</t>
  </si>
  <si>
    <t xml:space="preserve">Sobrado Nepomuceno</t>
  </si>
  <si>
    <t>PI2207009BIED00002</t>
  </si>
  <si>
    <t xml:space="preserve">Em virtude do Decreto-lei nº 3711 de 14/10/1941, foi autorizada a doação do imóvel à Diocese de Oeiras."</t>
  </si>
  <si>
    <t xml:space="preserve">Ponte Grande</t>
  </si>
  <si>
    <t>PI2207009BIOE00001</t>
  </si>
  <si>
    <t>Uberaba</t>
  </si>
  <si>
    <t>MG3170107BIED00002</t>
  </si>
  <si>
    <t>Itu</t>
  </si>
  <si>
    <t xml:space="preserve">Igreja Matriz de Nossa Senhora da Candelária</t>
  </si>
  <si>
    <t>SP-3523909-BI-ED-00002</t>
  </si>
  <si>
    <t xml:space="preserve">São José do Rio Pardo</t>
  </si>
  <si>
    <t xml:space="preserve">Barraca de Euclides da Cunha</t>
  </si>
  <si>
    <t>SP3549706BIED00001</t>
  </si>
  <si>
    <t xml:space="preserve">Juiz de Fora</t>
  </si>
  <si>
    <t xml:space="preserve">Coleções do Museu Mariano Procópio</t>
  </si>
  <si>
    <t>MG3136702BMCL00001</t>
  </si>
  <si>
    <t xml:space="preserve">Casa com muxarabi à Praça João Alfredo (antigo Pátio de São Pedro), 7 </t>
  </si>
  <si>
    <t>PE-2609600-BI-ED-00002</t>
  </si>
  <si>
    <t xml:space="preserve">Casa com muxarabi à Rua do Amparo, 28</t>
  </si>
  <si>
    <t>PE2609600BIED00003</t>
  </si>
  <si>
    <t xml:space="preserve">Palácio da Princesa Isabel - Avenida Koeller, nº 42</t>
  </si>
  <si>
    <t>RJ3303906BIED00001</t>
  </si>
  <si>
    <t xml:space="preserve">Bem tombado isoladamente incluido no conjunto tombado</t>
  </si>
  <si>
    <t>ES</t>
  </si>
  <si>
    <t>Vitória</t>
  </si>
  <si>
    <t>ES3205309BIED00002</t>
  </si>
  <si>
    <t xml:space="preserve">Casa do Padre Correia</t>
  </si>
  <si>
    <t>RJ-3303906-BI-ED-00003</t>
  </si>
  <si>
    <t xml:space="preserve">Processo 0197-T está ANEXADO ao Processo 0606-T-60, referente à Gruta da Mangabeira. Ver o campo "observações", sobre o tombamento provisório.</t>
  </si>
  <si>
    <t>Ituaçu</t>
  </si>
  <si>
    <t xml:space="preserve">Santuário do Sagrado Coração de Jesus da Gruta da Mangabeira</t>
  </si>
  <si>
    <t>ANEXADO</t>
  </si>
  <si>
    <t>BA2917201PSPS00001</t>
  </si>
  <si>
    <t xml:space="preserve">Na 10ª reunião do Conselho Consultivo (1939) teria sido mantido o tombamento provisório pelo fato de não haver certeza quanto a que sem seria o proprietário do imóvel. Não foi inscrito à época, mas foi anexado ao processo 606, que foi tombado. Está protegido, portanto.</t>
  </si>
  <si>
    <t xml:space="preserve">Capela da Ajuda </t>
  </si>
  <si>
    <t>BA-2904902-BI-ED-00028</t>
  </si>
  <si>
    <t xml:space="preserve"> Igreja Matriz de Nossa Senhora do Rosário</t>
  </si>
  <si>
    <t>BA2904902BIED00024</t>
  </si>
  <si>
    <t xml:space="preserve">Paço Municipal</t>
  </si>
  <si>
    <t>BA2904902BIED00003</t>
  </si>
  <si>
    <t xml:space="preserve">Chafariz da Praça Dr. Mílton</t>
  </si>
  <si>
    <t>BA2904902BIOE00001</t>
  </si>
  <si>
    <t xml:space="preserve">Jarras de louça, 02 / Fábrica de Santo Antônio do Porto; /Jarras de louça, 03 / Fábrica de Santo Antônio do Porto;</t>
  </si>
  <si>
    <t>BA2904902BMAC00001</t>
  </si>
  <si>
    <t xml:space="preserve">Casa à Praça Dr. Aristides Milton,  23-A</t>
  </si>
  <si>
    <t>BA2904902BIED00012</t>
  </si>
  <si>
    <t xml:space="preserve">Casa natal de Teixeira de Freitas</t>
  </si>
  <si>
    <t>BA-2904902-BI-ED-00029</t>
  </si>
  <si>
    <t xml:space="preserve">Hospital São João de Deus: jardim</t>
  </si>
  <si>
    <t>BA2904902PSJD00001</t>
  </si>
  <si>
    <t xml:space="preserve">Sobrado à Rua Ana Nery, 1</t>
  </si>
  <si>
    <t>BA2904902BIED00008</t>
  </si>
  <si>
    <t xml:space="preserve">Sobrado à Praça da Aclamação, 4</t>
  </si>
  <si>
    <t>BA2904902BIED00015</t>
  </si>
  <si>
    <t xml:space="preserve">Casa natal de Ana Nery, Rua Ana Nery, 7</t>
  </si>
  <si>
    <t>BA2904902BIED00017</t>
  </si>
  <si>
    <t>01458.000836/2012-41</t>
  </si>
  <si>
    <t xml:space="preserve">Casa de Pedra (Monumento Natural); Gruta Irabussú</t>
  </si>
  <si>
    <t xml:space="preserve">Teria sido analisado na 6ª Reunião do Conselho Consultivo (1939) e teria sido negado o tombamento por caducidade do processo. Teria sido ARQUIVADO em 2002 (ver reunião 34 do Conselho).</t>
  </si>
  <si>
    <t xml:space="preserve">Arquivado em 20/09/21, assunto sendo tratado no processo 1374-T-96</t>
  </si>
  <si>
    <t>01458.001162/2012-00</t>
  </si>
  <si>
    <t xml:space="preserve">Fortaleza de Santa Cruz</t>
  </si>
  <si>
    <t>RJ3303302BIED00008</t>
  </si>
  <si>
    <t xml:space="preserve">São Luís</t>
  </si>
  <si>
    <t xml:space="preserve">Capela de São José da Quinta das Laranjeiras</t>
  </si>
  <si>
    <t>MA2111300BIED00008</t>
  </si>
  <si>
    <t xml:space="preserve">Portão da Quinta das Laranjeiras</t>
  </si>
  <si>
    <t>MA2111300BMAR00002</t>
  </si>
  <si>
    <t xml:space="preserve">Não tem poligonal. </t>
  </si>
  <si>
    <t xml:space="preserve">Sítio arqueológico</t>
  </si>
  <si>
    <t xml:space="preserve">Sambaqui do Pindai</t>
  </si>
  <si>
    <t>MA2111300BAST00002</t>
  </si>
  <si>
    <t>Sítio</t>
  </si>
  <si>
    <t xml:space="preserve">São Gonçalo</t>
  </si>
  <si>
    <t xml:space="preserve">Fazenda do Colubandê: casa e Capela de Santana</t>
  </si>
  <si>
    <t>RJ3304904BICA00001</t>
  </si>
  <si>
    <t xml:space="preserve">A capela é provida de retábulo do 3º período, com a imagem da padroeira no trono e as de S. José e S. Joaquim nas ilhargas</t>
  </si>
  <si>
    <t xml:space="preserve">São Roque</t>
  </si>
  <si>
    <t xml:space="preserve">Sítio de Santo Antônio: casa e capela</t>
  </si>
  <si>
    <t>SP3550605BICA00001</t>
  </si>
  <si>
    <t xml:space="preserve">O tombamento foi estendido às áreas de 2.84 ha e de 8.80 ha, delimitadas na planta anexa ao processo, em 20/11/1969."</t>
  </si>
  <si>
    <t>Itanhaém</t>
  </si>
  <si>
    <t xml:space="preserve">Igreja Matriz de Santana</t>
  </si>
  <si>
    <t>SP-3522109-BI-ED-00002</t>
  </si>
  <si>
    <t xml:space="preserve">Convento e Igreja Franciscanos de Nossa Senhora da Conceição </t>
  </si>
  <si>
    <t>SP-3522109-BI-ED-00001</t>
  </si>
  <si>
    <t xml:space="preserve">CGID - analisar para  rerratificação. Tem em anexo os processos 217-T-39, 661-T-62, e 1251-T...</t>
  </si>
  <si>
    <t>01458.000493/2015-67</t>
  </si>
  <si>
    <t>Santos</t>
  </si>
  <si>
    <t xml:space="preserve">Igreja da Ordem Terceira de Nossa Senhora do Monte do Carmo</t>
  </si>
  <si>
    <t>DEFERIMENTO</t>
  </si>
  <si>
    <t xml:space="preserve">SP-3548500-BI-ED-00005 e SP-3548500-BM-AC-00002</t>
  </si>
  <si>
    <t xml:space="preserve">Segundo o Arquivo, a esse processo teria sido anexado o de n. 661-T-62.</t>
  </si>
  <si>
    <t xml:space="preserve">O Processo 0217-T-39 foi ANEXADO ao Processo216-T-39</t>
  </si>
  <si>
    <t xml:space="preserve">Igreja e Convento de N.S.do Carmo</t>
  </si>
  <si>
    <t>Carapicuíba</t>
  </si>
  <si>
    <t xml:space="preserve">Aldeia de Carapicuíba, SP: conjunto arquitetônico e urbanístico</t>
  </si>
  <si>
    <t>SP3510609BICU00001</t>
  </si>
  <si>
    <t>Bertioga</t>
  </si>
  <si>
    <t xml:space="preserve">Fortaleza de São Tiago</t>
  </si>
  <si>
    <t>SP3506359BIED00001</t>
  </si>
  <si>
    <t xml:space="preserve">Casa do Trem</t>
  </si>
  <si>
    <t>SP3548500BIED00003</t>
  </si>
  <si>
    <t>MG3121605BIED00010</t>
  </si>
  <si>
    <t xml:space="preserve">Capela de São João Batista</t>
  </si>
  <si>
    <t>SP3510609BIED00001</t>
  </si>
  <si>
    <t>Guararema</t>
  </si>
  <si>
    <t xml:space="preserve">Igreja de Nossa Senhora da Escada e residência</t>
  </si>
  <si>
    <t>SP3518305BICA00001</t>
  </si>
  <si>
    <t xml:space="preserve">Santana de Parnaiba</t>
  </si>
  <si>
    <t xml:space="preserve">Capela de Nossa Senhora da Conceição, em Voturuna</t>
  </si>
  <si>
    <t>SP3547304BIED00002</t>
  </si>
  <si>
    <t xml:space="preserve">Processo INDEFERIDO em 01/08/1962.</t>
  </si>
  <si>
    <t xml:space="preserve">Três afrescos, de autoria de Henrique Bernardelli e Eugênio Latour</t>
  </si>
  <si>
    <t xml:space="preserve">Indeferido na 10ª reunião do Conselho Consultivo (1939)</t>
  </si>
  <si>
    <t xml:space="preserve">Igreja Matriz de Nossa Senhora das Vitórias</t>
  </si>
  <si>
    <t>PI2207009BIED00001</t>
  </si>
  <si>
    <t>Piracuruca</t>
  </si>
  <si>
    <t xml:space="preserve">Igreja Matriz de Nossa Senhora do Carmo</t>
  </si>
  <si>
    <t>PI2208304BIED00001</t>
  </si>
  <si>
    <t xml:space="preserve">Processo 0225-T-40 foi ANEXADO ao Processo 0455-T-51.</t>
  </si>
  <si>
    <t xml:space="preserve">Residência dos Capitães Móres de Paranaguá</t>
  </si>
  <si>
    <t xml:space="preserve">A casa à qual os bens eram integrados foi demolida. Foi solicitado ao Iphan-BA verificação da localização dos bens em 9/3/2023.</t>
  </si>
  <si>
    <t>01502.001724/2022-04</t>
  </si>
  <si>
    <t xml:space="preserve">Casa à Avenida Sete de Setembro, 59: elementos decorativos</t>
  </si>
  <si>
    <t>BA2927408BIED00012</t>
  </si>
  <si>
    <t xml:space="preserve">“A inscrição compreende: Pavimento térreo- 1) Portada nobre, de pedra lavrada, com sua respectiva folha, pregaria e demais peças componentes;2) Duas portas de madeira, no interior do saguão, ambas com bandeiras de ferro, e uma delas com verga e ombreiras de madeira.Primeiro Pavimento- 3) Grade divisória de cômodos, em madeira recortada, servindo de vedação ao arco abaulado entre o hall superior e uma sala interna; 4) Folha da porta de acesso ao salão principal; 5) Folha da porta de armário do corredor. Segundo Pavimento- 6) Folhas de quatro portas, com suas respectivas ombreiras e vergas, uma delas ostentando espelho de fechadura; 
7)Folhas de duas janelas, com postigos, na sala de jantar."
</t>
  </si>
  <si>
    <t xml:space="preserve">Igreja Matriz de São Bartolomeu</t>
  </si>
  <si>
    <t xml:space="preserve">Casa e Chácara do Barão de Monjardim</t>
  </si>
  <si>
    <t>ES3205309BICA00001</t>
  </si>
  <si>
    <t>Anchieta</t>
  </si>
  <si>
    <t xml:space="preserve">Igreja Nossa Senhora da Assunção e residência</t>
  </si>
  <si>
    <t>ES3200409BIED00001</t>
  </si>
  <si>
    <t>Serra</t>
  </si>
  <si>
    <t xml:space="preserve">Igreja dos Reis Magos e residência</t>
  </si>
  <si>
    <t>ES3205002BIED00001</t>
  </si>
  <si>
    <t xml:space="preserve">Capela de Nossa Senhora da Pena e ruínas do sobrado anexo</t>
  </si>
  <si>
    <t>BA2904902BIED00002</t>
  </si>
  <si>
    <t xml:space="preserve">Vila Velha</t>
  </si>
  <si>
    <t xml:space="preserve">Convento e Igreja de Nossa Senhora da Penha</t>
  </si>
  <si>
    <t>ES3205200BIED00002</t>
  </si>
  <si>
    <t xml:space="preserve">Portaria nº 45, de 03 de fevereiro de 2015</t>
  </si>
  <si>
    <t xml:space="preserve">Portaria Iphan nº 176/2014 revogada pela Portaria nº45/2015</t>
  </si>
  <si>
    <t xml:space="preserve">INDEFERIDO em 07/10/2019</t>
  </si>
  <si>
    <t>01458.001006/2012-31</t>
  </si>
  <si>
    <t xml:space="preserve">São Fidélis</t>
  </si>
  <si>
    <t xml:space="preserve">Igreja Matriz de São Fidelis</t>
  </si>
  <si>
    <t>PA-1501402-BI-ED-00005</t>
  </si>
  <si>
    <t xml:space="preserve">Igreja de Santo Alexandre e antigo Colégio dos Jesuítas</t>
  </si>
  <si>
    <t>PA-1501402-BI-CA-00006</t>
  </si>
  <si>
    <t xml:space="preserve">Igreja de Nossa Senhora do Carmo, inclusive o Convento e a Capela da Ordem Terceira</t>
  </si>
  <si>
    <t>PA1501402BIED00002</t>
  </si>
  <si>
    <t xml:space="preserve">Livro Histórico, vol.1, Inscrição: 147, Folha 024</t>
  </si>
  <si>
    <t xml:space="preserve">Igreja de São João Batista</t>
  </si>
  <si>
    <t>PA1501402BIED00009</t>
  </si>
  <si>
    <t xml:space="preserve">Cidade de Congonhas do Campo</t>
  </si>
  <si>
    <t>MG-3118007-BI-CU-00002</t>
  </si>
  <si>
    <t xml:space="preserve">Informações sobre delimitação das poligonais: Publicação Monumenta 2005</t>
  </si>
  <si>
    <t xml:space="preserve">Primeiro despacho de indeferimento em 01/08/1962; foi retomada sua análise em 1999, sendo INDEFERIDO em 07/07/2004.</t>
  </si>
  <si>
    <t>01450.004988/2003-00</t>
  </si>
  <si>
    <t xml:space="preserve">Angra dos Reis</t>
  </si>
  <si>
    <t xml:space="preserve">Tombamento parcial de Angra dos Reis, bem como de todas Igrejas, Capela e Conventos, quer no continente, quer nas ilhas </t>
  </si>
  <si>
    <t>Tramandaí</t>
  </si>
  <si>
    <t xml:space="preserve">Coleção de armas e apetrechos militares do Museu de Armas General Osório</t>
  </si>
  <si>
    <t>RS4321600BMCL00001</t>
  </si>
  <si>
    <t xml:space="preserve">A coleção foi incorporada ao Museu Júlio de Castilho</t>
  </si>
  <si>
    <t>CO</t>
  </si>
  <si>
    <t>GO</t>
  </si>
  <si>
    <t>Pirenópolis</t>
  </si>
  <si>
    <t>GO5217302BIED00001</t>
  </si>
  <si>
    <t xml:space="preserve">Igreja de Santo Amaro</t>
  </si>
  <si>
    <t>MG3157203BIED00002</t>
  </si>
  <si>
    <t xml:space="preserve">Casa à Rua Benjamin Constant, 1</t>
  </si>
  <si>
    <t>BA2904902BIED00010</t>
  </si>
  <si>
    <t xml:space="preserve">Casa à Rua Benjamin Constant, 17</t>
  </si>
  <si>
    <t>BA2904902BIED00013</t>
  </si>
  <si>
    <t xml:space="preserve">Sobrado à Rua Ana Nery, 2</t>
  </si>
  <si>
    <t>BA2904902BIED00016</t>
  </si>
  <si>
    <t xml:space="preserve">Casa à Rua Ana Nery, 4</t>
  </si>
  <si>
    <t>BA2904902BIED00007</t>
  </si>
  <si>
    <t xml:space="preserve">Sobrado à Rua Ana Nery, 25</t>
  </si>
  <si>
    <t>BA2904902BIED00014</t>
  </si>
  <si>
    <t xml:space="preserve">Hospital São João de Deus: capela</t>
  </si>
  <si>
    <t>BA2904902BIED00020</t>
  </si>
  <si>
    <t xml:space="preserve">Casa à Rua Benjamin Constant, 2</t>
  </si>
  <si>
    <t>BA2904902BIED00009</t>
  </si>
  <si>
    <t xml:space="preserve">Sobrado à Praça Anchieta, 18</t>
  </si>
  <si>
    <t xml:space="preserve">bem não está cadastrado SICG</t>
  </si>
  <si>
    <t xml:space="preserve">mesmo bem tombado através do processo nº 117-T-38</t>
  </si>
  <si>
    <t xml:space="preserve">Prédio à Rua  J. Castro Rabelo, 5 (Açouguinho)</t>
  </si>
  <si>
    <t>BA2927408BIED00043</t>
  </si>
  <si>
    <t xml:space="preserve">No Livro do Tombo, a grafia da rua está errada: Rebelo e não Rabelo.</t>
  </si>
  <si>
    <t xml:space="preserve">Casa à rua Inácio Acioly, 4</t>
  </si>
  <si>
    <t>BA2927408BIED00014</t>
  </si>
  <si>
    <t xml:space="preserve">Sobrado à Praça Anchieta, 20 e Inácio Acioly, 2</t>
  </si>
  <si>
    <t>BA2927408BIED00068</t>
  </si>
  <si>
    <t xml:space="preserve">Prédio à Rua Militão Lisboa, 80</t>
  </si>
  <si>
    <t>BA2927408BIED00082</t>
  </si>
  <si>
    <t xml:space="preserve">Sobrado à Rua Inácio Acioly, 6</t>
  </si>
  <si>
    <t>BA2927408BIED00067</t>
  </si>
  <si>
    <t xml:space="preserve">Sobrado à Praça Quinze de Novembro, 17 e à Praça Anchieta, 2</t>
  </si>
  <si>
    <t>BA2927408BIED00069</t>
  </si>
  <si>
    <t xml:space="preserve">São Francisco do Conde</t>
  </si>
  <si>
    <t xml:space="preserve">Convento e Igreja de Santo Antônio e Capela da Ordem Terceira</t>
  </si>
  <si>
    <t>BA2929206BICA00001</t>
  </si>
  <si>
    <t>BA2905404BIED00001</t>
  </si>
  <si>
    <t xml:space="preserve">Despacho para INDEFERIR o Processo em 11/02/2004.</t>
  </si>
  <si>
    <t xml:space="preserve">Conjunto arquitetônico da Soledade (Perímetro do subdistrito de Santo Antônio Além do Carmo, compreendendo os seguintes logradouros: Praça da Liberdade ou Largo da Soledade; trechos das ruas: Augusto Guimarães, Barão Vila da Barra, J.E. Silva Lisboa (Estrada da Rainha), Maria Quitéria, Professor Viegas, Souto D'Avila, Botelho Benjamim (Ladeira da Água Brusca), Emídio dos Santos e Militão Lisboa</t>
  </si>
  <si>
    <t xml:space="preserve">Casa do Coronel; Prédio dito "Casa do Coronel", na Roça do Argolo</t>
  </si>
  <si>
    <t xml:space="preserve">O bem havia sido inscrito no Livro das Belas Artes, sob o número 284-A, em 28/08/1943, mas esta inscrição foi cancelada cf. segue: "Cancelada a inscrição, em 5.II.1957, por despacho do Diretor do DPHAN, no processo T-260 [sic]".</t>
  </si>
  <si>
    <t xml:space="preserve">Sobrado à Rua Saldanha da Gama, n 25 (Casa Régia)</t>
  </si>
  <si>
    <t>BA2927408BIED00030</t>
  </si>
  <si>
    <t>MG3167103BIED00001</t>
  </si>
  <si>
    <t xml:space="preserve">Capela Nossa Senhora da Piedade e Recolhimento do Bom Jesus dos Perdões</t>
  </si>
  <si>
    <t>BA2927408BIED00009</t>
  </si>
  <si>
    <t>Jaguaripe</t>
  </si>
  <si>
    <t>BA2917805BIED00002</t>
  </si>
  <si>
    <t>BA2920601BIED00002</t>
  </si>
  <si>
    <t xml:space="preserve">Castro Alves</t>
  </si>
  <si>
    <t xml:space="preserve">Capela de São José de Jenipapo</t>
  </si>
  <si>
    <t>BA2907301BIED00001</t>
  </si>
  <si>
    <t xml:space="preserve">Sobrado à rua Treze de Maio, 13</t>
  </si>
  <si>
    <t>BA2904902BIED00011</t>
  </si>
  <si>
    <t xml:space="preserve">Engenho Embiara: sobrado</t>
  </si>
  <si>
    <t>BA2904902BIED00006</t>
  </si>
  <si>
    <t xml:space="preserve">Segundo Francisca Helena, o processo foi indeferido em 27/02/2004. Observação do Arquivo: "O processo constava como estando em estudo, mas não foi localizado, em março de 1998."</t>
  </si>
  <si>
    <t>01450.000025/2022-91</t>
  </si>
  <si>
    <t xml:space="preserve">Coleção de Obras de Arte pertencentes ao Dr. Djalma da Fonseca Hermes; Hermes, Djalma da Fonseca – acervo</t>
  </si>
  <si>
    <t>INDEFERIMENTO</t>
  </si>
  <si>
    <t>Pilar</t>
  </si>
  <si>
    <t>PB2511509BIED00001</t>
  </si>
  <si>
    <t xml:space="preserve">Casa da Pólvora: ruínas</t>
  </si>
  <si>
    <t>PB2507507BIED00020</t>
  </si>
  <si>
    <t xml:space="preserve">A propriedade passou ao Sr. Syndrônio Mororó, segundo Processo do SPU nº 101.787/41-V; fl. 25, do Processo nº 272-T-41."</t>
  </si>
  <si>
    <t xml:space="preserve">Igreja de São Pedro dos Clérigos</t>
  </si>
  <si>
    <t>BA2927408BIED00042</t>
  </si>
  <si>
    <t>BA2927408BIED00045</t>
  </si>
  <si>
    <t>BA2927408BIED00022</t>
  </si>
  <si>
    <t xml:space="preserve">Igreja de Nossa Senhora da Penha e antigo Palácio de Verão dos Arcebispos incluindo o
passadiço que liga os mencionados edifícios</t>
  </si>
  <si>
    <t xml:space="preserve"> BA-2927408-BI-CA-00017 (bens filhos BA2927408BIED00029 e BA-2927408-BI-ED-01816) </t>
  </si>
  <si>
    <t xml:space="preserve">Igreja de Nossa Senhora da Barroquinha</t>
  </si>
  <si>
    <t>BA2927408BIED00037</t>
  </si>
  <si>
    <t xml:space="preserve">Hospício de Nossa Senhora da Boa Viagem: prédio e cruzeiro</t>
  </si>
  <si>
    <t>BA2927408BIED00079</t>
  </si>
  <si>
    <t xml:space="preserve">"Contígua à Igreja Matriz de N.S. da Boa Viagem, também tombada, e formando uma só edificação."</t>
  </si>
  <si>
    <t xml:space="preserve">Solar do Unhão e Capela Nossa Senhora da Conceição</t>
  </si>
  <si>
    <t>BA2927408BICA00001</t>
  </si>
  <si>
    <t xml:space="preserve">Inclusive o velho portão de entrada, a rampa empedrada de acesso à casa, o parque, o aqueduto, a fonte de pedra do jardim, a fonte de Santa Luzia e o edifício da antiga Capela."</t>
  </si>
  <si>
    <t xml:space="preserve">Convento de Santo Antônio de Paraguassú: igreja e ruínas</t>
  </si>
  <si>
    <t>BA2904902BICA00001</t>
  </si>
  <si>
    <t xml:space="preserve">Igreja Matriz de Nossa Senhora da Ajuda</t>
  </si>
  <si>
    <t>BA2917805BIED00001</t>
  </si>
  <si>
    <t xml:space="preserve">Santo Amaro</t>
  </si>
  <si>
    <t xml:space="preserve">Matriz de Nossa Senhora da Purificação</t>
  </si>
  <si>
    <t>BA2928604BIED00006</t>
  </si>
  <si>
    <t xml:space="preserve">Casa das Sete Mortes</t>
  </si>
  <si>
    <t>BA2927408BIED00023</t>
  </si>
  <si>
    <t xml:space="preserve">Prédio (parte antiga do sobrado de residência) do antigo Engenho Vitória, inclusive a Capela, o crucifixo do altar e, mais, uma senzala e o banheiro primitivo, ambos nas imediações do sobrado</t>
  </si>
  <si>
    <t>BA2904902BIED00005</t>
  </si>
  <si>
    <t>BA2928604BIED00001</t>
  </si>
  <si>
    <t xml:space="preserve">Prédio à Rua da Matriz, 9</t>
  </si>
  <si>
    <t>BA2928604BIED00003</t>
  </si>
  <si>
    <t xml:space="preserve">Santa Casa de Misericórdia: prédio central</t>
  </si>
  <si>
    <t>BA2928604BIED00005</t>
  </si>
  <si>
    <t xml:space="preserve">Hospício São João de Deus: prédio</t>
  </si>
  <si>
    <t>BA2927408BIED00078</t>
  </si>
  <si>
    <t xml:space="preserve">Porta de Solar do séc. XVII adaptada ao atual prédio da Secretaria de Educação e Saúde</t>
  </si>
  <si>
    <t>BA2927408BMAR00006</t>
  </si>
  <si>
    <t xml:space="preserve">Itaporanga d'Ajuda</t>
  </si>
  <si>
    <t xml:space="preserve">Casa de Tejupeba e Capela do Colégio</t>
  </si>
  <si>
    <t>SE-2803203-BI-ED-00002</t>
  </si>
  <si>
    <t xml:space="preserve">Divina Pastora</t>
  </si>
  <si>
    <t xml:space="preserve">Igreja Matriz de Nossa Senhora Divina Pastora</t>
  </si>
  <si>
    <t>SE2802007BIED00001</t>
  </si>
  <si>
    <t xml:space="preserve">Tomar do Geru</t>
  </si>
  <si>
    <t xml:space="preserve">Igreja de Nossa Senhora do Socorro</t>
  </si>
  <si>
    <t>SE2807501BIED00001</t>
  </si>
  <si>
    <t xml:space="preserve">São Cristovão</t>
  </si>
  <si>
    <t>SE2806701BIED00004</t>
  </si>
  <si>
    <t xml:space="preserve">Inserido na poligonal de tombamento do CH</t>
  </si>
  <si>
    <t xml:space="preserve">Igreja de Nossa Senhora do Rosário dos Homens Pretos</t>
  </si>
  <si>
    <t>SE2806701BIED00005</t>
  </si>
  <si>
    <t>Laranjeiras</t>
  </si>
  <si>
    <t xml:space="preserve">Igreja Matriz do Coração de Jesus</t>
  </si>
  <si>
    <t>SE2803609BIED00001</t>
  </si>
  <si>
    <t xml:space="preserve">Inserida na poligonal de tombamento do CH</t>
  </si>
  <si>
    <t xml:space="preserve">Santo Amaro das Brotas</t>
  </si>
  <si>
    <t xml:space="preserve">Igreja Matriz de Santo Amaro</t>
  </si>
  <si>
    <t>SE2806602BIED00001</t>
  </si>
  <si>
    <t xml:space="preserve">Nossa Senhora do Socorro</t>
  </si>
  <si>
    <t xml:space="preserve">Igreja Matriz de Nossa Senhora do Perpétuo Socorro</t>
  </si>
  <si>
    <t>SE2804805BIED00001</t>
  </si>
  <si>
    <t xml:space="preserve">Engenho Retiro: casa e Capela de Santo Antônio</t>
  </si>
  <si>
    <t>SE-2803609-BI-ED-00012</t>
  </si>
  <si>
    <t xml:space="preserve">Engenho Poxim: capela de Nossa Senhora da Conceição</t>
  </si>
  <si>
    <t>SE2806701BIED00008</t>
  </si>
  <si>
    <t xml:space="preserve">Igreja de Comandaroba</t>
  </si>
  <si>
    <t>SE2803609BIED00002</t>
  </si>
  <si>
    <t xml:space="preserve">Engenho Caieira: capela de Nossa Senhora da Conceição</t>
  </si>
  <si>
    <t>SE2806602BIED00002</t>
  </si>
  <si>
    <t xml:space="preserve">Convento e Igreja do Carmo</t>
  </si>
  <si>
    <t>SE-2806701-BI-ED-00042</t>
  </si>
  <si>
    <t xml:space="preserve">Igreja e Casa da Misericórdia</t>
  </si>
  <si>
    <t>SE-2806701-BI-ED-00040</t>
  </si>
  <si>
    <t xml:space="preserve">Convento e Igreja de Santa Cruz</t>
  </si>
  <si>
    <t>SE-2806701-BI-ED-00041</t>
  </si>
  <si>
    <t>SE2806701BIED00007</t>
  </si>
  <si>
    <t xml:space="preserve">Parecer de indeferimento de13/3/2022. Processo desaparecido. Informação Arquivo Central, 16/07/2014. reaberto em 04/09/2019</t>
  </si>
  <si>
    <t>01450.001397/2019-30</t>
  </si>
  <si>
    <t xml:space="preserve">Livro Primeiro do Tombo da Freguesia de Nossa Senhora Da Conceição</t>
  </si>
  <si>
    <t xml:space="preserve">Sobrado à Rua Castro Alves,  2</t>
  </si>
  <si>
    <t>SE2806701BIED00003</t>
  </si>
  <si>
    <t xml:space="preserve">Sobrado à Rua da Matriz, com balcão corrido</t>
  </si>
  <si>
    <t>SE2806701BIED00002</t>
  </si>
  <si>
    <t xml:space="preserve">Engenho Jesus, Maria, José: capela</t>
  </si>
  <si>
    <t>SE2803609BIED00003</t>
  </si>
  <si>
    <t xml:space="preserve">Verificar processo, pois na reunião 36 (2002) teriam sido arquivados outros bens inclusos nesse processo.</t>
  </si>
  <si>
    <t>Riachuelo</t>
  </si>
  <si>
    <t xml:space="preserve">Engenho Nossa Senhora da Penha: capela</t>
  </si>
  <si>
    <t>SE2805901BIED00001</t>
  </si>
  <si>
    <t xml:space="preserve">Sobrado à Rua das Flores</t>
  </si>
  <si>
    <t>SE2806701BIED00001</t>
  </si>
  <si>
    <t>AL</t>
  </si>
  <si>
    <t>Penedo</t>
  </si>
  <si>
    <t xml:space="preserve">Convento e Igreja Santa Maria dos Anjos</t>
  </si>
  <si>
    <t>AL2706703BIED00001</t>
  </si>
  <si>
    <t xml:space="preserve">Inserida na poligonal de entorno da Praça XV</t>
  </si>
  <si>
    <t xml:space="preserve">Solicitada instrução em 14/02/2022. Observação do arquivo: "O processo não foi localizado, em 00/02/1998". Reaberto para instrução em 17/09/2019</t>
  </si>
  <si>
    <t>01450.001404/2019-01</t>
  </si>
  <si>
    <t xml:space="preserve">Livro Terceiro de Receita e Despesa da Irmandade de São Pedro</t>
  </si>
  <si>
    <t xml:space="preserve">São Sebastião do Passé</t>
  </si>
  <si>
    <t xml:space="preserve">Engenho Lagoa: sobrado e capela</t>
  </si>
  <si>
    <t>BA2929503BICA00001</t>
  </si>
  <si>
    <t xml:space="preserve">Igreja Matriz de Nossa Senhora de Oliveira dos Campinhos</t>
  </si>
  <si>
    <t>BA2928604BIED00004</t>
  </si>
  <si>
    <t xml:space="preserve">Palacete Azul</t>
  </si>
  <si>
    <t>PA1501402BIED00010</t>
  </si>
  <si>
    <t xml:space="preserve">Fazenda de São Roque: casa grande e capela</t>
  </si>
  <si>
    <t>BA2920601BICA00001</t>
  </si>
  <si>
    <t xml:space="preserve">Fazenda, Ilhota Morcego e casa</t>
  </si>
  <si>
    <t>RJ3300100BIED00003</t>
  </si>
  <si>
    <t>MG3167103BIED00003</t>
  </si>
  <si>
    <t xml:space="preserve">Igreja do Bom Jesus de Matozinhos</t>
  </si>
  <si>
    <t>MG3167103BIED00004</t>
  </si>
  <si>
    <t xml:space="preserve">CGID em 02/12/2015 (verificar)</t>
  </si>
  <si>
    <t xml:space="preserve">01498.001912/2017-73 (01498.002720/2015-12 -número do memo de encaminhamento da documentação pela SE-PE)</t>
  </si>
  <si>
    <t xml:space="preserve">Casa à Avenida Rosa e Silva, 36</t>
  </si>
  <si>
    <t xml:space="preserve">Tombamento cancelado por meio do Decreto nº 62.711, de 16 de Maio de 1968, autorizando a Embratel a construir no lote. Pedi verificação da(s) inscrição(ôes) que haviam (Anna, 11/11/2015)</t>
  </si>
  <si>
    <t xml:space="preserve">Fonte Grande do Morro de São Paulo</t>
  </si>
  <si>
    <t>BA2905404BIED00003</t>
  </si>
  <si>
    <t>Candeias</t>
  </si>
  <si>
    <t xml:space="preserve">Engenho Freguesia: sobrado, fábrica de açúcar e Capela de Nossa Senhora da Piedade</t>
  </si>
  <si>
    <t>BA2906501BIED00001</t>
  </si>
  <si>
    <t xml:space="preserve">Engenho Matoim: sobrado e fábrica de açúcar</t>
  </si>
  <si>
    <t>BA2906501BIED00002</t>
  </si>
  <si>
    <t xml:space="preserve">Processo INDEFERIDO em 27/02/2004.</t>
  </si>
  <si>
    <t xml:space="preserve">Casa à Rua da Misericordia, 16 e 18</t>
  </si>
  <si>
    <t xml:space="preserve">Mosteiro e Igreja da Imaculada Conceição da Luz e respectivo quintal</t>
  </si>
  <si>
    <t>SP3550308BICA00004</t>
  </si>
  <si>
    <t xml:space="preserve">O tombamento inclui o Parque do Mosteiro</t>
  </si>
  <si>
    <t xml:space="preserve">Lauro de Freitas</t>
  </si>
  <si>
    <t xml:space="preserve">Igreja Matriz de Santo Amaro do Ipitanga</t>
  </si>
  <si>
    <t>BA2919207BIED00001</t>
  </si>
  <si>
    <t xml:space="preserve">Solar do Barão de Guajará</t>
  </si>
  <si>
    <t>PA1501402BIED00014</t>
  </si>
  <si>
    <t xml:space="preserve">Casa à rua Estrada de Ferro/ Casa mais antiga de Cachoeira</t>
  </si>
  <si>
    <t xml:space="preserve">Capela São Braz, situada na Fazenda S.Br</t>
  </si>
  <si>
    <t xml:space="preserve">Solicitação de instrução em 24/06/2022. Não tem poligonal. Aberto Volume II para rerratificação, que estava uma zona. Encaminhado ao Arquivo para organizar e devolver, junto com o Volume I.</t>
  </si>
  <si>
    <t>01458.003741/2010-17</t>
  </si>
  <si>
    <t>Ingá</t>
  </si>
  <si>
    <t xml:space="preserve">Itacoatiarias do Rio Ingá</t>
  </si>
  <si>
    <t>PB2506806BAST00001</t>
  </si>
  <si>
    <t xml:space="preserve">Edifício à Praça Cairú, onde funciona a Alfândega, atual Mercado</t>
  </si>
  <si>
    <t>BA2927408BIED00025</t>
  </si>
  <si>
    <t xml:space="preserve">Vera Cruz</t>
  </si>
  <si>
    <t xml:space="preserve">Capela de Santo Antônio dos Velasques</t>
  </si>
  <si>
    <t>BA2933208BIED00001</t>
  </si>
  <si>
    <t xml:space="preserve">Processo INDEFERIDO em 07/05/1999. </t>
  </si>
  <si>
    <t xml:space="preserve">Casa e Capela do Engenho São José da Vila; </t>
  </si>
  <si>
    <t xml:space="preserve">Engenho São Miguel e Almas: casa e capela</t>
  </si>
  <si>
    <t>BA2929206BIED00001</t>
  </si>
  <si>
    <t xml:space="preserve">Prédio localizado na Praça dos Veteranos, nº 5 conhecido como Solar do Gravatá ou Solar Oliveira Mendes</t>
  </si>
  <si>
    <t>BA-2927408-BI-ED-00094</t>
  </si>
  <si>
    <t>PA1501402BIED00006</t>
  </si>
  <si>
    <t>Bagé</t>
  </si>
  <si>
    <t xml:space="preserve">Igreja Matriz de São Sebastião</t>
  </si>
  <si>
    <t>RS4301602BIED00001</t>
  </si>
  <si>
    <t>Itabira</t>
  </si>
  <si>
    <t xml:space="preserve">Ermida de Nossa Senhora do Rosário</t>
  </si>
  <si>
    <t>MG3131703BIED00001</t>
  </si>
  <si>
    <t xml:space="preserve">Processo INDEFERIDO em 03/05/1999. </t>
  </si>
  <si>
    <t xml:space="preserve">Prédio à rua da Consolação, onde está instalado o Seminário N.S da Glória; Seminário da Consolação</t>
  </si>
  <si>
    <t xml:space="preserve">Igreja Matriz de São Caetano</t>
  </si>
  <si>
    <t>MG3140001BIED00016</t>
  </si>
  <si>
    <t xml:space="preserve">Palácio Velho</t>
  </si>
  <si>
    <t>PA1501402BIED00013</t>
  </si>
  <si>
    <t xml:space="preserve">Casa à rua Saldanha Marinho, nº 3, onde nasceu Victor Meirelles</t>
  </si>
  <si>
    <t>SC4205407BIED00009</t>
  </si>
  <si>
    <t>Taubaté</t>
  </si>
  <si>
    <t xml:space="preserve">Capela de Nossa Senhora do Pilar</t>
  </si>
  <si>
    <t>SP3554102BIED00002</t>
  </si>
  <si>
    <t>RJ3300100BIED00002</t>
  </si>
  <si>
    <t>Goiás</t>
  </si>
  <si>
    <t xml:space="preserve">Igreja de Nossa Senhora da Abadia </t>
  </si>
  <si>
    <t>GO5208905BIED00003</t>
  </si>
  <si>
    <t xml:space="preserve">O tombamento abrange as imagens, alfaias e móveis antigos</t>
  </si>
  <si>
    <t xml:space="preserve">Igreja de Nossa Senhora da Boa Morte </t>
  </si>
  <si>
    <t>GO5208905BIED00004</t>
  </si>
  <si>
    <t>GO5208905BIED00005</t>
  </si>
  <si>
    <t xml:space="preserve">Igreja de Santa Bárbara </t>
  </si>
  <si>
    <t>GO5208905BIED00006</t>
  </si>
  <si>
    <t>GO5208905BIED00007</t>
  </si>
  <si>
    <t xml:space="preserve">Quartel do Batalhão de Infantaria, 20 - Casa do Antigo Quartel da II Companhia</t>
  </si>
  <si>
    <t>GO5208905BIED00009</t>
  </si>
  <si>
    <t>GO5208905BIED00002</t>
  </si>
  <si>
    <t xml:space="preserve">Largo do Chafariz: conjunto arquitetônico e urbanístico</t>
  </si>
  <si>
    <t>GO5208905BICA00001</t>
  </si>
  <si>
    <t xml:space="preserve">Conjunto arquitetônico e urbanístico da Rua João Pessoa, antiga da Fundição</t>
  </si>
  <si>
    <t>GO5208905BICU00001</t>
  </si>
  <si>
    <t xml:space="preserve">Imagem de Nossa Senhora do Rosário</t>
  </si>
  <si>
    <t>GO5208905BMAR00002</t>
  </si>
  <si>
    <t xml:space="preserve">Atualmente (?) recolhida ao Convento dos Dominicanos</t>
  </si>
  <si>
    <t xml:space="preserve">Palácio Conde dos Arcos - Palácio dos Governadores, inclusive as armas de Portugal e dois bustos de pedra</t>
  </si>
  <si>
    <t>GO5208905BIED00008</t>
  </si>
  <si>
    <t xml:space="preserve">Goiás, GO: conjunto arquitetônico e urbanístico</t>
  </si>
  <si>
    <t>GO5208905BICU00002</t>
  </si>
  <si>
    <t>41B</t>
  </si>
  <si>
    <t xml:space="preserve">2003 - 2012</t>
  </si>
  <si>
    <t xml:space="preserve">Informações sobre as poligonais no Sambaqui. Estudos para revisão das normas contratados em 2012. .: 1- “Planta demarcada no Processo nº 345-T (3º volume). Onde se lê rua Sebastião Fleury Caiado, leia-se Sebastião Fleury Curado, conforme carta do senhor Augusto Fleury Curado, de 02/05/86 e CI nº 279/86, de 06/05/86, do Diretor da 8ª DR da SPHAN, Rio,09/05/86."
2- Rerratificação de tombamento: Livro das Belas Artes, vol. 2; f. 50-53, com nova definição do
perímetro tombado.
</t>
  </si>
  <si>
    <t xml:space="preserve">Sitio Querubim: forro da capela</t>
  </si>
  <si>
    <t>SP3550605BIED00001</t>
  </si>
  <si>
    <t>Ilhabela</t>
  </si>
  <si>
    <t xml:space="preserve">Fazenda do Engenho d' Água: casa</t>
  </si>
  <si>
    <t>SP3520400BIED00001</t>
  </si>
  <si>
    <t>SP3548500BICA00002</t>
  </si>
  <si>
    <t xml:space="preserve">Belo Horizonte</t>
  </si>
  <si>
    <t xml:space="preserve">Peças de Mobiliário do espólio do Coronel Modestino Gonçalves</t>
  </si>
  <si>
    <t xml:space="preserve">Processo INDEFERIDO em 27/08/2014.</t>
  </si>
  <si>
    <t>01458.002326/2010-46</t>
  </si>
  <si>
    <t>Torres</t>
  </si>
  <si>
    <t xml:space="preserve">Monumentos Naturais</t>
  </si>
  <si>
    <t xml:space="preserve">Processo INDEFERIDO em 10/08/1962.</t>
  </si>
  <si>
    <t xml:space="preserve">Rio Pardo</t>
  </si>
  <si>
    <t xml:space="preserve">Conjunto Arquitetônico da Cidade de Rio Pardo</t>
  </si>
  <si>
    <t xml:space="preserve">Encaminhado para INDEFERIMENTO em 16/10/2015</t>
  </si>
  <si>
    <t>01458.000273/2013-71</t>
  </si>
  <si>
    <t xml:space="preserve">Casa da Fazenda Velha ou São Matias</t>
  </si>
  <si>
    <t xml:space="preserve">Casa do Tatuapé</t>
  </si>
  <si>
    <t>SP3550308BIED00009</t>
  </si>
  <si>
    <t xml:space="preserve">O processo 0354-T foi anexado ao processo 1217-T-87.</t>
  </si>
  <si>
    <t xml:space="preserve">Apenso ao 1217-T-87</t>
  </si>
  <si>
    <t>Cotia</t>
  </si>
  <si>
    <t xml:space="preserve">Sítio do Padre Inácio: casa</t>
  </si>
  <si>
    <t>SP3513009BIED00001</t>
  </si>
  <si>
    <t xml:space="preserve">Igreja Matriz de Nossa Senhora de Nazaré</t>
  </si>
  <si>
    <t>MG3140001BIED00015</t>
  </si>
  <si>
    <t xml:space="preserve">A Igreja localiza-se no Distrito de Santa Rita Durão</t>
  </si>
  <si>
    <t>MG3140001BIED00010</t>
  </si>
  <si>
    <t>Vicência</t>
  </si>
  <si>
    <t xml:space="preserve">Engenho Poço Comprido: casa grande e capela</t>
  </si>
  <si>
    <t>PE2616308BICA00001</t>
  </si>
  <si>
    <t xml:space="preserve">Igarassu, PE: conjunto arquitetônico e paisagístico</t>
  </si>
  <si>
    <t>PE-2606804-BI-CU-00001</t>
  </si>
  <si>
    <t xml:space="preserve">Na 58ª reunião do Conselho Consultivo, foi aprovado o tombamento sem a área, a ser definida por uma comissão técnica que deve visitar o local posteriormente</t>
  </si>
  <si>
    <t xml:space="preserve">Capela de Nossa Senhora do Livramento </t>
  </si>
  <si>
    <t>PE2606804BIED00001</t>
  </si>
  <si>
    <t xml:space="preserve">Igreja do Sagrado Coração de Jesus</t>
  </si>
  <si>
    <t>PE2606804BIED00002</t>
  </si>
  <si>
    <t xml:space="preserve">Igreja Matriz de São Cosme e São Damião</t>
  </si>
  <si>
    <t>PE2606804BIED00003</t>
  </si>
  <si>
    <t xml:space="preserve">Capela de São Sebastião </t>
  </si>
  <si>
    <t>PE2606804BIED00004</t>
  </si>
  <si>
    <t>ES3205309BIED00003</t>
  </si>
  <si>
    <t xml:space="preserve">Sobrado à Rua Marechal Deodoro, 12</t>
  </si>
  <si>
    <t>MG3162500BIED00001</t>
  </si>
  <si>
    <t xml:space="preserve">De acordo com o Decreto nº 21.002, de 07/10/1946, a propriedade passou para a União".</t>
  </si>
  <si>
    <t xml:space="preserve">Altar-Mor da Catedral de Taubaté</t>
  </si>
  <si>
    <t xml:space="preserve">Processo INDEFERIDO em 12/06/1950.</t>
  </si>
  <si>
    <t xml:space="preserve">Monumento em Honra aos Heróis da Guerra do Paraguai</t>
  </si>
  <si>
    <t xml:space="preserve">Origem: DEPAM,21/03/2013 / Destino: Superintendência, 03/05/2013</t>
  </si>
  <si>
    <t>01458.001007/2012-85</t>
  </si>
  <si>
    <t xml:space="preserve">Coleção científica do espólio de Curt Nimuendajú</t>
  </si>
  <si>
    <t xml:space="preserve">Recolhimento de Santa Teresa: remanescentes</t>
  </si>
  <si>
    <t>RJ3303302BIED00005</t>
  </si>
  <si>
    <t xml:space="preserve">Construção localizada em terreno de marinha</t>
  </si>
  <si>
    <t xml:space="preserve">Processo INDEFERIDO em 03/05/1999.</t>
  </si>
  <si>
    <t xml:space="preserve">Fazenda do Capão do Bispo: casa</t>
  </si>
  <si>
    <t>RJ3304557BIED00066</t>
  </si>
  <si>
    <t>Lavras</t>
  </si>
  <si>
    <t>MG3138203BIED00001</t>
  </si>
  <si>
    <t xml:space="preserve">Processo INDEFERIDO em 23/06/1950.</t>
  </si>
  <si>
    <t xml:space="preserve">Casa à Rua Barão de Cotegipe nº 208</t>
  </si>
  <si>
    <t xml:space="preserve">Edifício da Casa Grande do Sítio dos Morrinhos ou Chácara de São Bento, compreendendo uma área de 5.110 metros</t>
  </si>
  <si>
    <t>SP3550308BIED00004</t>
  </si>
  <si>
    <t xml:space="preserve">Convento de São Bernardino de Sena: ruínas e Capela dos Terceiros</t>
  </si>
  <si>
    <t>RJ3300100BICU00001</t>
  </si>
  <si>
    <t xml:space="preserve">Coleção de armas Sérgio Ferreira da Cunha</t>
  </si>
  <si>
    <t>RJ3303906BMCL00001</t>
  </si>
  <si>
    <t xml:space="preserve">A relação de peças consta do processo de tombamento. A coleção de armas, em causa, passou a fazer parte do acervo do Museu de Armas Ferreira da Cunha, a partir do ano de 1956, localizado no município de Petrópolis/RJ."</t>
  </si>
  <si>
    <t>MG3106200BIED00001</t>
  </si>
  <si>
    <t xml:space="preserve">Processo 0374-T-48 foi ANEXADO ao Processo 0379-T-48.</t>
  </si>
  <si>
    <t xml:space="preserve">Conceição do Mato Dentro</t>
  </si>
  <si>
    <t xml:space="preserve">Casa: Praça Dom Joaquim (Escola Normal)</t>
  </si>
  <si>
    <t>MG3117504BIED00001</t>
  </si>
  <si>
    <t xml:space="preserve">Prédio do MEC/ Palácio Capanema - Edifício na rua da Imprensa, 16, com toda a área de terreno situada entre as ruas da Imprensa e de Santa Luzia, a avenida Graça Aranha  e a rua Araujo Porto Alegre, necessária a preservação de sua perspect</t>
  </si>
  <si>
    <t xml:space="preserve">RJ-3304557-BI-CA-00018; RJ3304557BIED00008</t>
  </si>
  <si>
    <t xml:space="preserve">De acordo com o Decreto nº 48.400, de 23/06/1990, passou a ser denominado Palácio da Cultura. Pelo Decreto nº 91.188, de 08/04/1985 passou a ser chamado Palácio Gustavo Capanema.</t>
  </si>
  <si>
    <t xml:space="preserve">Havia um pedido para abertura de volume para Rerratificação, mas a partir de discussão com Superintendência, vamos abrir novo processo para as praças e alamedas de Belém, e não rerratificar esse incluindo aquelas áreas. (Anna, 12/05/2014)</t>
  </si>
  <si>
    <t>01450.012789/2010-96</t>
  </si>
  <si>
    <t xml:space="preserve">Cemitério de Nossa Senhora da Soledade: conjunto paisagístico</t>
  </si>
  <si>
    <t>PA-1501402-BI-CA-00007</t>
  </si>
  <si>
    <t xml:space="preserve">Despacho para INDEFERIR o Processo em 26/05/1967.</t>
  </si>
  <si>
    <t>Brumado</t>
  </si>
  <si>
    <t xml:space="preserve">Casa-Grande do Brejo; Solar dos tradicionais Canguçús; Fazenda do Brejo do Campo Sêco </t>
  </si>
  <si>
    <t xml:space="preserve">Info arquivo: "Não foi localizada nenhuma documentação que confirmasse a existência de um bem no processo 0378-T." (01/10/2014)</t>
  </si>
  <si>
    <t xml:space="preserve">Número Vago</t>
  </si>
  <si>
    <t>MG3117504BIED00002</t>
  </si>
  <si>
    <t xml:space="preserve">O tombamento inclue: imagens e credências. (N.Sra. Conceição :O tombamento inclue: alfaias, peças de escultura e pintura, credências e arcaz.)</t>
  </si>
  <si>
    <t>MG3117504BIED00003</t>
  </si>
  <si>
    <t xml:space="preserve">Casa à Praça Dom Joaquim com teto pintado</t>
  </si>
  <si>
    <t xml:space="preserve">Chafariz da Praça Dom Joaquim</t>
  </si>
  <si>
    <t>MG3117504BMAR00002</t>
  </si>
  <si>
    <t xml:space="preserve">Três Retábulos, duas credências, imagens do Senhor Crucificado do Santuário do Bom Jesus de Matozinhos</t>
  </si>
  <si>
    <t>MG-3117504-BM-AR-00001</t>
  </si>
  <si>
    <t xml:space="preserve">Os retábulos são constituídos pelo altar-mor e dos dois colaterais</t>
  </si>
  <si>
    <t xml:space="preserve">Indeferido em 9/9/2021</t>
  </si>
  <si>
    <t>01458.000837/2012-94</t>
  </si>
  <si>
    <t xml:space="preserve">Casa à Rua Daniel de Carvalho e Igreja Aparecida  dos Córregos</t>
  </si>
  <si>
    <t xml:space="preserve">Processo INDEFERIDO em 11/01/2005.</t>
  </si>
  <si>
    <t xml:space="preserve">Conjunto Arquitetônico e Paisagístico do Bairro de Monte Serrat</t>
  </si>
  <si>
    <t>ES3205309BIED00001</t>
  </si>
  <si>
    <t xml:space="preserve">"O tombamento inclue: Imagens: de N.Sª. do Amparo, de N.Sª. da Boa Morte e de São Gonçalo (altar-mor), de Santo Inácio de Loiola e São Francisco Xavier (consolos do arco da capela-mor); Santo Antônio com o Menino Jesus (Nicho Lateral); Alfaias: crucifixo do séc. XVIII, com resplendor de prata (sacristia); 2 credências; 2 cadeiras de jacarandá, com medalhões (sacristia)."</t>
  </si>
  <si>
    <t>Guarapari</t>
  </si>
  <si>
    <t>ES3202405BIED00001</t>
  </si>
  <si>
    <t>Prados</t>
  </si>
  <si>
    <t xml:space="preserve">Igreja de Nossa Senhora da Penha</t>
  </si>
  <si>
    <t>MG3152709BIED00001</t>
  </si>
  <si>
    <t xml:space="preserve">Igreja e Convento de Nossa Senhora do Carmo, compreendendo as pinturas e outras obras de arte integrantes dos referidos monumentos</t>
  </si>
  <si>
    <t>SP3523909BICA00001</t>
  </si>
  <si>
    <t xml:space="preserve">Sobrado à Rua Conselheiro Junqueira, 55</t>
  </si>
  <si>
    <t>BA2927408BIED00073</t>
  </si>
  <si>
    <t xml:space="preserve">Solicitada a instrução em 17/3/2022. Origem: DEPAM. Destino: SE-BA, em 14/10/2014</t>
  </si>
  <si>
    <t>01458.000913/2013-43</t>
  </si>
  <si>
    <t xml:space="preserve">Casa e Capela do Engenho d'Agua</t>
  </si>
  <si>
    <t>interna</t>
  </si>
  <si>
    <t xml:space="preserve">não consta</t>
  </si>
  <si>
    <t xml:space="preserve">O Processo 0387-T foi ANEXADO ao Processo 0973-T-78: "Conjunto arquitetônico, urbanístico e paisagístico de Itaparica, inclusive a Igreja Matriz do Santíssimo Sacramento"</t>
  </si>
  <si>
    <t xml:space="preserve">Igreja Matriz do Santíssimo Sacramento</t>
  </si>
  <si>
    <t>BA2926707BIED00003</t>
  </si>
  <si>
    <t xml:space="preserve">Convento e Igreja de Nossa Senhora das Mercês</t>
  </si>
  <si>
    <t>PA1501402BIED00001</t>
  </si>
  <si>
    <t xml:space="preserve">Peças do Espólio do Comendador Manuel Gomes Moreira</t>
  </si>
  <si>
    <t xml:space="preserve">Dois bens no mesmo processo</t>
  </si>
  <si>
    <t xml:space="preserve">Peças do Espolio da Viuva Ruy Barbosa</t>
  </si>
  <si>
    <t>Alcântara</t>
  </si>
  <si>
    <t xml:space="preserve">Alcântara, MA: conjunto arquitetônico e urbanístico</t>
  </si>
  <si>
    <t>MA2100204BICU00001</t>
  </si>
  <si>
    <t xml:space="preserve">138, 37</t>
  </si>
  <si>
    <t xml:space="preserve">1990, 2002</t>
  </si>
  <si>
    <t xml:space="preserve">Na 138ª reunião do Conselho (1990) foi redefinida a poligonal de tombamento, e foi reanalisado na reunião 37 (2002) do Conselho, e também em 26/11/2002 (reunião 38?), pelo Conselheiro Luiz Phelipe Andrès.</t>
  </si>
  <si>
    <t xml:space="preserve">processo não encontrado. Informações sobre delimitação das poligonais: DEPAM-RJ 98-99.  Monumento Nacional determinado pelo Decreto nº 26.077, de 22/12/48. </t>
  </si>
  <si>
    <t>Sousa</t>
  </si>
  <si>
    <t xml:space="preserve">Fazenda Acauã: casa, capela e sobrado</t>
  </si>
  <si>
    <t>PB-2500775-BI-CA-00001</t>
  </si>
  <si>
    <t xml:space="preserve">Forte de Santa Tecla: fundações</t>
  </si>
  <si>
    <t>RS4301602BIOE00001</t>
  </si>
  <si>
    <t xml:space="preserve">Nazaré da Mata</t>
  </si>
  <si>
    <t xml:space="preserve">Capela de São Francisco Xavier</t>
  </si>
  <si>
    <t>PB2508604BIED00001</t>
  </si>
  <si>
    <t>Lucena</t>
  </si>
  <si>
    <t xml:space="preserve">Capela de Nossa Senhora da Guia</t>
  </si>
  <si>
    <t>PE2609501BIED00001</t>
  </si>
  <si>
    <t>RN</t>
  </si>
  <si>
    <t>Natal</t>
  </si>
  <si>
    <t xml:space="preserve">Forte dos Reis Magos</t>
  </si>
  <si>
    <t>RN2408102BIED00002</t>
  </si>
  <si>
    <t xml:space="preserve">Estudos para delimitação do entorno encaminhados em 2011 durante as Oficinas de Normatização</t>
  </si>
  <si>
    <t xml:space="preserve">solicitada complementação de informações em 15/02/2023</t>
  </si>
  <si>
    <t>01410.000058/2022-16</t>
  </si>
  <si>
    <t>RO</t>
  </si>
  <si>
    <t xml:space="preserve">Costa Marques</t>
  </si>
  <si>
    <t xml:space="preserve">Forte Príncipe da Beira</t>
  </si>
  <si>
    <t>MG3118007BIED00001</t>
  </si>
  <si>
    <t xml:space="preserve">MG-3118007-BI-ED-00001	</t>
  </si>
  <si>
    <t xml:space="preserve">vários bens no mesmo processo. Enviado a Superintendência para Iinstrução. Origem: DEPAM / Destino: Superintendência 28/06/2012</t>
  </si>
  <si>
    <t xml:space="preserve">Mateus Leme</t>
  </si>
  <si>
    <t xml:space="preserve">Igreja Matriz de Santo Antônio (Vol II)</t>
  </si>
  <si>
    <t>RO1100080BIED00001</t>
  </si>
  <si>
    <t xml:space="preserve">Casa à rua da Imperatriz, nº 147, onde nasceu Joaquim Nabuco</t>
  </si>
  <si>
    <t>PE2611606BIED00025</t>
  </si>
  <si>
    <t>MG3110004BIED00002</t>
  </si>
  <si>
    <t xml:space="preserve">Quinta do Tanque</t>
  </si>
  <si>
    <t>BA2927408BIED00046</t>
  </si>
  <si>
    <t xml:space="preserve">“A inscrição compreende: a) jardins que circundam o edifício da Quinta; b) reservatórios de água; c) aquedutos antigos; d) chafariz de cantaria; e) bacia de outro chafariz antigo; f) marco setecentista, de pedra."</t>
  </si>
  <si>
    <t xml:space="preserve">Itapecerica da Serra</t>
  </si>
  <si>
    <t xml:space="preserve">Casa em Itapecerica da Serra</t>
  </si>
  <si>
    <t xml:space="preserve">Igreja de Nossa Senhora das Fronteiras</t>
  </si>
  <si>
    <t>PE2611606BIED00038</t>
  </si>
  <si>
    <t xml:space="preserve">Teatro Santa Isabel</t>
  </si>
  <si>
    <t>PE2611606BIED00021</t>
  </si>
  <si>
    <t xml:space="preserve">Ouro Branco</t>
  </si>
  <si>
    <t>MG3145901BIED00001</t>
  </si>
  <si>
    <t>MG3146107BIED00014</t>
  </si>
  <si>
    <t>MG-3162500-BI-ED-00005</t>
  </si>
  <si>
    <t>MG3168804BIED00001</t>
  </si>
  <si>
    <t xml:space="preserve">Chafariz de São José</t>
  </si>
  <si>
    <t>MG3168804BMAR00001</t>
  </si>
  <si>
    <t xml:space="preserve">Colégio do Caraça: conjunto arquitetônico e paisagístico</t>
  </si>
  <si>
    <t>MG3115359BICA00001</t>
  </si>
  <si>
    <t xml:space="preserve">Igreja de Sant'Ana</t>
  </si>
  <si>
    <t>MG3156700BIED00007</t>
  </si>
  <si>
    <t xml:space="preserve">Passo do Carmo</t>
  </si>
  <si>
    <t>MG3156700BIED00010</t>
  </si>
  <si>
    <t>MG3110004BIED00004</t>
  </si>
  <si>
    <t xml:space="preserve">Hospício da Terra Santa e Capela de Nossa Senhora do Pilar </t>
  </si>
  <si>
    <t>MG-3156700-BI-CA-00002</t>
  </si>
  <si>
    <t xml:space="preserve">Passo da Rua Marquês de Sapucaí</t>
  </si>
  <si>
    <t>MG3156700BICU00001</t>
  </si>
  <si>
    <t>MG3121605BIED00001</t>
  </si>
  <si>
    <t>MG3121605BIED00013</t>
  </si>
  <si>
    <t>MG3121605BIED00008</t>
  </si>
  <si>
    <t>MG3121605BIED00009</t>
  </si>
  <si>
    <t>MG3121605BIED00011</t>
  </si>
  <si>
    <t xml:space="preserve">Igreja Matriz de Bom Jesus do Monte</t>
  </si>
  <si>
    <t>MG3140001BIED00013</t>
  </si>
  <si>
    <t xml:space="preserve">Passo da Ponte da Areia</t>
  </si>
  <si>
    <t>MG3140001BIED00018</t>
  </si>
  <si>
    <t xml:space="preserve">Seminário Menor e Capela de Nossa Senhora da Boa Morte</t>
  </si>
  <si>
    <t>MG3140001BICA00001</t>
  </si>
  <si>
    <t xml:space="preserve">Fonte da Samaritana</t>
  </si>
  <si>
    <t>MG3140001BMAR00001</t>
  </si>
  <si>
    <t>MG3168804BIED00002</t>
  </si>
  <si>
    <t xml:space="preserve">Passo da Rua Duque de Caxias</t>
  </si>
  <si>
    <t>MG3162500BIED00003</t>
  </si>
  <si>
    <t xml:space="preserve">Passo da Ladeira do Rosário</t>
  </si>
  <si>
    <t>MG3140001BIED00017</t>
  </si>
  <si>
    <t>MG-3146107-BI-ED-00035</t>
  </si>
  <si>
    <t xml:space="preserve">Casa Capitular </t>
  </si>
  <si>
    <t>MG3140001BIED00003</t>
  </si>
  <si>
    <t xml:space="preserve">Igreja Matriz da Conceição</t>
  </si>
  <si>
    <t>MG-3140001-BI-ED-00014</t>
  </si>
  <si>
    <t xml:space="preserve">Passo da Rua Getúlio Vargas</t>
  </si>
  <si>
    <t>MG3162500BIED00002</t>
  </si>
  <si>
    <t xml:space="preserve">Poço de Dom Pedro I</t>
  </si>
  <si>
    <t xml:space="preserve">Casa da Chica da Silva - Rua Lalau Pires, 266</t>
  </si>
  <si>
    <t>MG3121605BIED00006</t>
  </si>
  <si>
    <t xml:space="preserve">Casa à Praça Juscelino Kubitschek (Edifício do Foro)</t>
  </si>
  <si>
    <t>MG3121605BIED00003</t>
  </si>
  <si>
    <t xml:space="preserve">Casa de Câmara e Cadeia ou Paço Municipal, à Praça João Pinheiro</t>
  </si>
  <si>
    <t>MG3140001BIED00005</t>
  </si>
  <si>
    <t xml:space="preserve">Casa dos Contos</t>
  </si>
  <si>
    <t>MG3146107BIED00004</t>
  </si>
  <si>
    <t xml:space="preserve">Palácio dos Governadores ou Casa à Praça Tiradentes</t>
  </si>
  <si>
    <t>MG3146107BIED00020</t>
  </si>
  <si>
    <t xml:space="preserve">Escola Nacional de Minas e Metalurgia</t>
  </si>
  <si>
    <t xml:space="preserve">Solicitada instrução em 22/07/21. Origem: Depam. Destino: SE/BA, encaminhado em 10/04/2015</t>
  </si>
  <si>
    <t>01458.000915/2013-32</t>
  </si>
  <si>
    <t xml:space="preserve">Casa do alto do Bonfim - Convento da Sagrada Família</t>
  </si>
  <si>
    <t xml:space="preserve">Resende Costa</t>
  </si>
  <si>
    <t xml:space="preserve">Casa à Praça Cônego Cardoso, 84 a 90, Casa do Inconfidente Resende Costa</t>
  </si>
  <si>
    <t>MG3154200BIED00001</t>
  </si>
  <si>
    <t xml:space="preserve">Casa onde nasceu o inconfidente Resende Costa</t>
  </si>
  <si>
    <t xml:space="preserve">Casa à rua D. Pedro II (Paço Municipal)</t>
  </si>
  <si>
    <t>MG3156700BIED00011</t>
  </si>
  <si>
    <t xml:space="preserve">Chafariz do Caquende</t>
  </si>
  <si>
    <t>MG3156700BMAR00001</t>
  </si>
  <si>
    <t xml:space="preserve">Chafariz do Rosário</t>
  </si>
  <si>
    <t>MG3156700BIED00015</t>
  </si>
  <si>
    <t xml:space="preserve">Santa Luzia </t>
  </si>
  <si>
    <t xml:space="preserve">Casa à Praça da Matriz</t>
  </si>
  <si>
    <t>MG3106200BIED00005</t>
  </si>
  <si>
    <t xml:space="preserve">Recolhimento de Macaúbas: prédio</t>
  </si>
  <si>
    <t>MG3106200BIED00004</t>
  </si>
  <si>
    <t xml:space="preserve">Santos Dumont</t>
  </si>
  <si>
    <t xml:space="preserve">Sítio Cabangu: casa</t>
  </si>
  <si>
    <t>MG3160702BIED00001</t>
  </si>
  <si>
    <t>ES3205200BIED00001</t>
  </si>
  <si>
    <t>Viana</t>
  </si>
  <si>
    <t xml:space="preserve">Imagens de Nossa Senhora da Conceição, 02 e alfaias</t>
  </si>
  <si>
    <t>ES-3205101-BM-AC-00001</t>
  </si>
  <si>
    <t xml:space="preserve">Imagem de Nossa Senhora da Penha da Igreja de N S do Rosário</t>
  </si>
  <si>
    <t xml:space="preserve">ES-3205200-BM-AC-00001 </t>
  </si>
  <si>
    <t>ES3205101BIED00001</t>
  </si>
  <si>
    <t xml:space="preserve">Homologado em 1o de fev. de 2022. Enviado para homologar em 5/1/2022. Solicitada informações sobre o inventário de canhões para homologação em 16/11/2021. Rerratificação aprovada pelo Conselho em 11/09/2014. Origem: PRESI, destino: MINC, em 05/09/2016</t>
  </si>
  <si>
    <t>01458.002957/2010-65</t>
  </si>
  <si>
    <t>AP</t>
  </si>
  <si>
    <t>Macapá</t>
  </si>
  <si>
    <t xml:space="preserve">Fortaleza de São José de Macapá</t>
  </si>
  <si>
    <t>AP1600303BIED00001</t>
  </si>
  <si>
    <t xml:space="preserve">Rerratificação propôs inclusão no Livro do Tombo Arqueológico, Etnográfico e Paisagístico, delimitou poligonal de tombamento e incluiu acervo (a ser conferido).</t>
  </si>
  <si>
    <t xml:space="preserve">Entorno e Normatização: Portaria Iphan nº 422/2011. Poligonal de tombamento delimitada durante a rerratificação.</t>
  </si>
  <si>
    <t xml:space="preserve">Fazenda Samambaia: casa</t>
  </si>
  <si>
    <t>RJ3303906BIED00005</t>
  </si>
  <si>
    <t xml:space="preserve">Bem tombado isoladamente fora do conjunto tombado, sem delimitação de entorno</t>
  </si>
  <si>
    <t xml:space="preserve">Casa dos Ottoni</t>
  </si>
  <si>
    <t>MG3167103BIED00002</t>
  </si>
  <si>
    <t xml:space="preserve"> No Conselho para rerratificação, incluindo a Capela da Ordem Terceira de uma das igrejas. No Conselho desde 06/05/2013</t>
  </si>
  <si>
    <t>01450.004871/2008-22</t>
  </si>
  <si>
    <t xml:space="preserve">Marechal Deodoro</t>
  </si>
  <si>
    <t xml:space="preserve">Convento, Igreja e Capela da Ordem terceira de São Francisco (Museu de Arte Sacra de Alagoas)</t>
  </si>
  <si>
    <t>AL2704708BIED00001</t>
  </si>
  <si>
    <t xml:space="preserve">Pilar de Goiás</t>
  </si>
  <si>
    <t xml:space="preserve">Casa da Princesa - Rua da Cadeia</t>
  </si>
  <si>
    <t>GO-5216908-BI-ED-00002</t>
  </si>
  <si>
    <t xml:space="preserve">Casa com rótulas e com fôrro pintado</t>
  </si>
  <si>
    <t xml:space="preserve">Fonte do Ribeirão</t>
  </si>
  <si>
    <t>MA2111300BIED00003</t>
  </si>
  <si>
    <t xml:space="preserve">Bem tombado está inserido na poligonal do Conjunto Arquitetônico e Paisagístico da Cidade de São Luís/MA</t>
  </si>
  <si>
    <t xml:space="preserve">Casa à rua Tiradentes (Casa do Padre Rolim)</t>
  </si>
  <si>
    <t>MG3121605BIED00007</t>
  </si>
  <si>
    <t xml:space="preserve">Casa do Mercado na Praça Barão de Gaicuí</t>
  </si>
  <si>
    <t>MG3121605BIED00002</t>
  </si>
  <si>
    <t xml:space="preserve">No Livro do Tombo, o nome da rua acha-se grafado errado (Gaicuí e não Guaicuí).</t>
  </si>
  <si>
    <t xml:space="preserve">Casa com forro pintado na rua Tiradentes, 36</t>
  </si>
  <si>
    <t>MG-3121605-BI-ED-00005</t>
  </si>
  <si>
    <t xml:space="preserve">Nova Lima</t>
  </si>
  <si>
    <t xml:space="preserve">Remanescentes da Capela da Fazenda da Jaguara, incorporados à Igreja Matriz de Nossa Senhora do Pilar: retábulos e púlpitos</t>
  </si>
  <si>
    <t>MG3144805BMAR00001</t>
  </si>
  <si>
    <t xml:space="preserve">A inscrição compreende: a) altar-mor; b) dois altares colaterais; c) altar da sacristia; d) dois púlpitos; e) elementos da grade."</t>
  </si>
  <si>
    <t xml:space="preserve">Casa à Rua Israel Pinheiro, 32 ou Casa à Rua Comendador Viana, 6, ou Casa Setecentista </t>
  </si>
  <si>
    <t>MG3110004BIED00001</t>
  </si>
  <si>
    <t xml:space="preserve">Atual Museu Regional de Caeté. End. atual: Rua Israel Pinheiro, 32</t>
  </si>
  <si>
    <t xml:space="preserve">Casa da Fazenda do Leitão</t>
  </si>
  <si>
    <t>MG3106200BIED00003</t>
  </si>
  <si>
    <t xml:space="preserve">Atual Museu Histórico Abílio Barreto</t>
  </si>
  <si>
    <t xml:space="preserve">Casa à rua Francisco Sá, 50 </t>
  </si>
  <si>
    <t>MG3121605BIED00004</t>
  </si>
  <si>
    <t xml:space="preserve">Casa à rua da Intendência, antiga sede da Real Intendência do Ouro e atual Museu do Ouro</t>
  </si>
  <si>
    <t>MG3156700BIED00014</t>
  </si>
  <si>
    <t xml:space="preserve">Ponte de São José ou Ponte Grande de São José </t>
  </si>
  <si>
    <t>MG3146107BIOE00004</t>
  </si>
  <si>
    <t xml:space="preserve">Ponte do Rosário </t>
  </si>
  <si>
    <t>MG3146107BIOE00006</t>
  </si>
  <si>
    <t xml:space="preserve">Ponte do Pilar</t>
  </si>
  <si>
    <t>MG3146107BIOE00003</t>
  </si>
  <si>
    <t xml:space="preserve">Chafariz da Praça de Marília </t>
  </si>
  <si>
    <t>MG3146107BMAR00003</t>
  </si>
  <si>
    <t xml:space="preserve">Ponte Seca</t>
  </si>
  <si>
    <t>MG3146107BIOE00005</t>
  </si>
  <si>
    <t xml:space="preserve">Chafariz da Glória ou da Rua Antônio de Albuquerque</t>
  </si>
  <si>
    <t>MG3146107BMAR00002</t>
  </si>
  <si>
    <t xml:space="preserve">Chafariz do Passo de Antônio Dias </t>
  </si>
  <si>
    <t>MG3146107BMAR00007</t>
  </si>
  <si>
    <t xml:space="preserve">Ponte da Barra</t>
  </si>
  <si>
    <t>MG3146107BIOE00001</t>
  </si>
  <si>
    <t xml:space="preserve">Chafariz de São José ou dos Contos </t>
  </si>
  <si>
    <t>MG3146107BMAR00004</t>
  </si>
  <si>
    <t xml:space="preserve">Chafariz do Alto da Cruz </t>
  </si>
  <si>
    <t>MG3146107BMAR00005</t>
  </si>
  <si>
    <t xml:space="preserve">Chafariz do Alto das Cabeças </t>
  </si>
  <si>
    <t>MG3146107BMAR00006</t>
  </si>
  <si>
    <t xml:space="preserve">Ponte de Antônio Dias </t>
  </si>
  <si>
    <t>MG3146107BIOE00002</t>
  </si>
  <si>
    <t xml:space="preserve">Casa à rua Padre Toledo, do Inconfidente Padre Toledo, atual Museu da Fundação Rodrigo Melo Franco de Andrade</t>
  </si>
  <si>
    <t>MG3168804BIED00010</t>
  </si>
  <si>
    <t xml:space="preserve">Casa à rua Padre Toledo, nº 8 (com forro pintado)</t>
  </si>
  <si>
    <t xml:space="preserve">Reaberto a pedido da Superintendência em 27/08/2021</t>
  </si>
  <si>
    <t>01458.000088/2021-97</t>
  </si>
  <si>
    <t xml:space="preserve">Igreja de Nossa Senhora da Lapa da Boa Morte </t>
  </si>
  <si>
    <t>RJ3300100BIED00005</t>
  </si>
  <si>
    <t>RJ3300100BIED00001</t>
  </si>
  <si>
    <t xml:space="preserve">Igreja da Ordem Terceira de Nossa Senhora do Carmo</t>
  </si>
  <si>
    <t>RJ3300100BIED00004</t>
  </si>
  <si>
    <t xml:space="preserve">Nova Iguaçu</t>
  </si>
  <si>
    <t xml:space="preserve">Fazenda São Bernardino: casa</t>
  </si>
  <si>
    <t>RJ3303500BICA00001</t>
  </si>
  <si>
    <t xml:space="preserve">Igreja de Santa Luzia </t>
  </si>
  <si>
    <t>RJ3300100BIED00006</t>
  </si>
  <si>
    <t>RJ3300100BIED00007</t>
  </si>
  <si>
    <t xml:space="preserve">Casa do Sítio do Mandú</t>
  </si>
  <si>
    <t>SP3513009BIED00002</t>
  </si>
  <si>
    <t>Vigia</t>
  </si>
  <si>
    <t xml:space="preserve">Igreja de Santana</t>
  </si>
  <si>
    <t>PA-1501402-BI-ED-00007</t>
  </si>
  <si>
    <t xml:space="preserve">Processo INDEFERIDO em 15/10/1962.</t>
  </si>
  <si>
    <t xml:space="preserve">Belo Vale</t>
  </si>
  <si>
    <t xml:space="preserve">Ruínas da Casa de Pedra</t>
  </si>
  <si>
    <t xml:space="preserve">Casa à Rua Saldanha da Gama, esquina da rua Guedes de Brito</t>
  </si>
  <si>
    <t xml:space="preserve">Edifício do Teatro Municipal, na rua Pedro II, antiga rua Direita</t>
  </si>
  <si>
    <t>MG3156700BIED00013</t>
  </si>
  <si>
    <t xml:space="preserve">Casa com rótulas na rua do Rosário</t>
  </si>
  <si>
    <t>MG-3140001-BI-ED-00004</t>
  </si>
  <si>
    <t xml:space="preserve">Engenho do Murucutu: ruínas e Capela de Nossa Senhora da Conceição </t>
  </si>
  <si>
    <t>PA1501402BIED00016</t>
  </si>
  <si>
    <t xml:space="preserve">95, 100</t>
  </si>
  <si>
    <t xml:space="preserve">Na 100ª reunião (1983), o Conselho aprovou o manifesto da EMBRAPA para que o órgão pudesse usar a água do local sem, porém, afetar o igarapé que é objeto de proteção do tombamento. Também foi feita uma mudança na poligonal de tombamento.</t>
  </si>
  <si>
    <t xml:space="preserve">Processo INDEFERIDO em 11/04/1988.</t>
  </si>
  <si>
    <t xml:space="preserve">Capela do antigo Engenho Mataripe</t>
  </si>
  <si>
    <t xml:space="preserve">Teria sido APROVADO na 43ª reunião do Conselho Consultivo. Na ata número 43, consta que foi aconselhada a inscrição do bem nos Livros do Tombo, em discordância do voto do relator, uma vez que se obtivesse uma retificação da Petrobrás quanto à reforma desfiguradora que operada no templo. Possivelmente não foi obtido.</t>
  </si>
  <si>
    <t>Guarujá</t>
  </si>
  <si>
    <t xml:space="preserve">Forte da Barra Grande, inclusive o Fortim da Praia do Góis, o Portão Espanhol e toda a área que os envolve</t>
  </si>
  <si>
    <t>SP3518701BICA00001</t>
  </si>
  <si>
    <t xml:space="preserve">Arquitetura Militar</t>
  </si>
  <si>
    <t xml:space="preserve">A inscrição do Fortim da Praia do Góis, do Portão Espanhol e da área que envolve todos os monumentos, foi feita por extensão do tombamento do Forte da Barra Grande, em 26/02/79."</t>
  </si>
  <si>
    <t xml:space="preserve">Parecer de indeferimento de 04/06/2022. Origem: Depam. Destino: SE-BA 23/12/2016</t>
  </si>
  <si>
    <t xml:space="preserve">01502.900621/2017-53 01458.000333/2016-07</t>
  </si>
  <si>
    <t xml:space="preserve">Coleções do Museu do Instituto Feminino</t>
  </si>
  <si>
    <t xml:space="preserve">Processo INDEFERIDO em 07/07/2004.</t>
  </si>
  <si>
    <t xml:space="preserve">Imagens da Igreja de São Bartolomeu</t>
  </si>
  <si>
    <t xml:space="preserve">Nova Friburgo</t>
  </si>
  <si>
    <t xml:space="preserve">Casa e Parque da Cidade</t>
  </si>
  <si>
    <t>RJ-3303401-BI-CA-00002</t>
  </si>
  <si>
    <t xml:space="preserve">A inscrição abrange o lote V com chalé e benfeitorias, com a superfície de 25.880 metros quadrados, e a área VI, e benfeitorias, com a superfície de 168.370 metros quadrados, assinalados na planta do conjunto constante do processo de tombamento."</t>
  </si>
  <si>
    <t xml:space="preserve">Fazenda Santo Antônio: casa</t>
  </si>
  <si>
    <t>RJ3303906BIED00006</t>
  </si>
  <si>
    <t xml:space="preserve">Rio de Contas</t>
  </si>
  <si>
    <t xml:space="preserve">Igreja Matriz do Santíssimo Sacramento, inclusive as seguintes alfaias: a) duas tochas, b) outras duas tochas menores, c) uma cruz processional, d) seis varas de pálio, e) dois turíbulos, f) uma custódia grande, dourada, g) uma custódia pequena, de prata,</t>
  </si>
  <si>
    <t xml:space="preserve">O tombamento inclui todo o seu acervo, de acordo com a Resolução do Conselho Consultivo da SPHAN, de 13/08/85, referente ao Proc. Administ. nº 13/85/SPHAN". Outro processo 891-T-73</t>
  </si>
  <si>
    <t xml:space="preserve">Casa natal de Abílio César Borges, à Rua Barão de Macaúbas, 19</t>
  </si>
  <si>
    <t>BA2926707BIED00006</t>
  </si>
  <si>
    <t xml:space="preserve">Outro processo 891-T-73</t>
  </si>
  <si>
    <t xml:space="preserve">Casa à Rua Barão de Macaúbas, 11</t>
  </si>
  <si>
    <t>BA2926707BIED00001</t>
  </si>
  <si>
    <t xml:space="preserve">Dos bens integrantes deste Processo, apenas o tombamento da Igreja de Santo Antônio foi INDEFERIDO, em 27/02/2004.</t>
  </si>
  <si>
    <t xml:space="preserve">Igreja de Santo Antônio</t>
  </si>
  <si>
    <t>BA2926707BIED00004</t>
  </si>
  <si>
    <t xml:space="preserve">Antiga Casa de Câmara e Cadeia, na Praça Senador Tanajura (atual Fórum)</t>
  </si>
  <si>
    <t>BA2926707BIED00005</t>
  </si>
  <si>
    <t xml:space="preserve">Igreja de Santana: ruínas </t>
  </si>
  <si>
    <t xml:space="preserve">BA-2926707-BI-ED-00005	</t>
  </si>
  <si>
    <t xml:space="preserve">Cabo Frio</t>
  </si>
  <si>
    <t xml:space="preserve">Forte de São Matheus: remanescentes</t>
  </si>
  <si>
    <t>RJ3300704BIED00001</t>
  </si>
  <si>
    <t xml:space="preserve">O tombamento foi extendido [sic] ao penedo sobre o qual o forte se assenta e a toda a ponta da praia com um raio de 500 metros, traçado a partir do centro geométrico do forte (Resolução do Conselho Consultivo, de 18/11/1966 </t>
  </si>
  <si>
    <t xml:space="preserve">Capela de Nossa Senhora da Guia </t>
  </si>
  <si>
    <t>RJ3300704BIED00003</t>
  </si>
  <si>
    <t xml:space="preserve">Capela N.S.da Guia: Ver ins. 436 deste livro e inscrição nº 41, do Livro Arqueológico, Etnográfico e Paisagístico." Convento e Igreja (...) : “A inclusão da capela e do cemitério da Ordem 3ª de S. Francisco se fez em 15/12/1958, em virtude de despacho no Processo nº 447-T. O tombamento foi estendido ao adro e a tôda a área atualmente livre à sua frente, inclusive todo o Largo de Santo Antônio e Morro N.Sra. da Guia, com faixa de proteção na planície de 100 metros a sua volta, mantida como área non-aedificandi ( Res. do Conselho Consultivo, de 18/11/1966." </t>
  </si>
  <si>
    <t xml:space="preserve">Convento e Igreja de Nossa Senhora dos Anjos, e Capela e Cemitério da Ordem Terceira de São Francsico</t>
  </si>
  <si>
    <t>RJ3300704BICA00001</t>
  </si>
  <si>
    <t xml:space="preserve">Processo INDEFERIDO em 25/09/1962 por conta da entrega da guarda das obras ao DPHAN.</t>
  </si>
  <si>
    <t xml:space="preserve">Nove Telas de Eliseu d'Angelo Visconti</t>
  </si>
  <si>
    <t xml:space="preserve">INDEFERIDO em 27/02/2004.</t>
  </si>
  <si>
    <t xml:space="preserve">Passo da Rua Grande; Passo da Rua São João; Passo da Travessa Dom Francisco; Passo da Rua Afonso Pena; Passo do Lapemberg; Passo da Rua João Vital</t>
  </si>
  <si>
    <t xml:space="preserve">Quartel General Farroupilha</t>
  </si>
  <si>
    <t>RS4314605BIED00003</t>
  </si>
  <si>
    <t>CONS</t>
  </si>
  <si>
    <t xml:space="preserve">Enviado à Secretaria do Conselho em 11/11/2022</t>
  </si>
  <si>
    <t>01450.013243/2008-38</t>
  </si>
  <si>
    <t xml:space="preserve">Balsa Nova</t>
  </si>
  <si>
    <t xml:space="preserve">Igreja de N.S. da Conceição ou Capela de Tamanduá</t>
  </si>
  <si>
    <t>TA</t>
  </si>
  <si>
    <t xml:space="preserve">TOMB. APROV.</t>
  </si>
  <si>
    <t>PR-4102307-BI-ED-00001</t>
  </si>
  <si>
    <t xml:space="preserve">Processo não encontrado. Segundo Relatório do DEPAM em Maio/2004,  o processo foi enviado para exame da Presidência/PROJUR em 17/09/2002.</t>
  </si>
  <si>
    <t xml:space="preserve">São Luís do Paraitinga</t>
  </si>
  <si>
    <t xml:space="preserve">Casa natal de Oswaldo Cruz</t>
  </si>
  <si>
    <t>SP3550001BIED00001</t>
  </si>
  <si>
    <t xml:space="preserve">De ordem do Senhor Diretor, o processo foi INDEFERIDO em 04/03/1952</t>
  </si>
  <si>
    <t xml:space="preserve">Casa Situada à rua Benfica, nº 624; Solar dos Barrocas</t>
  </si>
  <si>
    <t>01450.018038/2007-88</t>
  </si>
  <si>
    <t xml:space="preserve">São Luís, MA: conjunto arquitetônico e paisagístico</t>
  </si>
  <si>
    <t>MA2111300BICA00001MA-2111300-BI-CU-00002</t>
  </si>
  <si>
    <t xml:space="preserve">13/03/1974
15/07/2014</t>
  </si>
  <si>
    <t xml:space="preserve">Rerratificado para coincidir as poligonais com as da UNESCO. englobou os outros conjuntos de São Luís - processos 494 e 509 -  rerratificado em 2012 para a área equivaler à declarada pela Unesco como patrimonio mundial. Segundo Superintendência: "O Conjunto Arquitetônico e Paisagístico da Cidade de São Luís/MA, tombado pelo Governo Federal, está inserido dentro do Conjunto Histórico, Arquitetônico e Paisagístico do Centro Urbano de São Luís, tombado pelo Governo do Estado do Maranhão "</t>
  </si>
  <si>
    <t xml:space="preserve">Outro processo 0494-T-52 e 0509-T-54. Durante as oficinas de Normatização, havia a previsão de delimitar o entorno juntamente com a elaboração das normas. Segundo Superintendência: "O Conjunto Arquitetônico e Paisagístico da Cidade de São Luís/MA, tombado pelo Governo Federal, está inserido dentro do Conjunto Histórico, Arquitetônico e Paisagístico do Centro Urbano de São Luís, tombado pelo Governo do Estado do Maranhão "</t>
  </si>
  <si>
    <t xml:space="preserve">Praça João Francisco Lisboa: conjunto arquitetônico e paisagístico</t>
  </si>
  <si>
    <t>MA2111300BICA00002</t>
  </si>
  <si>
    <t xml:space="preserve">Outro processo 0494-T-52 e 0509-T-54</t>
  </si>
  <si>
    <t xml:space="preserve">Praça Benedito Leite: conjunto arquitetônico e paisagístico;</t>
  </si>
  <si>
    <t>MA2111300BICA00004</t>
  </si>
  <si>
    <t xml:space="preserve">Igreja da Ordem Terceira de São Francisco das Chagas</t>
  </si>
  <si>
    <t>PR4118204BIED00003</t>
  </si>
  <si>
    <t xml:space="preserve">Igreja de São Benedito</t>
  </si>
  <si>
    <t>PR4118204BIED00004</t>
  </si>
  <si>
    <t xml:space="preserve">Salão Nobre do Externato Pedro II</t>
  </si>
  <si>
    <t xml:space="preserve">Processo INDEFERIDO em 30/10/1962.</t>
  </si>
  <si>
    <t xml:space="preserve">Cachoeira do Sul</t>
  </si>
  <si>
    <t xml:space="preserve">1953, 1962</t>
  </si>
  <si>
    <t xml:space="preserve">17, 40</t>
  </si>
  <si>
    <t xml:space="preserve">a ata de número 17 informa que o julgamento foi posto em diligência enquanto eram feitos novos estudos quanto a relevância da localidade para que o mesmo fosse tombado. Porém, mesmo com esse fato, foi-se aprovado um tombamento emergencial. Na 40ª reunião, porém (1962), o conselho negou o tombamento com o argumento de que as características que definiam o bem como patrimônio nacional foram perdidas</t>
  </si>
  <si>
    <t xml:space="preserve">Origem: DEPAM. Destino: SE-GO, para instrução, em 14/10/2014.</t>
  </si>
  <si>
    <t>01458.000517/2013-16</t>
  </si>
  <si>
    <t xml:space="preserve">Pilar de Goiás, GO: conjunto arquitetônico e paisagístico</t>
  </si>
  <si>
    <t>GO-5216908-BI-CU-00001</t>
  </si>
  <si>
    <t xml:space="preserve">Iphan contratou base georreferenciada, mas não avançaram os estudos para rerratificação</t>
  </si>
  <si>
    <t>Vassouras</t>
  </si>
  <si>
    <t xml:space="preserve">Casa da Hera, compreendendo a edificação, mobiliário, alfaias, peças de indumentária e demais bens enumerados no processo nº 459-T, da DPHAN, bem como uma área de terreno (Rua Fernandes Junin, 89)</t>
  </si>
  <si>
    <t>RJ3306206BIED00001</t>
  </si>
  <si>
    <t xml:space="preserve">Incluída no conjunto tombado</t>
  </si>
  <si>
    <t xml:space="preserve">Casa de Santos Dumont - Rua Riachuelo, nº 22, com o respectivo acervo de objetos e utilidades pertencentes a Santos Dumont</t>
  </si>
  <si>
    <t>RJ3303906BIED00002</t>
  </si>
  <si>
    <t xml:space="preserve">Processo INDEFERIDO em 28/09/1962.</t>
  </si>
  <si>
    <t xml:space="preserve">Entre Rios</t>
  </si>
  <si>
    <t xml:space="preserve">Igreja Matriz de Entre Rios</t>
  </si>
  <si>
    <t xml:space="preserve">Pedida averbação do livro do tombo por perecimento do bem, 23/09/2021</t>
  </si>
  <si>
    <t xml:space="preserve">01514.001824/2018-15 </t>
  </si>
  <si>
    <t xml:space="preserve">Igreja de São Lourenço</t>
  </si>
  <si>
    <t>BA2916104BIED00001</t>
  </si>
  <si>
    <t>01458.000238/2019-48</t>
  </si>
  <si>
    <t xml:space="preserve">Igreja de Nossa Senhora da Piedade ou Igreja do Hospício do Carmo</t>
  </si>
  <si>
    <t>PE2607901BIED00001</t>
  </si>
  <si>
    <t xml:space="preserve">Havia pendência jurídica quanto à delimitação, já resolvida. Origem: DEPAM, destino: Arquivo Central, em 06/07/2016, para guarda e disponibilização.</t>
  </si>
  <si>
    <t>01502.002230/2006-19</t>
  </si>
  <si>
    <t xml:space="preserve">Conjunto arquitetônico e paisagístico incluído nos trechos da avenida Otávio Mangabeira, compreendendo as praias do Chega Negro e Piatã, no Subdistrito de Itapoã</t>
  </si>
  <si>
    <t>BA2927408BICU00008</t>
  </si>
  <si>
    <t xml:space="preserve">27, 104</t>
  </si>
  <si>
    <t xml:space="preserve">Na 104ª reunião do Conselho, houve a resolução de que deve-se aumentar a poligonal de tombamento e entorno dos diversos bens, entre eles esse.</t>
  </si>
  <si>
    <t xml:space="preserve">2006 a 2008</t>
  </si>
  <si>
    <t xml:space="preserve">Volumes tombamento com Cíntia (arquivo-RJ). Estudo (feito pela SE) com rerratificação da poligonal de tombamento, delimitação do entorno e proposta para normatização (volumes no Depam BSB).</t>
  </si>
  <si>
    <t xml:space="preserve">Encaminhado à SE/BA em 13/03/2014</t>
  </si>
  <si>
    <t>01502.003274/2010-42</t>
  </si>
  <si>
    <t xml:space="preserve">Conjunto arquitetônico e paisagístico incluído no perímetro do Subdistrito de Conceição da Praia, compreendendo os seguintes logradouros: a) praça Marcílio Dias; b) rua Manoel Vitorino; c) trecho da rua Visconde de Mauá; d) rua Dionísio Martins; e) trecho da rua do Sodré; f) rua Macedo Costa</t>
  </si>
  <si>
    <t>BA2927408BICU00011</t>
  </si>
  <si>
    <t xml:space="preserve">Conjunto arquitetônico e paisagístico incluído no perímetro dos Subdistritos dos Mares e da Penha, compreendendo os seguintes logradouros: a) Praça Adriano Gordilho; b) rua Rio araguaçu; c) rua Rio Almada; d) faixa marítima, até a citada Praça Adriano Gordilho</t>
  </si>
  <si>
    <t>BA-2927408-BI-CU-00011</t>
  </si>
  <si>
    <t xml:space="preserve">Conjunto arquitetônico e paisagístico da Praça Ana Nery, fronteira à igreja de N. Sa. Da Palma, no Subdistrito de Santana</t>
  </si>
  <si>
    <t>BA2927408BICU00005</t>
  </si>
  <si>
    <t xml:space="preserve">Conjunto arquitetônico e paisagístico da Praça Severino Vieira, fronteira à igreja de N. Sa. da Saúde, no Subdistrito de Nazaré</t>
  </si>
  <si>
    <t>BA2927408BICU00009</t>
  </si>
  <si>
    <t xml:space="preserve">Conjunto arquitetônico e paisagístico incluído no perímetro dos Subdistritos da Sé e do Passo, compreendendo os seguintes logradouros: a) rua Monte Alegre; b) praça Anchieta: c) rua Inácio Acióli; d) trecho da rua Doze de Outubro; e) rua Santa Isabel; f) rua Moniz Barreto; g) rua Frei Vicente; h) rua Gregório de Matos; i) rua Ângelo Ferraz; j) praça José Alencar; k) rua Padre Agostinho Gomes; l) rua Eduardo Carizé; m) rua João de Brito; n) praça dos Quinze Mistérios; o) rua Custódio de Melo; p) trecho da rua Joaquim Távora; q) praça Barão do Triunfo; r) rua Luís Viana; s) rua Ribeiro dos Santos; t) trecho da rua Silva Jardim; u) rua Alfredo Brito; v) praça Quinze de Novembro</t>
  </si>
  <si>
    <t>BA2927408BICU00007</t>
  </si>
  <si>
    <t xml:space="preserve">Conjunto arquitetônico e paisagístico incluído no perímetro do Subdistrito da Penha, compreendendo os seguintes logradouros: a) praça Euzébio de Matos; b) ladeira do Bonfim; c) praça Teodósio Rodrigues de Faria; d) praça Senhor do Bonfim; e) rua Professor Santos Reis; f) trecho da avenida Beira Mar; g) praça Divina; h) rua Benjamin Constant; i) rua Teodósio
Costa, até a citada praça do Senhor do Bonfim</t>
  </si>
  <si>
    <t xml:space="preserve">	BA-2927408-BI-CU-00007</t>
  </si>
  <si>
    <t xml:space="preserve">DEPAM: 27/09/2010. Rerratificação. Incorporou o Processo 1128-T-84-Forte São Diogo. Encaminhado à SE/BA em 13/03/2014. Tinha sido anexado ao processo de aprovação do Ed. La Vue.</t>
  </si>
  <si>
    <t xml:space="preserve">Conjunto arquitetônico e paisagístico do Outeiro de Santo Antônio da Barra, no Subdistrito de Vitória. Rerratificação Outeiro de Santo Antônio da Barra - Subdistrito da Vitória (em que foi apensado o Processo 1128-T-84-Forte São Diogo).</t>
  </si>
  <si>
    <t>BA2927408BICU00002</t>
  </si>
  <si>
    <t xml:space="preserve">Igreja Matriz de Santo Antônio em Glaura</t>
  </si>
  <si>
    <t>MG-3146107-BI-ED-00030</t>
  </si>
  <si>
    <t xml:space="preserve">Fortaleza de São José: portão</t>
  </si>
  <si>
    <t>RJ3304557BMAR00008</t>
  </si>
  <si>
    <t xml:space="preserve">Fortaleza de São José: frontispício da Capela de São José</t>
  </si>
  <si>
    <t>RJ3304557BMAR00009</t>
  </si>
  <si>
    <t xml:space="preserve">Santana do Livramento</t>
  </si>
  <si>
    <t xml:space="preserve">Casa à Rua Vinte e quatro de maio, 1094, Casa de Davi Canabarro</t>
  </si>
  <si>
    <t>RS4317103BIED00001</t>
  </si>
  <si>
    <t xml:space="preserve">Igreja de Sant´Ana</t>
  </si>
  <si>
    <t>MG3121605BIED00012</t>
  </si>
  <si>
    <t xml:space="preserve">Tombamento Cancelado por perecimento do bem, despacho Despacho 1176 (3059870)</t>
  </si>
  <si>
    <t>01514.001824/2018-15</t>
  </si>
  <si>
    <t>Itabirito</t>
  </si>
  <si>
    <t xml:space="preserve">Igreja de São Vicente</t>
  </si>
  <si>
    <t>MG3131901BIED00002</t>
  </si>
  <si>
    <t xml:space="preserve">Tombamento cancelado por despacho  Despacho 99 (3051840) da presidência do Iphan de 26/10/2021</t>
  </si>
  <si>
    <t xml:space="preserve">Origem: DEPAM, destino: Presidência, para INDEFERIMENTO, em 30/11/2016</t>
  </si>
  <si>
    <t>01458.000132/2012-78</t>
  </si>
  <si>
    <t xml:space="preserve">Capela de Nazaré</t>
  </si>
  <si>
    <t>GO5208905BIED00001</t>
  </si>
  <si>
    <t xml:space="preserve">Casa rústica, casa setecentista com terreno murado, na rua Padre Pedrosa</t>
  </si>
  <si>
    <t>MG3146107BIED00028</t>
  </si>
  <si>
    <t xml:space="preserve">Capela do Engenho Una</t>
  </si>
  <si>
    <t>PB2513703BIED00001</t>
  </si>
  <si>
    <t xml:space="preserve">Enviado a Superintendência para Iinstrução em 17/08/2022. Origem: DEPAM / Destino: Superintendência 28/06/2012. Ver observação.</t>
  </si>
  <si>
    <t>01458.000835/2012-04</t>
  </si>
  <si>
    <t>Baependi</t>
  </si>
  <si>
    <t xml:space="preserve">Igreja Matriz de Nossa Senhora de Monserrate</t>
  </si>
  <si>
    <t xml:space="preserve">Teria sido analisado e aprovado na 17 ª Reunião do Conselho Consultivo (1953). Conferir!</t>
  </si>
  <si>
    <t xml:space="preserve">Nova Era</t>
  </si>
  <si>
    <t xml:space="preserve">Igreja Matriz de São José</t>
  </si>
  <si>
    <t>MG3144706BIED00001</t>
  </si>
  <si>
    <t xml:space="preserve">Antônio Carlos</t>
  </si>
  <si>
    <t xml:space="preserve">Fazenda da Borda do Campo; incluindo sua sede, capela e sobradinho anexos, inseridos no seguinte perímetro: " Iniciando no portão de pedra da entrada da Fazenda, segue à direita passando pela estrada à frente da capela e do sobradinho, até atingir a cerca</t>
  </si>
  <si>
    <t>MG3102902BIED00001</t>
  </si>
  <si>
    <t xml:space="preserve">Poligonal de tombamento definida na própria inscrição</t>
  </si>
  <si>
    <t xml:space="preserve">Processo INDEFERIDO em 03/10/1962.</t>
  </si>
  <si>
    <t xml:space="preserve">Casa da Fazenda São Gregório; Casa onde residiu o Gel. David Canabarro</t>
  </si>
  <si>
    <t xml:space="preserve">Processo INDEFERIDO em 22/10/1962 e novamente indeferido em 05/07/1999.</t>
  </si>
  <si>
    <t xml:space="preserve">Igreja Matriz de Nossa Senhora da Conceição </t>
  </si>
  <si>
    <t xml:space="preserve">Aqueduto do Horto Florestal</t>
  </si>
  <si>
    <t xml:space="preserve">Igreja de N. Sra. da Conceição do Boqueirão, com todos os seus pertences</t>
  </si>
  <si>
    <t>BA2927408BIED00018</t>
  </si>
  <si>
    <t xml:space="preserve">Processo INDEFERIDO em 21/03/2013. O motivo pela demora do arquivamento do Processo explica-se pelo fato da documentação ter permanecido no Conselho Consultivo por quase 13 (treze) anos sem qualquer trâmite.</t>
  </si>
  <si>
    <t>Cavalcante</t>
  </si>
  <si>
    <t xml:space="preserve">Igreja de Cavalcante</t>
  </si>
  <si>
    <t xml:space="preserve">Origem: DEPAM, 20/02/2013 / Destino: Superintendência, 04/03/2013</t>
  </si>
  <si>
    <t>01458.000276/2013-13</t>
  </si>
  <si>
    <t xml:space="preserve">Porto Feliz</t>
  </si>
  <si>
    <t xml:space="preserve">Igreja Matriz de Nossa Senhora Mãe dos Homens</t>
  </si>
  <si>
    <t xml:space="preserve">Despacho para INDEFERIR o Processo em 04/12/1962.</t>
  </si>
  <si>
    <t>Itapecerica</t>
  </si>
  <si>
    <t xml:space="preserve">Igreja de São Francisco; Casa: Sobrado de Itapecerica, vizinho à Igreja de São Francisco </t>
  </si>
  <si>
    <t>Gurupá</t>
  </si>
  <si>
    <t xml:space="preserve">Forte de Santo Antônio</t>
  </si>
  <si>
    <t>PA1503101BIED00001</t>
  </si>
  <si>
    <t xml:space="preserve">Antiga Rua Direita, rua Dom Pedro II, incluindo o conjunto arquitetônico e urbanístico do referido logradouro</t>
  </si>
  <si>
    <t>MG3156700BICA00001</t>
  </si>
  <si>
    <t xml:space="preserve">Processo INDEFERIDO em 05/11/1962.</t>
  </si>
  <si>
    <t xml:space="preserve">Igreja de São Gonçalo do Retiro; Capela de São Gonçalo do Retiro</t>
  </si>
  <si>
    <t xml:space="preserve">Conjunto Paisagístico do Sítio da Trindade, Estrada do Arraial 3250 (antiga fortificação)</t>
  </si>
  <si>
    <t>PE2611606BICA00001</t>
  </si>
  <si>
    <t xml:space="preserve">Na 110ª reunião do Conselho Consultivo teria sido definida a poligonal de proteção. </t>
  </si>
  <si>
    <t xml:space="preserve">A documentação que compunha o Processo 0488-T, referente a "Casas diversas em Nazaré, Bahia" foi desentranhada para formar outros processos, a saber: 0624-T (Praça Alexandre Bittencourt, s/ nº), 0625-T (Solar Artur Sampaio), 0626-T (Casa térrea, com armazém), 0627-T (Casa à Praça Alexandre Bittencourt nº 13), 0628-T (Casa à Rua Conselheiro Saraiva) e 0629-T (Casa à Rua Barão Homem de Melo). 
Devido ao desentranhamento, o processo 0488-T ficou sem nenhum objeto, tendo recebido um despacho de INDEFERIMENTO em 30/12/2002.</t>
  </si>
  <si>
    <t>Pelotas</t>
  </si>
  <si>
    <t xml:space="preserve">Casa: Casa natal de Ferreira Viana</t>
  </si>
  <si>
    <t>Jacobina</t>
  </si>
  <si>
    <t xml:space="preserve">Capela do Bom Jesus da Glória, também conhecida como a Igreja da Missão </t>
  </si>
  <si>
    <t>BA-2917508-BI-ED-00002</t>
  </si>
  <si>
    <t xml:space="preserve">A Capela do Bom Jesus da Glória e a Igreja de Nossa Senhora da Conceição, ambas localizadas no município de Jacobina, BA, foram inscritas no Livro do Tombo Histórico com o mesmo número de inscrição. A inscrição foi assim registrada: “Capela do Bom Jesus da Glória, também conhecida como Igreja da Missão, e Igreja de Nossa Senhora da Conceição.” “O tombamento inclui todo o seu acervo, de acordo com a Resolução do Conselho Consultivo da SPHAN, de 13/08/85, referente ao Proc. Administ. nº 13/85/SPHAN".</t>
  </si>
  <si>
    <t xml:space="preserve"> Igreja de Nossa Senhora da Conceição</t>
  </si>
  <si>
    <t>BA2917508BIED00001</t>
  </si>
  <si>
    <t xml:space="preserve">caverna inscrição e 10m de entorno</t>
  </si>
  <si>
    <t>Matozinhos</t>
  </si>
  <si>
    <t xml:space="preserve">Lapa da Cerca Grande</t>
  </si>
  <si>
    <t>MG3141108BAST00001</t>
  </si>
  <si>
    <t>Laguna</t>
  </si>
  <si>
    <t xml:space="preserve">Casa à Praça da Bandeira</t>
  </si>
  <si>
    <t>SC4209409BIED00001</t>
  </si>
  <si>
    <t xml:space="preserve">Paço Municipal. Inserido na poligonal de tombamento do Centro Histórico</t>
  </si>
  <si>
    <t xml:space="preserve">Matias Cardoso</t>
  </si>
  <si>
    <t>MG3140852BIED00001</t>
  </si>
  <si>
    <t xml:space="preserve">ANEXADO ao Processo 0454-T-51.</t>
  </si>
  <si>
    <t xml:space="preserve">Igreja: Desterro e conjunto arquitetônico do respectivo bairro</t>
  </si>
  <si>
    <t>MA2111300BICA00005</t>
  </si>
  <si>
    <t xml:space="preserve">Processo INDEFERIDO em 26/05/1954.</t>
  </si>
  <si>
    <t xml:space="preserve">Casa: Praça Tiradentes, 19</t>
  </si>
  <si>
    <t xml:space="preserve">Processo INDEFERIDO em 17/05/1954.</t>
  </si>
  <si>
    <t xml:space="preserve">Igreja: Rosário (Sumidoro ou Padre Viegas)</t>
  </si>
  <si>
    <t xml:space="preserve">INDEFERIDO em 11/12/2015</t>
  </si>
  <si>
    <t>01458.000854/2012-22</t>
  </si>
  <si>
    <t xml:space="preserve">Casa: Chácara da Água Limpa</t>
  </si>
  <si>
    <t xml:space="preserve">Casa: Sobrado que pertenceu ao tenente Cel. Francisco de Paula Freire de Andrade, Rua Conde de Bobadela,7</t>
  </si>
  <si>
    <t xml:space="preserve">Processo INDEFERIDO em 05/06/1954.</t>
  </si>
  <si>
    <t xml:space="preserve">Casa à Rua Alvarenga Peixoto, nº 96</t>
  </si>
  <si>
    <t xml:space="preserve">Casa à Rua Direita, conhecida como casa do Barão de Pontal</t>
  </si>
  <si>
    <t>MG3140001BIED00006</t>
  </si>
  <si>
    <t xml:space="preserve">Processo INDEFERIDO em 07/04/1954.</t>
  </si>
  <si>
    <t xml:space="preserve">Colégio Osório (antigo) em Sumidouro</t>
  </si>
  <si>
    <t xml:space="preserve">Igreja de Nossa Senhora da Glória</t>
  </si>
  <si>
    <t>MG3140001BIED00007</t>
  </si>
  <si>
    <t>DEPAM</t>
  </si>
  <si>
    <t xml:space="preserve">Parecer de indeferimento de 19/07/2022. Apensado ao 1321-T-92 (proposta de rerratificação)</t>
  </si>
  <si>
    <t>01458000332/2016-54</t>
  </si>
  <si>
    <t xml:space="preserve">Edifício na Av. Pasteur, 250 (Antigo Hospital de Alienados)</t>
  </si>
  <si>
    <t>RJ3304557BIED00101</t>
  </si>
  <si>
    <t xml:space="preserve">Casa: Dr. Joaquim Moreira (rua), 130; Palácio Grão Pará</t>
  </si>
  <si>
    <t>RJ-3303906-BI-ED-00010</t>
  </si>
  <si>
    <t xml:space="preserve">O Palácio Grão Pará foi inscrito conjuntamente com o Processo 0166-T, referente ao Palácio Imperial de Petrópolis.</t>
  </si>
  <si>
    <t xml:space="preserve">Retábulo da Igreja Nossa Senhora da Vitória</t>
  </si>
  <si>
    <t>MA2111300BIED00001</t>
  </si>
  <si>
    <t xml:space="preserve">Origem: DEPAM, destino: SE-RJ, em 11/07/2016</t>
  </si>
  <si>
    <t>01450.007472/2016-23</t>
  </si>
  <si>
    <t>Magé</t>
  </si>
  <si>
    <t xml:space="preserve">Trecho ferroviário Mauá-Fragoso</t>
  </si>
  <si>
    <t>RJ3302502BIOE00001</t>
  </si>
  <si>
    <t xml:space="preserve">Declarado monumento histórico nacional pelo Decreto nº 35.447-A, de 30 de abril de 1954. Este Decreto foi revogado pelo Decreto nº 67.592, de 17/11/70."</t>
  </si>
  <si>
    <t xml:space="preserve">O Processo 0507-T foi ANEXADO ao Processo 0689-T-62.</t>
  </si>
  <si>
    <t xml:space="preserve">Casa: Praça XV de Novembro, 101 (Academia do Comércio)</t>
  </si>
  <si>
    <t xml:space="preserve">não cadastrado no sicg</t>
  </si>
  <si>
    <t xml:space="preserve">Caxias </t>
  </si>
  <si>
    <t xml:space="preserve">Quartel do Morro do Alegrim: ruínas</t>
  </si>
  <si>
    <t xml:space="preserve">Conjunto: arquitetônico e paisagístico  Praça Gonçalves Dias</t>
  </si>
  <si>
    <t>MA2111300BICA00003</t>
  </si>
  <si>
    <t>Niquelândia</t>
  </si>
  <si>
    <t xml:space="preserve">Ruínas da Igreja de São José do Tocantins</t>
  </si>
  <si>
    <t>GO5214606BIED00002</t>
  </si>
  <si>
    <t xml:space="preserve">“A inscrição abrange, específicadamente: imagens antigas, de madeira; imagem de marfim, do Senhor do Bonfim; uma cômoda; três arcas de madeira; cinco castiçais de chumbo." A localização registrada no LBA é a de Tupiraçaba, antiga Traíras, neste município.</t>
  </si>
  <si>
    <t>GO5214606BIED00001</t>
  </si>
  <si>
    <t>01500.004052/2009-23</t>
  </si>
  <si>
    <t xml:space="preserve">Trecho Remanescente da Ladeira da Misericórdia</t>
  </si>
  <si>
    <t xml:space="preserve">RJ-3304557-BI-OE-00008	</t>
  </si>
  <si>
    <t xml:space="preserve">Homologado pelo MinC PORTARIA Nº 52, DE 2 DE MAIO DE 2018</t>
  </si>
  <si>
    <t xml:space="preserve">Casa à Praça Tiradentes, antiga Câmara e Cadeia, atual Museu da Inconfidência</t>
  </si>
  <si>
    <t>MG3146107BIED00003</t>
  </si>
  <si>
    <t xml:space="preserve">Casa no Largo do Rosário</t>
  </si>
  <si>
    <t>MG3157203BIED00003</t>
  </si>
  <si>
    <t xml:space="preserve">São Vicente</t>
  </si>
  <si>
    <t xml:space="preserve">Remanescentes da antiga Vila Colonial, particularmente a Igreja Matriz, compreendendo as obras de talha e imagens antigas</t>
  </si>
  <si>
    <t>SP3551009BICU00001</t>
  </si>
  <si>
    <t xml:space="preserve">A Vila Colonial de São Vicente foi erigida em Monumento Nacional pela Lei nº 1.618-A, de 06/06/1952.</t>
  </si>
  <si>
    <t xml:space="preserve">Porto Calvo</t>
  </si>
  <si>
    <t>AL2707305BICA00001</t>
  </si>
  <si>
    <t xml:space="preserve">“Convertidos em Monumento Nacional pela Lei nº 1.618-A, de 06/06/1952." "O tombamento inclui todo o acervo da Igreja Matriz, de acordo com a Resolução do Conselho Consultivo da SPHAN, de 13/08/85, referente ao Proc. Administ. nº 13/85/SPH</t>
  </si>
  <si>
    <t>MG3131901BIED00001</t>
  </si>
  <si>
    <t xml:space="preserve">Entorno e Normatização: Portaria Iphan nº 253/2011 </t>
  </si>
  <si>
    <t xml:space="preserve">São Sebastião</t>
  </si>
  <si>
    <t xml:space="preserve">Casa de sobrado, com teto pintado, à Avenida Dr. Altino Arantes, 32</t>
  </si>
  <si>
    <t>SP-3550704-BI-ED-00001</t>
  </si>
  <si>
    <t>PF</t>
  </si>
  <si>
    <t xml:space="preserve">Foi para notificação em 1/11/2022. Parecer de Tombamento de 24/12/2021. Superintendência do Iphan em São Paulo avalie  a questão - Manifestação Petrobras - in loco  01/11/2023.</t>
  </si>
  <si>
    <t>01450.000789/2018-09</t>
  </si>
  <si>
    <t xml:space="preserve">Remanescentes de caminhos: 1. Caminho do Mar; 2. Caminho do Padre José; 3. Calçada de Lorena</t>
  </si>
  <si>
    <t>TP</t>
  </si>
  <si>
    <t xml:space="preserve">Alvaro de Souza Lima, IX CNER - Congresso Nacional de Estradas e Rodagens; Valdo Silveira Secretário Geral</t>
  </si>
  <si>
    <t xml:space="preserve">TOMB. PROVIS.</t>
  </si>
  <si>
    <t xml:space="preserve">Edifício da antiga Santa Casa de Campos e Igreja contígua de Nossa Senhora Mãe dos Homens</t>
  </si>
  <si>
    <t xml:space="preserve">Cancelada a inscrição por despacho ao Sr. Presidente da República em maio de 1961.</t>
  </si>
  <si>
    <t xml:space="preserve">Casa à Praça da Matriz, 19 e 25</t>
  </si>
  <si>
    <t>SP3547304BIED00001</t>
  </si>
  <si>
    <t xml:space="preserve">Calçamento de Pedra, antigo, da rua da Ladeira, abrangendo o trecho situado entre a esquina da rua Andrade Neves e a praça da Matriz</t>
  </si>
  <si>
    <t>RS4315701BICU00001</t>
  </si>
  <si>
    <t>Atibaia</t>
  </si>
  <si>
    <t>SP3504107BIED00001</t>
  </si>
  <si>
    <t xml:space="preserve">Campos das batalhas de Guararapes, atual Parque Histórico Nacional dos Guararapes</t>
  </si>
  <si>
    <t>PE2607901PSPS00001</t>
  </si>
  <si>
    <t xml:space="preserve">18/ 19</t>
  </si>
  <si>
    <t xml:space="preserve">A área abrangida pelo tombamento é a demarcada pela Comissão para esse fim constituída, conforme relatório e anexos constantes do Processo nº 523-T-54.""Parque Histórico Nacional de Guararapes, Decreto nº 68.527, de 19/04/71. Entorno Portaria 34/97. PORTARIA Nº 8, DE 11 DE JANEIRO DE 2019
Institui o Plano Diretor e estabelece diretrizes gerais
para a área tombada e desapropriada do Parque
Histórico Nacional dos Guararapes e dá outras
providências.
</t>
  </si>
  <si>
    <t>Cantagalo</t>
  </si>
  <si>
    <t xml:space="preserve">Casa onde nasceu Euclides da Cunha, localizada na Fazenda da Saudade</t>
  </si>
  <si>
    <t xml:space="preserve">cita área de 25mil metros (?)</t>
  </si>
  <si>
    <t>Cananeia</t>
  </si>
  <si>
    <t xml:space="preserve">Sambaqui situado acerca de 1000 metro da Barra do Rio Itapitangui</t>
  </si>
  <si>
    <t>SP3509908BIED00001</t>
  </si>
  <si>
    <t>01450.011183/2006-57</t>
  </si>
  <si>
    <t xml:space="preserve">Santuário de Nossa Senhora da Piedade: conjunto arquitetônico e paisagístico</t>
  </si>
  <si>
    <t>MG3110004BICA00001</t>
  </si>
  <si>
    <t xml:space="preserve">26/09/1956/ 11/05/2015</t>
  </si>
  <si>
    <t xml:space="preserve">21, 66</t>
  </si>
  <si>
    <t xml:space="preserve">2010, 2014</t>
  </si>
  <si>
    <t xml:space="preserve">Na 66ª reunião do Conselho (2010) foi aprovado o aumento da poligonal de tombamento. Na 75ª reunião (2014) foi alterada de novo a poligonal, conforme decisão da 9º reunião da Câmara Setorial de Arquitetura e Urbanismo</t>
  </si>
  <si>
    <t xml:space="preserve">processo não encontrado.A área abrangida pelo tombamento é a indicada na certidão do Registro Torrens, constante do processo nº 526-T, inclusive as edificações tradicionais que nela se acham localizadas."</t>
  </si>
  <si>
    <t>Itaqui</t>
  </si>
  <si>
    <t xml:space="preserve">Fortim Mirante</t>
  </si>
  <si>
    <t xml:space="preserve">Teatro Prezewodwosky, na Praça Marechal Deodoro</t>
  </si>
  <si>
    <t>Camamu</t>
  </si>
  <si>
    <t xml:space="preserve">Alfaias da Igreja da Cidade</t>
  </si>
  <si>
    <t xml:space="preserve">Alfaias da Igreja de Barcelos</t>
  </si>
  <si>
    <t>Bananal</t>
  </si>
  <si>
    <t xml:space="preserve">Fazenda Resgate: casa</t>
  </si>
  <si>
    <t>SP3504909BIED00001</t>
  </si>
  <si>
    <t xml:space="preserve">Processo INDEFERIDO em 27/02/2004. </t>
  </si>
  <si>
    <t xml:space="preserve">Sobrado à Rua Conselheiro Dantas, 34 e 36</t>
  </si>
  <si>
    <t xml:space="preserve">Na 21ª Reunião do Conselho Consultivo (1956) foi aceita a impugnação ao tombamento.</t>
  </si>
  <si>
    <t xml:space="preserve">Obelisco Republicano</t>
  </si>
  <si>
    <t>RS4314407BIED00001</t>
  </si>
  <si>
    <t>Paraty</t>
  </si>
  <si>
    <t xml:space="preserve">Forte Defensor Perpétuo</t>
  </si>
  <si>
    <t>RJ-3303807-BI-ED-00006</t>
  </si>
  <si>
    <t xml:space="preserve">Como o município é tombado, não demanda entorno.</t>
  </si>
  <si>
    <t>01450.013188/2008-86</t>
  </si>
  <si>
    <t>MS</t>
  </si>
  <si>
    <t>Jardim</t>
  </si>
  <si>
    <t xml:space="preserve">Lugar em que estiveram sepultados o Guia Lopes, o Coronel Camisão e o Tenente Coronel Juvêncio </t>
  </si>
  <si>
    <t>MS5005004PSJD00001</t>
  </si>
  <si>
    <t xml:space="preserve">2001, 2002, 2015</t>
  </si>
  <si>
    <t xml:space="preserve">28, 34, 79 </t>
  </si>
  <si>
    <t xml:space="preserve">O processo foi ARQUIVADO em 2001 (ver reunião 28). Em 2002 (reunião 33) o processo foi retomado, mas suspenso novamente, após um dos conselheiros constar que o tombamento do bem já havia sido aprovado em 1955, mas estava em diligência pois não se sabia quem era o proprietário do local. Nessa reunião houve um acalorado debate quanto a manutenção ou não do tombamento e, após o pedido de vistas ao processo e a promessa de colaboração dos conselheiros juristas e historiadores, o processo foi suspenso novamente até que as questões que o envolvem fossem resolvidas.Limites aprovados durante a 79ª reunião, em 2015. Homologado pela PORTARIA Nº 127, DE 30 DE AGOSTO DE 2016</t>
  </si>
  <si>
    <t xml:space="preserve">Instrução concluída: DEPAM-RJ. Indicação de tombamento. Enviado a Superintendência para confirmação de entorno e elaboração de Diretrizes. Origem: DEPAM/ Destino: Superintendência em 04/03/2013.</t>
  </si>
  <si>
    <t>01458.000379/2011-11</t>
  </si>
  <si>
    <t xml:space="preserve">Santa Luzia do Norte</t>
  </si>
  <si>
    <t xml:space="preserve">Igreja Matriz Santa Luzia do Norte</t>
  </si>
  <si>
    <t xml:space="preserve">Encaminhado para INDEFERIMENTO em 26/11/2015</t>
  </si>
  <si>
    <t>01458.000914/2013-98</t>
  </si>
  <si>
    <t xml:space="preserve">Casa Aposentadoria</t>
  </si>
  <si>
    <t>DPHAN</t>
  </si>
  <si>
    <t xml:space="preserve">Instrução concluída: DEPAM-RJ. Indicação para incluir o bem por rerratificação do processo 426-T-50. Enviado a Presidência. Origem: DEPAM /  Destino: Presidência em 13/07/2012.</t>
  </si>
  <si>
    <t xml:space="preserve">01458.000371/2011-47 </t>
  </si>
  <si>
    <t>AL-2704708-BI-ED-00001</t>
  </si>
  <si>
    <t xml:space="preserve">Obs. Arquivo: "20/10/64 - Consultor Jurídico Dr. Raphael - Vols. 1,2,3,4 e 5- 
Não Localizado"
</t>
  </si>
  <si>
    <t xml:space="preserve">Parque Henrique Lage (Conjunto Paisagístico)</t>
  </si>
  <si>
    <t>RJ3304557PSPS00003</t>
  </si>
  <si>
    <t xml:space="preserve">Com as divisas constantes da planta incorporada ao processo 537-T- cancelado, em cumprimento a despacho de 09 de maio de 1961, do Sr. Presidente da República no processo nº 25.898, de 1960, da Secretaria da Presidência. Desapropriado para fins de utilidade pública  pelo Decreto nº 77.293, de 11/03/76. Foi reapreciado na 77ª Reunião do Conselho consultivo do IPHAN, de 05/09/77, que sugeriu restituir o tombamento, mas como o processo desapareceu, nada foi feito.</t>
  </si>
  <si>
    <t xml:space="preserve">Entorno e Normatização: Portaria Iphan nº 104/2000 (alterada pela Portaria nº 48/2016)</t>
  </si>
  <si>
    <t xml:space="preserve">Demolido. Encaminhado para indeferimento em 11/11/2015</t>
  </si>
  <si>
    <t>01458.000855/2012-77</t>
  </si>
  <si>
    <t xml:space="preserve">Casa: do Barão do Cocais</t>
  </si>
  <si>
    <t xml:space="preserve">Retornou à SE-MG em 26/5/2023 para informações que viabilizem o cadastramento do bem como sítio arqueológico.</t>
  </si>
  <si>
    <t>01458.000669/2010-76</t>
  </si>
  <si>
    <t xml:space="preserve">Morro do Pilar</t>
  </si>
  <si>
    <t xml:space="preserve">Ruínas: Real Fábrica de Ferro</t>
  </si>
  <si>
    <t xml:space="preserve">Analisado na 20ª reunião do Conselho Consultivo (1956), que solicitou realização de estudos do que realmente sobrou para que possa ser compreendida a extensão do tombamento a ser feito</t>
  </si>
  <si>
    <t xml:space="preserve">Infos Arquivo Central: 30/09/1966 - Reaberto setembro 2017</t>
  </si>
  <si>
    <t>01450.001408/2019-81</t>
  </si>
  <si>
    <t>Luziânia</t>
  </si>
  <si>
    <t xml:space="preserve">Antiga casa de Câmara e cadeia</t>
  </si>
  <si>
    <t xml:space="preserve">Origem: DEPAM. Destino: SE-BA. 22/08/2014</t>
  </si>
  <si>
    <t>01458.000910/2013-18</t>
  </si>
  <si>
    <t xml:space="preserve">Asilo Santa Isabel</t>
  </si>
  <si>
    <t xml:space="preserve">não existe</t>
  </si>
  <si>
    <t xml:space="preserve">O Processo 0542-T-52 foi ANEXADO ao Processo 0983-T-78.</t>
  </si>
  <si>
    <t xml:space="preserve">Casa à Avenida Luís Tarquínio, 17 (Abrigo D. Pedro II)</t>
  </si>
  <si>
    <t xml:space="preserve">não cadastrado no SICG</t>
  </si>
  <si>
    <t xml:space="preserve">Casa à antiga Ladeira Paiva, 65 e o antigo jardim, Escola Antônio Moniz e seu antigo jardim</t>
  </si>
  <si>
    <t xml:space="preserve">Despacho para INDEFERIR o Processo em 27/08/1956.</t>
  </si>
  <si>
    <t xml:space="preserve">Capela: São Lázaro</t>
  </si>
  <si>
    <t xml:space="preserve">Antiga Casa de Câmara e Cadeia na Praça dos Andradas, inclusive a área arborizada que a ambienta</t>
  </si>
  <si>
    <t>SP3548500BICA00001</t>
  </si>
  <si>
    <t xml:space="preserve">Indeferido em 4/1/2022</t>
  </si>
  <si>
    <t>01450.011372/2007-19</t>
  </si>
  <si>
    <t xml:space="preserve">Casa a rua do Conselheiro Quintiliano, nº 9</t>
  </si>
  <si>
    <t xml:space="preserve">Capela de Santo Antônio do Pompeu</t>
  </si>
  <si>
    <t>MG3156700BIED00001</t>
  </si>
  <si>
    <t xml:space="preserve">Enviado a Superintendência para Iinstrução. Origem: DEPAM / Destino: Superintendência 28/06/2012.</t>
  </si>
  <si>
    <t>01458.000856/2012-11</t>
  </si>
  <si>
    <t xml:space="preserve">Igreja: Conceição</t>
  </si>
  <si>
    <t xml:space="preserve">Três imagens e um Oratório</t>
  </si>
  <si>
    <t>Aracati</t>
  </si>
  <si>
    <t>CE2301109BIED00002</t>
  </si>
  <si>
    <t xml:space="preserve">Fortaleza do Barbalho</t>
  </si>
  <si>
    <t>BA2927408BIED00053</t>
  </si>
  <si>
    <t xml:space="preserve">Fortaleza de São Pedro</t>
  </si>
  <si>
    <t>BA2927408BIED00044</t>
  </si>
  <si>
    <t xml:space="preserve">Fortaleza do Monte Serrat</t>
  </si>
  <si>
    <t>BA2927408BICU00010</t>
  </si>
  <si>
    <t xml:space="preserve">Estação de Hidroaviões</t>
  </si>
  <si>
    <t>RJ3304557BIED00091</t>
  </si>
  <si>
    <t>MT</t>
  </si>
  <si>
    <t xml:space="preserve">Chapada dos Guimarães</t>
  </si>
  <si>
    <t xml:space="preserve">Igreja da Sé de Santana</t>
  </si>
  <si>
    <t> MT-5103403-BM-AC-00001</t>
  </si>
  <si>
    <t xml:space="preserve">processo duplicado, daí o outro tem a letra "A", provavelmente pra distinguir desse.</t>
  </si>
  <si>
    <t xml:space="preserve">Ofício Nº 535/2024/DEPAM-IPHAN sugerido leitura pelo Conselheiro Nelson Fernando Inocêncio da Silva, professor do Departamento de Artes Visuais, vinculado ao Instituto de Artes da Universidade de Brasília. No Conselho Consultivo em 25/3/2022. Enviado para a SR em 11/01/2022. Dois bens no mesmo processo. No Conselho Consultivo.</t>
  </si>
  <si>
    <t>01450.013234/2008-47</t>
  </si>
  <si>
    <t>Cuiabá</t>
  </si>
  <si>
    <t xml:space="preserve">Retábulos da Catedral de N.S. Bom Jesus</t>
  </si>
  <si>
    <t xml:space="preserve">IPHAN (Ofício s/n de Edgar Jacinto da Silva, Chefe da Seção de Arte.</t>
  </si>
  <si>
    <t>HOMOLOGADO</t>
  </si>
  <si>
    <t xml:space="preserve">MT-5103403-BM-AC-00001 </t>
  </si>
  <si>
    <t xml:space="preserve">Processo não encontrado. Segundo Relatório do DEPAM em Maio/2004,  o processo foi enviado para exame da Presidência/PROJUR em 31/07/2002.</t>
  </si>
  <si>
    <t>01458.000852/2012-33</t>
  </si>
  <si>
    <t xml:space="preserve">Casa de Geraldino Ferreira Xavier (contígua à Matriz de Cachoeira do Campo).</t>
  </si>
  <si>
    <t>01458.000277/2013-50</t>
  </si>
  <si>
    <t xml:space="preserve">Casa da Fazenda Conceição</t>
  </si>
  <si>
    <t xml:space="preserve">Retábulo da Capela da Venerável Ordem Terceira de São Francisco da Penitência, da Igreja de Santo Antônio do Valongo</t>
  </si>
  <si>
    <t>SP3548500BMAC00001</t>
  </si>
  <si>
    <t xml:space="preserve">Casa à Praça da Matriz, 9</t>
  </si>
  <si>
    <t xml:space="preserve">A documentação que compunha o Processo 0558-T foi desentranhada para formar o Processo 0520-T, tornado o 0558-T um número vago.</t>
  </si>
  <si>
    <t xml:space="preserve">SE-BA se manifestou pelo indeferimento, mas processo foi reencaminhado para lá para reavaliação em 8/5/2023.</t>
  </si>
  <si>
    <t>01458000912/2013-07</t>
  </si>
  <si>
    <t xml:space="preserve">Igreja Matriz de São Gonçalo</t>
  </si>
  <si>
    <t xml:space="preserve">Capela de Nossa Senhora da Escada</t>
  </si>
  <si>
    <t>BA2927408BIED00006</t>
  </si>
  <si>
    <t xml:space="preserve">Reaberto. Parecer de novo indeferimento de 26/07/2022. Despacho para INDEFERIR o Processo em 11/02/2004.</t>
  </si>
  <si>
    <t xml:space="preserve">01450.002412/2022-62 </t>
  </si>
  <si>
    <t>Camaçari</t>
  </si>
  <si>
    <t xml:space="preserve">Igreja Matriz do Espírito Santo, na Antiga Aldeia do Espírito Santo; localidade de Abrantes</t>
  </si>
  <si>
    <t xml:space="preserve">Reaberto em 24/09/2019 solicitada instrução em 19/11/2022. PARECER TÉCNICO nº 128/2023/COTEC IPHAN-BA/IPHAN-BA (contratação de estudos externos)</t>
  </si>
  <si>
    <t>01450.001414/2019-39</t>
  </si>
  <si>
    <t xml:space="preserve">Sta Marg. De Alexandria e N.Sra.Pedra Fria</t>
  </si>
  <si>
    <t xml:space="preserve">Município de Paraty (nome original: Conjunto arquitetônico e paisagístico da cidade de Paraty e, separadamente, o edifício da Santa Casa)</t>
  </si>
  <si>
    <t>RJ-3303807-BI-CU-00003</t>
  </si>
  <si>
    <t xml:space="preserve">13/2/1958; 1/3/1974</t>
  </si>
  <si>
    <t xml:space="preserve">incrito novamente nos mesmos livros do tombo em 1974 pela rerratificação denominada: Município de Parati, convertido em Monumento Nacional pelo Decreto nº 58.077, de 24 de março de 1966</t>
  </si>
  <si>
    <t xml:space="preserve">O município é todo tombado. Portarias317 e 402 (delimitação do bairro histórico), de 2012.Necessita normas para centro histórico. </t>
  </si>
  <si>
    <t xml:space="preserve">Casa grande e capela da antiga Fazenda de São Bento, abrangendo a área de terrenos incluídos num raio de 100 metros das edificações</t>
  </si>
  <si>
    <t>RJ3301702BICA00001</t>
  </si>
  <si>
    <t xml:space="preserve">Foi a Conselho em 19 Maio de 2021, e indeferido. Aguardando a Ata do Conselho. CGID: 28/11/2016. Está sob tombamento provisório, mas o bem não existe mais. A Procuradoria entende que tem que ir ao Conselho pra que esse  verifique a ausência de valor ou se por acaso os bens remanescentes e dispersos não teriam valor para a abertura de processos isolados.</t>
  </si>
  <si>
    <t>01450.011591/2008-71</t>
  </si>
  <si>
    <t xml:space="preserve">Espólio de Simões da Silva</t>
  </si>
  <si>
    <t>RJ-3304557-BM-AC-00006</t>
  </si>
  <si>
    <t xml:space="preserve">Conjunto Paisagístico e Urbanístico da Cidade de Vassouras, demarcado no processo,  constituído de construções públicas e particulares, incluindo calçamento e arborização.</t>
  </si>
  <si>
    <t>RJ-3306206-BI-CU-00001</t>
  </si>
  <si>
    <t xml:space="preserve">O tombamento compreende não só as construções públicas e particulares situadas noslogradouros referidos, mas também as peculiaridades destes e, particularmente sua arborização. Informações sobre delimitação das poligonais: DEPAM-RJ 98-99. Normatização: Portaria Iphan nº 12/86</t>
  </si>
  <si>
    <t xml:space="preserve">Igreja Nossa Senhora do Rosário</t>
  </si>
  <si>
    <t xml:space="preserve">Processo INDEFERIDO em 25/05/2010.</t>
  </si>
  <si>
    <t xml:space="preserve">São Francisco do Sul</t>
  </si>
  <si>
    <t xml:space="preserve">Sambaqui: Sítio Morretes</t>
  </si>
  <si>
    <t xml:space="preserve">Fazenda da Boa Esperança: casa</t>
  </si>
  <si>
    <t>MG3106408BIED00001</t>
  </si>
  <si>
    <t xml:space="preserve">INDEFERIDO em 13/07/2016</t>
  </si>
  <si>
    <t>01458.000911/2013-54</t>
  </si>
  <si>
    <t xml:space="preserve">Fazenda Butantã</t>
  </si>
  <si>
    <t xml:space="preserve">Igreja de São Domingos em Torres</t>
  </si>
  <si>
    <t xml:space="preserve">Casa à Praça da República, 197, onde residiu o Marechal Deodoro da Fonseca</t>
  </si>
  <si>
    <t>RJ3304557BIED00089</t>
  </si>
  <si>
    <t xml:space="preserve">Atual Museu do Exército</t>
  </si>
  <si>
    <t xml:space="preserve">Anexado ao de nº 750-T-64 por se tratar do mesmo objeto. Encaminhado para arquivamento</t>
  </si>
  <si>
    <t>01551.000084/2014-11</t>
  </si>
  <si>
    <t>DF</t>
  </si>
  <si>
    <t>Brasília</t>
  </si>
  <si>
    <t xml:space="preserve">Casa: Antiga na área de Brasília</t>
  </si>
  <si>
    <t xml:space="preserve">Igreja de Nossa Senhora das Neves</t>
  </si>
  <si>
    <t>BA2927408BIED00040</t>
  </si>
  <si>
    <t xml:space="preserve">Igreja Matriz de Santiago</t>
  </si>
  <si>
    <t>BA2904902BIED00001</t>
  </si>
  <si>
    <t xml:space="preserve">O Processo teve parecer de indeferimento em 31/05/1958, sendo INDEFERIDO em 05/07/1999.</t>
  </si>
  <si>
    <t xml:space="preserve">Capela e Aqueduto do Engenho da Ponta</t>
  </si>
  <si>
    <t xml:space="preserve">São José do Barreiro</t>
  </si>
  <si>
    <t xml:space="preserve">Fazenda do Pau d'Alho: casa</t>
  </si>
  <si>
    <t>SP3549607BIED00001</t>
  </si>
  <si>
    <t xml:space="preserve">Casa à Rua Monte Alegre, 255 onde faleceu Benjamin Constant e respectiva área desapropriada pela Constituição de 1891, atual Museu Benjamin Constant</t>
  </si>
  <si>
    <t>RJ-3304557-BI-ED-00058</t>
  </si>
  <si>
    <t xml:space="preserve">Resolução que informa o INDEFERIMENTO do Processo em 21/08/1958.</t>
  </si>
  <si>
    <t xml:space="preserve">Bom Jesus da Lapa</t>
  </si>
  <si>
    <t xml:space="preserve">Conjunto Paisagístico: Morro do Santuário do Bom Jesus da Lapa</t>
  </si>
  <si>
    <t xml:space="preserve">Processo INDEFERIDO em 21/03/2013.</t>
  </si>
  <si>
    <t xml:space="preserve">Peças de Arte Sacra dos Bispados do Nordeste</t>
  </si>
  <si>
    <t xml:space="preserve">Processo com parecer para indeferimento em 10/06/1958, sendo INDEFERIDO em 25/05/2010, conforme decisão do Conselho Consultivo do Patrimônio Cultural na sua 63ª Reunião, realizada em 15.04.2010.</t>
  </si>
  <si>
    <t>Aracruz</t>
  </si>
  <si>
    <t xml:space="preserve">Casa: Antiga Câmara e Cadeia de Santa Cruz; Câmara de Santa Cruz</t>
  </si>
  <si>
    <t xml:space="preserve">O Processo teve parecer de indeferimento em 23/07/1958, sendo INDEFERIDO em 05/07/1999.</t>
  </si>
  <si>
    <t xml:space="preserve">Lagoa Santa</t>
  </si>
  <si>
    <t xml:space="preserve">Capela do Rosario da Quinta do Sumidouro</t>
  </si>
  <si>
    <t xml:space="preserve">Alfaias do Convento das Mercês</t>
  </si>
  <si>
    <t xml:space="preserve">Coleção de silhares de azulejos oriundos do Palacete Aguiar e instalados na sede da Reitoria da Universidade da Bahia, à rua Algusto Viana, s/nº</t>
  </si>
  <si>
    <t>BA2927408BMCL00001</t>
  </si>
  <si>
    <t xml:space="preserve">Casa à Avenida Quintino Bocaiúva, 145</t>
  </si>
  <si>
    <t>RJ3303302BIED00007</t>
  </si>
  <si>
    <t xml:space="preserve">O Processo 0586-T-58 foi ANEXADO ao Processo 1176-T-85.</t>
  </si>
  <si>
    <t xml:space="preserve">Igreja: Carmo (Ordem 3ª)</t>
  </si>
  <si>
    <t>SP-3550308-BI-ED-00013</t>
  </si>
  <si>
    <t>01458.000807/2014-41</t>
  </si>
  <si>
    <t xml:space="preserve">Casa Glória - Casa Chinesa</t>
  </si>
  <si>
    <t xml:space="preserve">Sete Lagoas</t>
  </si>
  <si>
    <t xml:space="preserve">Casa na Praça Santo Antônio, 94 antiga sede da fazenda Sete Lagoas</t>
  </si>
  <si>
    <t>MG3167202BIED00001</t>
  </si>
  <si>
    <t xml:space="preserve">Arco e oratório de Nossa Senhora da Boa Esperança localizados nos fundos da Igreja de Nossa Senhora do Carmo</t>
  </si>
  <si>
    <t>RJ-3304557-BM-AC-00004</t>
  </si>
  <si>
    <t xml:space="preserve">O Processo 0590-T-58 deverá ser anexado ao 1341-T-94 (onjunto Arquitetônico e Paisagístico da Pampulha) quando o volume IV do mesmo retornar ao ACI-RJ. </t>
  </si>
  <si>
    <t xml:space="preserve">Casa: Antigo Casino da Pampulha</t>
  </si>
  <si>
    <t>MG-3106200-BI-ED-00016</t>
  </si>
  <si>
    <t xml:space="preserve">Observação do Arquivo: "Aguardando o retorno do processo 1341-T-94 para ser apensado ao mesmo"</t>
  </si>
  <si>
    <t xml:space="preserve">Parecer de indeferimento a proposta de rerratificaçào de 12/4/2022. resposta à rerratificação, considerando a pubnlicação da portaria de entorno.</t>
  </si>
  <si>
    <t>01458.001643/2010-45</t>
  </si>
  <si>
    <t xml:space="preserve">Conjunto paisagístico do pico e da parte mais alcantilada da Serra do Curral</t>
  </si>
  <si>
    <t>MG3106200PSPS00001</t>
  </si>
  <si>
    <t xml:space="preserve">30, 35</t>
  </si>
  <si>
    <t xml:space="preserve">Tombamento aprovado na 30ª reunião do Conselho consultivo, em 1960, mas foram pedidos estudos para definir a área compreendida pelo tombamento. Rerratificado em 1961 (35ª reunião), com a aprovação da área</t>
  </si>
  <si>
    <t xml:space="preserve">Em andamento (acompanhamento CGAF, 2016)</t>
  </si>
  <si>
    <t xml:space="preserve">Tombamento e entorno: PORTARIA No 444, DE 27 DE OUTUBRO DE 2016 (anulou a Portaria n 198, de 18 de maio de 2016)</t>
  </si>
  <si>
    <t>Ubatuba</t>
  </si>
  <si>
    <t xml:space="preserve">Sobradão do Porto</t>
  </si>
  <si>
    <t>SP3555406BIED00001</t>
  </si>
  <si>
    <t xml:space="preserve">O sobrado foi declarado de utilidade pública pelo Decreto nº 31, de 06 de agosto de 1981.</t>
  </si>
  <si>
    <t xml:space="preserve">Ofício Nº 1370/2024/GAB PRESI/PRESI-IPHAN indica o o Conselheiro Flávio de Lemos Carsalade: representante do Comitê Brasileiro do Conselho Internacional de Monumentos e Sítios; Notificado em 11/10/2022. Enviado para a presidência para notificação em 17/11/2021 . Parecer de tombamento de 28/09/2021. Ação judicial com parecer de força executória</t>
  </si>
  <si>
    <t>01458.000278/2013-02</t>
  </si>
  <si>
    <t xml:space="preserve">Igreja de São Francisco  (Ordem Terceira)</t>
  </si>
  <si>
    <t xml:space="preserve">SPHAN (Parecer de Carlos Gutierrez Cerqueira)</t>
  </si>
  <si>
    <t xml:space="preserve">Igreja de São Francisco e Convento  (Ordem Primeira)</t>
  </si>
  <si>
    <t xml:space="preserve">Processo desaparecido e reconstituído a partir de cópia existente na Superintendência.</t>
  </si>
  <si>
    <t>Catetinho</t>
  </si>
  <si>
    <t>DF5300108BIED00018</t>
  </si>
  <si>
    <t xml:space="preserve">Inserido na poligonal de entorno do Conjunto Urbanístico de Brasília</t>
  </si>
  <si>
    <t>Caucaia</t>
  </si>
  <si>
    <t>CE2303709BIED00002</t>
  </si>
  <si>
    <t>Pitangui</t>
  </si>
  <si>
    <t xml:space="preserve">Casa de Câmara e Cadeia ou Paço Municipal de Pitangui, Rua José Gonçalves, nº 29</t>
  </si>
  <si>
    <t>MG3151404BIED00001</t>
  </si>
  <si>
    <t xml:space="preserve">secretaria de cultura está sem recursos para recuperar edifício (abril/2013). Entrou em contato para saber como obter dinheiro</t>
  </si>
  <si>
    <t xml:space="preserve">Minas Novas</t>
  </si>
  <si>
    <t xml:space="preserve">Casa na Avenida Getúlio Vargas - Sobradão do Foro</t>
  </si>
  <si>
    <t xml:space="preserve">MG-3141801-BI-ED-00002	</t>
  </si>
  <si>
    <t xml:space="preserve">Arquitetura Civil</t>
  </si>
  <si>
    <t xml:space="preserve">Escola de Educação Feminina Princesa Isabel (antiga Fazenda de Santa Cruz)</t>
  </si>
  <si>
    <t xml:space="preserve">Casas à Avenida Pedro II, 199 e 205</t>
  </si>
  <si>
    <t>MA2111300BIED00006</t>
  </si>
  <si>
    <t xml:space="preserve">Fonte das Pedras</t>
  </si>
  <si>
    <t>MA2111300BIED00004</t>
  </si>
  <si>
    <t xml:space="preserve">Segundo Superintendência: "O bem tombado pelo Governo Federal, está inserido dentro do Conjunto Histórico, Arquitetônico e Paisagístico do Centro Urbano de São Luís tombado pelo Governo do Estado do Maranhão ", ou seja, não tem entorno delimitado pelo IPHAN</t>
  </si>
  <si>
    <t xml:space="preserve">O Processo 0601-T-59 foi ANEXADO ao Processo 1223-T-87 (Anexo 1).</t>
  </si>
  <si>
    <t>Piranga</t>
  </si>
  <si>
    <t xml:space="preserve">Capela do Senhor Bom Jesus de Matozinho</t>
  </si>
  <si>
    <t>MG3150802BICA00001</t>
  </si>
  <si>
    <t>Jaraguá</t>
  </si>
  <si>
    <t>GO5211800BIED00001</t>
  </si>
  <si>
    <t xml:space="preserve">Túmulos do Dr. Peter Wilhen Lund e de seus colaboradores Pedro Andreas Brandt, Guilherme Behrens e João Rodolfo Müller, e mais o pequeno cemitério em que se acham situados</t>
  </si>
  <si>
    <t>MG-3137601-BI-CA-00001</t>
  </si>
  <si>
    <t>MG3146107BIED00031</t>
  </si>
  <si>
    <t xml:space="preserve">Processo teve aprovação do Conselho Consultivo, sem notificação, houve impugnação e vários pareceres contrários. Está dentro do conjunto tombado de São Luis. O processo foi equivocadamente arquivado como processo administrativo. Localizado em 05/02/2020 pelo Arquivo Central DF</t>
  </si>
  <si>
    <t>01450.003726/2008-24</t>
  </si>
  <si>
    <t xml:space="preserve">Casa à Rua Godofredo Viana 240/216,São Luis, MA</t>
  </si>
  <si>
    <t xml:space="preserve">Gruta de Mangabeira</t>
  </si>
  <si>
    <t xml:space="preserve">Demolido. Encaminhado para indeferimento em 17/11/2015</t>
  </si>
  <si>
    <t>01458.000255/2013-90</t>
  </si>
  <si>
    <t>Jataí</t>
  </si>
  <si>
    <t xml:space="preserve">Casa de Câmara e Cadeia (antiga), situada na Praça Professor Maromba</t>
  </si>
  <si>
    <t xml:space="preserve">Infor Arquivo: "23/08/1983 - Assessoria Jurídica - Teresa Beatriz - Vol. 1 - 13/02/1998 - Não localizado - Projur - Vol. 1"</t>
  </si>
  <si>
    <t xml:space="preserve">Pico de Itabira - Conjunto Paisagístico e Pico do Itabirito</t>
  </si>
  <si>
    <t xml:space="preserve">1961, 1966</t>
  </si>
  <si>
    <t xml:space="preserve">35, 46</t>
  </si>
  <si>
    <t xml:space="preserve">Na 46ª reunião do Conselho Consultivo foi aprovado solicitar à Presidência reconsiderar a decisão do destombamento do bem. Cancelada a Inscrição nº 31 no Livro do Tombo Arqueológico, Etnográfico e Paisagístico, por despacho do Presidente da República datado de 14/03/1967.</t>
  </si>
  <si>
    <t xml:space="preserve">Processo INDEFERIDO em 06/07/1962.</t>
  </si>
  <si>
    <t xml:space="preserve">Casa da Travessa Joaquim Távora, 60</t>
  </si>
  <si>
    <t xml:space="preserve">Lavatório da Igreja de Nossa Senhora da Boa Viagem</t>
  </si>
  <si>
    <t>MG3106200BMAR00001</t>
  </si>
  <si>
    <t xml:space="preserve">Coleção de cerâmica arqueológica de propriedade da Sra. Ilse Liebold</t>
  </si>
  <si>
    <t xml:space="preserve">Palácio de Cristal e Praça da Confluência</t>
  </si>
  <si>
    <t>RJ-3303906-BI-CA-00002</t>
  </si>
  <si>
    <t xml:space="preserve">Casimiro de Abreu</t>
  </si>
  <si>
    <t xml:space="preserve">Casa à Praça Marechal Deodoro ou Rua Bernardo Gomes, conhecida como casa de Casimiro de Abreu</t>
  </si>
  <si>
    <t>RJ3301306BIED00001</t>
  </si>
  <si>
    <t xml:space="preserve">Objeto: Bengala</t>
  </si>
  <si>
    <t>01450.011586/2008-68</t>
  </si>
  <si>
    <t xml:space="preserve">Edifício Sede da Escola Nacional de Engenharia (Largo de São Francisco )</t>
  </si>
  <si>
    <t>RJ3304557BIED00100</t>
  </si>
  <si>
    <t xml:space="preserve">1961, 1971</t>
  </si>
  <si>
    <t xml:space="preserve">36, 56, 136</t>
  </si>
  <si>
    <t xml:space="preserve">Por mais incrível que pareça o tombamento desse bem foi aprovado duas vezes, como se pode ver na ata 36 (1961) e na ata 56 (1971). Em 1989 foi aprovado o aumento na poligonal de tombamento</t>
  </si>
  <si>
    <t xml:space="preserve">O tombamento abrange a massa do edifício que interessa às imediações da Igreja de São Francisco de Paula, inclusive o pórtico e o vestíbulo e não a totalidade da edificação.(Resolução do Conselho Consultivo do IPHAN, em sessão realizada a 25/11/71."</t>
  </si>
  <si>
    <t>Itaboraí</t>
  </si>
  <si>
    <t>RJ3301900BIED00003</t>
  </si>
  <si>
    <t xml:space="preserve"> Casa da Fazenda Cruz, antigo solar dos Viscondes de Itaboraí </t>
  </si>
  <si>
    <t xml:space="preserve">Chácara do Visconde, ou casa de Monteiro Lobato, situada entre a Rua Guaratinguetá e a Avenida Campinas, abrangendo uma área de 9.996 m², em parte arborizada, limitada aos fundos pela Rua Guaraperanga e à frente por uma rua projetada, paralela à mesma rua</t>
  </si>
  <si>
    <t>SP-3554102-BI-ED-00001</t>
  </si>
  <si>
    <t xml:space="preserve">Cabo de Santo Agostinho</t>
  </si>
  <si>
    <t xml:space="preserve">Convento Carmelita: ruínas e Igreja de Nossa Senhora de Nazaré</t>
  </si>
  <si>
    <t>PE2602902BICA00001</t>
  </si>
  <si>
    <t xml:space="preserve">INDEFERIDO em 07/01/2020</t>
  </si>
  <si>
    <t>01458.000981/2012-21</t>
  </si>
  <si>
    <t xml:space="preserve">Rio Preto</t>
  </si>
  <si>
    <t xml:space="preserve">Casa: Rua Dr. Espiridião </t>
  </si>
  <si>
    <t>Nazaré</t>
  </si>
  <si>
    <t xml:space="preserve">Igreja de Nossa Senhora de Nazaré de Camamú</t>
  </si>
  <si>
    <t>BA2922508BIED00003</t>
  </si>
  <si>
    <t xml:space="preserve">Outro processo 488-T</t>
  </si>
  <si>
    <t>BA2922508BIED00004</t>
  </si>
  <si>
    <t xml:space="preserve">Sobrado à Travessa da Capela, 2, conhecida como Solar Ataíde</t>
  </si>
  <si>
    <t>BA2922508BIED00002</t>
  </si>
  <si>
    <t xml:space="preserve">Na SE/BA desde 19/06/2013</t>
  </si>
  <si>
    <t>01458.000391/2011-18</t>
  </si>
  <si>
    <t xml:space="preserve">Praça Alexandre Bittencourt, s/ nº, Casa dos Arcos, Mercado Municipal </t>
  </si>
  <si>
    <t xml:space="preserve">Para ETEC Porto Seguro em 30/09/2013</t>
  </si>
  <si>
    <t>01458.000652/2011-08</t>
  </si>
  <si>
    <t xml:space="preserve">Solar Arttur Sampaio, Nazaré</t>
  </si>
  <si>
    <t xml:space="preserve">Vistas do Cons. Paulo Ormindo - na SE-BA (08/06/2011)</t>
  </si>
  <si>
    <t xml:space="preserve">Casa Térrea com armazém, às margens do Rio Jaguaripe, nº 13, Nazaré, BA</t>
  </si>
  <si>
    <t xml:space="preserve">Casa à Praça Alexandre Bittencourt nº 13</t>
  </si>
  <si>
    <t xml:space="preserve">Casa à Rua Conselheiro Saraiva, Nazaré, BA</t>
  </si>
  <si>
    <t xml:space="preserve">Casa à Rua Barão Homem de Melo, Nazaré,BA</t>
  </si>
  <si>
    <t>BA2922508BIED00001</t>
  </si>
  <si>
    <t xml:space="preserve">INDEFERIDO em 07/02/2004.</t>
  </si>
  <si>
    <t xml:space="preserve">Casa Treze de Maio; Museu Pio XII; Museu de São Luís </t>
  </si>
  <si>
    <t xml:space="preserve">Capela de Nossa Senhora da Cabeça</t>
  </si>
  <si>
    <t>RJ3304557BIED00092</t>
  </si>
  <si>
    <t xml:space="preserve">Segundo Superintendência (Marcia Franqueira), estaria inserida em alguma poligonal delimitada por Portaria. Ver qual.</t>
  </si>
  <si>
    <t xml:space="preserve">Conforme notificação nº 963 de 02/02/196 foi tombada a Capela de Nossa Senhora da Cabeça, com os terrenos da antiga chácara do mesmo nome, à rua Faro nº 80. </t>
  </si>
  <si>
    <t>01458.000757/2009-34</t>
  </si>
  <si>
    <t xml:space="preserve">Conjunto arquitetônico do Antigo Horto Florestal da cidade do Rio de Janeiro</t>
  </si>
  <si>
    <t>RJ3304557BICA00006</t>
  </si>
  <si>
    <t xml:space="preserve">Reaberto em 03/07/2019. Memorando nº 39/2019/CGID/DEPAM informa sobre o desaparecimento do processo físico.</t>
  </si>
  <si>
    <t>01450.001415/2019-83</t>
  </si>
  <si>
    <t>Cametá</t>
  </si>
  <si>
    <t xml:space="preserve">Restos de Samaumeira</t>
  </si>
  <si>
    <t xml:space="preserve">Fernando de Noronha</t>
  </si>
  <si>
    <t xml:space="preserve">Forte de Nossa Senhora dos Remédios</t>
  </si>
  <si>
    <t>PE2611606BIED00001</t>
  </si>
  <si>
    <t>Paracatu</t>
  </si>
  <si>
    <t>MG3147006BIED00002</t>
  </si>
  <si>
    <t>MG3147006BIED00001</t>
  </si>
  <si>
    <t xml:space="preserve">Casa à rua Vinte e Oito de Setembro, 8</t>
  </si>
  <si>
    <t>BA2927408BIED00015</t>
  </si>
  <si>
    <t xml:space="preserve">Tombado como parte integrante do edifício tombado à Rua Saldanha da Gama, nº 25, denominado Casa Régia</t>
  </si>
  <si>
    <t xml:space="preserve">Capela de São Pedro Advíncula </t>
  </si>
  <si>
    <t>PE2609600BIED00001</t>
  </si>
  <si>
    <t xml:space="preserve">Edifício do antigo Aljube, na rua 13 de Maio, atual Museu de Arte Sacra</t>
  </si>
  <si>
    <t>PE2609600BIED00004</t>
  </si>
  <si>
    <t xml:space="preserve">Indeferido em 24/10/2021. Passivo DEPAM/RJ. Encaminhado à SE/GO em 24/04/2015</t>
  </si>
  <si>
    <t>01458.001487/2012-84</t>
  </si>
  <si>
    <t xml:space="preserve">Teatro Sete de Abril, Praça Coronel Pedro Osório, nº 160</t>
  </si>
  <si>
    <t>RS4314407BIED00003</t>
  </si>
  <si>
    <t>01450.011599/2009-37</t>
  </si>
  <si>
    <t xml:space="preserve">Colégio Militar do Rio de Janeiro: pavilhão de comando (Casa: São Francisco Xavier)</t>
  </si>
  <si>
    <t>RJ3304557BIED00080</t>
  </si>
  <si>
    <t xml:space="preserve">Casa à Rua da Ajuda, nº 1, denominada Casa do Ouvidor</t>
  </si>
  <si>
    <t>BA2917805BIED00003</t>
  </si>
  <si>
    <t xml:space="preserve">Processo INDEFERIDO em 15/05/1962.</t>
  </si>
  <si>
    <t xml:space="preserve">Campina Grande do Sul</t>
  </si>
  <si>
    <t xml:space="preserve">Casa: Floriano Peixoto (r.), 312</t>
  </si>
  <si>
    <t xml:space="preserve">Forte do Castelo</t>
  </si>
  <si>
    <t>PA1501402BIED00003</t>
  </si>
  <si>
    <t xml:space="preserve">Casa na Rua Colares Moreira, 84 , Sede da Academia Maranhense</t>
  </si>
  <si>
    <t>MA2111300BIED00007</t>
  </si>
  <si>
    <t xml:space="preserve">Origem: DEPAM 24/07/2012 / Destino: Superintendência 21/08/2012.</t>
  </si>
  <si>
    <t>01458.000927/2012-86</t>
  </si>
  <si>
    <t xml:space="preserve">Capela de São Pedro</t>
  </si>
  <si>
    <t>01458.000982/2012-76</t>
  </si>
  <si>
    <t xml:space="preserve">Casa: Palácio Velho</t>
  </si>
  <si>
    <t xml:space="preserve">Indeferido em 30/08/2021</t>
  </si>
  <si>
    <t>01458.000928/2012-21</t>
  </si>
  <si>
    <t xml:space="preserve">Casa: Rua D. Silvério (do Pai do Inconfidente José Álvares Maciel)</t>
  </si>
  <si>
    <t xml:space="preserve">Origem: DEPAM. Destino: SE-CE, para complementação da instrução técnica, em 27/04/2016. PARECER TÉCNICO nº 58/2022/DIVTEC IPHAN-CE/IPHAN-CE indicando proteção do Sítio Alagadiço Novo em  01/08/2022</t>
  </si>
  <si>
    <t>01458.002242/2008-98</t>
  </si>
  <si>
    <t xml:space="preserve">Casa natal de José de Alencar</t>
  </si>
  <si>
    <t>CE2304400BIED00001</t>
  </si>
  <si>
    <t xml:space="preserve">Processo reaberto para extensão do tombamento e inclusão do Sítio Alagadiço Novo</t>
  </si>
  <si>
    <t xml:space="preserve">Com a extensão do tombamento, passará a ter poligonal, já notificada.</t>
  </si>
  <si>
    <t xml:space="preserve">Teatro José de Alencar</t>
  </si>
  <si>
    <t>CE2304400BIED00004</t>
  </si>
  <si>
    <t xml:space="preserve">Há uma proposta de poligonal de entorno, nunca regulamentada</t>
  </si>
  <si>
    <t xml:space="preserve">Possui acervo tombado</t>
  </si>
  <si>
    <t>01450.009519/2005-31</t>
  </si>
  <si>
    <t xml:space="preserve">Conjunto Constituído pela Fortaleza de Nossa Senhora da Assunção, com o Material de Artilharia Composto pelos Canhões de n. 01 a 06, e pelo Antigo Quartel da Guarnição do Ceará, Atual Quartel da 10ª RM</t>
  </si>
  <si>
    <t>CE2304400BIED00003</t>
  </si>
  <si>
    <t>Itarema</t>
  </si>
  <si>
    <t xml:space="preserve">Igreja de Nossa Senhora da Conceição, com todo o seu recheio</t>
  </si>
  <si>
    <t>CE2300200BIED00001</t>
  </si>
  <si>
    <t>Icó</t>
  </si>
  <si>
    <t xml:space="preserve">Prédio da antiga Casa de Câmara e Cadeia na Praça da Matriz</t>
  </si>
  <si>
    <t>CE2305407BIED00001</t>
  </si>
  <si>
    <t xml:space="preserve">Igreja da N. Sra. da Lapa </t>
  </si>
  <si>
    <t xml:space="preserve">Igreja Matriz de Nossa Senhora dos Remédios, e respectivas imagens e alfaias</t>
  </si>
  <si>
    <t>RJ3303807BIED00005</t>
  </si>
  <si>
    <t xml:space="preserve">Igreja de Santa Rita, e respectivas imagens e alfaias</t>
  </si>
  <si>
    <t>RJ3303807BIED00004</t>
  </si>
  <si>
    <t xml:space="preserve">Igreja de Nossa Senhora das Dores, e respectivas imagens e alfaias</t>
  </si>
  <si>
    <t>RJ3303807BIED00002</t>
  </si>
  <si>
    <t xml:space="preserve">Igreja de Nossa Senhora do Rosário, e respectivas imagens e alfaias</t>
  </si>
  <si>
    <t>RJ3303807BIED00003</t>
  </si>
  <si>
    <t xml:space="preserve">Cemitério Protestante</t>
  </si>
  <si>
    <t>SC4209102BICA00001</t>
  </si>
  <si>
    <t xml:space="preserve">INDEFERIDO em 27/05/2008.</t>
  </si>
  <si>
    <t xml:space="preserve">Casa: Rua Afonso Pena, 46 (Edifício Sede dos Diários Associados)</t>
  </si>
  <si>
    <t xml:space="preserve">Arquivo verificar. De acordo com as informações do processo, o bem está inserido no Conjunto Arquitetônico e Paisagístico da Cidade de São Luís. VER SE FOI APENSADO, SENÃO MANDAR APENSAR.</t>
  </si>
  <si>
    <t xml:space="preserve">Entranhado no Processo 0216-T-39.</t>
  </si>
  <si>
    <t xml:space="preserve">Arquivo: Convento do Carmo</t>
  </si>
  <si>
    <t xml:space="preserve">Motivada DESPACHO Nº 149/2023 CGN/DEPAM de 14/08/2023 (SEI nº 01450.002602/2022-80). Reabertura do processo em 18/10/2023. Solicitada a  instrução para a rerratificação em 27/10/2023</t>
  </si>
  <si>
    <t>01458.000140/2022-96</t>
  </si>
  <si>
    <t xml:space="preserve">Avenida Koeler: conjunto urbano-paisagístico</t>
  </si>
  <si>
    <t xml:space="preserve">Instituto Histórico de Petrópolis</t>
  </si>
  <si>
    <t>RJ-3303906-BI-CU-00001</t>
  </si>
  <si>
    <t xml:space="preserve">08/06/1964; 11/07/1980; 14/01/1982</t>
  </si>
  <si>
    <t xml:space="preserve">1964, 1980, 1981</t>
  </si>
  <si>
    <t xml:space="preserve">42, 90, 91, 95, 116</t>
  </si>
  <si>
    <t xml:space="preserve">1980, 1982, 1985</t>
  </si>
  <si>
    <t xml:space="preserve">Conjunto tombado inicialmente apenas com a Avenida Koeler (1964), que sofreu duas extensões (1980 e 1982), onde se incluem 4 conjuntos fabris estando dois deles fora do núcleo urbano inicial da cidade. 
Outras Inscrições:
Liv. Arq./Etn./Psg. Nº inscr.: 080 ; Vol. 01 ; F. 22 ; Data: 11/07/1980
Nº inscr.: 084 ; Vol. 01 ; F. 24 ; Data: 14/01/1982
OBS.: O processo 001-E-96 - define a Portaria de Entorno.
Ver, no final da listagem dos bens localizados no Estado do Rio de Janeiro, documento explicativo discriminando todos os bens incluídos em cada uma das inscrições acima registradas, todas elas referentes ao Conjunto urbano-paisagístico constituído pela Avenida Koeller.
</t>
  </si>
  <si>
    <t>1996/2007</t>
  </si>
  <si>
    <t xml:space="preserve">Entorno e Normatização: Portaria Iphan nº 213/96. Estudos para revisão (contratação Monumenta): 2007. </t>
  </si>
  <si>
    <t xml:space="preserve">Processo INDEFERIDO em 22/06/1962.</t>
  </si>
  <si>
    <t>Macaíba</t>
  </si>
  <si>
    <t xml:space="preserve">Casa do Engenho do Ferreiro Torto</t>
  </si>
  <si>
    <t xml:space="preserve">Imagens, 13: Nossa Senhora das Candeias (02), Santos Reis Magos (02 conjuntos), Senhor Morto (02), Nossa Senhora das Dores e Nossa Senhora da Conceição (02)</t>
  </si>
  <si>
    <t>RN-2408102-BM-AC-00001</t>
  </si>
  <si>
    <t xml:space="preserve">Vila Flor</t>
  </si>
  <si>
    <t xml:space="preserve">Casa de Câmara e Cadeia: ruínas</t>
  </si>
  <si>
    <t>RN2415008BIED00001</t>
  </si>
  <si>
    <t xml:space="preserve">Discutida durante as Oficinas Regionais em 2011, mas sem encaminhamentos posteriores.</t>
  </si>
  <si>
    <t>Canguaretama</t>
  </si>
  <si>
    <t xml:space="preserve">Engenho do Cunhau: ruínas da capela</t>
  </si>
  <si>
    <t>RN2402204BIED00001</t>
  </si>
  <si>
    <t>Caicó</t>
  </si>
  <si>
    <t xml:space="preserve">Imagens, 02: Santana e Nossa Senhora do Rosário</t>
  </si>
  <si>
    <t>RN2402006BMAC00001</t>
  </si>
  <si>
    <t>Arês</t>
  </si>
  <si>
    <t xml:space="preserve">Portão do Cemitério de Arês</t>
  </si>
  <si>
    <t>RN2401206BMAC00001</t>
  </si>
  <si>
    <t xml:space="preserve">Casa à Rua da Conceição, 601, atual Museu Histórico</t>
  </si>
  <si>
    <t>RN2408102BIED00001</t>
  </si>
  <si>
    <t xml:space="preserve">Teatro da Paz</t>
  </si>
  <si>
    <t>PA1501402BIED00015</t>
  </si>
  <si>
    <t xml:space="preserve">Catedral Metropolitana</t>
  </si>
  <si>
    <t>DF5300108BIED00022</t>
  </si>
  <si>
    <t xml:space="preserve">Inserida na poligonal de tombamento do Conjunto Urbanístico de Brasília</t>
  </si>
  <si>
    <t xml:space="preserve">Indeferimento. O bem faz parte do conjunto da Igreja de Nossa Senhora da Piedade (463-T-52), recomendação de infederimento e rerratificação do 463-T-52. INDEFERIDO EM 21/06/2019</t>
  </si>
  <si>
    <t>01458.000279/2013-49</t>
  </si>
  <si>
    <t xml:space="preserve">Antigo Hospício Carmelitano</t>
  </si>
  <si>
    <t xml:space="preserve">Acervo arquitetônico e urbanístico da cidade de Olinda</t>
  </si>
  <si>
    <t>PE-2609600-BI-CU-00001</t>
  </si>
  <si>
    <t xml:space="preserve">50, 74, 117</t>
  </si>
  <si>
    <t xml:space="preserve">1976, 1985</t>
  </si>
  <si>
    <t xml:space="preserve">Na reunião nº  74 (1976), foi aprovada a extensão da área tombada em 1968, alterada de novo na reunião 117 (1985).</t>
  </si>
  <si>
    <t xml:space="preserve">Informações sobre delimitação das poligonais no Sambaqui. Planta demarcada no Processo 674-T-62. Ver fls. 19 do Livro Arqueológico, Etnográfico e Paisagístico."</t>
  </si>
  <si>
    <t>SE2806701BIED00006</t>
  </si>
  <si>
    <t xml:space="preserve">Processo INDEFERIDO em 08/04/2014</t>
  </si>
  <si>
    <t>01458.000909/2013-85</t>
  </si>
  <si>
    <t>Tucunduva</t>
  </si>
  <si>
    <t xml:space="preserve">Igreja Ortodoxa</t>
  </si>
  <si>
    <t xml:space="preserve">Reaberto - processo estava desaparecido.</t>
  </si>
  <si>
    <t>01450.001416/2019-28</t>
  </si>
  <si>
    <t>Caxambu</t>
  </si>
  <si>
    <t xml:space="preserve">Igreja de Santa Isabel </t>
  </si>
  <si>
    <t xml:space="preserve">Engenho dos Erasmos: ruínas</t>
  </si>
  <si>
    <t>SP3548500BIED00002</t>
  </si>
  <si>
    <t>Estância</t>
  </si>
  <si>
    <t xml:space="preserve">Casa à Praça Rio Branco, 35</t>
  </si>
  <si>
    <t>SE2802106BIED00001</t>
  </si>
  <si>
    <t xml:space="preserve">Em tratamento via projeto BNDES (18/01/2016)</t>
  </si>
  <si>
    <t>Touros</t>
  </si>
  <si>
    <t xml:space="preserve">Marco Quinhentista, na praia do Marco</t>
  </si>
  <si>
    <t>RN2414407BIED00001</t>
  </si>
  <si>
    <t xml:space="preserve">Livro Histórico, vol.1, Inscrição: 352, Folha: 057.</t>
  </si>
  <si>
    <t xml:space="preserve">Casa à Praça Marechal Floriano Peixoto, nº 16, antiga casa do Visconde de Itaborai, atual Forum</t>
  </si>
  <si>
    <t>RJ-3301900-BI-ED-00001</t>
  </si>
  <si>
    <t xml:space="preserve">Ofício que informa o INDEFERIMENTO do Processo em 16/08/1962.</t>
  </si>
  <si>
    <t xml:space="preserve">Palácio de Chico Rei</t>
  </si>
  <si>
    <t xml:space="preserve">Casa à Avenida  2, nº  572,  esquina com rua 7, Sobrado do Barão de Dourados</t>
  </si>
  <si>
    <t>SP3543907BIED00001</t>
  </si>
  <si>
    <t xml:space="preserve">Rua Carneiro de Campos, Sodré e Travessa Aquino Gaspar: conjunto arquitetônico</t>
  </si>
  <si>
    <t>BA2927408BICA00004</t>
  </si>
  <si>
    <t xml:space="preserve">Solicitada vistoria em 13/12/2021</t>
  </si>
  <si>
    <t>01458.001008/2012-20</t>
  </si>
  <si>
    <t xml:space="preserve">Igreja da praça das Fronteiras</t>
  </si>
  <si>
    <t xml:space="preserve">Solicitada vistoria em 13/12/2021. CGID, 24/08/2015. Dois bens, mas indica o tombamento apenas desse.</t>
  </si>
  <si>
    <t xml:space="preserve">Igreja de São João (junto ao cemitério)</t>
  </si>
  <si>
    <t xml:space="preserve">INDEFERIDO em 6/1/2022. Origem: DEPAM. Destino: SE-RJ. 26/08/2014</t>
  </si>
  <si>
    <t>01458.000927/2014-48</t>
  </si>
  <si>
    <t xml:space="preserve">Casa: Boticário (Beco e Largo)</t>
  </si>
  <si>
    <t xml:space="preserve">sem data</t>
  </si>
  <si>
    <t>abaixo-assinado</t>
  </si>
  <si>
    <t xml:space="preserve">Observação arquivo: "tombado pelo INEPAC"</t>
  </si>
  <si>
    <t xml:space="preserve">INDEFERIDO em 5/11/2021. Origem: DEPAM. Destino: SE-BA, em 06/06/2016</t>
  </si>
  <si>
    <t>01458.000657/2013-94</t>
  </si>
  <si>
    <t>Ilhéus</t>
  </si>
  <si>
    <t xml:space="preserve">Casa Grande da Fazenda São João</t>
  </si>
  <si>
    <t xml:space="preserve">Casa à Rua das Palmeiras, 55, atual Museu do Índio</t>
  </si>
  <si>
    <t>RJ3304557BIED00081</t>
  </si>
  <si>
    <t xml:space="preserve">1963, 1964</t>
  </si>
  <si>
    <t xml:space="preserve">41, 43</t>
  </si>
  <si>
    <t xml:space="preserve">A Portaria 29/80 estabeleceu parâmetros, mas não delimitou área. O prédio faz parte integrante de um conjunto residencial, característico de uma época, constituído por mais dois outros da rua das Palmeiras, nº 35 e rua Sorocaba, nº 200...Informações sobre delimitação das poligonais: DEPAM-RJ 98-99</t>
  </si>
  <si>
    <t xml:space="preserve">Casa à Praça Quinze de Novembro, nº 101 (antigo Convento do Carmo), atual sede da Academia de Comércio</t>
  </si>
  <si>
    <t>RJ3304557BIED00085</t>
  </si>
  <si>
    <t xml:space="preserve">41, 42</t>
  </si>
  <si>
    <t xml:space="preserve">Inserida no conjunto da Praça XV</t>
  </si>
  <si>
    <t xml:space="preserve">Ruínas do Convento de São Boaventura na Fazenda Macacu</t>
  </si>
  <si>
    <t>RJ-3301900-BI-ED-00002</t>
  </si>
  <si>
    <t xml:space="preserve">Info Arquivo: "13/04/99 - DEPROT - Claudia Girão". Tem cópia na Superintendência do Ceará, Ramiro vai mandar (07/11/2014). Encaminhado à SE em 08/01/2015</t>
  </si>
  <si>
    <t>01458.001663/2014-40</t>
  </si>
  <si>
    <t xml:space="preserve">Diversos Monumentos</t>
  </si>
  <si>
    <t>01458.000654/2013-51</t>
  </si>
  <si>
    <t xml:space="preserve">Acervo do Museu de Arte Sacra</t>
  </si>
  <si>
    <t>AM</t>
  </si>
  <si>
    <t>Manaus</t>
  </si>
  <si>
    <t xml:space="preserve">Teatro Amazonas</t>
  </si>
  <si>
    <t>AM1302603BIED00002</t>
  </si>
  <si>
    <t xml:space="preserve">INDEFERIDO em 28/07/1997.</t>
  </si>
  <si>
    <t xml:space="preserve">Teatro Artur de Azevedo</t>
  </si>
  <si>
    <t xml:space="preserve">Consta: "Pertence ao "Conjunto arquitetônico e paisagístico de São Luís", tombado conforme Processo 454-T-57, em 13/03/74"/ "não tem valor para tombamento individual a nível federal"</t>
  </si>
  <si>
    <t xml:space="preserve">Processo INDEFERIDO em 28/07/1997.</t>
  </si>
  <si>
    <t xml:space="preserve">Teatro 4 de Setembro</t>
  </si>
  <si>
    <t xml:space="preserve">INDEFERIDO em 28/12/2015</t>
  </si>
  <si>
    <t>01458.000358/2014-31</t>
  </si>
  <si>
    <t xml:space="preserve">Teatro Alberto Maranhão</t>
  </si>
  <si>
    <t xml:space="preserve">Edmundo Ferrão Moniz de Aragão - Diretordo Serviço Nacional de Teatro</t>
  </si>
  <si>
    <t xml:space="preserve">Processo estrava como desaparecido, encontrado no DEPAM/RJ. Encaminhado à SE/PB em 24/04/2015</t>
  </si>
  <si>
    <t>01458.000908/2013-31</t>
  </si>
  <si>
    <t xml:space="preserve">Teatro Santa Rosa</t>
  </si>
  <si>
    <t>Maceió</t>
  </si>
  <si>
    <t xml:space="preserve">Teatro Marechal Deodoro</t>
  </si>
  <si>
    <t xml:space="preserve">Teatro Sete de Setembro</t>
  </si>
  <si>
    <t xml:space="preserve">Enviado a Superintendência para instrução. Origem: DEPAM / Destino: Superintendência em 28/06/2012. PARECER TÉCNICO nº 318/2019/COTEC IPHAN-MG/IPHAN-MG.</t>
  </si>
  <si>
    <t>01458.000848/2012-75</t>
  </si>
  <si>
    <t xml:space="preserve">Teatro ou Casa da Ópera</t>
  </si>
  <si>
    <t xml:space="preserve">Teatro Leal - Teatro de Friburgo; Cinema Leal</t>
  </si>
  <si>
    <t xml:space="preserve">Processo INDEFERIDO em 23/09/2013</t>
  </si>
  <si>
    <t>01458.001647/2012-95</t>
  </si>
  <si>
    <t xml:space="preserve">Teatro João Caetano</t>
  </si>
  <si>
    <t xml:space="preserve">Casa que pertenceu ao Visconde de Pelotas, na Rua Duque de Caxias, número novecentos e sessenta e oito</t>
  </si>
  <si>
    <t xml:space="preserve">RS4314902BIED00001 </t>
  </si>
  <si>
    <t xml:space="preserve">Origem: DEPAM,  Destino: Presidência, em 18/08/2015, com indicação de indeferimento</t>
  </si>
  <si>
    <t>01458.000907/2013-96</t>
  </si>
  <si>
    <t xml:space="preserve">Sítio Santo Amaro; Casa de José Bonifácio-ruínas</t>
  </si>
  <si>
    <t xml:space="preserve">Encaminhado ao Arquivo em 10/04/2017</t>
  </si>
  <si>
    <t>01458.000906/2013-41</t>
  </si>
  <si>
    <t>Barcarena</t>
  </si>
  <si>
    <t xml:space="preserve">Casa: Cafezal (Fazenda)</t>
  </si>
  <si>
    <t xml:space="preserve">Leandro Tocantins</t>
  </si>
  <si>
    <t xml:space="preserve">Processo INDEFERIDO em 07/05/1999.</t>
  </si>
  <si>
    <t xml:space="preserve">Hospital de Caridade - antigo; Casa: à praça Caetano Brandão, ex-Largo da Sé</t>
  </si>
  <si>
    <t xml:space="preserve">Edifício do antigo Hospital Militar, na Praça Frei Caetano Brandão, ex-largo da Sé</t>
  </si>
  <si>
    <t>PA1501402BIED00004</t>
  </si>
  <si>
    <t xml:space="preserve">Processo INDEFERIDO em 22/01/1970.</t>
  </si>
  <si>
    <t xml:space="preserve">Solar do Barão do Japurá (antigo); Rocinha (antiga) do Barão de Japurá</t>
  </si>
  <si>
    <t xml:space="preserve">1969, 1970</t>
  </si>
  <si>
    <t xml:space="preserve">52, 53</t>
  </si>
  <si>
    <t xml:space="preserve">O tombamento foi aprovado na 52ª reunião do Conselho Consultivo (1969), mas cancelado na reunião seguinte (1970)</t>
  </si>
  <si>
    <t xml:space="preserve">Verificar se o 841  foi anexado a esse!</t>
  </si>
  <si>
    <t xml:space="preserve">Antigo Palácio do Governo, atual Palácio Lauro Sodré, sede do Governo do Estado</t>
  </si>
  <si>
    <t>PA1501402BIED00012</t>
  </si>
  <si>
    <t xml:space="preserve">Projeto do arquiteto Antonio José Landi</t>
  </si>
  <si>
    <t xml:space="preserve">O Processo foi ANEXADO ao Processo 1023-T-80, que por sua vez foi anexado ao 1071-T-82. Neste último, corresponde às folhas 125 a 132 do volume I.</t>
  </si>
  <si>
    <t xml:space="preserve">Igreja de São Francisco da Penitência (Capela da Ordem Terceira)</t>
  </si>
  <si>
    <t xml:space="preserve">não cadastrado no SICG (só está cadastrado o conjunto arquitetônico ao qual pertence este bem)</t>
  </si>
  <si>
    <t xml:space="preserve">O Processo 0711-T-63 foi ANEXADO ao processo 1071-T-82 (Conjunto arquitetônico dos bairros da Cidade Velha e Campina)  em 21/10/2010 (corresponde às folhas 03 a 62 do volume I)</t>
  </si>
  <si>
    <t xml:space="preserve">Sobrado azulejado da família Pombo</t>
  </si>
  <si>
    <t>PA-1501402-BI-ED-00027</t>
  </si>
  <si>
    <t xml:space="preserve">Inserido no conjunto tombado pleo processo 1071-T-82 em 03/05/2011, com indicação do Conselho Consultivo de ver se é o caso de tombar isoladamente.</t>
  </si>
  <si>
    <t xml:space="preserve">Capela Senhor Bom Jesus dos Passos</t>
  </si>
  <si>
    <t>PA-1501402-BI-ED-00028</t>
  </si>
  <si>
    <t>Barbacena</t>
  </si>
  <si>
    <t xml:space="preserve">Igreja Matriz de Nossa Senhora da Piedade e seu acervo móvel e integrado</t>
  </si>
  <si>
    <t>MG3105608BIED00002</t>
  </si>
  <si>
    <t xml:space="preserve">1968, 1986</t>
  </si>
  <si>
    <t xml:space="preserve">50, 122</t>
  </si>
  <si>
    <t xml:space="preserve">Na 50ª reunião do Conselho Consultivo, o tombamento foi negado  por falta de recursos da SPHAN para restaurar de forma satisfatória a Igreja. Aprovado apenas em 1986, na 122ª reunião</t>
  </si>
  <si>
    <t xml:space="preserve">A inscrição no Livro do Tombo Histórico se refere à Igreja e ao seu acervo móvel e integrado, enquanto a inscrição no Livro do Tombo das Belas Artes se refere somente ao acervo móvel e integrado.</t>
  </si>
  <si>
    <t xml:space="preserve">Palmeira dos Índios</t>
  </si>
  <si>
    <t xml:space="preserve">Casa à avenida General Gabino Bezouro, nº 12, "Casa de Graciliano Ramos"</t>
  </si>
  <si>
    <t>AL2706307BIED00001</t>
  </si>
  <si>
    <t>Piracicaba</t>
  </si>
  <si>
    <t xml:space="preserve">Casa onde viveu e faleceu o Presidente Prudente de Moraes, englobando edificação, terreno e anexos localizados no endereço citado, bem como o acervo listado nos autos do processo</t>
  </si>
  <si>
    <t>SP3538709BIED00001</t>
  </si>
  <si>
    <t xml:space="preserve">1969, 2002</t>
  </si>
  <si>
    <t xml:space="preserve">52, 33</t>
  </si>
  <si>
    <t xml:space="preserve">Tombamento aprovado em 1969, mas não inscrito. Em 2003 foi aprovada a poligonal de tombamento.</t>
  </si>
  <si>
    <t xml:space="preserve">INDEFERIDO em 31/10/2021. Origem: DEPAM 24/08/2012 / Destino: Superintendência 08/10/2012 </t>
  </si>
  <si>
    <t>01458.000929/2012-75</t>
  </si>
  <si>
    <t xml:space="preserve">Três Marias</t>
  </si>
  <si>
    <t xml:space="preserve">Igreja Mercês (capela)</t>
  </si>
  <si>
    <t xml:space="preserve">Encaminhado para instrução em 18/4/24.</t>
  </si>
  <si>
    <t>01458.000661/2013-52</t>
  </si>
  <si>
    <t xml:space="preserve">Conjunto Arquitetônico e Paisagístico de Jaguaripe</t>
  </si>
  <si>
    <t xml:space="preserve">Sobrado azulejado à Praça Cairú, nº19</t>
  </si>
  <si>
    <t>BA2927408BIED00024</t>
  </si>
  <si>
    <t xml:space="preserve">Casa à Rua Sorocaba, 200 (Sede do Museu Villa-Lobos)</t>
  </si>
  <si>
    <t>RJ3304557BIED00060</t>
  </si>
  <si>
    <t xml:space="preserve">A Portaria 29/80 estabeleceu parâmetros, mas não delimitou área. O prédio faz parte integrante de um conjunto residencial, característico de uma época, constituído por mais dois outros da rua das Palmeiras, nº 35 e 55.Normatização: Portaria Iphan nº 29/80</t>
  </si>
  <si>
    <t xml:space="preserve">Comendador Levy Gasparian</t>
  </si>
  <si>
    <t xml:space="preserve">Edifício da antiga Estação Rodoviária de Paraibuna, Estrada União Indústria</t>
  </si>
  <si>
    <t>RJ3300951BIED00001</t>
  </si>
  <si>
    <t>Berilo</t>
  </si>
  <si>
    <t>MG3106507BIED00002</t>
  </si>
  <si>
    <t xml:space="preserve">“Inclusive imaginária e alfaias". </t>
  </si>
  <si>
    <t>MG3106507BIED00001</t>
  </si>
  <si>
    <t>MG3141801BIED00001</t>
  </si>
  <si>
    <t>Carmo</t>
  </si>
  <si>
    <t>RJ3301207BIED00001</t>
  </si>
  <si>
    <t xml:space="preserve">Origem: DEPAM. Destino: presidência, em 24/08/2015. Indicação de indeferimento.</t>
  </si>
  <si>
    <t>01458.001009/2012-74</t>
  </si>
  <si>
    <t xml:space="preserve">Duas Barras</t>
  </si>
  <si>
    <t xml:space="preserve">Conjunto Arquitetônico e Urbanístico da Praça Governador Portela (principalmente a igreja Matriz Nossa Senhora da Conceição)</t>
  </si>
  <si>
    <t xml:space="preserve">Óleo " Pescadores" de autoria de R. Bernadelli</t>
  </si>
  <si>
    <t xml:space="preserve">Indeferido em 02/07/2019</t>
  </si>
  <si>
    <t>01458.000089/2016-74</t>
  </si>
  <si>
    <t xml:space="preserve">Casa à rua Coronel Guilherme Rocha, nº 33 a 45; Caixa Econômica Federal do Ceará - sede; Palacete Ceará; Rotisserie Sportman</t>
  </si>
  <si>
    <t xml:space="preserve">Caixa Econômica Federal</t>
  </si>
  <si>
    <t xml:space="preserve">Processo INDEFERIDO em 01/08/1997.</t>
  </si>
  <si>
    <t xml:space="preserve">Casa onde nasceram Joaquim Duarte Murtinho e Dom Francisco de Aquino Correâ</t>
  </si>
  <si>
    <t xml:space="preserve">Casa à Rua Pedro II, nº 215, conhecida como "Casa Azul"</t>
  </si>
  <si>
    <t>MG3156700BIED00002</t>
  </si>
  <si>
    <t>Iperó</t>
  </si>
  <si>
    <t xml:space="preserve">Área onde se encontram os remanescentes da Real Fábrica de Ferro de Ipanema</t>
  </si>
  <si>
    <t>SP-3521002-BI-CA-00001</t>
  </si>
  <si>
    <t xml:space="preserve">Edifício-sede do Museu Antônio Parreiras, à rua Tiradentes, nº 47, em Niterói, incluindo toda a área arborizada integrante da mesma propriedade, com as dimensões e confrontações constantes da planta que instruiu o processo</t>
  </si>
  <si>
    <t>Acari</t>
  </si>
  <si>
    <t>RN2400109BIED00001</t>
  </si>
  <si>
    <t>RN2400109BIED00002</t>
  </si>
  <si>
    <t xml:space="preserve">São Gonçalo do Amarante</t>
  </si>
  <si>
    <t>RN2412005BIED00001</t>
  </si>
  <si>
    <t xml:space="preserve">Igreja do Bom Jesus</t>
  </si>
  <si>
    <t>RJ3304557BIED00025</t>
  </si>
  <si>
    <t xml:space="preserve">Origem: DEPAM 02/07/2013. Destino: 16/07/2013.</t>
  </si>
  <si>
    <t>01458.001486/2012-30</t>
  </si>
  <si>
    <t xml:space="preserve">Conjunto Arquitetônico, Urbanístico e Paisagístico de Planaltina</t>
  </si>
  <si>
    <t xml:space="preserve">Processo INDEFERIDO em 22/04/1970.</t>
  </si>
  <si>
    <t xml:space="preserve">Conjunto Arquitetônico, Urbanístico e Paisagístico da Vila de Cananéia</t>
  </si>
  <si>
    <t xml:space="preserve">arquivado em 22.04.1970 a pedido do então Presidente do IPHAN, Renato Soeiro, sendo a principal justificativa para tal, que a preservação ficaria a cargo do Condephaat</t>
  </si>
  <si>
    <t xml:space="preserve">Processo INDEFERIDO em 21/05/1990.</t>
  </si>
  <si>
    <t xml:space="preserve">Fazenda do Ribeirão (ou Fazenda do Ribeirão de Alberto Dias, ou Fazenda Lopes de Oliveira)</t>
  </si>
  <si>
    <t>Campinas</t>
  </si>
  <si>
    <t xml:space="preserve">Edifício à rua Regente Feijó, esquina da rua Ferreira Penteado, conhecido como Palácio dos Azulejos</t>
  </si>
  <si>
    <t>SP3509502BIED00001</t>
  </si>
  <si>
    <t xml:space="preserve">Despacho para INDEFERIR o Processo em 03/11/1964.</t>
  </si>
  <si>
    <t>Piraí</t>
  </si>
  <si>
    <t xml:space="preserve">Igreja: Matriz de Sant'Ana </t>
  </si>
  <si>
    <t>Guaratinguetá</t>
  </si>
  <si>
    <t xml:space="preserve">Casa de Rodrigues Alves</t>
  </si>
  <si>
    <t>SP3518404BIED00001</t>
  </si>
  <si>
    <t xml:space="preserve">Conjunto Arquitetônico, Urbanístico e Paisagístico da Praça Frei Caetano Brandão, Ex-largo da Sé ; Largo da Sé (Antigo) (Belém, PA)</t>
  </si>
  <si>
    <t>PA1501402BICA00005</t>
  </si>
  <si>
    <t xml:space="preserve">Igreja de Nossa Senhora da Corrente </t>
  </si>
  <si>
    <t>AL2706703BIED00003</t>
  </si>
  <si>
    <t xml:space="preserve">Igreja de São Gonçalo Garcia</t>
  </si>
  <si>
    <t>AL2706703BIED00002</t>
  </si>
  <si>
    <t xml:space="preserve">Casa natal do Marechal Deodoro da Fonseca</t>
  </si>
  <si>
    <t>AL2704708BIED00002</t>
  </si>
  <si>
    <t xml:space="preserve">Casa à Rua das Palmeiras, 35</t>
  </si>
  <si>
    <t>RJ3304557BIED00082</t>
  </si>
  <si>
    <t xml:space="preserve">A Portaria 29/80 estabeleceu parâmetros, mas não delimitou área. O prédio faz parte integrante de um conjunto residencial, característico de uma época, constituído por mais dois outros da rua das Palmeiras, nº 55 e rua Sorocaba, nº 200."...Informações sobre delimitação das poligonais: DEPAM-RJ 98-99</t>
  </si>
  <si>
    <t>Jundiaí</t>
  </si>
  <si>
    <t xml:space="preserve">Igreja Matriz do Núcleo Colonial Barão de Jundiaí</t>
  </si>
  <si>
    <t xml:space="preserve">Área do Passeio Público, Antiga Praça dos Mártires</t>
  </si>
  <si>
    <t>CE2304400BICU00001</t>
  </si>
  <si>
    <t xml:space="preserve">Sua poligonal de entorno é a mesma posteriormente definida no tombamento da Fortaleza de N.S. da Assunção, lindeira a esta praça</t>
  </si>
  <si>
    <t>Quixeramobim</t>
  </si>
  <si>
    <t>CE2311405BIED00001</t>
  </si>
  <si>
    <t xml:space="preserve">INDEFERIDO em 07/07/2020</t>
  </si>
  <si>
    <t>01458.000660/2013-16</t>
  </si>
  <si>
    <t xml:space="preserve">Campo Formoso</t>
  </si>
  <si>
    <t xml:space="preserve">Igreja: Nossa Senhora do Burburi (Capela); Igreja da Gameleira</t>
  </si>
  <si>
    <t xml:space="preserve">Fazenda da Babilônia: casa e dependências</t>
  </si>
  <si>
    <t>GO5217302BICA00001</t>
  </si>
  <si>
    <t xml:space="preserve">Restituído ao Arquivo Central, após anexação do processo nº 1755-T-15, referente ao “Viaduto Paulo Bittencourt” </t>
  </si>
  <si>
    <t>01458.000177/2016-76</t>
  </si>
  <si>
    <t xml:space="preserve">Aterro do Flamengo</t>
  </si>
  <si>
    <t>RJ-3304557-PS-JD-00004</t>
  </si>
  <si>
    <t xml:space="preserve">16 imagens representando a morte de Nossa Senhora da Boa Morte, conservadas na Capela de São José</t>
  </si>
  <si>
    <t>RN2402204BMAC00001</t>
  </si>
  <si>
    <t xml:space="preserve">São José de Mipibu</t>
  </si>
  <si>
    <t xml:space="preserve">Imagens, 08: Nossa Senhora das Dores, São Pedro, Santana Mestra, São Joaquim, Nossa Senhora da Conceição, Jesus ressuscitado, Nossa Senhora do Rosário com menino Jesus,  São Sebastião e lavabo</t>
  </si>
  <si>
    <t>RN2412203BMAR00001</t>
  </si>
  <si>
    <t xml:space="preserve">INDEFERIDO em 01/10/2014.</t>
  </si>
  <si>
    <t>01551.000083/2014-77</t>
  </si>
  <si>
    <t xml:space="preserve">Casa: sítio na rodovia ligando Brasilia a Sobradinho</t>
  </si>
  <si>
    <t xml:space="preserve">Edifício de dois pavimentos com frontaria azulejada na Rua do Comércio, 94/96 e 98</t>
  </si>
  <si>
    <t>SP3548500BIED00004</t>
  </si>
  <si>
    <t xml:space="preserve">Forte de São Felipe</t>
  </si>
  <si>
    <t>SP3518701BIED00001</t>
  </si>
  <si>
    <t xml:space="preserve">O tombamento, por extensão, abrange toda a área que pertence ao Forte, inclusive aquela onde se encontram os restos da antiga armação de pescas de baleias, também chamada Santo Antônio do Guaibé</t>
  </si>
  <si>
    <t xml:space="preserve">Processo INDEFERIDO em 10/10/1995.</t>
  </si>
  <si>
    <t xml:space="preserve">Igreja: São Tomé de Paripe; Capela de São Tomé de Paripe</t>
  </si>
  <si>
    <t xml:space="preserve">Encaminhado para instrução em 25/4/22. Solicitação de rerratificação</t>
  </si>
  <si>
    <t>01510.002718/2016-19</t>
  </si>
  <si>
    <t xml:space="preserve">Parque à Rua Marechal Deodoro, 365</t>
  </si>
  <si>
    <t>SC4209102PSPS00001</t>
  </si>
  <si>
    <t xml:space="preserve">Casa do Sítio Mirim</t>
  </si>
  <si>
    <t>SP3550308BIED00010</t>
  </si>
  <si>
    <t xml:space="preserve">INDEFERIDO em 13/12/2019</t>
  </si>
  <si>
    <t>01458.000930/2012-08</t>
  </si>
  <si>
    <t xml:space="preserve">Alto Maranhão</t>
  </si>
  <si>
    <t xml:space="preserve">Igreja de Nossa Senhora da Ajuda </t>
  </si>
  <si>
    <t>01500.001242/2012-94</t>
  </si>
  <si>
    <t xml:space="preserve">Cabo Frio, RJ: conjunto paisagístico</t>
  </si>
  <si>
    <t>RJ-3300704-BI-CU-00001</t>
  </si>
  <si>
    <t xml:space="preserve">47, 48</t>
  </si>
  <si>
    <t xml:space="preserve">Informações sobre delimitação das poligonais: DEPAM-RJ 98-99. </t>
  </si>
  <si>
    <t xml:space="preserve"> Portaria 352 31/07/2012</t>
  </si>
  <si>
    <t xml:space="preserve">Palácio do Govêrno, à Praça Sete de Setembro</t>
  </si>
  <si>
    <t>RN-2408102-BI-ED-00011</t>
  </si>
  <si>
    <t>PE2611606BIED00010</t>
  </si>
  <si>
    <t xml:space="preserve">INDEFERIDO em 09/06/2020</t>
  </si>
  <si>
    <t>01458.001024/2013-01</t>
  </si>
  <si>
    <t xml:space="preserve">Ponte: Boa Vista</t>
  </si>
  <si>
    <t xml:space="preserve">Igreja de Nossa Senhora do Pilar</t>
  </si>
  <si>
    <t>PE2611606BIED00026</t>
  </si>
  <si>
    <t xml:space="preserve">Já tem análise do DEPAM e da Procuradoria, mas essa colocou dúvidas. Foi devolvido pra SE-RJ em 22/09/2016 para esclarecer</t>
  </si>
  <si>
    <t xml:space="preserve">01500.002827/2009-26 </t>
  </si>
  <si>
    <t xml:space="preserve">Parque Nacional da Tijuca e Florestas de proteção  acima das cotas de oitenta e cem metros</t>
  </si>
  <si>
    <t>RJ3304557PSPS00002</t>
  </si>
  <si>
    <t xml:space="preserve">1966, 1998</t>
  </si>
  <si>
    <t xml:space="preserve">47, 16</t>
  </si>
  <si>
    <t xml:space="preserve">Rerratificação aprovada em 1998, durante a 16ª Reunião do Conselho Consultivo, que excluiu a Ponta da Joatinga, tornando-a área de entorno.</t>
  </si>
  <si>
    <t xml:space="preserve">Critérios de intervenção na área tombada aprovados pelo Conselho Consultivo durante a 16º reunião, em 1998.</t>
  </si>
  <si>
    <t xml:space="preserve">São João da Barra</t>
  </si>
  <si>
    <t>RJ3305000BIED00001</t>
  </si>
  <si>
    <t xml:space="preserve">Anexado ao processo 1371</t>
  </si>
  <si>
    <t xml:space="preserve">Igreja: Catedral</t>
  </si>
  <si>
    <t xml:space="preserve">Casa à rua Marechal Floriano, onde funciona a Alfândega</t>
  </si>
  <si>
    <t>RS4315602BIED00001</t>
  </si>
  <si>
    <t xml:space="preserve">Processo INDEFERIDO em 25/11/1971.</t>
  </si>
  <si>
    <t xml:space="preserve">Cava do antigo marco nº 2 </t>
  </si>
  <si>
    <t xml:space="preserve">1969, 1971</t>
  </si>
  <si>
    <t xml:space="preserve">52, 56</t>
  </si>
  <si>
    <t xml:space="preserve">Indeferido na 52ª reunião do Conselho Consultivo (1969)</t>
  </si>
  <si>
    <t xml:space="preserve">Casa à Rua Barão de Itaim, edifício-sede do Museu Republicano Convenção de Itu</t>
  </si>
  <si>
    <t>SP3523909BIED00001</t>
  </si>
  <si>
    <t xml:space="preserve">Encaminhado para indeferimento em 17/03/2021</t>
  </si>
  <si>
    <t>01458.001653/2012-42</t>
  </si>
  <si>
    <t>Itaguaí</t>
  </si>
  <si>
    <t xml:space="preserve">Engenho Jesuíta, Estrada da Serra da Calçada e Ponte Bela.</t>
  </si>
  <si>
    <t xml:space="preserve">Parecer de indeferimento de 16/5/22. Origem: DEPAM 16/09/2013 / Destino: Superintendência 2709/2013 </t>
  </si>
  <si>
    <t>01458.000931/2012-44</t>
  </si>
  <si>
    <t>Oliveira</t>
  </si>
  <si>
    <t xml:space="preserve">Casa: [Fórum], Município de Oliveira</t>
  </si>
  <si>
    <t xml:space="preserve">Origem: DEPAM, destino: SE-RJ, em 04/09/2015</t>
  </si>
  <si>
    <t>01458.001572/2012-42</t>
  </si>
  <si>
    <t xml:space="preserve">Casa: Marquês de Abrantes (Rua),99 </t>
  </si>
  <si>
    <t xml:space="preserve">INDEFERIDO em 18.05.16</t>
  </si>
  <si>
    <t>01458.000179/2016-65</t>
  </si>
  <si>
    <t xml:space="preserve">Praça Independência; Penitenciária (antiga)</t>
  </si>
  <si>
    <t xml:space="preserve">Observação arquivo: "não consta nenhuma informação relativa ao processo"</t>
  </si>
  <si>
    <t xml:space="preserve">Duas pinturas sobre tábuas ovais, atribuídas a Leandro Joaquim, representando o incêndio e  reconstrução do Recolhimento de Nossa Senhora do Parto</t>
  </si>
  <si>
    <t>RJ3304557BMCL00003</t>
  </si>
  <si>
    <t>Mangaratiba</t>
  </si>
  <si>
    <t xml:space="preserve">Igreja Matriz de Nossa Senhora da Guia</t>
  </si>
  <si>
    <t>RJ3302601BIED00001</t>
  </si>
  <si>
    <t>01458.000025/2022-11</t>
  </si>
  <si>
    <t>Paudalho</t>
  </si>
  <si>
    <t xml:space="preserve">Mosteirinho de São Francisco</t>
  </si>
  <si>
    <t>PE2610608BIED00001</t>
  </si>
  <si>
    <t xml:space="preserve">INDEFERIDO em 1997, mas o Processo 0775-T-66 foi ANEXADO ao Processo 0902-T-74, referente a diversos bens em Magé/RJ</t>
  </si>
  <si>
    <t xml:space="preserve">Casa e Capela da Fazenda da Barreira</t>
  </si>
  <si>
    <t xml:space="preserve">Tombamento indeferido, e bens incluídos em outro processo, de nº 902-T-74, como Museu Von Martius e Igreja da Conceição, em Guapimirim.</t>
  </si>
  <si>
    <t xml:space="preserve">Ofício que informa o INDEFERIMENTO do Processo em 07/10/1966.</t>
  </si>
  <si>
    <t xml:space="preserve">Casa e Capela: Antiga da Fazenda Amaralina</t>
  </si>
  <si>
    <t xml:space="preserve">Despacho para INDEFERIR o Processo em 08/07/1971.</t>
  </si>
  <si>
    <t xml:space="preserve">Casa: República (Praça), nº 25 </t>
  </si>
  <si>
    <t xml:space="preserve">1970, 1971</t>
  </si>
  <si>
    <t xml:space="preserve">53, 55</t>
  </si>
  <si>
    <t xml:space="preserve">Aprovado na 53ª reunião do Conselho Consultivo (1970), mas indeferido na reunião seguinte (1971)</t>
  </si>
  <si>
    <t xml:space="preserve">Mausoléu da família do Barão de Cajaíba, notadamente a estátua da Fé, autoria de Johann von Halbig, que encima o referido mausoléu</t>
  </si>
  <si>
    <t>BA2927408BIED00027</t>
  </si>
  <si>
    <t xml:space="preserve">Ofício que informa o INDEFERIMENTO do Processo em 10/11/1966.</t>
  </si>
  <si>
    <t xml:space="preserve">Parque: Biológico do Jequiá; Parque das Garças</t>
  </si>
  <si>
    <t xml:space="preserve">Observação arquivo: "O citado parque não possui caracteristicas que justifiquem o seu tombamento"</t>
  </si>
  <si>
    <t xml:space="preserve">Sobrado Grande da Madalena, à Praça João Alfredo, atual Museu da Abolição, Rua Benfica 1.150</t>
  </si>
  <si>
    <t>PE2611606BIED00031</t>
  </si>
  <si>
    <t xml:space="preserve">Estudos para delimitação do entorno iniciados durante as Oficinas Regionais m 2011, mas não avançaram. Casa do Conselheiro João Alfredo"</t>
  </si>
  <si>
    <t xml:space="preserve">Ofício Nº 3447/2023/IPHAN-SP-IPHAN, de 29/08/2023, encaminha a documentação solicitada.Encaminhado para a SE-SP para complementação da documentação antes de encaminhar para o CC. Parecer de tombamento de 17/01/2023. Solicitada instrução em 28/4/22. Enviado à Secretaria do Conselho em 19/06/2024.</t>
  </si>
  <si>
    <t>01458.000659/2013-83</t>
  </si>
  <si>
    <t>Pindamonhangaba</t>
  </si>
  <si>
    <t xml:space="preserve">Casa: Prefeitura Municipal de Pindamonhangaba</t>
  </si>
  <si>
    <t xml:space="preserve">José Salvador Julianelli, Chefe da Casa Civil, Governo do Estado de São Paulo</t>
  </si>
  <si>
    <t xml:space="preserve">INDEFERIDO em 16/01/2020</t>
  </si>
  <si>
    <t>01458.000280/2013-73</t>
  </si>
  <si>
    <t xml:space="preserve">Igreja (Capela) de Nossa Senhora dos Aflitos</t>
  </si>
  <si>
    <t xml:space="preserve">Tombamento Cancelado por perecimento do bem, despacho Despacho 1204 (3072360)</t>
  </si>
  <si>
    <t>01428.000173/2020-21</t>
  </si>
  <si>
    <t xml:space="preserve">Fazenda de Nossa Senhora da Conceição: casa</t>
  </si>
  <si>
    <t>RJ3303807BIED00001</t>
  </si>
  <si>
    <t xml:space="preserve">Tombamento cancelado Aviso de Tombamento GAB PRESI (3054313) da presidência do Iphan de 25/10/2021</t>
  </si>
  <si>
    <t>01458.000658/2013-39</t>
  </si>
  <si>
    <t xml:space="preserve">Casa: à Rua Marechal Barcellar  nº 473 (Casa onde nasceu o General Manuel Marques de Souza, Conde Porto Alegre)</t>
  </si>
  <si>
    <t xml:space="preserve">Origem: DEPAM, destino: Arquivo Central, em 27/07/2016</t>
  </si>
  <si>
    <t>01504.001375/2009-25</t>
  </si>
  <si>
    <t xml:space="preserve">São Cristovão, SE: conjunto arquitetônico, urbanístico e paisagístico</t>
  </si>
  <si>
    <t>SE-2806701-BI-CU-00001</t>
  </si>
  <si>
    <t xml:space="preserve">23/01/1967
15/07/2014</t>
  </si>
  <si>
    <t xml:space="preserve">Processo original não encontrado.  Rerratificado em 2012, com nova inscrição e alteração na inscrição original (de 1967).</t>
  </si>
  <si>
    <t xml:space="preserve">Estudo de pré-setorização concluído (metodologia Histórica/Antropológica/Urbanística) para rerratificação do polígono. Informações sobre delimitação das poligonais: DEPAM-RJ 98-99</t>
  </si>
  <si>
    <t xml:space="preserve">Praça Afonso Vizeu</t>
  </si>
  <si>
    <t xml:space="preserve">Arquivo verificar. Consta: "O bem já se encontra protegido pelo tombamento do Conjunto Urbanístico e Paisagístico da Floresta da Tijuca (Processo 0762-T-65)" - VER SE É O CASO DE APENSAR</t>
  </si>
  <si>
    <t xml:space="preserve">Casa à Rua José Marcelino, 203-205</t>
  </si>
  <si>
    <t>ES3205309BIED00004</t>
  </si>
  <si>
    <t xml:space="preserve">Casa à rua José Marcelino, 197</t>
  </si>
  <si>
    <t>ES3205309BIED00005</t>
  </si>
  <si>
    <t xml:space="preserve">Processo INDEFERIDO em 04/10/2013.</t>
  </si>
  <si>
    <t>01458.000257/2013-89</t>
  </si>
  <si>
    <t>Góias</t>
  </si>
  <si>
    <t xml:space="preserve">Casa de Saint'Hilaire </t>
  </si>
  <si>
    <t xml:space="preserve">Solicitada a instrução em 13-04-2022</t>
  </si>
  <si>
    <t>01458.001177/2012-60</t>
  </si>
  <si>
    <t xml:space="preserve">Fazenda Santa Eufrásia com seus bosques e parque secular, inclusive a edificação da sede com o respectivo mobiliário e objetos antigos.</t>
  </si>
  <si>
    <t>RJ3306206BICA00001</t>
  </si>
  <si>
    <t xml:space="preserve">Mogi das Cruzes</t>
  </si>
  <si>
    <t xml:space="preserve">Convento e Igreja da Ordem Primeira do Carmo e Igreja da Ordem Terceira do Carmo</t>
  </si>
  <si>
    <t>SP3530607BICA00001</t>
  </si>
  <si>
    <t>indeferimento.</t>
  </si>
  <si>
    <t>01458.001023/2013-59</t>
  </si>
  <si>
    <t xml:space="preserve">Casa da Rua Paula Souza - Companhia Ituana de Força e Luz (hoje da São Paulo Ligth)</t>
  </si>
  <si>
    <t xml:space="preserve">Cópia da ata da 50ª sessão ordinária do Conselho Consultivo do DPHAN, realizada em 12/03/1968, indica que foi decidido o INDEFERIMENTO do Processo.</t>
  </si>
  <si>
    <t xml:space="preserve">Torre Eifel </t>
  </si>
  <si>
    <t xml:space="preserve">1967, 1968</t>
  </si>
  <si>
    <t xml:space="preserve">49, 50</t>
  </si>
  <si>
    <t xml:space="preserve">Observação arquivo: "única informação é a de que o bem foi demolido"</t>
  </si>
  <si>
    <t xml:space="preserve">Casa natal de Oliveira Lima, à rua Oliveira Lima, nº  813, antiga Corredor dos Bispos</t>
  </si>
  <si>
    <t>PE2611606BIED00005</t>
  </si>
  <si>
    <t xml:space="preserve">Sobrado à Praça General Osório, 19</t>
  </si>
  <si>
    <t>RJ3300100BIED00008</t>
  </si>
  <si>
    <t xml:space="preserve">Sobrado à Praça General Osório, 35</t>
  </si>
  <si>
    <t>RJ3300100BIED00010</t>
  </si>
  <si>
    <t xml:space="preserve">Sobrado à Praça General Osório, s/n</t>
  </si>
  <si>
    <t>RJ3300100BIED00011</t>
  </si>
  <si>
    <t xml:space="preserve">Sobrado à Praça General Osório, 3 a 13</t>
  </si>
  <si>
    <t>RJ3300100BIED00009</t>
  </si>
  <si>
    <t xml:space="preserve">Processo INDEFERIDO em 10/06/2013.</t>
  </si>
  <si>
    <t>01458.00566/2012-95</t>
  </si>
  <si>
    <t xml:space="preserve">Casa: Assunção (Avenida),722 (Esquina com Rua Miguel Couto) </t>
  </si>
  <si>
    <t xml:space="preserve">Indeferido em 16/09/2024</t>
  </si>
  <si>
    <t>01458.000932/2012-99</t>
  </si>
  <si>
    <t xml:space="preserve">São João del Rei</t>
  </si>
  <si>
    <t xml:space="preserve">Igreja Matriz de São Miguel Arcângelo (ex Cajurú)</t>
  </si>
  <si>
    <t xml:space="preserve">Indicação de INDEFERIMENTO. Compreende-se que os bens eclesiáticos tombados em Minas Gerais possuem uma grande representatividade entre os bens tombados pelo Iphan no país, apresentando um catálogo muito rico de bens materiais que tornaram-se verdadeiros ícones do patrimônio cultural brasileiro.</t>
  </si>
  <si>
    <t xml:space="preserve">Prédio sito à Avenida Rui Barbosa, nº 1596,  Academia Pernambucana de Letras</t>
  </si>
  <si>
    <t>PE2611606BIED00018</t>
  </si>
  <si>
    <t xml:space="preserve">50, 110</t>
  </si>
  <si>
    <t xml:space="preserve">O tombamento abrange a área do respectivo terreno."</t>
  </si>
  <si>
    <t xml:space="preserve">Na Superintendência, em 31/07/2012</t>
  </si>
  <si>
    <t>01458.002003/2011-33</t>
  </si>
  <si>
    <t xml:space="preserve">Igreja: Capela Nossa Senhora dos Remédios</t>
  </si>
  <si>
    <t xml:space="preserve">INDEFERIDO em 16/12/2019</t>
  </si>
  <si>
    <t>01458.000933/2012-33</t>
  </si>
  <si>
    <t xml:space="preserve">Trecho que vai do Corrego Carioca até 200 metros além da Capela do Bom Jesus (inclusive o interior da Igreja) </t>
  </si>
  <si>
    <t>01458.000011/2024-60</t>
  </si>
  <si>
    <t xml:space="preserve">Porto Seguro</t>
  </si>
  <si>
    <t xml:space="preserve">Município de Porto Seguro, em especial o Monte Pascoal (Obs: Inclui o Conjunto arquitetônico e Paisagístico da Cidade Alta de Porto Seguro)</t>
  </si>
  <si>
    <t>BA2925303PSPS00001</t>
  </si>
  <si>
    <t xml:space="preserve">15/07/1968
01/03/1974</t>
  </si>
  <si>
    <t xml:space="preserve">1974/ 1999</t>
  </si>
  <si>
    <t>Brodowski</t>
  </si>
  <si>
    <t xml:space="preserve">Casa de Cândido Portinari</t>
  </si>
  <si>
    <t>SP3507803BIED00001</t>
  </si>
  <si>
    <t xml:space="preserve">INDEFERIDO em 13.05.16</t>
  </si>
  <si>
    <t>01458.000090/2016-07</t>
  </si>
  <si>
    <t xml:space="preserve">Casa: João Pinheiro (Av.),372;  Arquivo Público Mineiro</t>
  </si>
  <si>
    <t xml:space="preserve">INDEFERIDO em 03/11/2015</t>
  </si>
  <si>
    <t>01458.000665/2013-31</t>
  </si>
  <si>
    <t xml:space="preserve">Cândido de Abreu</t>
  </si>
  <si>
    <t xml:space="preserve">Casa: (Casa cosntruida pelo Dr. Maurício Faivre)</t>
  </si>
  <si>
    <t xml:space="preserve">Ofício que informa o INDEFERIMENTO do Processo em 23/07/1968.</t>
  </si>
  <si>
    <t xml:space="preserve">Casa: Augusto Lima (Esquina com Rua da Bahia) Câmara Municipal </t>
  </si>
  <si>
    <t xml:space="preserve">INDEFERIDO, em 18/05/2016.</t>
  </si>
  <si>
    <t>01458.000091/2016-43</t>
  </si>
  <si>
    <t>Alegrete</t>
  </si>
  <si>
    <t xml:space="preserve">Imóvel à Praça Getúlio Vargas, n. 585, onde nasceu Oswaldo Aranha</t>
  </si>
  <si>
    <t xml:space="preserve">Ofício que informa o INDEFERIMENTO do Processo em 29/09/1969.</t>
  </si>
  <si>
    <t xml:space="preserve">Igreja de São Francisco</t>
  </si>
  <si>
    <t xml:space="preserve">O bem não possui valor artístico excepicional nos termos do Decreto-lei nº 25</t>
  </si>
  <si>
    <t xml:space="preserve">Retábulo e imagem de Nossa Senhora do Amor Divino, assim como a mesa de comunhão, duas credências e o arcaz da sacristia, que pertenceram à capela da antiga casa situada à rua Castro Alves nº 182, em Correias, atualmente incorporadas à igreja matriz</t>
  </si>
  <si>
    <t>RJ3303906BMAC00001</t>
  </si>
  <si>
    <t xml:space="preserve">encaminhado para instrução em 22/01/2022</t>
  </si>
  <si>
    <t>01450.011247/2014-20</t>
  </si>
  <si>
    <t xml:space="preserve">Coleção de arte que constitui o Museu de Arte Assis Chateaubriand</t>
  </si>
  <si>
    <t>SP3550308BMCL00002</t>
  </si>
  <si>
    <t>Biguaçu</t>
  </si>
  <si>
    <t xml:space="preserve">Vila de São Miguel: conjunto arquitetônico e paisagístico: Igreja, Aqueduto, Carioca</t>
  </si>
  <si>
    <t xml:space="preserve"> SC-4202305-BI-CA-00001</t>
  </si>
  <si>
    <t xml:space="preserve">Sobrado (Museu Etnográfico)</t>
  </si>
  <si>
    <t>SC4202305BIED00001</t>
  </si>
  <si>
    <t>01458.001022/2013-12</t>
  </si>
  <si>
    <t xml:space="preserve">Casa: Doutor Cesário Motta Júnior; Santa Casa de Misericórdia de São Paulo </t>
  </si>
  <si>
    <t xml:space="preserve">Conjunto arquitetônico e paisagístico "Ver-o-Peso" e áreas adjacentes, Praça Pedro II e Boulevard Castilhos França, inclusive o Mercado de Carne e o Mercado Bolonha de Peixe</t>
  </si>
  <si>
    <t>PA1501402BICA00001</t>
  </si>
  <si>
    <t xml:space="preserve">Povo de São João: ruínas e remanescentes do Povoado</t>
  </si>
  <si>
    <t>RS4306932BICA00001</t>
  </si>
  <si>
    <t xml:space="preserve">São Luiz Gonzaga</t>
  </si>
  <si>
    <t xml:space="preserve">Povo de São Lourenço das Missôes: ruínas e remanescentes do povoado</t>
  </si>
  <si>
    <t>RS4318903BICU00001</t>
  </si>
  <si>
    <t xml:space="preserve">São Nicolau</t>
  </si>
  <si>
    <t xml:space="preserve">Povo de São Nicolau: ruínas e remanescentes</t>
  </si>
  <si>
    <t>RS4319208BICA00001</t>
  </si>
  <si>
    <t>01458.000664/2013-96</t>
  </si>
  <si>
    <t xml:space="preserve">Igreja: Senhor Bom Jesus do Triunfo (Matriz)</t>
  </si>
  <si>
    <t xml:space="preserve">Matias Barbosa</t>
  </si>
  <si>
    <t xml:space="preserve">Fazenda de Nossa Senhora da Conceição do Registro do Caminho Novo: capela</t>
  </si>
  <si>
    <t>MG3140803BIED00001</t>
  </si>
  <si>
    <t>RJ3300100BMAR00001</t>
  </si>
  <si>
    <t xml:space="preserve">Mambucaba: conjunto arquitetônico e paisagístico</t>
  </si>
  <si>
    <t>RJ3300100BICA00001</t>
  </si>
  <si>
    <t xml:space="preserve">INDEFERIDO em 08/07/2021</t>
  </si>
  <si>
    <t>01458.000922/2015-04</t>
  </si>
  <si>
    <t xml:space="preserve">Casa à avenida  Barão do Rio Branco nº 2.644 e 2.324</t>
  </si>
  <si>
    <t xml:space="preserve">incluir inventário</t>
  </si>
  <si>
    <t>01458.000432/2018-42</t>
  </si>
  <si>
    <t xml:space="preserve">Coleção de Arte Sacra da Curia Metropolitana de São Paulo</t>
  </si>
  <si>
    <t>SP3550308BMCL00001</t>
  </si>
  <si>
    <t xml:space="preserve">INDEFERIDO em 23/09/2021</t>
  </si>
  <si>
    <t>01458.001567/2012-30</t>
  </si>
  <si>
    <t xml:space="preserve">Cemitério Municipal de S. João da Barra</t>
  </si>
  <si>
    <t xml:space="preserve">Rio Bonito</t>
  </si>
  <si>
    <t xml:space="preserve">Igreja de Santana do Basílio</t>
  </si>
  <si>
    <t>RJ3304300BIED00001</t>
  </si>
  <si>
    <t xml:space="preserve">Processo INDEFERIDO em 06/07/2004.</t>
  </si>
  <si>
    <t xml:space="preserve">Varvito Moutounné</t>
  </si>
  <si>
    <t xml:space="preserve">Imagem de Nossa Senhora das Dores com características marcantes da obra de Antônio Francisco Lisboa, o Aleijadinho / Imagem de São José, do Século XVIII, de 0,35m de altura, de autoria de Antônio Francisco Lisboa, o Aleijadinho</t>
  </si>
  <si>
    <t>SP3550308BMAR00001</t>
  </si>
  <si>
    <t xml:space="preserve">Imagem de Sant´Ana, com 69,5 cm de altura total, de autoria de Antônio Francisco Lisboa, o Aleijadinho (Séc. XVIII)</t>
  </si>
  <si>
    <t>RJ3304557BMAR00007</t>
  </si>
  <si>
    <t xml:space="preserve">Transferida a propriedade da escultura para a Sra. Leda Marina do Nascimento Brito, em 04/03/1971</t>
  </si>
  <si>
    <t xml:space="preserve">Imagem de barro cozido, representando Nossa Senhora da Purificação, com 0,48m de altura, datada de 1641, procedente do Estado da Bahia, atribuída a Frei Agostinho de Jesus (Séc. XVII)</t>
  </si>
  <si>
    <t>SP3550308BMAC00004</t>
  </si>
  <si>
    <t xml:space="preserve">A invocação poderá ser a Nossa Senhora do Rosário". Transferida a propriedade da escultura para Raul de Souza Dantas Forbes, em 07/05/1979, SP/SP</t>
  </si>
  <si>
    <t xml:space="preserve">Casa à Rua do Russel, 734</t>
  </si>
  <si>
    <t>RJ3304557BIED00079</t>
  </si>
  <si>
    <t xml:space="preserve">INDEFERIDO em 22/02/2016</t>
  </si>
  <si>
    <t>01458.001026/2013-92</t>
  </si>
  <si>
    <t>Sobral</t>
  </si>
  <si>
    <t xml:space="preserve">Teatro São João</t>
  </si>
  <si>
    <t xml:space="preserve">O bem não possui valor para ser inscrito nos Livros do Tombo do IPHAN, constituindo um valioso exemplar a ser preservado no âmbito estadual ou municipal. (Anot. 16/04.02 - ZCPope cf. pesquisa com FHBL: em 23/09/71 Lúcio Costa recomenda proteção estadual. Não há despacho para arquivamento)</t>
  </si>
  <si>
    <t xml:space="preserve">Foi para notificação em 1/11/2022. Parecer de tombamento de 21/12/2021. Enviado à Secretaria do Conselho em 23/01/2023.</t>
  </si>
  <si>
    <t>01458.001154/2012-55</t>
  </si>
  <si>
    <t xml:space="preserve">Forte: São José, Reduto S. Teodósio e muralhas do Forte da Entrada (na área da Fortaleza de São João-Urca)</t>
  </si>
  <si>
    <t xml:space="preserve">Casa na Praça do Erário onde funciona a agência dos Correios</t>
  </si>
  <si>
    <t>PB2507507BIED00008</t>
  </si>
  <si>
    <t xml:space="preserve">Museu de Arte Contemporânea: acervo</t>
  </si>
  <si>
    <t>SP3550308BMAC00002</t>
  </si>
  <si>
    <t xml:space="preserve">O tombamento inclui todas as coleções."</t>
  </si>
  <si>
    <t xml:space="preserve">Origem: DEPAM. Destino: SE-RS. 22/08/2014. SE informa que vai solicitar a ANEXAÇÃO ao processo 1512, sobre o CH de Pelotas, que está no DEPAM (28/03/2016) anexado ao processo Centro histórico da cidade de Pelotas (01458.002962/2009-34)</t>
  </si>
  <si>
    <t>01458.001027/2013-37</t>
  </si>
  <si>
    <t xml:space="preserve">Casa à Av. Domingos de Almeida (Castelo da Baronesa)</t>
  </si>
  <si>
    <t xml:space="preserve">Prefeito Municipal de Pelotas, Sr. Francisco L. Alves da Fonseca</t>
  </si>
  <si>
    <t xml:space="preserve">Origem: DEPAM. Destino: SE-PE. 22/08/2014</t>
  </si>
  <si>
    <t>01458.000808/2014-95</t>
  </si>
  <si>
    <t>Itamaracá</t>
  </si>
  <si>
    <t xml:space="preserve">Igreja da Conceição, na Ilha de Itamaracá</t>
  </si>
  <si>
    <t>ilegível</t>
  </si>
  <si>
    <t xml:space="preserve">Sr. Valdecírio Rodrigues</t>
  </si>
  <si>
    <t>Ritápolis</t>
  </si>
  <si>
    <t xml:space="preserve">Fazenda do Pombal: remanescentes</t>
  </si>
  <si>
    <t>MG3156106BIED00001</t>
  </si>
  <si>
    <t xml:space="preserve">Praça Getúlio Vargas: conjunto arquitetônico e paisagístico</t>
  </si>
  <si>
    <t>RJ-3303401-BI-CU-00001</t>
  </si>
  <si>
    <t>1988/1989</t>
  </si>
  <si>
    <t xml:space="preserve">tem ata da reunião do conselho. Poligonais: informação publicação Programa Monumenta 2005</t>
  </si>
  <si>
    <t xml:space="preserve">Origem: DEPAM 24/08/2012 / Destino: Superintendência 08/10/2012 </t>
  </si>
  <si>
    <t>01458.000934/2012-88</t>
  </si>
  <si>
    <t xml:space="preserve">Couto de Magalhães de Minas</t>
  </si>
  <si>
    <t xml:space="preserve">Igreja da Conceição</t>
  </si>
  <si>
    <t xml:space="preserve">INDEFERIDO em 25/02/2022. Parecer de indeferimento de 9/3/2022. Origem: DEPAM. Destino: SE-PE. 22/08/2014</t>
  </si>
  <si>
    <t>01458.000809/2014-30</t>
  </si>
  <si>
    <t>Tracunháem</t>
  </si>
  <si>
    <t xml:space="preserve">Igreja: Santo Antônio</t>
  </si>
  <si>
    <t xml:space="preserve">Dom Manuel de Lisboa de Oliveira, Bispo de nazaré da Mata</t>
  </si>
  <si>
    <t xml:space="preserve">Igreja do Bom Jesus dos Martírios</t>
  </si>
  <si>
    <t xml:space="preserve">O destombamento se deu por meio do decreto nº 70389, de 11/04/1972 do Presidente da República, Emílio G. Médici.</t>
  </si>
  <si>
    <t xml:space="preserve">INDEFERIDO em 09/01/2020</t>
  </si>
  <si>
    <t>01458.000935/2012-22</t>
  </si>
  <si>
    <t>Campanha</t>
  </si>
  <si>
    <t xml:space="preserve">Prefeitura e Câmara dos Vereadores – antiga</t>
  </si>
  <si>
    <t xml:space="preserve">Descaracterização do bem com sugestão de tombamento a nível estadual.</t>
  </si>
  <si>
    <t xml:space="preserve">INDEFERIDO em 21/05/2021</t>
  </si>
  <si>
    <t>01458.001155/2012-08</t>
  </si>
  <si>
    <t xml:space="preserve">Casa: Pocinho(Fazenda do)Aristides Lobo - Vassouras - RJ (entre Vassouras e Barra do Piraí)</t>
  </si>
  <si>
    <t xml:space="preserve">Alvorada de Minas</t>
  </si>
  <si>
    <t xml:space="preserve">Igreja de São José de Itapanhoacanga</t>
  </si>
  <si>
    <t>MG3102407BIED00001</t>
  </si>
  <si>
    <t xml:space="preserve">INDEFERIDO em 12/02/2019</t>
  </si>
  <si>
    <t>01458.001568/2012-84</t>
  </si>
  <si>
    <t xml:space="preserve">Casa: Teixeira Soares (Praça) (Solar do Barão de Vila Flor)</t>
  </si>
  <si>
    <t xml:space="preserve">Prefeito Municipal de São Fidélis</t>
  </si>
  <si>
    <t xml:space="preserve">O bem não apresenta caracteristicas excepicionais exigidas por lei para ser tombado a nível federal, mas merecedor de proteção do estado</t>
  </si>
  <si>
    <t xml:space="preserve">Segundo Arquivo Central, houve um equívoco em 1971, quando foi aberto um novo Processo para o mesmo bem (já existia o 709-T-63), que foi tombado, justamente, nos idos de 1974. ANEXADO ao 0709-T-63, referente ao Palácio Lauro Sodré.</t>
  </si>
  <si>
    <t xml:space="preserve">Palácio Lauro Sodré, atual sede do governo do Estado</t>
  </si>
  <si>
    <t xml:space="preserve">Anexado ao processo 0709-T-63</t>
  </si>
  <si>
    <t xml:space="preserve">Cópia da ata da 95ª reunião do Conselho Consultivo do IPHAN, realizada em 10/08/1981, indica que foi decidido o INDEFERIMENTO do Processo.</t>
  </si>
  <si>
    <t xml:space="preserve">Gruta: Caverna do Alambary (Fazenda São Luís)</t>
  </si>
  <si>
    <t xml:space="preserve">Cachoeira, BA: conjunto arquitetônico e paisagístico</t>
  </si>
  <si>
    <t xml:space="preserve">BA-2904902-BI-CU-00001	</t>
  </si>
  <si>
    <t xml:space="preserve">As poligonais de tombamento e entorno são apenas propostas, e denominadas respectivamente "Zona de Preservação Rigorosa (ZPR) e Zona de Preservação Simples (ZPS). Só temos cópia do Decreto de 1971. Estudo concluído para normatização (INCEU; Monumenta); falta avaliação ET e CGCH. Informações sobre delimitação das poligonais: Publicação Monumenta 2005</t>
  </si>
  <si>
    <t xml:space="preserve">Origem: DEPAM 26/12/2012/ Destino: Superintendência 08/01/2013. reiterado pedido de instrução em 20/12/2022.</t>
  </si>
  <si>
    <t>01429.000045/2021-59</t>
  </si>
  <si>
    <t xml:space="preserve">Casa: Pau Grande (Fazenda) </t>
  </si>
  <si>
    <t xml:space="preserve">Abre Campo</t>
  </si>
  <si>
    <t xml:space="preserve">Imagem de São Francisco de Paula / Aleijadinho</t>
  </si>
  <si>
    <t>MG3100302BMAR00001</t>
  </si>
  <si>
    <t xml:space="preserve">Bom Jesus do Amparo</t>
  </si>
  <si>
    <t xml:space="preserve">Fazenda do Rio São João: casa</t>
  </si>
  <si>
    <t>MG3107703BIED00001</t>
  </si>
  <si>
    <t xml:space="preserve">Origem: DEPAM. Destino: SE-BA, em 20/08/2015</t>
  </si>
  <si>
    <t>01458.001085/2015-22</t>
  </si>
  <si>
    <t>Lençóis</t>
  </si>
  <si>
    <t xml:space="preserve">Lençóis, BA: conjunto arquitetônico e paisagístico</t>
  </si>
  <si>
    <t>BA2919306BICA00001</t>
  </si>
  <si>
    <t xml:space="preserve">INDEFERIDO em 31/10/2021</t>
  </si>
  <si>
    <t>01458.000810/2014-64</t>
  </si>
  <si>
    <t xml:space="preserve">Conjunto arquitetônico de Porto Feliz</t>
  </si>
  <si>
    <t xml:space="preserve">Museu Histórico e Pedagógico das "Monções"</t>
  </si>
  <si>
    <t xml:space="preserve">Processo INDEFERIDO em 11/09/2012.</t>
  </si>
  <si>
    <t>01458.000936/2012-77</t>
  </si>
  <si>
    <t xml:space="preserve">Conselheiro Lafaiete</t>
  </si>
  <si>
    <t xml:space="preserve">Casa: Distrito de Catas Altas da Noruega</t>
  </si>
  <si>
    <t xml:space="preserve">Consta na única folha do processo despacho de não ter condições para tombamento</t>
  </si>
  <si>
    <t>Iguatu</t>
  </si>
  <si>
    <t xml:space="preserve">Igreja Matriz de Santana: fachadas</t>
  </si>
  <si>
    <t>CE2305506BIED00001</t>
  </si>
  <si>
    <t xml:space="preserve">Indeferido em 28/06/2019</t>
  </si>
  <si>
    <t>01458.000256/2013-34</t>
  </si>
  <si>
    <t xml:space="preserve">Casa Dr. José Feliciano, 9 - Praça Matriz</t>
  </si>
  <si>
    <t xml:space="preserve">processo não encontrado. No arquivo excel da yole diz que é Pirenópolis.</t>
  </si>
  <si>
    <t xml:space="preserve">Paty do Alferes</t>
  </si>
  <si>
    <t>RJ3303856BIED00001</t>
  </si>
  <si>
    <t xml:space="preserve">Casa à Rua Mayrink Veiga, 9</t>
  </si>
  <si>
    <t>RJ3304557BIED00057</t>
  </si>
  <si>
    <t xml:space="preserve">Casa à Rua da Quitanda, 61</t>
  </si>
  <si>
    <t>RJ3304557BIED00083</t>
  </si>
  <si>
    <t xml:space="preserve">Parecer para INDEFERIR o Processo em 24/05/1979.</t>
  </si>
  <si>
    <t xml:space="preserve"> Igreja: São Sebastião (Matriz)</t>
  </si>
  <si>
    <t xml:space="preserve">Bem tombado pelo INEPAC</t>
  </si>
  <si>
    <t xml:space="preserve">Processo INDEFERIDO em 26/01/1979.</t>
  </si>
  <si>
    <t xml:space="preserve">Porto União</t>
  </si>
  <si>
    <t xml:space="preserve">Casa: Frei Rogério (Praça) </t>
  </si>
  <si>
    <t>01458.000357/2014-96</t>
  </si>
  <si>
    <t>Taquari</t>
  </si>
  <si>
    <t xml:space="preserve">Casa à rua Cônego Tostes</t>
  </si>
  <si>
    <t xml:space="preserve">Não há no corpo do processo nenhum documento que deixa claro o tombamento ou seu arquivamento. Na capa está escrito ARQUIVADO, mas os documentos, em sua maioria recortes de jornal, indicam o tombamento.</t>
  </si>
  <si>
    <t xml:space="preserve">Na SE-PB em 22/10/2015</t>
  </si>
  <si>
    <t>01458.001984/2011-00</t>
  </si>
  <si>
    <t xml:space="preserve">Campina Grande</t>
  </si>
  <si>
    <t xml:space="preserve">Estação: Ferroviária (Antiga)</t>
  </si>
  <si>
    <t xml:space="preserve">INDEFERIDO em 31/10/2021. Origem: DEPAM 24/08/2012 / Destino: Superintendência 08/10/2012</t>
  </si>
  <si>
    <t>01458.000937/2012-11</t>
  </si>
  <si>
    <t xml:space="preserve">Igreja Matriz de Santo Antônio </t>
  </si>
  <si>
    <t xml:space="preserve">Conjunto Arquitetônico da Avenida Central: Edifício da Antiga Caixa de Amortização, Biblioteca Nacional, Museu Nacional de Belas Artes, Teatro Municipal.</t>
  </si>
  <si>
    <t xml:space="preserve">RJ3304557BIED00098, RJ-3304557-BI-ED-00087, RJ-3304557-BI-ED-00020; RJ-3304557-BI-ED-00005</t>
  </si>
  <si>
    <t xml:space="preserve">O processo englobava vários outros bens: Obelisco, Palácio Monroe, Derbi Clube, Joquei Clube, Clube Naval, Assembléia Legislativa e antigo STF (tombado em 2016 no processo nº 1280-T-88).</t>
  </si>
  <si>
    <t xml:space="preserve">Em 1984 foi aprovada a rerratificação da poligonal de entorno da Biblioteca Nacional. Caixa de Amortização: PORTARIA Nº  135, DE 13 DE FEVEREIRO DE 2013</t>
  </si>
  <si>
    <t xml:space="preserve">Na pasta do referido processo há um documento que indica a anexação deste ao processo 0896-T-74 (01450.010897/2007-29), referente ao prédio da antiga Faculdade de Medicina da Bahia.</t>
  </si>
  <si>
    <t xml:space="preserve">Predio da Extinta Faculdade de Medicina</t>
  </si>
  <si>
    <t>BA-2927408-BI-ED-00095</t>
  </si>
  <si>
    <t xml:space="preserve">Arquivo verificar. Consta o mesmo prédio sob o número 896-T-1974. Esse não existe na base do Arquivo Central. Na tabela excel da Yole diz  Anexado ao processo 0896-T-74</t>
  </si>
  <si>
    <t xml:space="preserve">INDEFERIDO em 3/10/2021</t>
  </si>
  <si>
    <t xml:space="preserve">1458.000092/2016-98 </t>
  </si>
  <si>
    <t xml:space="preserve">Casa à Praça da  República;  Liceu de Artes e Ofícios – Prédio </t>
  </si>
  <si>
    <t xml:space="preserve">Antigo edifício da Assembléia Provincial, atual sede da Assembléia Legislativa Estadual</t>
  </si>
  <si>
    <t>CE2304400BIED00005</t>
  </si>
  <si>
    <t xml:space="preserve">Encaminhado à Presidêncial com sugestão de indeferimento 13/01/2015</t>
  </si>
  <si>
    <t>01458.001562/2012-15</t>
  </si>
  <si>
    <t xml:space="preserve">São Gonçalo </t>
  </si>
  <si>
    <t xml:space="preserve">Casa:  Luz (Fazenda da), (Capela)</t>
  </si>
  <si>
    <t xml:space="preserve">INDEFERIDO em 21/08/2019</t>
  </si>
  <si>
    <t>01458.001498/2012-64</t>
  </si>
  <si>
    <t xml:space="preserve">Casa: Macacos (Fazenda dos)</t>
  </si>
  <si>
    <t xml:space="preserve">Igreja do Divino Espírito Santo</t>
  </si>
  <si>
    <t>PE2611606BIED00014</t>
  </si>
  <si>
    <t xml:space="preserve">Origem: DEPAM. Destino: SE-PE, em 20/08/2015</t>
  </si>
  <si>
    <t>01458.001084/2015-88</t>
  </si>
  <si>
    <t xml:space="preserve">Coleção  Abelardo Rodrigues</t>
  </si>
  <si>
    <t xml:space="preserve">Processo INDEFERIDO  em 02/10/2014</t>
  </si>
  <si>
    <t>01458.000811/2014-17</t>
  </si>
  <si>
    <t xml:space="preserve">São Carlos</t>
  </si>
  <si>
    <t xml:space="preserve">Prefeitura Municipal de São Paulo</t>
  </si>
  <si>
    <t xml:space="preserve">O bem não possui caracteristicas para tombamento a nível federal, sugerindo tombamento a nível estadual</t>
  </si>
  <si>
    <t>Corcovado</t>
  </si>
  <si>
    <t>RJ3304557PSPS00015</t>
  </si>
  <si>
    <t xml:space="preserve">Entorno e Normatização: Portaria Iphan nº 104/2000 (alterada pela Portaria nº 48/2016).</t>
  </si>
  <si>
    <t xml:space="preserve">Morro Cara de Cão</t>
  </si>
  <si>
    <t>RJ3304557PSPS00008</t>
  </si>
  <si>
    <t xml:space="preserve">Morro da Babilônia </t>
  </si>
  <si>
    <t>RJ3304557PSPS00007</t>
  </si>
  <si>
    <t xml:space="preserve">Corcovado: Entorno e Normatização: Portaria Iphan nº 104/2000 (alterada pela Portaria nº 48/2016). Dois Irmãos e Gávea: decreto E 5456.</t>
  </si>
  <si>
    <t xml:space="preserve">Morro da Urca</t>
  </si>
  <si>
    <t>RJ3304557PSPS00006</t>
  </si>
  <si>
    <t xml:space="preserve">Morro Dois Irmãos</t>
  </si>
  <si>
    <t>RJ3304557PSPS00004</t>
  </si>
  <si>
    <t xml:space="preserve">Pão de Açúcar</t>
  </si>
  <si>
    <t>RJ3304557PSPS00005</t>
  </si>
  <si>
    <t xml:space="preserve">Pedra da Gávea</t>
  </si>
  <si>
    <t>RJ3304557PSPS00001</t>
  </si>
  <si>
    <t>MG3152709BIED00002</t>
  </si>
  <si>
    <t xml:space="preserve">Casa: Rua Moncorvo Filho - Antiga sede do Senado do Império, atual sede da Faculdade de Direito UFRJ.</t>
  </si>
  <si>
    <t xml:space="preserve">Solicitada a instrução em 12/11/2021. Info Arquivo: "04/06/1975 Dra. Lígia - Não Localizado"</t>
  </si>
  <si>
    <t xml:space="preserve">01498.001026/2018-21 e 01450.001417/2019-72</t>
  </si>
  <si>
    <t>Moreno</t>
  </si>
  <si>
    <t xml:space="preserve">Engenho Morenos</t>
  </si>
  <si>
    <t>01458.000812/2014-53</t>
  </si>
  <si>
    <t xml:space="preserve">Igreja: São Francisco (do Antigo Convento) </t>
  </si>
  <si>
    <t xml:space="preserve">Devido a descaracterização do citado bem, sugere proteção por parte do orgão estadual de proteção ao patrimônio.)_ Vitória (ES)</t>
  </si>
  <si>
    <t xml:space="preserve">Encaminhado para INDEFERIMENTO em 15/08/2016 </t>
  </si>
  <si>
    <t xml:space="preserve">Ribeirão Pires</t>
  </si>
  <si>
    <t xml:space="preserve"> Igreja: Pilar</t>
  </si>
  <si>
    <t xml:space="preserve">Processo arquivado em virtude de ter sido tombado pelo Estado de São Paulo</t>
  </si>
  <si>
    <t xml:space="preserve">Solicitada a instrução pela SE em 24/12/2021</t>
  </si>
  <si>
    <t>01458.000281/2013-18</t>
  </si>
  <si>
    <t xml:space="preserve">Conjunto de áreas da baía de Suape e do Cabo de Santo Agostinho</t>
  </si>
  <si>
    <t xml:space="preserve">Encaminhado para arquivo em 05/02/2019</t>
  </si>
  <si>
    <t>01458.000813/2014-06</t>
  </si>
  <si>
    <t xml:space="preserve">São José do Egito</t>
  </si>
  <si>
    <t xml:space="preserve">Igreja: São Pedro (Capela)</t>
  </si>
  <si>
    <t xml:space="preserve">Sr. Joaquim Duarte Dantas</t>
  </si>
  <si>
    <t xml:space="preserve">Vila Bela da Santissima Trindade</t>
  </si>
  <si>
    <t xml:space="preserve">Ruínas da Igreja da Matriz de Vila Bela da Santíssima Trindade, situadas na quadra  delimitada pela Rua Municipal ou dos Mercadores, pela Travessa do Palácio, pela Rua Dr. Mário Correa ou do Fogo e pela Travessa n. 4, ou de Trás do Palácio, e Ruínas do Palácio dos Capitães Generais</t>
  </si>
  <si>
    <t>MT5105507BIED00001</t>
  </si>
  <si>
    <t xml:space="preserve">Reabertura do processo de tombamento em 02/08/2024 (5562250)</t>
  </si>
  <si>
    <t>01450.011587/2008-11</t>
  </si>
  <si>
    <t xml:space="preserve">Lagoa Rodrigo de Freitas: conjunto paisagístico</t>
  </si>
  <si>
    <t>RJ3304557PSPS00009</t>
  </si>
  <si>
    <t xml:space="preserve">Prédio da casa de câmara e cadeia na Rua Liberato Barroso esquina com a Praça da Independência</t>
  </si>
  <si>
    <t>CE2301109BIED00001</t>
  </si>
  <si>
    <t xml:space="preserve">Praça da Matriz: conjunto arquitetônico e Museu Municipal de Arte e História: prédio</t>
  </si>
  <si>
    <t>MG3144706BICA00001</t>
  </si>
  <si>
    <t xml:space="preserve">parecer conselheiro existe porém sem data</t>
  </si>
  <si>
    <t>Valença</t>
  </si>
  <si>
    <t xml:space="preserve">Fazenda Santa Mônica: casa</t>
  </si>
  <si>
    <t>RJ3306107BIED00001</t>
  </si>
  <si>
    <t xml:space="preserve">Origem: DEPAM 24/08/2012 / Destino: Superintendência 08/10/2012 (dois bens)</t>
  </si>
  <si>
    <t>01458.000974/2012-20</t>
  </si>
  <si>
    <t>Sacramento</t>
  </si>
  <si>
    <t xml:space="preserve">Igreja da Matriz de Nossa Senhora do Desterro</t>
  </si>
  <si>
    <t xml:space="preserve">Igreja de Nossa Senhora do Rosário do Desemboque</t>
  </si>
  <si>
    <t xml:space="preserve">Mercado de São José</t>
  </si>
  <si>
    <t>PE2611606BIED00015</t>
  </si>
  <si>
    <t xml:space="preserve">62, 110</t>
  </si>
  <si>
    <t xml:space="preserve">Parecer de indeferimento de 12/2/2022. Origem: Depam. Destino: Superintendência 23/12/2016</t>
  </si>
  <si>
    <t>01458.001165/2012-35</t>
  </si>
  <si>
    <t xml:space="preserve">Museu do Colono</t>
  </si>
  <si>
    <t>01458.000975/2012-74</t>
  </si>
  <si>
    <t>Uberlândia</t>
  </si>
  <si>
    <t xml:space="preserve"> Igrejinha de Santa Maria (Capela)</t>
  </si>
  <si>
    <t>01458.000815/2014-97</t>
  </si>
  <si>
    <t xml:space="preserve">Casa: Apolo (Rua do), nº 121 - Teatro Apolo</t>
  </si>
  <si>
    <t xml:space="preserve">Processo INDEFERIDO em 26/08/2014.</t>
  </si>
  <si>
    <t>01458.000161/2014-00</t>
  </si>
  <si>
    <t xml:space="preserve">Casa: de João Nideraver Sobrinho</t>
  </si>
  <si>
    <t xml:space="preserve">Certidão de tombamento em 12/07/22. Destino: Arquivo para inscrição em 11/08/2018.  Os Processos 0888-T-73; 1028-T-80; 1504-T-09 e 1580-T-09 foram ANEXADOS ao Processo 1613-T-10.</t>
  </si>
  <si>
    <t>01458.003599/2010-16</t>
  </si>
  <si>
    <t>Corumbá</t>
  </si>
  <si>
    <t xml:space="preserve">Forte Junqueira</t>
  </si>
  <si>
    <t>MS-5003207-BI-ED-00003</t>
  </si>
  <si>
    <t xml:space="preserve">Indeferido em 13/04/2017</t>
  </si>
  <si>
    <t>01458.000816/2014-31</t>
  </si>
  <si>
    <t xml:space="preserve">Cemitério: Passos (Irmandade de Nosso Senhor do) </t>
  </si>
  <si>
    <t xml:space="preserve">Museu Frei Galvão</t>
  </si>
  <si>
    <t xml:space="preserve">Solar da Baronesa de Muriaé</t>
  </si>
  <si>
    <t>RJ3301009BIED00005</t>
  </si>
  <si>
    <t xml:space="preserve">Rio de Contas, BA: conjunto arquitetônico</t>
  </si>
  <si>
    <t>BA2926707BICA00001</t>
  </si>
  <si>
    <t xml:space="preserve">Origem: DEPAM 24/07/2012 / Destino: Superintendência 21/08/2012</t>
  </si>
  <si>
    <t>01458.000925/2012-97</t>
  </si>
  <si>
    <t xml:space="preserve">Ponte Nova</t>
  </si>
  <si>
    <t xml:space="preserve">Casa: Quebra Canoas (Fazenda)</t>
  </si>
  <si>
    <t xml:space="preserve">Processo INDEFERIDO em 17/04/2013.</t>
  </si>
  <si>
    <t>01458.001563/2012-51</t>
  </si>
  <si>
    <t xml:space="preserve">Casa: Westphalia (Rua), nº 279 (onde morou o Barão do Rio branco)</t>
  </si>
  <si>
    <t xml:space="preserve">São Gabriel</t>
  </si>
  <si>
    <t xml:space="preserve">Sobrado na Praça Dr. Fernando Abott, que em 1845 hospedou D. Pedro II</t>
  </si>
  <si>
    <t>RS4318309BIED00001</t>
  </si>
  <si>
    <t xml:space="preserve">Lavabo do Convento de Santo Antônio de Paraguassú</t>
  </si>
  <si>
    <t>BA2904902BMAR00001</t>
  </si>
  <si>
    <t>01450.010897/2007-29</t>
  </si>
  <si>
    <t xml:space="preserve">Casa da Praça Terreiro de Jesus - Prédio da Antiga Faculdade de Medicina da Bahia</t>
  </si>
  <si>
    <t xml:space="preserve">inscrito no Livro de Tombo Histórico, Volume III, fl.135. Número de inscrição: 703 e no Livro do Tombo das Belas Artes, Volume II, fl. 87. Número de inscrição: 707.</t>
  </si>
  <si>
    <t xml:space="preserve">Solar dos Garcez (ou Solar do Carcel), Casa de Euclides da Cunha</t>
  </si>
  <si>
    <t xml:space="preserve">Prédio localizado na Estrada do Açude, nº 764 e respectivos acervos histórico e artístico</t>
  </si>
  <si>
    <t>RJ-3304557-BI-ED-00109</t>
  </si>
  <si>
    <t xml:space="preserve">O tombamento abrange os parques paisagísticos que ambientam os prédios."</t>
  </si>
  <si>
    <t xml:space="preserve">Prédio localizado à rua Murtinho Nobre, nº 93, conhecido como" Chácara do Céu", e respectivos acervos histórico e artístico</t>
  </si>
  <si>
    <t>RJ3304557BIED00053</t>
  </si>
  <si>
    <t xml:space="preserve">Solar do Jambeiro -  Rua Presidente Domiciano, nº 195 e seu respectivo parque arborizado</t>
  </si>
  <si>
    <t>RJ-3303302-BI-CA-00004</t>
  </si>
  <si>
    <t xml:space="preserve">O tombamento abrange o parque arborizado pertencente a edificação."</t>
  </si>
  <si>
    <t xml:space="preserve">Processo INDEFERIDO em 10/05/1999. Ver observações.</t>
  </si>
  <si>
    <t xml:space="preserve">Farmácia Brito; Casa Lellis Piedade - rua número 2; Prédio onde funcionou a Farmácia Britto</t>
  </si>
  <si>
    <t xml:space="preserve">Em 1975 (reunião 71) teria sido APROVADO o tombamento do bem. Verificar!</t>
  </si>
  <si>
    <t>01458.000926/2012-31</t>
  </si>
  <si>
    <t xml:space="preserve">Igreja do Rosário, Município de Rio Preto, Estado de Minas Gerais</t>
  </si>
  <si>
    <t xml:space="preserve">INDEFERIDO EM 10/11/2014</t>
  </si>
  <si>
    <t>01458.001564/2012-04</t>
  </si>
  <si>
    <t xml:space="preserve">Igreja: Conceição (Capela-Vila Inhomirim)</t>
  </si>
  <si>
    <t xml:space="preserve">Câmara Municipal de Magé</t>
  </si>
  <si>
    <t xml:space="preserve">Igreja: Conceição (Guapimirim)</t>
  </si>
  <si>
    <t xml:space="preserve">Igreja: Guia (Pacobaíba)</t>
  </si>
  <si>
    <t xml:space="preserve">Igreja: Piedade (Matriz-Vila Inhomirim)</t>
  </si>
  <si>
    <t xml:space="preserve">Poço: Bento</t>
  </si>
  <si>
    <t xml:space="preserve">Igreja: Ajuda (Guapimirim)</t>
  </si>
  <si>
    <t xml:space="preserve">Estação Guia de Pacobaíba</t>
  </si>
  <si>
    <t xml:space="preserve">Museu Von Martius (Fazenda Barreira)</t>
  </si>
  <si>
    <t xml:space="preserve">Cais: Guia de Pacobaíba</t>
  </si>
  <si>
    <t>Batatais</t>
  </si>
  <si>
    <t xml:space="preserve">Pinturas, 14 / Portinari</t>
  </si>
  <si>
    <t>SP3505906BMCL00001</t>
  </si>
  <si>
    <t xml:space="preserve">INDEFERIDO em 9/11/2017</t>
  </si>
  <si>
    <t>01458.000817/2014-86</t>
  </si>
  <si>
    <t xml:space="preserve">São Miguel do Taipu</t>
  </si>
  <si>
    <t xml:space="preserve">Casa do Engenho Itapuá</t>
  </si>
  <si>
    <t xml:space="preserve">Assembléia Legislativa da Paraíba</t>
  </si>
  <si>
    <t>01458.000976/2012-19</t>
  </si>
  <si>
    <t xml:space="preserve">Três Pontas</t>
  </si>
  <si>
    <t>01458.000818/2014-21</t>
  </si>
  <si>
    <t xml:space="preserve">Loja Maçônica; Conciliação</t>
  </si>
  <si>
    <t xml:space="preserve">Sr. José Cavalcanti de Amorim, Venerável da Loja Conciliação do Recife</t>
  </si>
  <si>
    <t xml:space="preserve">Origem: DEPAM / Destino: Superintendência 28/06/2012</t>
  </si>
  <si>
    <t>01458.000853/2012-88</t>
  </si>
  <si>
    <t xml:space="preserve">Chácara Tinoco - Casa da Familia Israel Pinheiro</t>
  </si>
  <si>
    <t xml:space="preserve">Coleção: Octales Marcondes (Peças da Coleção)</t>
  </si>
  <si>
    <t xml:space="preserve">30/01/2003 : o processo foi consultado pelo técnico Mauro Bondi (9ª SR) que pleiteia do ANS a devolução dos negativos das fotos das peças da coleção, por terem sido feitos em SP. Os negativos ainda não foram localizados (ZCP em 27/01/2003)</t>
  </si>
  <si>
    <t xml:space="preserve">Redenção da Serra</t>
  </si>
  <si>
    <t xml:space="preserve">Fazenda Ponte Alta: casa</t>
  </si>
  <si>
    <t>SP3542305BIED00001</t>
  </si>
  <si>
    <t>Paraibuna</t>
  </si>
  <si>
    <t xml:space="preserve">Fazenda da Conceição: casa</t>
  </si>
  <si>
    <t>SP3535606BIED00001</t>
  </si>
  <si>
    <t xml:space="preserve">O imóvel está demolido</t>
  </si>
  <si>
    <t xml:space="preserve">INDEFERIDO em 20/01/2020</t>
  </si>
  <si>
    <t>01458.000819/2014-75</t>
  </si>
  <si>
    <t xml:space="preserve">Igreja Matriz de N. Srª do Monte Serrat</t>
  </si>
  <si>
    <t xml:space="preserve">Deputado José Camargo</t>
  </si>
  <si>
    <t xml:space="preserve">INDEFERIDO em 18/09/2015</t>
  </si>
  <si>
    <t>01458.000820/2014-08</t>
  </si>
  <si>
    <t>Igrejinha</t>
  </si>
  <si>
    <t xml:space="preserve">Casa de Pedra</t>
  </si>
  <si>
    <t xml:space="preserve">Victor Faccioni, Secretário de Estado, Chefe da Casa Civil do Governo do Estado do Rio Grande do Sul</t>
  </si>
  <si>
    <t xml:space="preserve">Origem: DEPAM. Destino: SE-CE. 22/08/2014</t>
  </si>
  <si>
    <t>01458.000821/2014-44</t>
  </si>
  <si>
    <t>Aiuaba</t>
  </si>
  <si>
    <t xml:space="preserve">Casa: Umbuzeiro (Sítio)</t>
  </si>
  <si>
    <t xml:space="preserve">Arq. José Liberal de Castro</t>
  </si>
  <si>
    <t xml:space="preserve">Prédio na rua Conselheiro Mafra, que foi sede da antiga Alfândega e da Delegacia da Receita Federal</t>
  </si>
  <si>
    <t>SC4205407BIED00010</t>
  </si>
  <si>
    <t xml:space="preserve">Processo INDEFERIDO em 16/03/2017</t>
  </si>
  <si>
    <t>01458.000822/2014-99</t>
  </si>
  <si>
    <t>Franca</t>
  </si>
  <si>
    <t xml:space="preserve"> Igreja: Matriz</t>
  </si>
  <si>
    <t xml:space="preserve">Câmra Municipal de Franca</t>
  </si>
  <si>
    <t xml:space="preserve">Origem: DEPAM. Destino: SE-RJ. 22/08/2014. Encaminhado ao Arquivo Central em 12/01/15</t>
  </si>
  <si>
    <t>01458.001573/2012-97</t>
  </si>
  <si>
    <t xml:space="preserve">Casa: Engenho Novo (Fazenda do)</t>
  </si>
  <si>
    <t xml:space="preserve">Câmra Municipal de São Gonçalo</t>
  </si>
  <si>
    <t xml:space="preserve">O bem foi tombado pelo INEPAC</t>
  </si>
  <si>
    <t>01401.000177/2021-99</t>
  </si>
  <si>
    <t xml:space="preserve">Conjunto de Edificações Que Compõem o Forte de Coimbra ; Presídio de Nova Coimbra (Antigo) </t>
  </si>
  <si>
    <t>MS5003207BIED00001</t>
  </si>
  <si>
    <t xml:space="preserve">Solicitada complmentação de informações 12/9/2021. Tombamento emergencial</t>
  </si>
  <si>
    <t>01458.000926/2014-01</t>
  </si>
  <si>
    <t xml:space="preserve">São Lourenço da Mata</t>
  </si>
  <si>
    <t xml:space="preserve">Casa: Camaragibe (Engenho)</t>
  </si>
  <si>
    <t>FUNDARPE</t>
  </si>
  <si>
    <t xml:space="preserve">TOMBAMENTO EMERGENCIAL</t>
  </si>
  <si>
    <t xml:space="preserve">Reservatório d'água de Laranjeiras</t>
  </si>
  <si>
    <t xml:space="preserve">ARQUIVADO em 29/12/2014.</t>
  </si>
  <si>
    <t>01458.000112/2012-05</t>
  </si>
  <si>
    <t xml:space="preserve">Pedro Calmon - Presidente do IHGB</t>
  </si>
  <si>
    <t xml:space="preserve">Reaberto em 26/08/2022. Indeferido em 7/10/2021. PARECER TÉCNICO nº 76/2022/COTEC IPHAN-PE/IPHAN-PE e Ofício Nº 150/2023/IPHAN_PE-IPHAN manistestam-se pelo tombamento.</t>
  </si>
  <si>
    <t>01458.001028/2013-81</t>
  </si>
  <si>
    <t xml:space="preserve">Estação do Brum</t>
  </si>
  <si>
    <t xml:space="preserve">Ayrton de Almeida Carvalho, chefe do 1º Distrito do IPHAN</t>
  </si>
  <si>
    <t>PE2611606BIED00023</t>
  </si>
  <si>
    <t xml:space="preserve">Igreja de Nossa Senhora do Terço</t>
  </si>
  <si>
    <t>PE2611606BIED00029</t>
  </si>
  <si>
    <t xml:space="preserve">Delimitação de entorno incluindo vários bens, que teria sido apresentada ao Conselho Consultivo (verificar). Mapas com delimitações no Sambaqui.O tombamento inclui todo o recheio da igreja, inclusive imaginária e alfaias relacionadas no inventário realizado pelo 1º Distrito deste Instituto."; </t>
  </si>
  <si>
    <t xml:space="preserve">Igreja de São José do Ribamar</t>
  </si>
  <si>
    <t>PE2611606BIED00012</t>
  </si>
  <si>
    <t xml:space="preserve">74, 110</t>
  </si>
  <si>
    <t xml:space="preserve">Processo INDEFERIDO em 28/04/1999.</t>
  </si>
  <si>
    <t xml:space="preserve">Casa: Escola Júlia Kubitschek  (Edifício de Madeira)</t>
  </si>
  <si>
    <t xml:space="preserve">Prédios números 2, 6 e 8, formando um conjunto arquitetônico, situados na Praça Coronel Pedro Osório</t>
  </si>
  <si>
    <t>RS-4314407-BI-CA-00001</t>
  </si>
  <si>
    <t xml:space="preserve">INDEFERIDO em 11/06/2021</t>
  </si>
  <si>
    <t>01458.000933/2014-03</t>
  </si>
  <si>
    <t>Alcobaça</t>
  </si>
  <si>
    <t xml:space="preserve">Igreja Matriz de São Bernardo</t>
  </si>
  <si>
    <t>01458.000162/2014-46</t>
  </si>
  <si>
    <t xml:space="preserve">Cin-Teatro - Casa à rua General Bacelar, 363,365,367; Teatro Sete de Setembro - antigo </t>
  </si>
  <si>
    <t xml:space="preserve">Perda de objeto</t>
  </si>
  <si>
    <t>01458.000934/2014-40</t>
  </si>
  <si>
    <t>Ribeirão</t>
  </si>
  <si>
    <t xml:space="preserve">Casa: Lages (Casa Grande do Engenho)</t>
  </si>
  <si>
    <t xml:space="preserve">Assembleia Legislativa do Estado de Pernambuco</t>
  </si>
  <si>
    <t xml:space="preserve">Processo INDEFERIDO em 02/10/2012.</t>
  </si>
  <si>
    <t>01458.000978/2012-16</t>
  </si>
  <si>
    <t>Cataguases</t>
  </si>
  <si>
    <t>Casa.</t>
  </si>
  <si>
    <t xml:space="preserve">Fortaleza de Santo Antônio: remanescentes</t>
  </si>
  <si>
    <t>MA2111300BIED00002</t>
  </si>
  <si>
    <t xml:space="preserve">SE/GO: 31/07/2013. Incorporou a Igreja do processo nº 1207-T-86. </t>
  </si>
  <si>
    <t>01458.000659/2010-31</t>
  </si>
  <si>
    <t xml:space="preserve">Conjunto: Arquitetônico de Luziânia</t>
  </si>
  <si>
    <t xml:space="preserve">INDEFERIDO em 10/3/2022. Parecer de indeferimento de 9/3/2022. Origem: DEPAM. Destino: SE-PB. 20/08/2014. Apontado como prioritário pela Superintendência (2015)</t>
  </si>
  <si>
    <t>01458.000935/2014-94</t>
  </si>
  <si>
    <t xml:space="preserve">Baía da Traição</t>
  </si>
  <si>
    <t xml:space="preserve">Praia: Baía da Traição</t>
  </si>
  <si>
    <t xml:space="preserve">Ofício do dia 09/10/1975 informa a anulação da decisão do Conselho Consultivo em tombar o prédio.</t>
  </si>
  <si>
    <t xml:space="preserve">Embaixada da Itália </t>
  </si>
  <si>
    <t xml:space="preserve">70, 71</t>
  </si>
  <si>
    <t xml:space="preserve">Tombamento aprovado e desaprovado no mesmo ano.</t>
  </si>
  <si>
    <t xml:space="preserve">O Conselho Consultivo do IPHAN decidiu pelo tombamento do bem após a decisão de demolição do mesmo, porém, o Ministro da Educação e Cultura, a fim de não causar transtornos nas relações Brasil-Argentina, não homologou o tombamento.</t>
  </si>
  <si>
    <t xml:space="preserve">Casa: Botafogo (Praia de),228; Embaixada da Argentina</t>
  </si>
  <si>
    <t xml:space="preserve">1975, 1977</t>
  </si>
  <si>
    <t xml:space="preserve">70, 75</t>
  </si>
  <si>
    <t xml:space="preserve">Aparentemente não foi homologado. Na 75ª reunião do Conselho Consultivo consta da Ata a informação de que o processo teria sido enviado ao "Senhor Ministro de Estado" que informou, através de seu chefe de gabinete, que o processo seria arquivado de acordo com os termos do artigo primeiro da Lei Nº 6.292.</t>
  </si>
  <si>
    <t xml:space="preserve">Ofício que informa o INDEFERIMENTO do Processo em 15/03/1979.</t>
  </si>
  <si>
    <t xml:space="preserve"> Inhambupe</t>
  </si>
  <si>
    <t xml:space="preserve">Casa: Paço Municipal; Paço Municipal de Inhambupe</t>
  </si>
  <si>
    <t xml:space="preserve">O bem não apresenta ria qualidades que justifique seu tombamento a nível federal, sugere acautelamento a nível estadual.</t>
  </si>
  <si>
    <t>01458.001571/2012-06</t>
  </si>
  <si>
    <t xml:space="preserve">Porciúncula </t>
  </si>
  <si>
    <t xml:space="preserve">Casa: Sobrado Porciúncula; Sobradão de Porciúncula</t>
  </si>
  <si>
    <t xml:space="preserve">Casa do Padre Belchior na Rua Padre belchior n 85</t>
  </si>
  <si>
    <t>MG3151404BIED00002</t>
  </si>
  <si>
    <t xml:space="preserve">Foram tombados, não só a construção do século XVIII, mas também o casarão que está presente no terreno.</t>
  </si>
  <si>
    <t xml:space="preserve">Processo INDEFERIDO em 11/09/2012. Anexou o processo 542.</t>
  </si>
  <si>
    <t xml:space="preserve">Casa do Aleijadinho</t>
  </si>
  <si>
    <t xml:space="preserve">Encaminhado para INDEFERIMENTO em 20/06/2016</t>
  </si>
  <si>
    <t>01458.000979/2012-52</t>
  </si>
  <si>
    <t xml:space="preserve">Grutas e Lapas (14)</t>
  </si>
  <si>
    <t xml:space="preserve">Palacete Gentil Braga -  Rua Oswaldo Cruz, nº 782 (esquina com a Rua do Passeio) </t>
  </si>
  <si>
    <t>MA2111300BIED00009</t>
  </si>
  <si>
    <t xml:space="preserve">NOTA TÉCNICA nº 19/2023/COREC/CGID/DEPAM, em 15/12/2023. Parecer de indeferimento de 7/9/2022. solicitada vistoria em 21/09/2021. CGID: 15/01/2016 (Mônica). Vários bens. Instrução concluída. Indicação de tombamento das fazendas Machadinha, Mato de Pipa e Quissamã. Solicitação de delimitação de área de entorno. </t>
  </si>
  <si>
    <t>01458.001570/2012-53</t>
  </si>
  <si>
    <t>Quissamã</t>
  </si>
  <si>
    <t xml:space="preserve">Fazenda Mandiqueira (casa)</t>
  </si>
  <si>
    <t xml:space="preserve">Raimundo Moniz de Aragão, MEC, Câmara do Patrimônio</t>
  </si>
  <si>
    <t xml:space="preserve">Fazenda Quissamã (casa e jardim de aléia)</t>
  </si>
  <si>
    <t xml:space="preserve">Parecer 142/12/COTEC/IPHAN-RJ (inclui no processo que estuda bens de mesma natureza no municipio)</t>
  </si>
  <si>
    <t xml:space="preserve">Fazenda Mato de Pipa (casa)</t>
  </si>
  <si>
    <t xml:space="preserve">NOTA TÉCNICA nº 19/2023/COREC/CGID/DEPAM, em 15/12/2023. Parecer de indeferimento de 7/9/2022. CGID: 15/0solicitada vistoria em 21/09/2021. /2016 (Mônica). Vários bens. Instrução concluída. Indicação de tombamento das fazendas Machadinha, Mato de Pipa e Quissamã. Solicitação de delimitação de área de entorno. </t>
  </si>
  <si>
    <t xml:space="preserve">Fazenda Machadinha (casa),</t>
  </si>
  <si>
    <t xml:space="preserve">Arraial novo do Bom Jesus</t>
  </si>
  <si>
    <t>PE2611606BIED00039</t>
  </si>
  <si>
    <t xml:space="preserve">Solicitada conferência de documentos em 28/12/2021. Origem: PF. Destino: Depam, em 02/12/2016. Rerratificação aprovada pelo Conselho em 11/09/2014. Impugnações recebidas depois disso. Homologado em 16/11/2023, Portaria MINC 66. DOU Seção 1 nº 218</t>
  </si>
  <si>
    <t>01450.004930/2018-34</t>
  </si>
  <si>
    <t xml:space="preserve">Fortaleza de Nossa Senhora da Conceição de Araçatuba</t>
  </si>
  <si>
    <t xml:space="preserve">IPHAN, Renato Soeiro</t>
  </si>
  <si>
    <t>SC4205407BIED00004</t>
  </si>
  <si>
    <t xml:space="preserve">80, 73</t>
  </si>
  <si>
    <t xml:space="preserve">Durante a rerratificação (2014) foi proposta a alteração na inscrição para explicitar a inclusão do Forte Marechal Moura, Farol de Naufragados, paisagem natural e acervo de artilharia (que deverá ser conferido pela SE).</t>
  </si>
  <si>
    <t xml:space="preserve">Durante a rerratificação foi redelimitada a poligonal de tombamento. Não foi proposta área de entorno.</t>
  </si>
  <si>
    <t xml:space="preserve">Estação da Luz</t>
  </si>
  <si>
    <t xml:space="preserve"> SP3550308BIED00003</t>
  </si>
  <si>
    <t xml:space="preserve">1977, 1995</t>
  </si>
  <si>
    <t xml:space="preserve">75, 76, 8</t>
  </si>
  <si>
    <t xml:space="preserve">Na 75ª reunião do Conselho (1977), apesar de se reconhecer a importância do bem para a cidade de São Paulo e para a história da megalópole, entendeu-se que o município e o estado possuem meios de garantir a salvaguarda do local, pois o mesmo não teria relevância nacional para justificar o tombamento em âmbito federal. Na 76ª reunião (1977) foi indeferido o tombamento, mas na 8ª reunião (1995) foi aprovado.</t>
  </si>
  <si>
    <t xml:space="preserve">Ofício que informa o INDEFERIMENTO do Processo em 07/06/1977.</t>
  </si>
  <si>
    <t xml:space="preserve">Igreja: Nossa Senhora da Paz</t>
  </si>
  <si>
    <t xml:space="preserve">Não jutifica tombamento do bem a nível federal, encaminhando estudo para tombamento a nível municipal.</t>
  </si>
  <si>
    <t xml:space="preserve">INDEFERIDO pela segunda vez em 02/07/2021</t>
  </si>
  <si>
    <t>01458.000062/2021-49</t>
  </si>
  <si>
    <t xml:space="preserve">Casa: Visconde do Rio Branco (Rua),48; Escola Tiradentes</t>
  </si>
  <si>
    <t xml:space="preserve">Processo INDEFERIDO em 05/07/1999.</t>
  </si>
  <si>
    <t>Mozarlândia</t>
  </si>
  <si>
    <t xml:space="preserve">Forte: (Ruínas) Arraial das Tesouras</t>
  </si>
  <si>
    <t xml:space="preserve">O presidente usou de seu direito de arquivar diretamente processos que receberam pareceres negativos da área técnica do IPHAN, sem que os mesmos processos fossem apreciados pelo Conselho.</t>
  </si>
  <si>
    <t xml:space="preserve">Ofício que informa o INDEFERIMENTO do Processo em 05/01/1981.</t>
  </si>
  <si>
    <t xml:space="preserve">Caetité </t>
  </si>
  <si>
    <t xml:space="preserve">Casa: (Antigo Forum) </t>
  </si>
  <si>
    <t xml:space="preserve">Encaminhada proposta de tombamento a Fundação do Patrmônio Artistico e Cultural da Bahia, tendo o referido bem significação regional.</t>
  </si>
  <si>
    <t>01450.000246/2007-21</t>
  </si>
  <si>
    <t xml:space="preserve">Igreja: Positivista do Brasil</t>
  </si>
  <si>
    <t>RJ3304557BIED00002</t>
  </si>
  <si>
    <t xml:space="preserve">Tombamento aprovado pela 66ª Reunião do Conselho Consultivo do IPHAN realizada nos dia 09 e 10.12.2010 - Aguarda inscrição no Livro do Tombo. Origem: Arquivo 25/06/2012.</t>
  </si>
  <si>
    <t xml:space="preserve">INDEFERIDO em 18/08/2021</t>
  </si>
  <si>
    <t>01458.001499/2012-17</t>
  </si>
  <si>
    <t xml:space="preserve"> Igreja: Rosário (Capela de N.Sª do Rosário da Ermida de Santa Efigênia), Mestre Caetano (região de Cuiabá) </t>
  </si>
  <si>
    <t xml:space="preserve">Origem: DEPAM. Destino: Arquivo Central, para anexação ao processo nº 1500-T-02. 26/09/2014</t>
  </si>
  <si>
    <t>01458.000936/2014-39</t>
  </si>
  <si>
    <t>Goiânia</t>
  </si>
  <si>
    <t xml:space="preserve">Casa: (Museu Professor Zoroastro Artiaga)</t>
  </si>
  <si>
    <t xml:space="preserve">Comunicação que informa a não homologação do tombamento por parte do ministro de Estado de Educação e Cultura em 27/04/1978.</t>
  </si>
  <si>
    <t xml:space="preserve">Casa: Conde de Bonfim (Rua),186 (Palácio Ducal - que foi residência de Duque de Caxias)</t>
  </si>
  <si>
    <t xml:space="preserve">Na ata 76 não fica claro se houve a aprovação do tombamento, por causa de uma carta enviada pelo CNPQ onde o órgão se voluntariava para restaurar o edifício e instalar no mesmo uma de suas divisões, assim como uma biblioteca e seus cursos especializados. Fala-se apenas que o conselho adotou o voto de Pedro Calmon, mas na ata não fica claro se o conselheiro aprova ou não o tombamento. Aparentemente o tombamento não foi homologado por parte do ministro de Estado de Educação e Cultura em 27/04/1978.</t>
  </si>
  <si>
    <t xml:space="preserve">Escola de Enfermagem Ana Neri: pavilhão de aulas</t>
  </si>
  <si>
    <t>RJ3304557BIED00095</t>
  </si>
  <si>
    <t xml:space="preserve">Aanexado ao de número 1561-T-08, relativo ao bem "Estabelecimento das Fazendas Nacionais do Piauí: fábrica de manteiga e queijo, no município de Campinas do Piauí, e estabelecimento rural São Pedro de Alcântara, no município de Floriano, ambos no estado do Piauí".</t>
  </si>
  <si>
    <t xml:space="preserve">PI </t>
  </si>
  <si>
    <t xml:space="preserve">Campinas do Piauí</t>
  </si>
  <si>
    <t xml:space="preserve">Casa: Primeira Fábrica de Laticínios do norte do Brasil (Antigas Fazendas Nacionais)</t>
  </si>
  <si>
    <t>PI2202109BICA00001</t>
  </si>
  <si>
    <t xml:space="preserve">Localização Armário 03 (?)</t>
  </si>
  <si>
    <t xml:space="preserve">Sabre de Honra do General Osório, Marquês de Herval</t>
  </si>
  <si>
    <t>RJ3304557BMAR00002</t>
  </si>
  <si>
    <t xml:space="preserve">Atualmente, encontra-se no Museu Histórico do Exército, situado à Praça Coronel Eugenio Franco, nº 1, Copacabana</t>
  </si>
  <si>
    <t xml:space="preserve">INDEFERIDO em 31/10/2014</t>
  </si>
  <si>
    <t>01458.000318/2014-99</t>
  </si>
  <si>
    <t xml:space="preserve">Antigo Quartel da Polícia Militar, na Praça Heliodoro Baldi, Centro </t>
  </si>
  <si>
    <t xml:space="preserve">Instituto Geográfico e Histórico do Amazonas</t>
  </si>
  <si>
    <t xml:space="preserve">Superintendência informa que não há interesse no tombamento isolado (está inserido na poligonal de tombamento do Centro Histórico e já está protegido nas esferas estadual e municipal). Tabela anexa ao memorando nº110/2014/GAB IPHAN/AM, de 13/05/2014 (CPROD 01490.001412/2014-69)</t>
  </si>
  <si>
    <t xml:space="preserve">01498.001980/2016-51 01458.000937/2014-83</t>
  </si>
  <si>
    <t xml:space="preserve">Igreja do Amparo</t>
  </si>
  <si>
    <t xml:space="preserve">Origem: DEPAM. Destino: SE-PE. 20/08/2014</t>
  </si>
  <si>
    <t>01458.000932/2014-51</t>
  </si>
  <si>
    <t xml:space="preserve">Igreja de São João</t>
  </si>
  <si>
    <t>01458.000834/2012-51</t>
  </si>
  <si>
    <t xml:space="preserve">Monte Alegre de Minas</t>
  </si>
  <si>
    <t xml:space="preserve">Cemitério:(onde repousam restos mortais dos heróis da Retirada de Laguna)</t>
  </si>
  <si>
    <t xml:space="preserve">Encaminhado para INDEFERIMENTO em 06/09/2016</t>
  </si>
  <si>
    <t>01458.001029/2013-26</t>
  </si>
  <si>
    <t>Aratuípe</t>
  </si>
  <si>
    <t xml:space="preserve">Igreja: Santo Antônio dos Índios</t>
  </si>
  <si>
    <t xml:space="preserve">Processo INDEFERIDO em 09/10/1990.</t>
  </si>
  <si>
    <t xml:space="preserve">Cachoeira Paulista</t>
  </si>
  <si>
    <t xml:space="preserve">Casa Estação Ferroviária</t>
  </si>
  <si>
    <t xml:space="preserve">Despacho para INDEFERIR o Processo em 06/06/1979.</t>
  </si>
  <si>
    <t xml:space="preserve">Casa Boa Vista</t>
  </si>
  <si>
    <t xml:space="preserve">O citado bem foi tombado pelo INEPAC</t>
  </si>
  <si>
    <t xml:space="preserve">Processo INDEFERIDO em 08/06/2010.</t>
  </si>
  <si>
    <t>01450.015991/2007-74</t>
  </si>
  <si>
    <t>Pirabeiraba/Joenville</t>
  </si>
  <si>
    <t xml:space="preserve">Cemitério:Dona Francisca</t>
  </si>
  <si>
    <t>01458.000931/2014-14</t>
  </si>
  <si>
    <t xml:space="preserve">Vitória de Santo Antão</t>
  </si>
  <si>
    <t xml:space="preserve"> Área onde ocorreu a batalha de 03/08/1645</t>
  </si>
  <si>
    <t xml:space="preserve">Instituto Histórico e Geográfico de Vitória de Santo Antão</t>
  </si>
  <si>
    <t xml:space="preserve">Ofício que informa o INDEFERIMENTO do Processo em 28/09/1979.</t>
  </si>
  <si>
    <t>Parnaguá</t>
  </si>
  <si>
    <t xml:space="preserve">Paço Municipal (antigo)</t>
  </si>
  <si>
    <t xml:space="preserve">Não apresentaria caracteristicas que justificassem seu acautelamento a nível federal</t>
  </si>
  <si>
    <t>Cáceres</t>
  </si>
  <si>
    <t xml:space="preserve">Marco do Jaurú, na Praça Barão do Rio Branco</t>
  </si>
  <si>
    <t>MT5102504BMAR00001</t>
  </si>
  <si>
    <t xml:space="preserve">Processo 01426.000183/2022-49 tem sido tratado como se fosse o processo de tombamento, mas consta termo de reabertura no Sei. Seu tombamento teria sido aprovado, mas não foi inscrito (verificar observações). O processo 0967-T-77 foi ANEXADO ao volume 2 do Processo 0662-T-62, estando tombado no conjunto. Solicitada emissão de Parecer Tecnico, com definição do objeto em condições reais na atualidade, em 06/09/2023.</t>
  </si>
  <si>
    <t>01426.000183/2022-49</t>
  </si>
  <si>
    <t xml:space="preserve">Casa: Rui Barbosa (Praça),55</t>
  </si>
  <si>
    <t xml:space="preserve">Lourenço Luiz Lacombe, Diretor do Museu Imperial</t>
  </si>
  <si>
    <t xml:space="preserve">RJ-3303906-BI-ED-00025; RJ-3303906-BM-CL-00003	</t>
  </si>
  <si>
    <t xml:space="preserve">Em 1979 foi aprovado o tombamento da casa e seu acervo. Ver porque não foi inscrita! Anexado ao processo 0662-T-62 - Conjunto urbano-paisagístico constituído pela Avenida Koeller (tombado)</t>
  </si>
  <si>
    <t xml:space="preserve">Segundo pedido de rerratificação foi INDEFERIDO em 2/8/2022. Após inscrição da Rerratificação, Arquivo enviou para a Presidência para continuação dos trâmites de informação do tombamento definitivo (28/10/2015)</t>
  </si>
  <si>
    <t xml:space="preserve">01496.000667/2017-05 01450.011602/2008-12</t>
  </si>
  <si>
    <t xml:space="preserve">Icó, CE: conjunto arquitetônico e urbanístico</t>
  </si>
  <si>
    <t>CE-2305407-BI-CU-00002</t>
  </si>
  <si>
    <t xml:space="preserve">04/12/1998
05/10/2015</t>
  </si>
  <si>
    <t xml:space="preserve">Alteração da poligonal de tombamento analisada pela Câmara Setorial do Conselho Consultivo em 14/05/2014 e aprovada pelo conselho consultivo em 04/12/2014. Inscrita em 05/10/2015.</t>
  </si>
  <si>
    <t xml:space="preserve">parecer conselheiro deve estar no volume III que não foi encontrado. Informações sobre delimitação das poligonais: DEPAM-RJ 98-99. Estudos para normatização contratados em 2012. Proposta de rerratificação encaminha em 06/2013</t>
  </si>
  <si>
    <t xml:space="preserve">Aracati, CE: conjunto arquitetônico e paisagístico</t>
  </si>
  <si>
    <t>CE-2301109-BI-CU-00001</t>
  </si>
  <si>
    <t xml:space="preserve">os pareceres devem estar no volume II que não foi encontrado</t>
  </si>
  <si>
    <t xml:space="preserve">Prédio onde funciona a Faculdade de Direito do Recife, na Praça Adolfo Cirne s/nº</t>
  </si>
  <si>
    <t>PE2611606BIED00019</t>
  </si>
  <si>
    <t xml:space="preserve">92, 110</t>
  </si>
  <si>
    <t xml:space="preserve">Origem: 17/10/2012 / Destino: 01/02/2013</t>
  </si>
  <si>
    <t>01458.000980/2012-87</t>
  </si>
  <si>
    <t>Passos</t>
  </si>
  <si>
    <t xml:space="preserve">Igreja: Penha </t>
  </si>
  <si>
    <t xml:space="preserve">Prédio na Rua do Imperador (ex-Jerônimo Gonçalves) nº 1, conhecido como "Solar do Conde de Subaé"</t>
  </si>
  <si>
    <t>BA2928604BIED00002</t>
  </si>
  <si>
    <t xml:space="preserve">Conjunto arquitetônico, urbanístico e paisagístico, inclusive a Igreja Matriz do Santíssimo Sacramento</t>
  </si>
  <si>
    <t>BA2916104BICU00001</t>
  </si>
  <si>
    <t xml:space="preserve">anexou o 387-T-(sem data)</t>
  </si>
  <si>
    <t xml:space="preserve">“O tombamento é estendido aos entornos das igrejas de São Lourenço e da Matriz do Santíssimo Sacramento, compreendendo: as praças Barros Galvão, Virgílio Damásio e Tenente Brotas e pelas ruas Padre Torres, do Cais e pelos becos localizados entre a rua do Cais e a rua Padre Torres e entre a rua do Cais e a Praça Virgílio Damásio e pela rua Carneiro Ribeiro."</t>
  </si>
  <si>
    <t>Mucugê</t>
  </si>
  <si>
    <t xml:space="preserve">Conjunto arquitetônico e paisagístico, especialmente o cemitério, da cidade de Mucugê</t>
  </si>
  <si>
    <t>BA2921906BICA00001</t>
  </si>
  <si>
    <t xml:space="preserve">Prédio localizado na Av. Sete de Setembro, nº 401, ou Ladeira da Barra</t>
  </si>
  <si>
    <t>BA2927408BIED00028</t>
  </si>
  <si>
    <t xml:space="preserve">Prédio na Av. Rio Branco, nº 46, sede da Companhia Docas de Santos</t>
  </si>
  <si>
    <t>RJ3304557BIED00051</t>
  </si>
  <si>
    <t xml:space="preserve">Casa: Carioca (Rua da) Cinema Íris</t>
  </si>
  <si>
    <t xml:space="preserve">O citado bem teria sido tombado pelo INEPAC</t>
  </si>
  <si>
    <t xml:space="preserve">Edifício do Hospital São Francisco de Assis, Pavilhões Originais na Av. Presidente Vargas, 2863</t>
  </si>
  <si>
    <t>RJ3304557BIED00099</t>
  </si>
  <si>
    <t>Bonito</t>
  </si>
  <si>
    <t xml:space="preserve">Grutas do Lago Azul e de Nossa Senhora Aparecida</t>
  </si>
  <si>
    <t xml:space="preserve">MS5002209PSPS00001 </t>
  </si>
  <si>
    <t>01458.000922/2012-53</t>
  </si>
  <si>
    <t xml:space="preserve">Gruta do Rei do Mato, imediações do trevo rodoviário (acesso a Sete Lagoas), Estado de Minas Gerais</t>
  </si>
  <si>
    <t xml:space="preserve">Apensado ao processo 1373-T-78, referente ao Conjunto Arquitetônico e Paisagístico do Arquipélago de Fernando de Noronha</t>
  </si>
  <si>
    <t>01458.000919/2012-30</t>
  </si>
  <si>
    <t xml:space="preserve">Igreja de Nossa Senhora dos Remédios</t>
  </si>
  <si>
    <t>PE2611606BIED00002</t>
  </si>
  <si>
    <t xml:space="preserve">Ofício que informa o INDEFERIMENTO do Processo em 26/06/1978.</t>
  </si>
  <si>
    <t xml:space="preserve">Prédio do Ministério da Agricultura</t>
  </si>
  <si>
    <t xml:space="preserve">O bem não possui atributos necessários para inclusão no acervo histórico e artistico da nação</t>
  </si>
  <si>
    <t xml:space="preserve">Prédio do Asilo D. Pedro II na  Av. Luís Tarquínio, nº 18, antigo Palacete Machado</t>
  </si>
  <si>
    <t>BA2927408BIED00005</t>
  </si>
  <si>
    <t xml:space="preserve">“O tombamento inclui o parque arborizado, as cerâmicas e as estátuas."</t>
  </si>
  <si>
    <t xml:space="preserve">Prédio conhecido como "Casa dos Carvalhos", na Avenida Princesa Leopoldina nº 2, inclusive suas áreas externas</t>
  </si>
  <si>
    <t>BA2927408BIED00031</t>
  </si>
  <si>
    <t xml:space="preserve">Processo INDEFERIDO em 10/05/1999.</t>
  </si>
  <si>
    <t xml:space="preserve">Casa: Raul Leite (rua), 68 "Vila Laura"</t>
  </si>
  <si>
    <t xml:space="preserve">Conjunto Urbano Formado Pela Quadra Existente Entre As Ruas da Constituição e Luis de Camões, composta pelos prédios de números 5, 5-A, 5-B e 7 da Rua Gonçalves Ledo e o número 11 da mesma rua, esquina com a Rua Luis de Camões.</t>
  </si>
  <si>
    <t>RJ3304557BICU00001</t>
  </si>
  <si>
    <t xml:space="preserve">Prédio conhecido como "Solar Amado Bahia", na Rua Porto dos Tanheiros, nº 80</t>
  </si>
  <si>
    <t>BA2927408BIED00065</t>
  </si>
  <si>
    <t xml:space="preserve">O tombamento inclui o mobiliário pertencente ao Solar Amado Bahia."</t>
  </si>
  <si>
    <t xml:space="preserve">Imagem de Santa Teresa de Àvila, um retábulo e uma moldura de espelho </t>
  </si>
  <si>
    <t xml:space="preserve">Encaminhado para indeferimento em 15/01/2019</t>
  </si>
  <si>
    <t>01458.000924/2012-42</t>
  </si>
  <si>
    <t>Manga</t>
  </si>
  <si>
    <t xml:space="preserve">Ruínas Jesuíticas do Mocambinho ou de Pachola</t>
  </si>
  <si>
    <t xml:space="preserve">Ofício que informa o INDEFERIMENTO do Processo em 03/09/1979.</t>
  </si>
  <si>
    <t xml:space="preserve">Igreja: Livramento</t>
  </si>
  <si>
    <t xml:space="preserve">O citado bem não faz jus a proteção federal, sugerindo que seu acautelamento proceda a nível estadual</t>
  </si>
  <si>
    <t xml:space="preserve">Casa: Praça Marquês de Monte Alegre</t>
  </si>
  <si>
    <t>Barueri</t>
  </si>
  <si>
    <t xml:space="preserve">Imagem de Nossa Senhora da Escada, da Capela da Aldeia de Barueri</t>
  </si>
  <si>
    <t>SP3505708BMAR00001</t>
  </si>
  <si>
    <t xml:space="preserve">Respaldado no voto do relator, de que não havia justificativa para o tombamento do local devido a sua total descaracterização, foi recomendado o tombamento apenas de uma imagem pertencente a pequena capela do local. Foi sugerida a inscrição nos Livros do Tombo Histórico e Artístico da imagem de Nossa Senhora pertencente a uma pequena capela existente no local.</t>
  </si>
  <si>
    <t xml:space="preserve">Hangar de Zepelins do Aeroporto Bartolomeu de Gusmão, inclusive as pontes rolantes, os elevadores, as escadas de acesso, o motor, o mecanismo de abertura das portas principal e secundária, e a estação de passageiros anexa</t>
  </si>
  <si>
    <t>RJ3304557BIOE00002</t>
  </si>
  <si>
    <t xml:space="preserve">O processo foi considerado de carater "SECRETO" conforme o disposto à folha 243 dos autos.</t>
  </si>
  <si>
    <t xml:space="preserve">O bem Museu Mariano Procópio é objeto de tombamento do processo 1691-T-2014 (homologado).  Arquivo informa: Quanto ao Processo de Tombamento nº 995-T, que corresponde ao bem cultural Museu Mariano Procópio, consta em sua pasta dois documentos: o 1º documento é uma carga de empréstimo (original) 
em que a D. Lygia solicita este processo em 21/02/78. O 2º documento (original) é uma Declaração, de outubro de 2007, da Chefe do Arquivo Central, Francisca Helena B. Lima, que relata que houve 
uma Conferência nos Departamentos do IPHAN/RJ e não foi localizado o Processo nº 995-T. Nesta mesma Declaração, a Chefe do Arquivo Central faz menção a carga de empréstimo supracitada. (Anna, 27/03/2014)</t>
  </si>
  <si>
    <t xml:space="preserve"> Museu Mariano Procópio</t>
  </si>
  <si>
    <t xml:space="preserve">Casa Paroquial anexa à Igreja de Santo Antônio na Praça da Independência, s/nº</t>
  </si>
  <si>
    <t>PE2611606BIED00006</t>
  </si>
  <si>
    <t xml:space="preserve">84, 110</t>
  </si>
  <si>
    <t xml:space="preserve">O processo 0997-T-79 foi ANEXADO ao processo 1021-T-80.</t>
  </si>
  <si>
    <t xml:space="preserve">Santa Cruz Cabrália</t>
  </si>
  <si>
    <t xml:space="preserve">Antiga Casa de Câmara e Cadeia, no município de Santa Cruz Cabrália</t>
  </si>
  <si>
    <t>BA-2927705-BI-ED-00001</t>
  </si>
  <si>
    <t xml:space="preserve">Este processo é um anexo do processo 1021-T-80</t>
  </si>
  <si>
    <t xml:space="preserve">Este processo foi ANEXADO ao processo 1021-T-80.</t>
  </si>
  <si>
    <t xml:space="preserve"> Igreja Matriz de Nossa  Senhora. da Conceição</t>
  </si>
  <si>
    <t>BA-2927705-BI-ED-00004</t>
  </si>
  <si>
    <t xml:space="preserve">Origem: DEPAM. Destino: SE-CE. 20/08/2014</t>
  </si>
  <si>
    <t>01458.000930/2014-61</t>
  </si>
  <si>
    <t xml:space="preserve">Igreja: (Capela do Cemitério Público)</t>
  </si>
  <si>
    <t xml:space="preserve">Parecer de indeferimento de 18-06-2022. O processo original foi extraviado. Reabrimos com base em documentação existente na Superintendência de SP (24/06/2016). Origem: DEPAM, destino: SE-SP, em 24/06/2016</t>
  </si>
  <si>
    <t>01506.008464/2016-10</t>
  </si>
  <si>
    <t xml:space="preserve">Palácio dos Bandeirantes – acervo</t>
  </si>
  <si>
    <t xml:space="preserve">Cópia da ata da 85ª sessão ordinária do Conselho Consultivo do IPHAN, realizada em 13/03/1979, indica que foi decidido o INDEFERIMENTO do Processo.</t>
  </si>
  <si>
    <t>Camocim</t>
  </si>
  <si>
    <t xml:space="preserve">Casa Natal de Euclides da Cunha Pinto Martins; Casa Natal de Pinto Martins </t>
  </si>
  <si>
    <t xml:space="preserve">Encaminhado para indeferimetno em 29/11/2018</t>
  </si>
  <si>
    <t>01458.001156/2012-44</t>
  </si>
  <si>
    <t>Campos</t>
  </si>
  <si>
    <t xml:space="preserve">Igreja: Nossa Senhora da Lapa</t>
  </si>
  <si>
    <t>01458.000163/2014-91</t>
  </si>
  <si>
    <t xml:space="preserve">Casa: Cine-Teatro</t>
  </si>
  <si>
    <t>Macaé</t>
  </si>
  <si>
    <t xml:space="preserve">Igreja de Sant'Anna</t>
  </si>
  <si>
    <t xml:space="preserve">Alojamento (antigo)da Werstern Telegraph, pertencente à Universidade Federal Fluminense, situado na Rua Passos da Pátria n. 156; Western Telegraph - alojamento (antigo)</t>
  </si>
  <si>
    <t xml:space="preserve">Processo INDEFERIDO em 08/08/1986.</t>
  </si>
  <si>
    <t xml:space="preserve">Conjunto Arquitetônico: Rua da Carioca</t>
  </si>
  <si>
    <t xml:space="preserve">O citado bem já se encontra preservado por se encontrar em área de entorno a bens tombados, por legislação municipal de uso do solo e de tombamento a nível estadual</t>
  </si>
  <si>
    <t xml:space="preserve">Casa situada à rua Cônego Bittencourt, nº 47 (antigo nº 1)</t>
  </si>
  <si>
    <t xml:space="preserve"> O motivo para o não tombamento foi o perecimento do bem</t>
  </si>
  <si>
    <t xml:space="preserve">Processo INDEFERIDO em 15/09/2005. Aguardando remessa do 1044-T (que foi remetido ao Depam) para anexar o 1008-T a ele.</t>
  </si>
  <si>
    <t xml:space="preserve">Estação: Ferroviária</t>
  </si>
  <si>
    <t>RJ3302007BIED00002</t>
  </si>
  <si>
    <t xml:space="preserve">"O bem foi descrito no Processo nº 1044-T-79" (anexado a esse)</t>
  </si>
  <si>
    <t xml:space="preserve">Conjunto arquitetônico e paisagístico do Observatório Nacional à Rua General Bruce, 586 , situado em área com cerca de 40 mil m2 , delimitada conforme poligonal descrita e constante no Processo Nº 1009-T-79, bem como todo o acervo arrolado no Anexo 3 do m</t>
  </si>
  <si>
    <t>RJ-3304557-BI-ED-00016</t>
  </si>
  <si>
    <t xml:space="preserve">A poligonal descrita na folha 81 do Processo 1009-T-79 está anotada no campo OBSERVAÇÃO dos livros do Tombo Histórico, e Arqueológico, Etnográfico e Paisagístico.</t>
  </si>
  <si>
    <t xml:space="preserve">INDEFERIDO em 19/12/2019</t>
  </si>
  <si>
    <t>01458.000921/2012-17</t>
  </si>
  <si>
    <t xml:space="preserve">Casa: Onde funcionou o Fórum</t>
  </si>
  <si>
    <t xml:space="preserve">Parecer de indeferimento de 20/05/22. Origem: DEPAM 18/06/2013 / Destino: Superintendência 16/07/2013</t>
  </si>
  <si>
    <t>01429.000021/2021-08</t>
  </si>
  <si>
    <t xml:space="preserve">Conjunto arquitetônico de Conservatória</t>
  </si>
  <si>
    <t xml:space="preserve">Em 14/09/2023, encaminhada pelo DEPAM a NOTA TÉCNICA nº 12/2023/COREC/CGID/DEPAM solicitando complementação. Reabertura do processo em 26/04/2019.</t>
  </si>
  <si>
    <t xml:space="preserve">01458.002213/2009-15 e 01514.006525/2013-54</t>
  </si>
  <si>
    <t xml:space="preserve">Serra São José</t>
  </si>
  <si>
    <t xml:space="preserve">Instituto Histórico e Geográfico de Tiradentes</t>
  </si>
  <si>
    <t xml:space="preserve">Conjunto: Urbano (Constituído pela Lapa e a Encosta de Santa Teresa)</t>
  </si>
  <si>
    <t>01458.001577/2012-75</t>
  </si>
  <si>
    <t xml:space="preserve">Lampião existente no Largo da Lapa</t>
  </si>
  <si>
    <t>RJ-3304557-BM-AR-00022</t>
  </si>
  <si>
    <t xml:space="preserve">Relógio existente no Largo Carioca</t>
  </si>
  <si>
    <t xml:space="preserve">Luminárias existentes nas ruas da Conceição, Senhor dos Passos, Alfândega, Ouvidor e Praça XV de Novembro, inclusive as ruas e becos adjacentes</t>
  </si>
  <si>
    <t>01458.000175/2016-87</t>
  </si>
  <si>
    <t xml:space="preserve">Casa Aurora</t>
  </si>
  <si>
    <t xml:space="preserve">Processo INDEFERIDO em 11/08/1986.</t>
  </si>
  <si>
    <t xml:space="preserve">Casa Floriano </t>
  </si>
  <si>
    <t xml:space="preserve"> O citado bem já se encontra preservado por se encontrar em área de entorno a bens tombados, por legislação municipal de uso do solo e de tombamento a nível estadual</t>
  </si>
  <si>
    <t xml:space="preserve">Sítio de Santo Antônio das Alegrias ou do Físico: ruínas</t>
  </si>
  <si>
    <t>MA2111300BAST00001</t>
  </si>
  <si>
    <t xml:space="preserve">Segundo Superintendência: "Bem tombado está inserido no Parque Estadual do Bacanga (Decreto Estadual nº 7.545 de 02/03/1980)". Ou seja, não tem entorno delimitado pelo IPHAN.</t>
  </si>
  <si>
    <t xml:space="preserve">INDEFERIDO em 11/03/2015</t>
  </si>
  <si>
    <t>01458.001158/2012-33</t>
  </si>
  <si>
    <t xml:space="preserve">Fazenda Pinheiro - Sede</t>
  </si>
  <si>
    <t xml:space="preserve">Ofício que informa o INDEFERIMENTO do Processo em 30/06/1981.</t>
  </si>
  <si>
    <t xml:space="preserve">Casa Palácio da Justiça</t>
  </si>
  <si>
    <t xml:space="preserve">ARQUIVADO em 1981 a pedido do saudoso Aloísio Magalhães, segundo Hilario (20/02/2014)</t>
  </si>
  <si>
    <t xml:space="preserve">O bem não possui caracteristicas que justifique o seu tombamento a nível federal, merecendo proteção a nível estadual</t>
  </si>
  <si>
    <t xml:space="preserve">O Processo 1020-T-80 foi ANEXADO ao Processo 1378-T-96, referente ao Teatro João Caetano</t>
  </si>
  <si>
    <t>01458.001630/2012-38</t>
  </si>
  <si>
    <t xml:space="preserve">Teatro Municipal João Caetano</t>
  </si>
  <si>
    <t xml:space="preserve">Teria sido reaberto para rerratificação. Etec Porto Seguro, em  26/01/2016.</t>
  </si>
  <si>
    <t>01502.000543/2007-13</t>
  </si>
  <si>
    <t xml:space="preserve">Conjunto Paisagístico em Santa Cruz Cabrália, especialmente o Ilhéu da Coroa Vermelha, orla marítima e o Conjunto Arquitetônico E Paisagístico Da Cidade Alta, que Inclui a Igreja Matriz de N. Sra. da C onceição e a Casa de Câmara e Cadeia.</t>
  </si>
  <si>
    <t>BA2927705PSPS00001</t>
  </si>
  <si>
    <t xml:space="preserve">94, 108</t>
  </si>
  <si>
    <t xml:space="preserve">Na 108ª reunião do Conselho foi definido em melhores moldes e linguagem a área tombada, pois havia o entendimento de que todo o município estaria tombado, causando revolta na população.</t>
  </si>
  <si>
    <t xml:space="preserve">Tombamento Provisório cancelado na 78ª reunião do conselho consultivo</t>
  </si>
  <si>
    <t>01458.001979/2011-99</t>
  </si>
  <si>
    <t xml:space="preserve">Casa : Rivadávea Correia (Rua) nº 262 e 266 (Antiga residência do poeta José Hernandez)</t>
  </si>
  <si>
    <t xml:space="preserve">Sob tombamento provisório há mais de 20 anos, segundo Andrey já descaracterizada, teve parecer negativo e foi aprovado o indeferimento na câmara Setorial</t>
  </si>
  <si>
    <t xml:space="preserve">Anexado ao processo 1071-T-82 (Conjunto arquitetônico dos bairros da Cidade Velha e Campina)  em 21/10/2010  (corresponde às folhas 64 a 113 do volume I).</t>
  </si>
  <si>
    <t>01458.002987/2010-71</t>
  </si>
  <si>
    <t xml:space="preserve">Conjunto arquitetônico: convento/capela da Ordem Terceira de São Francisco da Penitência, juntamente com a área de entorno: Conjunto Arquitetônico e Paisagístico do Largo de Santo Antônio, onde se destaca o sobrado que aloja a Secretaria de Segurança, sobrados da rua Gaspar Viana, desde o Largo de Santo Antônio até a Avenida Presidente Vargas e o antigo quartel da Polícia Militar, na esquerda da rua Gaspar Viana e Avenida Assis de Vasconcelos, formam o prolongamento natural do Conjunto Arquitetônico e Paisagístico de Ver-o-Peso.</t>
  </si>
  <si>
    <t>PA-1501402-BI-CA-00008</t>
  </si>
  <si>
    <t xml:space="preserve">Inserido no conjunto tombado pelo processo 1071-T-82 em 03/05/2011, com indicação do Conselho Consultivo de ver se é o caso de tombar isoladamente.</t>
  </si>
  <si>
    <t xml:space="preserve">Palacete Pinho, Imóvel situado à Rua Dr. Assis nº  586</t>
  </si>
  <si>
    <t>PA1501402BIED00011</t>
  </si>
  <si>
    <t xml:space="preserve">Processo INDEFERIDO em 03/06/1981.</t>
  </si>
  <si>
    <t xml:space="preserve">Conjunto Arquitetônico: Quadra existente, constituída pelos sequintes logradouros: Av. Castilhos França, Av. Presidente Vargas, Rua 1º de Março, Rua Gaspar Viana </t>
  </si>
  <si>
    <t xml:space="preserve">Conjuntos Arquitetônicos da Av. Governador José Malcher, Constante dos Imóveis Da Travessa Rui Barbosa</t>
  </si>
  <si>
    <t>PA1501402BICA00002</t>
  </si>
  <si>
    <t xml:space="preserve">Informações sobre delimitação das poligonais: DEPAM-RJ 98-99, mas agora incluídas na poligonal do Centro Histórico. Normatização: Portaria Iphan 4/1987</t>
  </si>
  <si>
    <t xml:space="preserve">Avenida Nazareth: conjunto arquitetônico</t>
  </si>
  <si>
    <t>PA1501402BICA00003</t>
  </si>
  <si>
    <t xml:space="preserve">Em 1981 foi  tombado apenas o lado par, enquanto pediu-se o estudo para o tombamento do conjunto do lado ímpar da avenida.</t>
  </si>
  <si>
    <t xml:space="preserve">Aguadando inscrição. Os Processos 0888-T-73; 1028-T-80; 1504-T-09 e 1580-T-09 foram ANEXADOS ao Processo 1613-T-10.</t>
  </si>
  <si>
    <t>Óbidos</t>
  </si>
  <si>
    <t xml:space="preserve">FORTE ÓBIDOS</t>
  </si>
  <si>
    <t>PA-1505106-BI-ED-00001</t>
  </si>
  <si>
    <t xml:space="preserve">Apensado ao processo nº 1613-T-10, concluído pelo Depam-RJ</t>
  </si>
  <si>
    <t xml:space="preserve">FORTE: SERRA DA ESCAMA</t>
  </si>
  <si>
    <t>PA-1505106-BI-ED-00003</t>
  </si>
  <si>
    <t xml:space="preserve">Anexado ao processo 1071-T-82 (Conjunto arquitetônico dos bairros da Cidade Velha e Campina)  em 21/10/2010 (corresponde às folhas 134-180 do volume I).</t>
  </si>
  <si>
    <t xml:space="preserve">Conjunto: Arquitetônico e Paisagístico do Largo das Mercês e Sua área de entorno</t>
  </si>
  <si>
    <t xml:space="preserve">não procede (incluído no Conjunto arquitetônico dos bairros da Cidade Velha e Campina)</t>
  </si>
  <si>
    <t xml:space="preserve">Anexado ao processo 1071-T-82 (Conjunto arquitetônico dos bairros da Cidade Velha e Campina)  em 21/10/2010 (corresponde às folhas 184 a 258 do volume II).</t>
  </si>
  <si>
    <t xml:space="preserve">Conjunto arquitetônico da Rua Siqueira Mendes e Largo do Carmo</t>
  </si>
  <si>
    <t>PA-1501402-BI-CA-00012</t>
  </si>
  <si>
    <t xml:space="preserve">Depam/RJ: Anexado  ao Processo 1071-T-82 com indicação de tombamento em 21/10/2010</t>
  </si>
  <si>
    <t xml:space="preserve">Prédio onde funciona o Colégio Pedro II, na Av. Marechal Floriano, nºs 68 a 80</t>
  </si>
  <si>
    <t>RJ3304557BIED00050</t>
  </si>
  <si>
    <t xml:space="preserve">Origem: DEPAM 15/10/2017   Destino: Presidencia para indeferimento</t>
  </si>
  <si>
    <t>01458.001576/2012-21</t>
  </si>
  <si>
    <t xml:space="preserve">Paraíba do Sul</t>
  </si>
  <si>
    <t xml:space="preserve">Casa: Rio Novo (Fazenda); Fazenda Rio Novo (sede)</t>
  </si>
  <si>
    <t xml:space="preserve">Igreja Santo Antônio no Distrito de Itatiaia</t>
  </si>
  <si>
    <t>MG3145901BIED00002</t>
  </si>
  <si>
    <t xml:space="preserve">Processo INDEFERIDO em 30/12/2013.</t>
  </si>
  <si>
    <t>01458.001575/2012-86</t>
  </si>
  <si>
    <t xml:space="preserve">Pantheon: Marechal Floriano Peixoto (do) - Cemitério de São João Batista</t>
  </si>
  <si>
    <t xml:space="preserve">Origem: DEPAM 26/12/2012 /  Destino: Superintendência 08/01/2013</t>
  </si>
  <si>
    <t xml:space="preserve">INDEFERIR o Processo em 26/09/1980.</t>
  </si>
  <si>
    <t xml:space="preserve"> Árvore: Figueira</t>
  </si>
  <si>
    <t xml:space="preserve"> Não se trata de bem a ser Tombado pelo Patrimônio Histórico e Artistico Nacional</t>
  </si>
  <si>
    <t xml:space="preserve">Prédio onde funciona os Correios e Telégrafos, na Praça Barão do Rio Branco</t>
  </si>
  <si>
    <t>RS4314902BIED00004</t>
  </si>
  <si>
    <t xml:space="preserve">Rerratificação. Origem: DEPAM 15/03/2013/  Destino: Superintendência 03/05/2013</t>
  </si>
  <si>
    <t>01458.001159/2012-88</t>
  </si>
  <si>
    <t xml:space="preserve">Palácio de Manguinhos ou Prédio da Fundação Oswaldo Cruz na Av. Brasil, nº 4365</t>
  </si>
  <si>
    <t>RJ3304557BIED00016</t>
  </si>
  <si>
    <t xml:space="preserve">O tombamento abrange o Edifício Central, o Pavilhão para o estudo da peste e a cavalariça dos animais inoculados ou fornecedores de soro</t>
  </si>
  <si>
    <t>Surubim</t>
  </si>
  <si>
    <t xml:space="preserve">Fazenda Cachoeira do Taepe: casa grande</t>
  </si>
  <si>
    <t>PE2614501BIED00001</t>
  </si>
  <si>
    <t xml:space="preserve">Coleção constituída de 89 ex-votos pintados pertencentes ao Santuário do Bom Jesus de Matozinhos</t>
  </si>
  <si>
    <t>MG3118007BMCL00001</t>
  </si>
  <si>
    <t>01458.001574/2012-31</t>
  </si>
  <si>
    <t xml:space="preserve">Igreja: Bonfim; Igreja do Senhor do Bonfim</t>
  </si>
  <si>
    <t xml:space="preserve">Encaminhado à presidência para arquivametno em 11/06/18</t>
  </si>
  <si>
    <t>01458.000807/2013-60</t>
  </si>
  <si>
    <t xml:space="preserve">Estação Ferroviária da antiga Central do Brasil de Guaratinguetá</t>
  </si>
  <si>
    <t xml:space="preserve">Escritório Técnico de Olinda: 17/03/2010</t>
  </si>
  <si>
    <t xml:space="preserve">01458.000380/2010-57 01498.000547/2021-66</t>
  </si>
  <si>
    <t xml:space="preserve">Campo de Jiquiá </t>
  </si>
  <si>
    <t xml:space="preserve">Francisco Pfaltzgraff</t>
  </si>
  <si>
    <t xml:space="preserve">Encaminhado para indeferimento em 06/12/2018</t>
  </si>
  <si>
    <t>01458.000938/2014-28</t>
  </si>
  <si>
    <t>Itapipoca</t>
  </si>
  <si>
    <t xml:space="preserve">Igreja: N. Srª das Mercês, em Arapari</t>
  </si>
  <si>
    <t xml:space="preserve">Paróquia de N. Sra. De Assunção/ Diocese de Itapipoca</t>
  </si>
  <si>
    <t xml:space="preserve">INDEFERIDO em 16/10/2014</t>
  </si>
  <si>
    <t>01458.000929/2014-37</t>
  </si>
  <si>
    <t xml:space="preserve">Estação Ferroviária de Itaguaí; Chafariz </t>
  </si>
  <si>
    <t xml:space="preserve">Prefeitura Municipal de Itaguaí</t>
  </si>
  <si>
    <t xml:space="preserve">Despacho para INDEFERIR o Processo em 15/07/1985.</t>
  </si>
  <si>
    <t xml:space="preserve">Casa: Rua Alexandre Moura nºs 23 a 29 (Colégio Martin Afonso)</t>
  </si>
  <si>
    <t xml:space="preserve">não consta nenhuma informação relativa ao processo</t>
  </si>
  <si>
    <t>Saquarema</t>
  </si>
  <si>
    <t xml:space="preserve">Igreja: Nazaré (Matriz de Saquarema)</t>
  </si>
  <si>
    <t xml:space="preserve">Reaberto para rerratificação, que foi INDEFERIDA em 27/08/2014.</t>
  </si>
  <si>
    <t>01512.003381/2010-51</t>
  </si>
  <si>
    <t xml:space="preserve">Pórtico Central e Armazéns do Cais do Porto</t>
  </si>
  <si>
    <t>RS4314902BICA00001</t>
  </si>
  <si>
    <t xml:space="preserve">Processo INDEFERIDO, segundo despacho do Chefe do Arquivo, em 08/08/1986.</t>
  </si>
  <si>
    <t xml:space="preserve">Processo INDEFERIDO em 21/04/1987, de acordo com o Despacho do Secretário do PHAN.</t>
  </si>
  <si>
    <t>Itapemirim</t>
  </si>
  <si>
    <t xml:space="preserve">Morro: O Frade e a Freira</t>
  </si>
  <si>
    <t xml:space="preserve">O citado bem já se encontra tombado a nível estadual</t>
  </si>
  <si>
    <t xml:space="preserve">Processo INDEFERIDO em 29/03/2012.</t>
  </si>
  <si>
    <t>01458.002318/2010-08</t>
  </si>
  <si>
    <t xml:space="preserve">Aldeia dos Índios Tapirapé</t>
  </si>
  <si>
    <t xml:space="preserve">Processo INDEFERIDO em 02/01/2003.</t>
  </si>
  <si>
    <t xml:space="preserve">Conjunto Arquitetônico: Ruas - Comércio, Conceição, Professor Lima, Honório Lima, Raul Pompéia, Travessa Santa Luzia e Rua do Comércio, em Mambucaba; Praças: Guarda Greenhald, Duque de Caxias; Chafarizes: Carioca, Saudade; Marco: Visita de D. Pedro, Fundação da Cidade; Engenhos: Bracuí, Freguesia; Fazenda: Grataú; Prédio do Mercado - Monumento do Aquidabã.</t>
  </si>
  <si>
    <t xml:space="preserve">Informações sobre delimitação das poligonais: DEPAM-RJ 98-99. Bem considerado sem valor para tombamento federal, foi protegido pelo governo estadual</t>
  </si>
  <si>
    <t>Aquiraz</t>
  </si>
  <si>
    <t xml:space="preserve">Mercado de Carne e Lojas Adjacentes</t>
  </si>
  <si>
    <t>CE2301000BICU00001</t>
  </si>
  <si>
    <t xml:space="preserve">Forte de Santa Bárbara</t>
  </si>
  <si>
    <t>SC4205407BIED00008</t>
  </si>
  <si>
    <t xml:space="preserve">Fábrica de Vinho Tito Silva</t>
  </si>
  <si>
    <t>PB2507507BIED00019</t>
  </si>
  <si>
    <t xml:space="preserve">Situada na poligonal de tombamento do Centro Histórico de João Pessoa. Na 106ª reunião do Conselho, a fábrica foi tombada por seu funcionamento ter sido assegurado junto ao governo do Estado da Paraíba e a Universidade Federal da Paraíba, que iria utilizar o edifício como empresa-escola. Todo o maquinário foi também tombado assim como a estrutura da fábrica como um todo. O tombamento visava à preservação de um processo industrial e não do edifício em si, entendido como não detentor de valores históricos ou artísticos destacados.</t>
  </si>
  <si>
    <t>01410.000018/2009-99</t>
  </si>
  <si>
    <t>Vilhena</t>
  </si>
  <si>
    <t xml:space="preserve">Prédios das estações telegráficas construídas pela Comissão Estratégica de Linhas Telegráficas de Cuiabá a Porto Velho – Comissão Rondon</t>
  </si>
  <si>
    <t>RO1100304BIED00001</t>
  </si>
  <si>
    <t xml:space="preserve">Homologado pela PORTARIA No- 9, DE 3 DE FEVEREIRO DE 2016</t>
  </si>
  <si>
    <t xml:space="preserve">Ji Paraná</t>
  </si>
  <si>
    <t xml:space="preserve">RO1100122BIED00001 </t>
  </si>
  <si>
    <t xml:space="preserve">Origem: DEPAM. Destino: SE-PR. 21/08/2014</t>
  </si>
  <si>
    <t>01458.000939/2014-72</t>
  </si>
  <si>
    <t xml:space="preserve">Instalações de Água Potável</t>
  </si>
  <si>
    <t xml:space="preserve">Companhia de Saneamento do Paraná/ SANEPAR</t>
  </si>
  <si>
    <t xml:space="preserve">Prédio da antiga sede do Departamento Nacional de Obras Contra as Secas, na Rua Pedro Pereira, nº 683, esquina com a rua General Sampaio</t>
  </si>
  <si>
    <t>CE2304400BIED00002</t>
  </si>
  <si>
    <t xml:space="preserve">INDEFERIDO em 9/9/2021</t>
  </si>
  <si>
    <t>01458.000940/2014-05</t>
  </si>
  <si>
    <t xml:space="preserve">Casa União, na Rua União, 263, onde nasceu Manuel Bandeira</t>
  </si>
  <si>
    <t>MEC</t>
  </si>
  <si>
    <t xml:space="preserve">Processo INDEFERIDO em 19/09/1989.</t>
  </si>
  <si>
    <t xml:space="preserve">Casa: Cônego de Vasconcelos (Avenida) de propriedade da Companhia Progresso Industrial Brasil - Fábrica Bangú </t>
  </si>
  <si>
    <t xml:space="preserve">Monte Santo</t>
  </si>
  <si>
    <t xml:space="preserve">Acervo Natural, Paisagístico, Urbanístico e Arquitetônico da Serra do Monte Santo, antiga Serra do Piquaraçá, com destaque para o Santuário de Santa Cruz, constituído pelas suas 25 capelas, cuja preservação é extensiva aos bens de arte sacra e devocional </t>
  </si>
  <si>
    <t>BA2921500BICA00001</t>
  </si>
  <si>
    <t xml:space="preserve">Processo INDEFERIDO em 20/01/1987.</t>
  </si>
  <si>
    <t xml:space="preserve">Casa: Carmela Dutra (Rua), 78 Casa em que residiu Carlos Oswald </t>
  </si>
  <si>
    <t>01458.001030/2013-51</t>
  </si>
  <si>
    <t xml:space="preserve">Ponta de Pedras</t>
  </si>
  <si>
    <t xml:space="preserve">Casa: Sant'Ana(Fazenda)</t>
  </si>
  <si>
    <t xml:space="preserve">Em outra tabela diz que o município se chama Cachoeira do Arari. Verificar</t>
  </si>
  <si>
    <t xml:space="preserve">INDEFERIDO em 01/06/2020</t>
  </si>
  <si>
    <t>01458.000103/2013-97</t>
  </si>
  <si>
    <t xml:space="preserve">Limoeiro do Norte</t>
  </si>
  <si>
    <t xml:space="preserve">Cadeia Velha</t>
  </si>
  <si>
    <t xml:space="preserve">O processo 1074-T-82, referente à Caixa D´Água de Rio Grande, foi anexado a ele.</t>
  </si>
  <si>
    <t>01450.007167/2012-16</t>
  </si>
  <si>
    <t xml:space="preserve">Caixa D'Água localizada na Praça Piratinino de Almeida, antigo Largo da Caridade</t>
  </si>
  <si>
    <t>RS4314407BMAR00001</t>
  </si>
  <si>
    <t>AC</t>
  </si>
  <si>
    <t>Xapuri</t>
  </si>
  <si>
    <t xml:space="preserve">Casa: De Plácido de Castro</t>
  </si>
  <si>
    <t xml:space="preserve">O citado bem não possui elementos  expressivos que justifique seu tombamento</t>
  </si>
  <si>
    <t xml:space="preserve">Rio Branco</t>
  </si>
  <si>
    <t xml:space="preserve">Vila: Porto Acre (de)</t>
  </si>
  <si>
    <t xml:space="preserve"> O citado bem não possui elementos de relevância que justifique seu tombamento</t>
  </si>
  <si>
    <t>01458.000309/2019-11</t>
  </si>
  <si>
    <t>Terreiro</t>
  </si>
  <si>
    <t xml:space="preserve">Terreiro da Casa Branca contituído de uma área de aproximadamente 6.800 m2, com as edificações, árvores e principais objetos sagrados, situado na Avenida Vasco da Gama s/nº, em Salvador/Bahia</t>
  </si>
  <si>
    <t>BA2927408BICA00003</t>
  </si>
  <si>
    <t xml:space="preserve">Durante a 108ª reunião do Conselho foram discutidas a situação jurídica do terreno onde se encontra o imóvel, assim como se o tombamento seria o instrumento mais adequado para preservar o local. A votação foi apertada havendo duas abstenções, um contra o tombamento, um para adiamento da decisão e três a favor do tombamento do terreiro.</t>
  </si>
  <si>
    <t xml:space="preserve">Processo INDEFERIDO em 15/05/1989. ANEXADO ao processo 1506-T-2003, que trata do mesmo tema. </t>
  </si>
  <si>
    <t xml:space="preserve">Sistema de Bondes do Bairro de Santa Tereza</t>
  </si>
  <si>
    <t xml:space="preserve">União dos Palmares</t>
  </si>
  <si>
    <t xml:space="preserve">Serra da Barriga, parte mais acantilada, conforme descrição constante na Informação nº123/85, às fls 146 a 148 e do mapa ...</t>
  </si>
  <si>
    <t>AL2709301PSPS00001</t>
  </si>
  <si>
    <t xml:space="preserve">Processo INDEFERIDO em 11/04/1988, de acordo com o Despacho do Secretário do PHAN.</t>
  </si>
  <si>
    <t xml:space="preserve">Casa Convenção</t>
  </si>
  <si>
    <t xml:space="preserve">O citado bem não possui mérito histórico que juistifique o seu acautelamento</t>
  </si>
  <si>
    <t xml:space="preserve">Conjunto arquitetônico dos bairros da Cidade Velha e Campina</t>
  </si>
  <si>
    <t>PA-1501402-BI-CU-00001</t>
  </si>
  <si>
    <t xml:space="preserve">Apreciado pelo Conselho Culsultivo em 2011. Deliberação do Conselho: Inclui os processos 711-T-63; 1023-T-80;1029-T-80;1030-T-80;1107-T-83. </t>
  </si>
  <si>
    <t>2010-2012</t>
  </si>
  <si>
    <t xml:space="preserve">Estudos para normatização iniciados nas Oficinas Regionais em 2011 mas não avançou. Tem maquete eletrônica de uma parte. Contratados estudos para normatização em 2012</t>
  </si>
  <si>
    <t xml:space="preserve">Processo INDEFERIDO em 06/12/1988. Reaberto para reavaliação e encaminhado à SE-CE em 17/10/2014. Encerrado de novo em 31/10/2021</t>
  </si>
  <si>
    <t>01496.001048/2014-87</t>
  </si>
  <si>
    <t xml:space="preserve"> Farol de Mucuripe</t>
  </si>
  <si>
    <t xml:space="preserve">Despacho de Silva Telles para arquivamento em 01/12/88; arquivado em 06/12/88. "O citado bem já se encontra tombado a nível estadual"</t>
  </si>
  <si>
    <t xml:space="preserve">Parecer de indeferimento de 3/03/2022, enviado para a SE em 30/08/2022. Solicitada a instrução em 4/11/2021</t>
  </si>
  <si>
    <t>01458.001189/2014-56</t>
  </si>
  <si>
    <t xml:space="preserve">Chalés de Ferro: Imprensa Oficial e Clube Monte Líbano</t>
  </si>
  <si>
    <t xml:space="preserve">Secretaria de Estado da Cultura, Desporto e Turismo, Governo do Estado do Pará</t>
  </si>
  <si>
    <t xml:space="preserve">Origem: DEPAM. Destino: Arquivo Central, para anexação ao processo nº 1064-T-82, que trata da Caixa Dágua de Pelotas (já tombada). 05/05/2016</t>
  </si>
  <si>
    <t>01458.001031/2013-03</t>
  </si>
  <si>
    <t xml:space="preserve">Caixa d'água</t>
  </si>
  <si>
    <t xml:space="preserve">Palácio das Laranjeiras na Rua Gago Coutinho S/nº</t>
  </si>
  <si>
    <t>RJ3304557BIED00017</t>
  </si>
  <si>
    <t>01458.000083/2021-64</t>
  </si>
  <si>
    <t xml:space="preserve">Conjunto de 10 (dez) imagens existentes na Igreja Matriz de São Luiz Gonzaga, provenientes da antiga Igreja do Povo Missioneiro.</t>
  </si>
  <si>
    <t>RS4318903BMCL00001</t>
  </si>
  <si>
    <t xml:space="preserve">?? em uma planilha diz 10, outra diz 13.</t>
  </si>
  <si>
    <t xml:space="preserve">Apesar de a inscrição registrar 10 imagens, o processo lista 13 imagens, a saber: Santo Antônio de Pádua, Santa Barbara, Nossa Senhora da Conceição, Cristo Crucificado, Nossa Senhora das Dores, duas imagens de Santo Isidro, São Francisco de Assis, São João Batista Menino, São Luiz Gonzaga, Senhor Morto, Senhor dos Passos e Santa Teresa de Ávila.</t>
  </si>
  <si>
    <t xml:space="preserve">Forte de São Francisco ou do Queijo (Olinda, Pe)</t>
  </si>
  <si>
    <t>PE2609600BIED00007</t>
  </si>
  <si>
    <t xml:space="preserve">Processo INDEFERIDO em 12/07/1999.</t>
  </si>
  <si>
    <t xml:space="preserve">Casa Santo Amaro (rua), 28; Clube High Life (antigo)</t>
  </si>
  <si>
    <t xml:space="preserve">Sugere o Tombamento a nível Municipal</t>
  </si>
  <si>
    <t xml:space="preserve">Processo INDEFERIDO em 25/07/1997.</t>
  </si>
  <si>
    <t>Teresópolis</t>
  </si>
  <si>
    <t xml:space="preserve">Casa: Delfim Moreira (Rua), 947 (Quinta das Magnólias - Casa Perry)</t>
  </si>
  <si>
    <t xml:space="preserve">Solar do Padre João do Monte – antigo</t>
  </si>
  <si>
    <t xml:space="preserve"> Devido a descaracterizado do bem o citado processo foi arquivado</t>
  </si>
  <si>
    <t xml:space="preserve">Caxias do Sul</t>
  </si>
  <si>
    <t xml:space="preserve"> Monumento: Imigrante (do)</t>
  </si>
  <si>
    <t xml:space="preserve"> Embora o bem possua caracteristicas que justifique o seu acautelamento a nível federal, está fortemente ligado à história regional, sugerindo assim o seu acautelamento a nível estadual</t>
  </si>
  <si>
    <t>Quixadá</t>
  </si>
  <si>
    <t xml:space="preserve">Açude do Cedro</t>
  </si>
  <si>
    <t>CE2311306BIOE00001</t>
  </si>
  <si>
    <t xml:space="preserve">Casa onde Nasceu Vital Brasil, Campanhas, MG</t>
  </si>
  <si>
    <t>01458.004434/2010-53</t>
  </si>
  <si>
    <t xml:space="preserve">Conjunto Habitacional Operário</t>
  </si>
  <si>
    <t xml:space="preserve">Conjunto de Habitação Coletiva Denominado Avenida Modelo na Rua Regente Feijó nº 55; Vila Na Rua Regente Feijó, 55</t>
  </si>
  <si>
    <t>RJ-3304557-BI-CA-00015</t>
  </si>
  <si>
    <t xml:space="preserve">Máquina a vapor: Maria Fumaça; Locomotiva Inhaúma, conhecida como "Maria Fumaça"</t>
  </si>
  <si>
    <t>Itaverava</t>
  </si>
  <si>
    <t>MG3133907BIED00001</t>
  </si>
  <si>
    <t xml:space="preserve">Sobrado do Padre Taborda e casario</t>
  </si>
  <si>
    <t>MG3133907BICA00001</t>
  </si>
  <si>
    <t>01458.000268/2013-69</t>
  </si>
  <si>
    <t>Lajeado</t>
  </si>
  <si>
    <t xml:space="preserve">Prédio da Prefeitura Municipal </t>
  </si>
  <si>
    <t xml:space="preserve">Casa: Marechal Floriano (Av.),185 - Caixa de Socorros D. Pedro V</t>
  </si>
  <si>
    <t xml:space="preserve">São Caetano de Odivelas</t>
  </si>
  <si>
    <t xml:space="preserve">Igreja: Navegantes (N.Sª dos)</t>
  </si>
  <si>
    <t>01458.000164/2014-35</t>
  </si>
  <si>
    <t xml:space="preserve">São José do Norte</t>
  </si>
  <si>
    <t xml:space="preserve">Capela de Nossa Senhora dos Navegantes; Igreja: Navegantes ( Matriz)</t>
  </si>
  <si>
    <t xml:space="preserve">Salvador, BA: conjunto arquitetônico, paisagístico e urbanístico do centro histórico</t>
  </si>
  <si>
    <t>BA2927408BICU00001</t>
  </si>
  <si>
    <t xml:space="preserve">104, 108</t>
  </si>
  <si>
    <t xml:space="preserve">Pedido de rerratificação negado em 02/05/2016</t>
  </si>
  <si>
    <t>01450.011613/2008-01</t>
  </si>
  <si>
    <t xml:space="preserve">Estádio Mário Filho, conhecido como Estádio Maracanã</t>
  </si>
  <si>
    <t>RJ3304557BIED00084</t>
  </si>
  <si>
    <t xml:space="preserve">Em 2013 foi aberto processo de rerratificação para inclusão de todo o conjunto. Negado em 14/04/2016, após análise pela Câmara Setorial de Arquitetura e Urbanismo, com base em Parecer do Diretor do Depam (18/04/2016)</t>
  </si>
  <si>
    <t xml:space="preserve">Igreja Matriz de N. Sra. da Conceição</t>
  </si>
  <si>
    <t xml:space="preserve"> De acordo com as informações constantes no processo o bem está inserido na poligonal de tombamento do núcleo histórico da cidade de Marechal Deodoro</t>
  </si>
  <si>
    <t xml:space="preserve">Processo INDEFERIDO em 25/07/1997. Apensado ao 1715-T-2014.</t>
  </si>
  <si>
    <t xml:space="preserve">Ribeirão Vermelho</t>
  </si>
  <si>
    <t xml:space="preserve">Ferroviária em Ribeirão Vermelho</t>
  </si>
  <si>
    <t>Vários</t>
  </si>
  <si>
    <t xml:space="preserve">Trecho da antiga Estrada de Ferro Oeste de Minas entre Aureliano Mourão, São João Del Rei e Antônio Carlos</t>
  </si>
  <si>
    <t xml:space="preserve"> 01508.000565/2008-12 </t>
  </si>
  <si>
    <t xml:space="preserve">Conjunto Arquitetônico e Urbanístico da Cidade de Paranaguá</t>
  </si>
  <si>
    <t>PR-4118204-BI-CU-00001</t>
  </si>
  <si>
    <t xml:space="preserve">Origem: DEPAM, 02/08/2013 / Destino: Superintendência, 12/08/2013. Superintendência se manifestou favoravelmente ao tombamento (memo 367/13, CPROD 01508.000876/2013-31). Instrução contratada, aguardando.</t>
  </si>
  <si>
    <t>01458.000384/2011-16</t>
  </si>
  <si>
    <t>E.F.Paranaguá-Curitiba</t>
  </si>
  <si>
    <t>23099.000051/1983-41</t>
  </si>
  <si>
    <t xml:space="preserve">Remanescentes do Conjunto Hospitalar Juscelino Kubitschek de Oliveira</t>
  </si>
  <si>
    <t>DF5300108BIED00021</t>
  </si>
  <si>
    <t xml:space="preserve">Aprovado na 78ª reunião do Conselho Consultivo . Homologado pela  PORTARIA No- 58, DE 13 DE JULHO DE 2015. Homologado em 13 de julho de 2015</t>
  </si>
  <si>
    <t xml:space="preserve">Inserido na poligonal de tombamento do Conjunto Urbanístico de Brasília</t>
  </si>
  <si>
    <t xml:space="preserve">Prédio da Associação Brasileira de Imprensa - ABI na Rua Araújo Porto Alegre, 71</t>
  </si>
  <si>
    <t>RJ3304557BIED00055</t>
  </si>
  <si>
    <t xml:space="preserve">Prédio do Ginásio Pernambucano na Rua da Aurora</t>
  </si>
  <si>
    <t>PE2611606BIED00020</t>
  </si>
  <si>
    <t xml:space="preserve">107, 110</t>
  </si>
  <si>
    <t>01458.001980/2011-13</t>
  </si>
  <si>
    <t xml:space="preserve">Pantanal Sul-Matogrossense</t>
  </si>
  <si>
    <t xml:space="preserve">Sr. Rosário Congro Neto, Secretário de Estado de Desenvolvimento Social</t>
  </si>
  <si>
    <t xml:space="preserve">Ladário, Miranda, Aquidauana e Coxim</t>
  </si>
  <si>
    <t xml:space="preserve">INDEFERIDO em 18/05/2016</t>
  </si>
  <si>
    <t>01458.002328/2010-35</t>
  </si>
  <si>
    <t>TO</t>
  </si>
  <si>
    <t xml:space="preserve">Formoso do Araguaia, Lagoa da Confusão e Pium</t>
  </si>
  <si>
    <t xml:space="preserve">Ilha de Bananal (ou Sant´Ana)</t>
  </si>
  <si>
    <t xml:space="preserve">Estrada de Ferro Perús/Pirapora - acervo ferroviário </t>
  </si>
  <si>
    <t xml:space="preserve">Segundo Relatório do DEPAM em Maio/2004,  o processo foi enviado para análise da presidência, com Parecer de Arquivamento em 11/05/2003.</t>
  </si>
  <si>
    <t xml:space="preserve">Processo INDEFERIDO em 15/09/2010.</t>
  </si>
  <si>
    <t>01458.002568/2009-04</t>
  </si>
  <si>
    <t xml:space="preserve">Casa que pertenceu ao Coronel Malveira</t>
  </si>
  <si>
    <t xml:space="preserve">Processo INDEFERIDO em 14/01/2014.</t>
  </si>
  <si>
    <t xml:space="preserve">Casa: General Bento Gonçalves da Silva (Rua), casarão que hospedou D. Pedro I, em 1826 e D. Pedro II, em 1845</t>
  </si>
  <si>
    <t xml:space="preserve">Anexado ao processo 1071-T-82 (Conjunto arquitetônico dos bairros da Cidade Velha e Campina)  em 21/10/2010 (corresponde às folhas 260 a 316 do volume II).</t>
  </si>
  <si>
    <t xml:space="preserve">Colégio Estadual Paes de Carvalho</t>
  </si>
  <si>
    <t>PA-1501402-BI-ED-00029</t>
  </si>
  <si>
    <t xml:space="preserve">Processo INDEFERIDO em 24/08/1989.</t>
  </si>
  <si>
    <t xml:space="preserve">Casa: Visconde do Rio Branco (Rua), esquina com a Rua da Constituição "Castelo - Outeiro Santa Catarina"; Outeiro de Santa Catarina</t>
  </si>
  <si>
    <t xml:space="preserve">O citado bem já se encontra tombado pelo CONDEPHAAT</t>
  </si>
  <si>
    <t xml:space="preserve">Hotel do Parque São Clemente</t>
  </si>
  <si>
    <t>RJ3303401BIED00001</t>
  </si>
  <si>
    <t xml:space="preserve">Conjunto constituído pelos edifícios à Rua Gago Coutinho, nº 66 e à Rua Paulo César de Andrade, nºs 70 e 106, núcleo inicial do denominado Conjunto Residencial do Parque Guinle</t>
  </si>
  <si>
    <t>RJ-3304557-BI-CA-00016</t>
  </si>
  <si>
    <t xml:space="preserve">Processo INDEFERIDO em 13/03/2017</t>
  </si>
  <si>
    <t>01458.001032/2013-40</t>
  </si>
  <si>
    <t xml:space="preserve">Delmiro Gouveia</t>
  </si>
  <si>
    <t xml:space="preserve">Vila Operária em Delmiro Gouveia</t>
  </si>
  <si>
    <t xml:space="preserve">Processo INDEFERIDO em 24/08/1988.</t>
  </si>
  <si>
    <t xml:space="preserve">MG </t>
  </si>
  <si>
    <t>Pirapora</t>
  </si>
  <si>
    <t xml:space="preserve">Embarcações a Vapor de Minas Gerais</t>
  </si>
  <si>
    <t xml:space="preserve">Um dos bens foi destruído e o outro encontra-se tombado pelo IEPHA de Minas Gerais</t>
  </si>
  <si>
    <t xml:space="preserve">Novo Hamburgo</t>
  </si>
  <si>
    <t xml:space="preserve">Casa Presser</t>
  </si>
  <si>
    <t>RS4313409BIED00001</t>
  </si>
  <si>
    <t xml:space="preserve">Processo INDEFERIDO em 12/08/1986.</t>
  </si>
  <si>
    <t xml:space="preserve">Casa Sotéia</t>
  </si>
  <si>
    <t xml:space="preserve">Presépio de Pipiripau</t>
  </si>
  <si>
    <t>MG3106200BMAR00002</t>
  </si>
  <si>
    <t xml:space="preserve">Foi valorado o contexto de inserção do cinema e da eletricidade em uma escultura, o esforço da Universidade Federal de Minas Gerais na preservação da obra e a variedade de materiais que foram utilizados no mesmo. O tombamento deve permitir novas incorporações pelo autor que ainda estava vivo a época do tombamento.</t>
  </si>
  <si>
    <t xml:space="preserve">Prédio do Antigo Paço Municipal, Atual Sede Do Museu Paranaense na Praça Generoso Marques</t>
  </si>
  <si>
    <t>PR-4106902-BI-ED-00014</t>
  </si>
  <si>
    <t>Natividade</t>
  </si>
  <si>
    <t xml:space="preserve">Natividade, TO: conjunto arquitetônico, urbanístico e paisagístico</t>
  </si>
  <si>
    <t xml:space="preserve"> TO-1714203-BI-CU-00001</t>
  </si>
  <si>
    <t>01458.001310/2013-69</t>
  </si>
  <si>
    <t xml:space="preserve">Coleção: Lasar Segall</t>
  </si>
  <si>
    <t>SP3550308BMCL00003</t>
  </si>
  <si>
    <t xml:space="preserve">Campo Largo</t>
  </si>
  <si>
    <t xml:space="preserve">Engenho do Mate, Atual Museu Do Mate Com Todo O Seu Acervo e O Terreno</t>
  </si>
  <si>
    <t>PR4104204BIED00001</t>
  </si>
  <si>
    <t>PR4113205BIED00005</t>
  </si>
  <si>
    <t xml:space="preserve">Imóvel situado na Rua Santa Cruz, 325, constituído pela casa, o jardim e o bosque que o circundam ( Casa modernista  de Warchavchik)</t>
  </si>
  <si>
    <t xml:space="preserve">SP-3550308-BI-CA-00009; SP3550308BIED00008</t>
  </si>
  <si>
    <t xml:space="preserve">Parecer de indeferimento da rerratificação de 14/09/2022</t>
  </si>
  <si>
    <t xml:space="preserve"> 01510.900336/2017-33</t>
  </si>
  <si>
    <t xml:space="preserve">Laguna, SC: centro histórico</t>
  </si>
  <si>
    <t>SC-4209409-BI-CU-00001</t>
  </si>
  <si>
    <t xml:space="preserve">Estudo para normatização concluído (contratação Monumenta). Entorno: PORTARIA No- 210, DE 25 DE MAIO DE 2016</t>
  </si>
  <si>
    <t xml:space="preserve">Bela Vista de Goiás</t>
  </si>
  <si>
    <t xml:space="preserve">Casa do Senador Canedo, localizada à rua Dom Emanuel, nº 65 e o respectivo terreno que integra o imóvel</t>
  </si>
  <si>
    <t>GO5203302BIED00001</t>
  </si>
  <si>
    <t xml:space="preserve">Casarão do Chá</t>
  </si>
  <si>
    <t>SP3530607BIED00001</t>
  </si>
  <si>
    <t xml:space="preserve">Túmulo do 2º Barão de Guaratiba, Cem.S.Fco de Paula RJ/RJ</t>
  </si>
  <si>
    <t xml:space="preserve">Encaminhado à SE/ES em 11/04/2014</t>
  </si>
  <si>
    <t>01450.000922/2014-95</t>
  </si>
  <si>
    <t xml:space="preserve">Santa Tereza</t>
  </si>
  <si>
    <t xml:space="preserve">Museu de Biologia Profº. Mello Leitão</t>
  </si>
  <si>
    <t xml:space="preserve">Caixa D'Água denominada Reservatório de Mocó na Praça do Chile</t>
  </si>
  <si>
    <t>AM1302603BIOE00001</t>
  </si>
  <si>
    <t xml:space="preserve">Entorno e Normatização: Portaria Iphan 421/2011 </t>
  </si>
  <si>
    <t xml:space="preserve">Integrado ao processo nº 464-T-52 (Salvador, BA: conjunto arquitetônico, paisagístico e urbanístico da orla marítima. Rerratificação Outeiro de Santo Antônio da Barra - Subdistrito da Vitória)</t>
  </si>
  <si>
    <t xml:space="preserve">Forte São Diogo</t>
  </si>
  <si>
    <t xml:space="preserve">não está no sicg</t>
  </si>
  <si>
    <t xml:space="preserve">Segundo Margareth (SE-DF), parte das peças estão no DF (12/02/2016)</t>
  </si>
  <si>
    <t xml:space="preserve">Coleção Arqueológica João Alfredo Rohr, assim distribuida : as peças depositadas nas dependências particulares do Colégio Catarinense, em Florianópolis - SC; as peças em exposição no Museu Homem do Sambaqui ( Colégio Catarinense ), em Florianópolis-SC; as</t>
  </si>
  <si>
    <t>SC4205407BACL00001</t>
  </si>
  <si>
    <t xml:space="preserve">111, 117</t>
  </si>
  <si>
    <t xml:space="preserve">Na 111ª reunião do Conselho, aprovado o tombamento, foi pedida a realização de um inventário do acervo, e na reunião 117 (1985) foi incluída outra parte do acervo.</t>
  </si>
  <si>
    <t xml:space="preserve">Consulte também, com a mesma denominação, nos municípios de Florianópolis/SC e Brasília/DF.</t>
  </si>
  <si>
    <t xml:space="preserve">Encaminhado à Superintendência para manifestação conjunta com processo 1655-T-12, em 19/08/2019</t>
  </si>
  <si>
    <t>01458.001160/2012-11</t>
  </si>
  <si>
    <t xml:space="preserve">Acervo do Instituto Histórico Geográfico Brasileiro</t>
  </si>
  <si>
    <t>01450.011600/2008-23</t>
  </si>
  <si>
    <t xml:space="preserve">Sítio Roberto Burle Marx e sua coleção museológica e bibliográfica</t>
  </si>
  <si>
    <t>RJ-3304557-PS-JD-00002</t>
  </si>
  <si>
    <t xml:space="preserve">1985, 2000</t>
  </si>
  <si>
    <t xml:space="preserve">113, 23</t>
  </si>
  <si>
    <t xml:space="preserve">Tombamento aprovado inicialmente em 1985, mas não foi inscrito. Em 2000 foi aprovada a mudança na poligonal.</t>
  </si>
  <si>
    <t xml:space="preserve">Chafariz de ferro fundido com base de granito, localizado na Praça Mahatma Gandhi.</t>
  </si>
  <si>
    <t>RJ3304557BMAR00014</t>
  </si>
  <si>
    <t xml:space="preserve">A área do Chafariz que abriga o seu espelho d’ água original encontra-se igualmente tombada.”</t>
  </si>
  <si>
    <t xml:space="preserve">Capela de N. Sra. da Conceição da Congregação Mariana, seu acervo móvel</t>
  </si>
  <si>
    <t>PE-2611606-BI-ED-00034</t>
  </si>
  <si>
    <t xml:space="preserve">parecer de indeferimento de 31/05/2021. Origem: DEPAM, destino: SE-MG, para complementação da instrução técnica, conforme decisão da Câmara Setorial de Arquitetura e Urbanismo, em 31/05/2016.</t>
  </si>
  <si>
    <t>01458.000857/2012-66</t>
  </si>
  <si>
    <t xml:space="preserve">Serro, MG: Conjunto Arquitetônico, Urbanístico e Paisagístico do Distrito de São Gonçalo do Rio das Pedras</t>
  </si>
  <si>
    <t xml:space="preserve">Info Arquivo: "03/01/85- DEPROT 00/02/98- DEPROT". Enviado à Secretaria do Conselho em 10/04/2024.</t>
  </si>
  <si>
    <t>01510.000565/2011-61</t>
  </si>
  <si>
    <t xml:space="preserve">Conjunto Arquitetônico do Distrito de Santo Antônio de Lisboa</t>
  </si>
  <si>
    <t xml:space="preserve">Info Arquivo:"tombado como CONJUNTO URBANÍSTICO, mas indicado o tombamento isolado de 16 bens imóveis (7 com acervo de bens móveis e integrados), com "anotação" deles feitas na inscrição do conjunto apenas no Livro de Belas Artes. Necessita rerratificação."</t>
  </si>
  <si>
    <t xml:space="preserve">Casa rural na Costeira do Ribeirão da Ilha</t>
  </si>
  <si>
    <t>SC4205407BIED00001</t>
  </si>
  <si>
    <t xml:space="preserve">1985, 2002</t>
  </si>
  <si>
    <t xml:space="preserve">113, 35</t>
  </si>
  <si>
    <t xml:space="preserve">Descrição da poligonal de tombamento e do entorno na pág. 151 (DOU nº77, 23/04/2002) do 1136-T-85-Casa do Ribeirao.</t>
  </si>
  <si>
    <t xml:space="preserve">Ponte Hercílio Luz</t>
  </si>
  <si>
    <t>SC4205407BIOE00001</t>
  </si>
  <si>
    <t xml:space="preserve">1996, 1997</t>
  </si>
  <si>
    <t xml:space="preserve">9, 10, 11</t>
  </si>
  <si>
    <t xml:space="preserve">Durante a 9ª reunião (1996), foi NEGADO o tombamento devido a necessidade urgente de restauro da ponte e a falta de recursos no IPHAN para tanto, o Conselho repassou o processo ao município de Florianópolis e ao Governo de Santa Catarina. Na 10ª (1996) reunião, face a documentos que comprovariam um restauro eminente da ponte, assim como os meios de fazê-lo sendo garantidos pelo governo do estado de Santa Catarina, pediu a reabertura do processo e o anexo dos documentos que comprovariam tal fato que foram apresentados na reunião pelo governo do estado em questão. Aprovado o tombamento na 11ª reunião (1997). Até hoje o restauro não aconteceu (2016).</t>
  </si>
  <si>
    <t xml:space="preserve">Origem: DEPAM, destino: SE-SC, em 11/02/2016. Ver observações.</t>
  </si>
  <si>
    <t>01458.001033/2013-94</t>
  </si>
  <si>
    <t xml:space="preserve">Palácio Cruz e Souza (Palácio Rosado)</t>
  </si>
  <si>
    <t xml:space="preserve">Info SE-SC (14/03/2016): Sob responsabilidade da arquiteta Marina Cañas. Não é um tombamento emergencial, visto que o bem já é protegido em âmbito estadual e municipal. A pertinência do tombamento nacional é discutível, ainda não há um posicionamento formal da superintendência. A única possibilidade seria por um viés histórico (projeto original de Silva Paes, o palácio testemunhou fatos importantes e marcantes da história nacional - incluindo, na história recente, a Novembrada.</t>
  </si>
  <si>
    <t xml:space="preserve">INDEFERIDO em 31.03.16</t>
  </si>
  <si>
    <t>01458.001034/2013-39</t>
  </si>
  <si>
    <t xml:space="preserve">Mercado Público</t>
  </si>
  <si>
    <t xml:space="preserve">Info SE-SC (14/03/2016): O bem é protegido em âmbito municipal. Não conhecemos o teor do processo e as motivações do pedido para tombamento federal. Contudo, do ponto de vista de exemplar de mercados públicos brasileiros, o Mercado de Florianíopolis não parece merecer destaque nacional. Do ponto de vista arquitetônico (possui tipologia um pouco diferenciada se comparada aos grandes mercados, nascido de um galpão único junto ao mar recebeu ampliação com rua que lhe corta o vão central - antigamente principal via de acesso à cidade desde a Ponte Hercílio Luz, atualmente fechada e utilizada como espaço eminentemente gastronômico - mas que não basta para lhe destacar como arquitetura de destaque), não chega a sobressair-se no conjunto; do ponto de vista urbanístico perdeu muito a partir do aterro da década de 1970, que o afastou do mar; do ponto de vista cultural ou etnográfico, é mais uma referência local (regional, talvez) do que destaque individual enquanto lugar de encontro, vivência e produção cultural. Isolado, não tem  expressividade se comparado a outros mercados como o de Porto Alegre, São Paulo, Belo Horizonte, Manaus, Belém... A princípio, indicar-se-ia o arquivamento do processo.</t>
  </si>
  <si>
    <t xml:space="preserve">Palacete do Benfica, situado na Rua Benfica, nº 251, compreendendo o terreno de cerca de 6.890 m2, o palacete, o jardim e demais construções nele existentes, grades e portões de ferro voltados para a rua mencionada</t>
  </si>
  <si>
    <t>PE2611606BIED00030</t>
  </si>
  <si>
    <t xml:space="preserve">Processo extraviado, segundo informação do Arquivo Central</t>
  </si>
  <si>
    <t xml:space="preserve">Rio dos Cedros</t>
  </si>
  <si>
    <t xml:space="preserve">Escola Rural e Casa do Professor</t>
  </si>
  <si>
    <t>SC4214706BICA00001</t>
  </si>
  <si>
    <t>Lassance</t>
  </si>
  <si>
    <t xml:space="preserve">Casa de Saúde Carlos Chagas</t>
  </si>
  <si>
    <t>MG3138104BIED00002</t>
  </si>
  <si>
    <t xml:space="preserve">Estação Ferroviária</t>
  </si>
  <si>
    <t>MG3138104BIED00001</t>
  </si>
  <si>
    <t xml:space="preserve">Prédio da antiga Fábrica Santa Amélia localizado na Rua Cândido Ribeiro, 250</t>
  </si>
  <si>
    <t>MA2111300BIED00005</t>
  </si>
  <si>
    <t xml:space="preserve">Antônio Prado</t>
  </si>
  <si>
    <t xml:space="preserve">Casarão de Madeira na Rua Gustavo Sampaio, 34 ou Casa de Dona Neni</t>
  </si>
  <si>
    <t>RS4300802BIED00002</t>
  </si>
  <si>
    <t xml:space="preserve">As duas unidades são tratadas como parte do Conjunto Urbano de Antônio Prado.</t>
  </si>
  <si>
    <t>01458.000055/2022-28</t>
  </si>
  <si>
    <t xml:space="preserve">Bloco I integrante do conjunto edificado situado na Av. Marechal Floriano nº 168 (Prédio da Light)</t>
  </si>
  <si>
    <t>RJ3304557BIED00094</t>
  </si>
  <si>
    <t xml:space="preserve">Processo INDEFERIDO em 28/11/1985.</t>
  </si>
  <si>
    <t xml:space="preserve">Casa Imigrantes</t>
  </si>
  <si>
    <t xml:space="preserve">O bem foi demolido</t>
  </si>
  <si>
    <t xml:space="preserve">Encaminhando para instrução em 22/12/2020 em Junho de 2003 não foi localizado o original e a cópia do processo foi remetida ao Deprot/RJ para restauração dos autos, conforme determinação da Procuradoria Jurídica. Reaberto para análise do bem.</t>
  </si>
  <si>
    <t>01450.001412/2019-40</t>
  </si>
  <si>
    <t xml:space="preserve">Lagoa do Abaeté</t>
  </si>
  <si>
    <t>01458.000941/2014-41</t>
  </si>
  <si>
    <t xml:space="preserve">Pintura Rupestre</t>
  </si>
  <si>
    <t xml:space="preserve">Prof. Maria da Conceição de Moraes Coutinho Beltrão, da UFRJ </t>
  </si>
  <si>
    <t xml:space="preserve">Central e Uibaí </t>
  </si>
  <si>
    <t xml:space="preserve">INDEFERIDO em 02/10/2014</t>
  </si>
  <si>
    <t>01458.000942/2014-96</t>
  </si>
  <si>
    <t xml:space="preserve">Dom Aquino</t>
  </si>
  <si>
    <t xml:space="preserve">Painel de Gravações Rupestres</t>
  </si>
  <si>
    <t xml:space="preserve">Processo INDEFERIDO em 19/09/1997.</t>
  </si>
  <si>
    <t>???</t>
  </si>
  <si>
    <t xml:space="preserve">Àrea do Lobato  (Subúrbio onde pela 1ª vez jorrou petróleo no Brasil)</t>
  </si>
  <si>
    <t>X</t>
  </si>
  <si>
    <t xml:space="preserve">Na pasta do Processo há a seguinte informação: "Declaro que na conferência realizada nos Departamentos do IPHAN, Rio de Janeiro, em outubro 2007, não foram localizados." </t>
  </si>
  <si>
    <t xml:space="preserve">Terras de Ocupação imemorial dos grupos tribais remanescentes das grandes nações indígenas do Brasil</t>
  </si>
  <si>
    <t>DESAPARECIDO</t>
  </si>
  <si>
    <t xml:space="preserve">Casa de Warchavchik na Rua Bahia, 1126</t>
  </si>
  <si>
    <t>SP3550308BIED00006</t>
  </si>
  <si>
    <t xml:space="preserve">Casa de Warchavchik na Rua Itápolis, 961,  Pacaembu</t>
  </si>
  <si>
    <t>SP3550308BIED00005</t>
  </si>
  <si>
    <t>01458.001035/2013-83</t>
  </si>
  <si>
    <t xml:space="preserve">Conjunto arquitetônico onde funcionou a Campanhia Vinícola Luiz Antunes</t>
  </si>
  <si>
    <t xml:space="preserve">INDEFERIDO em 31/08/2021</t>
  </si>
  <si>
    <t>01458.001781/2009-91</t>
  </si>
  <si>
    <t xml:space="preserve">Lago da Granja Comary</t>
  </si>
  <si>
    <t xml:space="preserve">Encaminhado à SE/MG em 09/04/2014</t>
  </si>
  <si>
    <t>01458.002571/2010-53</t>
  </si>
  <si>
    <t xml:space="preserve">Gruta Nossa Senhora da Lapa</t>
  </si>
  <si>
    <t xml:space="preserve">O processo foi INDEFERIDO em 12.07.1999. Superintendente acha que pode ter sido notificado. Solicitei ao Arquivo a digitalização para verificar.</t>
  </si>
  <si>
    <t xml:space="preserve">Arquivo documental e fotográfico da Companhia Jornalística Caldas Júnior/ Correio do Povo</t>
  </si>
  <si>
    <t xml:space="preserve">Apesar de já estar tombado provisoriamente em nível federal, o Conselho não considerou o bem como tendo relevância nacional suficiente que justificasse o tombamento definitivo encaminhando, assim, a documentação para talvez um tombamento estadual ou ainda municipal.</t>
  </si>
  <si>
    <t xml:space="preserve">Encaminhado para instrução em 25/06/2021. Na pasta do Processo há a seguinte informação: "Declaro que na conferência realizada nos Departamentos do IPHAN, Rio de Janeiro, em outubro 2007, não foi localizado." Tem cópia na Superintendência, pedi que o Cláudio mande para reabrirmos (22/10/2015). Reaberto em 14/07/2020</t>
  </si>
  <si>
    <t>01450.001410/2019-51</t>
  </si>
  <si>
    <t xml:space="preserve">Sede do Engenho Corredor: Casa da família de José Lins do Rego</t>
  </si>
  <si>
    <t xml:space="preserve">INDEFERIDO em 14/10/2015</t>
  </si>
  <si>
    <t>01458.000011/2012-26</t>
  </si>
  <si>
    <t xml:space="preserve">Conjunto de Residências construídas por imigrantes poloneses, no Bosque João Paulo II - Parque Memorial da Imigração Polonesa</t>
  </si>
  <si>
    <t xml:space="preserve">Igreja: (Matriz) Distrito de Parangaba</t>
  </si>
  <si>
    <t xml:space="preserve">(anot. 16/04.02 - ZCPope cf. pesquisa com FHBL : Despacho de Angelo Oswaldo para arquivamento. Devido a descaracterização do citado bem,  não apresentaria condições para inscrição no Livro de Tombo nacional, encaminhando sugestão para acautelamento a nível estadual.</t>
  </si>
  <si>
    <t xml:space="preserve">Imagem de Santana / Aleijadinho, do Povoado da Chapada</t>
  </si>
  <si>
    <t>MG3146107BMAR00008</t>
  </si>
  <si>
    <t xml:space="preserve">São Francisco do Sul, SC: centro histórico e paisagístico</t>
  </si>
  <si>
    <t>SC-4216206-BI-CU-00001</t>
  </si>
  <si>
    <t xml:space="preserve">Estudos para normatização iniciados nas Oficinas Regionais em 2011 mas não avançou. Proposta de entorno sendo concluída pela SE-SC (info superintendência em 19/05/2014)</t>
  </si>
  <si>
    <t>01458.002570/2010-17</t>
  </si>
  <si>
    <t xml:space="preserve">Serra do Mar (Estados de SP e PR)</t>
  </si>
  <si>
    <t>Ivoti</t>
  </si>
  <si>
    <t xml:space="preserve">Ponte do Imperador, construída sobre o Rio Feitoria, em pedra de cantaria lavrada, com 88 metros de comprimento, 14 metros de altura e 14 metros de largura</t>
  </si>
  <si>
    <t>RS4310801BIOE00001</t>
  </si>
  <si>
    <t xml:space="preserve">Apensado ao processo 1184-T-85 (Ponte metálica sobre o Rio Itajaí Açú). INDEFERIDO em 18/06/2015</t>
  </si>
  <si>
    <t>01458.000681/2010-81</t>
  </si>
  <si>
    <t>Blumenau</t>
  </si>
  <si>
    <t xml:space="preserve">Ponte da RFFSA (Ponte metálica d Rede Ferroviária Federal)</t>
  </si>
  <si>
    <t xml:space="preserve">Câmara Municipal de Blumenal</t>
  </si>
  <si>
    <t xml:space="preserve">Anexado ao processo 1.563-T-08 (praças Burle Marx)</t>
  </si>
  <si>
    <t>01458.000943/2014-31</t>
  </si>
  <si>
    <t xml:space="preserve">Conjunto Arquitetônico e Paisagístico da Praça da República</t>
  </si>
  <si>
    <t>interno</t>
  </si>
  <si>
    <t xml:space="preserve">Processo de tombamento e administrativo com os produtos, encaminhados à Superintendência para elaboração de norma, em 15/12/2016</t>
  </si>
  <si>
    <t xml:space="preserve">01498.002435/2012-59 (rerratificação) e 01498.002609/2011-01 (contratação de subsídios) </t>
  </si>
  <si>
    <t xml:space="preserve">Conjunto Arquitetônico, Urbanístico e Paisagístico do Antigo Bairro do Recife</t>
  </si>
  <si>
    <t>PE-2611606-BI-CU-00001</t>
  </si>
  <si>
    <t xml:space="preserve">Mapas com delimitações no Sambaqui.</t>
  </si>
  <si>
    <t xml:space="preserve">Imóvel situado na Praça dos Andradas, nºs 7 e 17 - Sobrado dos Andradas, confrontando pela frente com a referida praça, dos lados com os edifícios Mercantil e Automóvel Clube de Barbacena e, nos fundos, com o terreno de Amadeu Andrade Lacerda Rodrigues</t>
  </si>
  <si>
    <t>MG3105608BIED00003</t>
  </si>
  <si>
    <t xml:space="preserve">Processo INDEFERIDO em 23/04/1986.</t>
  </si>
  <si>
    <t>Arapiraca</t>
  </si>
  <si>
    <t xml:space="preserve">Igreja: São Sebastião</t>
  </si>
  <si>
    <t xml:space="preserve">Pintura " Vista da Baía Sul" / Victor Meirelles</t>
  </si>
  <si>
    <t>SC4205407BMAR00001</t>
  </si>
  <si>
    <t xml:space="preserve">Processo INDEFERIDO em 05/09/1985.</t>
  </si>
  <si>
    <t xml:space="preserve">Casa: Valparaíso (Rua), 66 (teria pertencido ao Marechal Deodoro da Fonseca)</t>
  </si>
  <si>
    <t xml:space="preserve">Monumento a Dom Pedro I</t>
  </si>
  <si>
    <t>RJ3304557BMAR00003</t>
  </si>
  <si>
    <t xml:space="preserve">Com indicação de tombamento, mas indefinição sobre bens móveis.</t>
  </si>
  <si>
    <t>01458.001042/2013-85</t>
  </si>
  <si>
    <t xml:space="preserve">Fábrica de Tecidos São Luiz</t>
  </si>
  <si>
    <t xml:space="preserve">INDEFERIDO EM 09/06/2020</t>
  </si>
  <si>
    <t>01458.000093/2016-32</t>
  </si>
  <si>
    <t xml:space="preserve">Conjunto: Arquitetônico, compreendendo as casas de nº 204, 212, 218, 226, 232, 240, 246, 279 e 320 da Rua Barão de São Borja e as de nº 13, 25 ,27 e 35 da Rua da Soledade </t>
  </si>
  <si>
    <t xml:space="preserve">Conjunto de oito painéis, de autoria do Padre Jesuíno do Monte Carmelo, expostos no corredor de entrada do edifício conventual das Irmãs de São José, anexo à Igreja de Nossa Senhora do Patrocínio</t>
  </si>
  <si>
    <t>SP3523909BMAC00001</t>
  </si>
  <si>
    <t xml:space="preserve">Igreja da Ordem Terceira do Carmo, restrita às frontaria, nave, capela-mor, sacristia, biblioteca, sala de reuniões, obra de talha, imaginária e pinturas aí localizadas, especialmente a obra pictórica do Padre Jesuíno do Monte Carmelo, incluindo também o </t>
  </si>
  <si>
    <t>SP3550308BIED00013</t>
  </si>
  <si>
    <t xml:space="preserve">Processo INDEFERIDO em 02/10/1985.</t>
  </si>
  <si>
    <t xml:space="preserve">Casa: Marquês do Monte Santo (Rua) - Fábrica de Papel da Bahia</t>
  </si>
  <si>
    <t xml:space="preserve">Processo INDEFERIDO em 11/05/1990, de acordo com o Despacho do Secretário do SPHAN.</t>
  </si>
  <si>
    <t xml:space="preserve">São João Nepomuceno </t>
  </si>
  <si>
    <t xml:space="preserve">Casa: Estação Ferroviária (Antiga)</t>
  </si>
  <si>
    <t xml:space="preserve">O bem não possui qualidades excepcionais para tombamento a nível federal</t>
  </si>
  <si>
    <t xml:space="preserve">Imóvel denominado Mercado Adolfo Lisboa ou Mercado Municipal, compreendendo seus pavilhões e jardins, embarcadouro e trecho correspondente da margem do rio</t>
  </si>
  <si>
    <t>AM-1302603-BI-CA-00002</t>
  </si>
  <si>
    <t xml:space="preserve">Cuiabá, MT: conjunto arquitetônico, urbanístico e paisagístico</t>
  </si>
  <si>
    <t>MT-5103403-BI-CU-00001</t>
  </si>
  <si>
    <t xml:space="preserve">Pirenópolis, GO: conjunto arquitetônico, urbanístico, paisagístico e histórico</t>
  </si>
  <si>
    <t>GO5217302BICU00001</t>
  </si>
  <si>
    <t xml:space="preserve">??? - 2007</t>
  </si>
  <si>
    <t xml:space="preserve">Estudo para normatização concluído (contratação Monumenta); aguardando posicionamento da Superintendência. Informações sobre poligonais no Sambaqui.</t>
  </si>
  <si>
    <t xml:space="preserve">Conjunto Histórico, Arquitetônico e Paisagístico de Corumbá. </t>
  </si>
  <si>
    <t>MS-5003207-BI-CU-00001</t>
  </si>
  <si>
    <t xml:space="preserve">Informações sobre delimitação das poligonais: DEPAM-RJ 98-99. Existem estudos para inserção de publicidade e cores</t>
  </si>
  <si>
    <t xml:space="preserve">Fazenda do Pinhal, situada no quilômetro 4,5 da Estrada da Broa, com 45 hectares e 1 acre, incluindo vegetação e benfeitorias, tais como : sede da fazenda, senzala, tulha, terreiros de café, cocheiras e pomar murado</t>
  </si>
  <si>
    <t>SP3548906BICA00001</t>
  </si>
  <si>
    <t xml:space="preserve">DEPAM-RJ: foi apensado o processo 1166-T-85 (ponte metálica em Blumenau). INDEFERIDO em 18/06/2015, com recomendação para abertura de processo de valoração</t>
  </si>
  <si>
    <t xml:space="preserve">Ponte metálica da Rede Ferroviária Federal sobre o rio Itajaí-Açú</t>
  </si>
  <si>
    <t>08/08/07/1988</t>
  </si>
  <si>
    <t xml:space="preserve">Câmara Municiapl de Blumenau</t>
  </si>
  <si>
    <t xml:space="preserve">Complexo ferroviário de São João del Rei a Tiradentes</t>
  </si>
  <si>
    <t>MG-3162500-BI-CA-00001</t>
  </si>
  <si>
    <t xml:space="preserve">Ver conteúdo na ata 7a. Sessão CCPC em 1994 (cópia na rede)</t>
  </si>
  <si>
    <t xml:space="preserve">Copacabana Palace Hotel: prédio</t>
  </si>
  <si>
    <t>RJ3304557BIED00093</t>
  </si>
  <si>
    <t xml:space="preserve">Placa de ouro oferecida a Rui Barbosa pelo Senado por sua participação no Congresso de Haya em 1907</t>
  </si>
  <si>
    <t>DF5300108BMAR00001</t>
  </si>
  <si>
    <t xml:space="preserve">Enviado a Superintendência para instrução. Origem: DEPAM / Destino: Superintendente 28/06/2012</t>
  </si>
  <si>
    <t>01458.000851/2012-99</t>
  </si>
  <si>
    <t xml:space="preserve">Água Comprida</t>
  </si>
  <si>
    <t xml:space="preserve">Prédio e sede da Fazenda Melancias</t>
  </si>
  <si>
    <t xml:space="preserve">Encaminhado para INDEFERIMENTO em 20/08/2016</t>
  </si>
  <si>
    <t>01458.000054/2011-21</t>
  </si>
  <si>
    <t>Unaí</t>
  </si>
  <si>
    <t xml:space="preserve">Gruta do Tamboril</t>
  </si>
  <si>
    <t xml:space="preserve">Encaminhado para indeferimento em 11/02/2019</t>
  </si>
  <si>
    <t>01458.000632/2015-52</t>
  </si>
  <si>
    <t xml:space="preserve">São João da Boa Vista</t>
  </si>
  <si>
    <t xml:space="preserve">Casa: Teatro Municipal</t>
  </si>
  <si>
    <t xml:space="preserve">Capela de Nossa Senhora da Boa Morte e seu acervo móvel e integrado</t>
  </si>
  <si>
    <t>MG3105608BIED00001</t>
  </si>
  <si>
    <t xml:space="preserve">Conjunto Arquitetônico e Paisagístico do Porto de Manaus</t>
  </si>
  <si>
    <t>AM1302603BICA00001</t>
  </si>
  <si>
    <t xml:space="preserve">DESPACHO Nº 160/2024 CGID/DEPAM para análise em 21/03/24. Localizado com Ulpiano. Apontado como prioritário pela Superintendência (2015). </t>
  </si>
  <si>
    <t>01450.012298/2008-21</t>
  </si>
  <si>
    <t xml:space="preserve">Área destinada ao Parque Estadual Cabo Branco e Ponta do Seixas.</t>
  </si>
  <si>
    <t xml:space="preserve">Sociedade Civil representada pela Associação Brasileira de Engenheiros Civis; Associação dos Docentes da UFPB; Associação dos Artístas Plásticos da Paraíba; Associação Nacional dos Professores Universitários de História - Nucleo da Paraíba; Associação Nordestina de Arte Educadores...</t>
  </si>
  <si>
    <t> PB-2507507-PS-JD-00001</t>
  </si>
  <si>
    <t xml:space="preserve">Passivo DEPAM/RJ. Encaminhado à SE/RJ em 24/04/2015</t>
  </si>
  <si>
    <t>01458.001628/2012-69</t>
  </si>
  <si>
    <t xml:space="preserve">Palácio Maçônico do Lavradio</t>
  </si>
  <si>
    <t xml:space="preserve">Câmara dos Deputados</t>
  </si>
  <si>
    <t xml:space="preserve">Edificação situada na Rua Carlos Gomes, 42, que pertenceu a Carlos Oswald</t>
  </si>
  <si>
    <t>RJ3303906BIED00004</t>
  </si>
  <si>
    <t xml:space="preserve">Bem tombado isoladamente com definição de entorno pela Portaria IPHAN nº 213/1996</t>
  </si>
  <si>
    <t>01458.002314/2010-11</t>
  </si>
  <si>
    <t xml:space="preserve">S.Tomé das Letras</t>
  </si>
  <si>
    <t xml:space="preserve">Seg. da Serra de São Tomé das Letras</t>
  </si>
  <si>
    <t xml:space="preserve">Processo INDEFERIDO em 24/04/1986.</t>
  </si>
  <si>
    <t xml:space="preserve">Casa: Sete de Setembro (Av.) nº 200</t>
  </si>
  <si>
    <t xml:space="preserve">encaminhado para arquivamento em 19/12/2018</t>
  </si>
  <si>
    <t>01458.001043/2013-20</t>
  </si>
  <si>
    <t>Jacareí</t>
  </si>
  <si>
    <t xml:space="preserve">Casa: Solar Gomes Leitão - sede do Museu de Antropologia do Vale do Paraíba</t>
  </si>
  <si>
    <t xml:space="preserve">INDEFERIDO em 10/10/2021</t>
  </si>
  <si>
    <t>01458.002325/2010-00</t>
  </si>
  <si>
    <t xml:space="preserve">Gávea Golf and Country Club</t>
  </si>
  <si>
    <t>01458.000086/2017-11</t>
  </si>
  <si>
    <t xml:space="preserve">Três Rios</t>
  </si>
  <si>
    <t xml:space="preserve">Casa da Fazenda Lordelo (que pertenceu ao Marquês do Paraná)</t>
  </si>
  <si>
    <t xml:space="preserve">Penedo, AL: conjunto arquitetônico, paisagístico e urbanístico</t>
  </si>
  <si>
    <t>AL2706703BICU00001</t>
  </si>
  <si>
    <t xml:space="preserve">Informações sobre delimitação das poligonais: DEPAM-RJ 98-99. Técnica responsável participou das oficinas de normatização, mas não conseguiu avançar. </t>
  </si>
  <si>
    <t>Pindaré-mirim</t>
  </si>
  <si>
    <t xml:space="preserve">Prédio do Engenho Central São Pedro, onde funcionou a Companhia Progresso Agrícola do Maranhão, inclusive a chaminé contígua</t>
  </si>
  <si>
    <t>MA2108504BIED00001</t>
  </si>
  <si>
    <t xml:space="preserve">Parecer de indeferimento de 13/02/2022. Encaminhado à SE/GO em 10/04/2014</t>
  </si>
  <si>
    <t>01458.002331/2010-59</t>
  </si>
  <si>
    <t xml:space="preserve">Serra de Pirenópolis(Reg.dos Pirineus)</t>
  </si>
  <si>
    <t xml:space="preserve">INDEFERIDO em 06/01/2020</t>
  </si>
  <si>
    <t>01458.000841/2012-53</t>
  </si>
  <si>
    <t xml:space="preserve">Estação Ferroviária de Além Paraíba</t>
  </si>
  <si>
    <t xml:space="preserve">INDEFERIDO em 11/08/2021</t>
  </si>
  <si>
    <t xml:space="preserve">01450.011620/2008-02 </t>
  </si>
  <si>
    <t xml:space="preserve">Casa à Rua Nossa Senhora da Glória (verificar número)</t>
  </si>
  <si>
    <t xml:space="preserve">Pavilhão Luís Nunes, antigo Pavilhão de Verificação de Óbitos da Escola de Medicina de Recife</t>
  </si>
  <si>
    <t>PE2611606BIED00027</t>
  </si>
  <si>
    <t xml:space="preserve">Bem incluído no Conjunto Arquitetônico de Luziânia</t>
  </si>
  <si>
    <t>01458.000392/2011-62</t>
  </si>
  <si>
    <t xml:space="preserve">Igreja Nossa Senhora do Rosário e São Benedito</t>
  </si>
  <si>
    <t xml:space="preserve">Processo não encontrado. Segundo Relatório do DEPAM em maio/2004, o processo foi enviado para análise da Presidência/CCPC, com Parecer Favorável.</t>
  </si>
  <si>
    <t xml:space="preserve">Processo INDEFERIDO em 05/02/1997.</t>
  </si>
  <si>
    <t>Aracaju</t>
  </si>
  <si>
    <t xml:space="preserve">Casa: Fausto Cardoso (Praça) (antiga Praça do Palácio) e Barão do Rio Branco (Av.) (antiga Rua Aurora) Prédio da Delegacia do Ministério da Fazenda</t>
  </si>
  <si>
    <t xml:space="preserve">Ofício Nº 1923/2023/DEPAM-IPHAN solicita emissão de Parecer Técnico em  15/12/2023. Reabertura do processo de tombamento número 1209-T-86 em 25/01/2022. Processo reaberto a pedido da SE, com parecer de deferimento. Processo INDEFERIDO, conforme despacho do Chefe do Arquivo, em 09/01/1988. </t>
  </si>
  <si>
    <t>01510.001268/2013-02</t>
  </si>
  <si>
    <t xml:space="preserve">Casa: Floriano Peixoto (Rua). Antiga Casa de Detenção, atual Casa da Cultura</t>
  </si>
  <si>
    <t>xx/05/1986</t>
  </si>
  <si>
    <t xml:space="preserve">Governo do Estado de Pernambuco, Gabinete do Governador, Gustavo Krause</t>
  </si>
  <si>
    <t xml:space="preserve">Analisado juntamente com o processo 1550, desapensado para arquivamento. Origem: DEPAM, destino: Presidência, com sugestão de indeferimento, em 30/05/2016.</t>
  </si>
  <si>
    <t>01458.000012/2012-71</t>
  </si>
  <si>
    <t xml:space="preserve">Obra do Berço</t>
  </si>
  <si>
    <t xml:space="preserve">Indicado para tombamento pelo Conselho Consultivo (2007), mas após análise, Andrey sugere não tombar.</t>
  </si>
  <si>
    <t>01516.000033/2015-05</t>
  </si>
  <si>
    <t xml:space="preserve">Conjunto Arquitetônico de Nossa Senhora do Ó</t>
  </si>
  <si>
    <t xml:space="preserve">Memória de Reunião - 26/02/2024 definindo providências CNA/Iphan-GO. Ofício Nº 252/2023/CGID/DEPAM-IPHAN encaminhado para pronunciamento do CNA em 11/5/2023. Respondido por meio dos documentos Ofício Nº 1672/2023/CNA/DEPAM-IPHAN e DESPACHO Nº 553/2023 COSOL/CNA/DEPAM emitidos  29/09/2023 e 13/07/2023, respectivamente. Solicitação de reunião com o CNA. Tem documentação do MPF neste processo da série T</t>
  </si>
  <si>
    <t>01458.000683/2010-70</t>
  </si>
  <si>
    <t>Formosa</t>
  </si>
  <si>
    <t xml:space="preserve">Complexo arqueológico Lapa da Pedra</t>
  </si>
  <si>
    <t xml:space="preserve">Regina Coeli Pinheiro da Silva, Nucleo de Arqueologia citando o Prof Alfredo Mendonça de Souza do Instituto Superior de Cultura Brasileira</t>
  </si>
  <si>
    <t xml:space="preserve">Raberto por determinação do Ministério Público em 29/06/2021</t>
  </si>
  <si>
    <t xml:space="preserve">Área central da Praça Quinze de Novembro e imediações</t>
  </si>
  <si>
    <t>RJ-3304557-BI-CU-00002</t>
  </si>
  <si>
    <t xml:space="preserve">Informações sobre delimitação das poligonais: DEPAM-RJ 98-99. Verificar entorno.</t>
  </si>
  <si>
    <t xml:space="preserve">Origem: DEPAM 04/02/2013. Destino: Superintendência 22/02/2013.</t>
  </si>
  <si>
    <t>01458.000102/2013-42</t>
  </si>
  <si>
    <t>Ipueiras</t>
  </si>
  <si>
    <t xml:space="preserve">Igreja: São Gonçalo dos Cacos (Matriz)</t>
  </si>
  <si>
    <t xml:space="preserve">Anexado ao processo nº 1273-T-88 (que tratava apenas da Enseada do Brito, e agora vai tratar das Freguesias Luso-Brasileiras na região da Grande Florianópolis)</t>
  </si>
  <si>
    <t>01458.000862/2011-98</t>
  </si>
  <si>
    <t xml:space="preserve">Conjunto Arquitetônico, Urbanístico e Paisagístico do Distrito de Ribeirão da Ilha (ou Vila do Ribeirão da Ilha)</t>
  </si>
  <si>
    <t>SC-4205407-BI-CU-00001</t>
  </si>
  <si>
    <t>01458.000944/2014-85</t>
  </si>
  <si>
    <t xml:space="preserve">Sítio Arqueológico Dunas Grande</t>
  </si>
  <si>
    <t xml:space="preserve">Prof. Lina Maria Kneip, antropóloga do Museu Nacional</t>
  </si>
  <si>
    <t xml:space="preserve">Coleção Mário de Andrade do IEB / USP,  produto de quatro sub-coleções distintas assim caracterizadas : 1 )  Sub-coleção de Artes Visuais ;  2 ) Sub-coleção de Arte Religiosa e Popular ;  3 ) Sub-coleção da Revolução de 1932 ;  4 ) Sub-coleção Bibliográfica</t>
  </si>
  <si>
    <t>SP3550308BACL00002</t>
  </si>
  <si>
    <t xml:space="preserve">Origem: DEPAM26/12/2012/ Destino: Superintendência 08/01/2013</t>
  </si>
  <si>
    <t>01458.001627/2012-14</t>
  </si>
  <si>
    <t xml:space="preserve">Conjunto Arquitetônico e Paisagístico do Hotel Quitandinha</t>
  </si>
  <si>
    <t xml:space="preserve">Origem: DEPAM. Destino: Presidência, em 20/08/2015. Indicação de indeferimento.</t>
  </si>
  <si>
    <t>01458.000111/2012-52</t>
  </si>
  <si>
    <t xml:space="preserve">Ponte Marechal Hermes</t>
  </si>
  <si>
    <t xml:space="preserve">Reaberto para rerratificação. Origem: DEPAM, destino: SE-RO, em 30/04/2014 </t>
  </si>
  <si>
    <t>01450.006938/2004-30</t>
  </si>
  <si>
    <t xml:space="preserve">Porto Velho</t>
  </si>
  <si>
    <t xml:space="preserve">Pátio ferroviário da estrada de ferro Madeira-Mamoré, bens móveis e imóveis.</t>
  </si>
  <si>
    <t>RO1100205BIED00001</t>
  </si>
  <si>
    <t xml:space="preserve">Entorno e Normatização: Portaria 231/2007</t>
  </si>
  <si>
    <t xml:space="preserve">Processo INDEFERIDO em 12/05/1999.</t>
  </si>
  <si>
    <t xml:space="preserve">Igreja: Boa Viagem de Pasmado (N.S da)</t>
  </si>
  <si>
    <t xml:space="preserve">Processo INDEFERIDO em 15/05/1989.</t>
  </si>
  <si>
    <t xml:space="preserve">Casa: Culto à Ciência (Rua),422 - antiga Rua Alegre, prédio do Colégio Estadual Culto a Ciência</t>
  </si>
  <si>
    <t xml:space="preserve">Infom Arquivo: O processo nº 601-T-59, referente à Capela do Senhor Bom Jesus de Matozinho, foi APENSADO a esse.</t>
  </si>
  <si>
    <t xml:space="preserve">Conjunto arquitetônico e paisagístico do Santuário do Senhor Bom Jesus de Matozinhos, assim como o acervo móvel e integrado do templo religioso que o compõe, cujo perímetro está assim descrito : Inicia-se na Rua do Rosário, afetando os lotes dos dois lado</t>
  </si>
  <si>
    <t xml:space="preserve"> MG3150802BICA00001</t>
  </si>
  <si>
    <t xml:space="preserve">DESPACHO Nº 7/2024 GAB PRESI/PRESI decide pelo INDEFERIMENTO e encaminha ao ACI.   Origem: Governo do Estado de PE, Ofício nº 320 de 22/09/1986. Destino: SE-PE, em 04/11/2016</t>
  </si>
  <si>
    <t>01458.001044/2013-74</t>
  </si>
  <si>
    <t xml:space="preserve">Brejo Madre de Deus</t>
  </si>
  <si>
    <t xml:space="preserve">Casa de Câmara e Cadeia de Brejo da Madre de Deus - Pernambuco</t>
  </si>
  <si>
    <t xml:space="preserve">Governo do Estado de Pernambuco,  Governador Gustavo Krause</t>
  </si>
  <si>
    <t xml:space="preserve">Indicação de INDEFERIMENTO. A proposta de tombamento", visto que a pesquisa "não revelou nenhum fato excepcional". "não há justificativa técnica para o tombamento federal com vistas a qualquer valor arquitetônico, posto tratar-se de uma edificação semelhante a tantas outras já tombadas no Brasil"</t>
  </si>
  <si>
    <t xml:space="preserve">Pedido de vistoria em 14/1/2022. CGID: 07/07/2016 - instruído, com indicação favorável ao tombamento, demanda análise pela área central</t>
  </si>
  <si>
    <t>01458.001045/2013-19</t>
  </si>
  <si>
    <t>Castro</t>
  </si>
  <si>
    <t xml:space="preserve">Fazenda Capão Alto</t>
  </si>
  <si>
    <t xml:space="preserve">Novo parecer de indeferimento, de 12/09/2022.  Processo INDEFERIDO em 15/05/1989, de acordo com o Despacho do Secretário do SPHAN.</t>
  </si>
  <si>
    <t>01458.000111/2022-24</t>
  </si>
  <si>
    <t xml:space="preserve">Nova Xavantina</t>
  </si>
  <si>
    <t xml:space="preserve">Casa: Casa da SUDECO – Velha</t>
  </si>
  <si>
    <t xml:space="preserve">O bem não apresenta qualidades para tombamento a nìvel federal</t>
  </si>
  <si>
    <t xml:space="preserve">Aguadando inscrição. No Conselho aguardando apreciação</t>
  </si>
  <si>
    <t>01450.004422/2007-01</t>
  </si>
  <si>
    <t>Orleans</t>
  </si>
  <si>
    <t xml:space="preserve">Museu ao ar livre Orleans e seu acervo</t>
  </si>
  <si>
    <t>SC-4211702-BI-ED-00002</t>
  </si>
  <si>
    <t xml:space="preserve">INDEFERIDO em 09/07/2021</t>
  </si>
  <si>
    <t>01458.000682/2010-25</t>
  </si>
  <si>
    <t xml:space="preserve">Mara Rosa</t>
  </si>
  <si>
    <t xml:space="preserve">Sítio Arqueológico na Fazenda Lajes</t>
  </si>
  <si>
    <t xml:space="preserve">Parecer de indeferimento de 3/4/2022. Origem: DEPAM. Destino: SE-RJ, em 27/08/2015</t>
  </si>
  <si>
    <t>01458.001650/2012-17</t>
  </si>
  <si>
    <t xml:space="preserve">Conjunto Paisagístico da Praça dos Melros,inclusive seu coreto</t>
  </si>
  <si>
    <t xml:space="preserve">Parecer de indeferimento de 13/3/2022. Origem: DEPAM, destino: SE-RJ, em 27/05/2015</t>
  </si>
  <si>
    <t>01458.001651/2012-53</t>
  </si>
  <si>
    <t xml:space="preserve">Prédio do Forum</t>
  </si>
  <si>
    <t xml:space="preserve">Parecer de indeferimento de 14/03/2022. Origem:Depam. Destino: SE/RJ, encaminhado em 10/04/2015</t>
  </si>
  <si>
    <t>01458.001652/2012-06</t>
  </si>
  <si>
    <t xml:space="preserve">Prédio da Câmara Municipal</t>
  </si>
  <si>
    <t>cidadão</t>
  </si>
  <si>
    <t xml:space="preserve">Encaminhado para instrução em 14/02/2022. Enviado ao arquivo para corrigir digitalização em 19/06/2020. Um dos processos sobrestados no Depam/RJ</t>
  </si>
  <si>
    <t>01458.001656/2012-86</t>
  </si>
  <si>
    <t xml:space="preserve">Fazenda do Gavião</t>
  </si>
  <si>
    <t xml:space="preserve">Encaminhado à presidência com sugestão de indeferimento em 13/01/15</t>
  </si>
  <si>
    <t>01458.001581/2012-33</t>
  </si>
  <si>
    <t xml:space="preserve">Conjunto: Arquitetônico e Paisagístico de toda a Ilha de Paquetá</t>
  </si>
  <si>
    <t>Central</t>
  </si>
  <si>
    <t xml:space="preserve">Gruta: Toca da Esperança </t>
  </si>
  <si>
    <t xml:space="preserve">Acervo do Lloyd Brasileiro, do Ministério dos Transportes</t>
  </si>
  <si>
    <t>01458.001657/2012-21</t>
  </si>
  <si>
    <t xml:space="preserve">Acervo do SERPRO - Serviço Federal de Processamento de Dados do Ministério da Fazenda</t>
  </si>
  <si>
    <t xml:space="preserve">Processo INDEFERIDO em 30/03/2011.</t>
  </si>
  <si>
    <t>01458.000364/2011-45</t>
  </si>
  <si>
    <t xml:space="preserve">Caixa Econômica Federal: Acervo do antigo Banco Nacional de Habitação (BNH)</t>
  </si>
  <si>
    <t xml:space="preserve">INDEFERIDO em 08.03.16</t>
  </si>
  <si>
    <t>01504.001490/2015-48</t>
  </si>
  <si>
    <t xml:space="preserve">Museu de Arte e História "Rosa Maria" – acervo </t>
  </si>
  <si>
    <t>01458.000463/2012-46</t>
  </si>
  <si>
    <t xml:space="preserve">Conjunto Arquitetônico e Paisagistico junto à Fazenda da Boa Esperança</t>
  </si>
  <si>
    <t xml:space="preserve">Origem: DEPAM. Destino: Presidência, para INDEFERIMENTO, em 08/06/2016</t>
  </si>
  <si>
    <t>01458.000074/2013-63</t>
  </si>
  <si>
    <t>Itabuna</t>
  </si>
  <si>
    <t xml:space="preserve">Vila das Ferradas</t>
  </si>
  <si>
    <t xml:space="preserve">Monteiro Lobato</t>
  </si>
  <si>
    <t xml:space="preserve">Casa da Fazenda São José; Sítio do Picapau Amarelo </t>
  </si>
  <si>
    <t xml:space="preserve">Origem: DEPAM. Destino: SE/AL, encaminhado em 10/04/2015</t>
  </si>
  <si>
    <t>01458.001038/2013-77</t>
  </si>
  <si>
    <t xml:space="preserve">Vila Operária em Fernão Velho</t>
  </si>
  <si>
    <t xml:space="preserve">INDEFERIDO em 01/08/1997.</t>
  </si>
  <si>
    <t xml:space="preserve">Buriti </t>
  </si>
  <si>
    <t xml:space="preserve">Casa: Santa Cruz (Fazenda)</t>
  </si>
  <si>
    <t xml:space="preserve">D.O.U. informa que na 136ª reunião do Conselho Consultivo, realizada em 31/03/1989, foi decidido o INDEFERIMENTO do Processo.</t>
  </si>
  <si>
    <t xml:space="preserve">Casa: Vinte e Quatro de Maio (Rua), nº 22</t>
  </si>
  <si>
    <t xml:space="preserve">O citado bem foi demolido</t>
  </si>
  <si>
    <t xml:space="preserve">Casa de Gilberto Freyre ou Vivenda Santo Antônio de Apipucos, edificação e sítio paisagístico ao seu redor.</t>
  </si>
  <si>
    <t>PE2611606BIED00004</t>
  </si>
  <si>
    <t xml:space="preserve">Atual sede da Fundação Gilberto Freyre.</t>
  </si>
  <si>
    <t xml:space="preserve">INDEFERIDO em 19/08/2021</t>
  </si>
  <si>
    <t>01458.002317/2010-55</t>
  </si>
  <si>
    <t xml:space="preserve">Gruta da Lagoa Rica</t>
  </si>
  <si>
    <t xml:space="preserve">Diretor 28/08/2013</t>
  </si>
  <si>
    <t xml:space="preserve">INDEFERIDO em 15/07/2021</t>
  </si>
  <si>
    <t>01458.000920/2012-64</t>
  </si>
  <si>
    <t xml:space="preserve">Gruta: Igrejinha (da)</t>
  </si>
  <si>
    <t xml:space="preserve">Conjunto arquitetônico e urbanístico de Antônio Prado, constituído pelos seguintes imóveis : Avenida Valdomiro Bocchese , 214 , 218 , 228 , 284 , 285 , 321 , 357 , 373 , 439 , 476 , 496 , 497, 500 , 524 , 531 , 540 , 553 , 554 , 574 , 568 , 587 , 646 , 69 (ver se está completo)</t>
  </si>
  <si>
    <t>RS-4300802-BI-CU-00001</t>
  </si>
  <si>
    <t xml:space="preserve">É um Conjunto Arquitetônico, mas que tem sido tratado como Conjunto Urbano, incluindo as 2 unidades tombadas através do Processo nº 1145-T-85. Necessita rerratificação!</t>
  </si>
  <si>
    <t xml:space="preserve">1996/ 2007-2009/2011</t>
  </si>
  <si>
    <t xml:space="preserve">Tem diretrizes para normatização (1996) que necessitam revisão. Estudo concluído pela SE (INCEU). Trabalhado durante Oficinas Regionais em 2011, mas não avançou. Informações sobre delimitação das poligonais: DEPAM-RJ 98-99</t>
  </si>
  <si>
    <t xml:space="preserve">Igreja Matriz Prazeres</t>
  </si>
  <si>
    <t xml:space="preserve">Engenho Maranguape</t>
  </si>
  <si>
    <t xml:space="preserve">Origem: DEPAM, 17/07/2013 / Destino: Superintendência, 27/09/2013</t>
  </si>
  <si>
    <t>01458.000808/2013-12</t>
  </si>
  <si>
    <t xml:space="preserve">Bairros: Jardim América, Jardim Europa, Jardim Paulista e Jardim Paulistano</t>
  </si>
  <si>
    <t xml:space="preserve">Com o processo 217-T-39 anexado.Pedida complementação de informações em 13/12/2021</t>
  </si>
  <si>
    <t xml:space="preserve">Igreja da Ordem 1ª do Carmo e seu acervo (arquivo) documental, inclusive os remanescentes do antigo convento do Carmo.</t>
  </si>
  <si>
    <t>SP-3548500-BI-ED-00005</t>
  </si>
  <si>
    <t xml:space="preserve">ao qual foi apensado o processo nº 217-T-39 (Igreja e Convento de Nossa Senhora do Carmo). Em andamento Depam-RJ</t>
  </si>
  <si>
    <t>01450.001532/2004-61</t>
  </si>
  <si>
    <t xml:space="preserve">Santo André</t>
  </si>
  <si>
    <t xml:space="preserve">Vila Ferroviária de Paranapiacaba</t>
  </si>
  <si>
    <t>SP-3547809-BI-CU-00001</t>
  </si>
  <si>
    <t xml:space="preserve">Estudos de pré-setorização e diretrizes elaborados pela Sub-prefeitura e Condephaat, verificar adequação para o IPHAN</t>
  </si>
  <si>
    <t xml:space="preserve">Encaminhado à SE/GO em 10/04/2014, encaminhado ao Arquivo Central com sugestão de indeferimento em 12/01/15</t>
  </si>
  <si>
    <t>01458.002316/2010-19</t>
  </si>
  <si>
    <t xml:space="preserve">Serra Dourada</t>
  </si>
  <si>
    <t xml:space="preserve">prefeitura  de Mossâmedes-GO</t>
  </si>
  <si>
    <t xml:space="preserve">INDEFERIDO em 05/07/2021</t>
  </si>
  <si>
    <t>01458.002568/2010-30</t>
  </si>
  <si>
    <t xml:space="preserve">Orla Marítima do Município do Rio de Janeiro</t>
  </si>
  <si>
    <t xml:space="preserve">Para análise na CGID. Solicitado complementação em 05/07/2021. Encaminhado para análise em 27/10/2021. Solicitada instrução em 26/08/2021</t>
  </si>
  <si>
    <t>01458.000269/2013-11</t>
  </si>
  <si>
    <t xml:space="preserve">Igreja São Lourenço</t>
  </si>
  <si>
    <t xml:space="preserve">Parecer de indeferimento de 15/9/2017. Origem: DEPAM 27/12/2012 / Destino: Superintendência 08/01/2013</t>
  </si>
  <si>
    <t>01458.001550/2012-82</t>
  </si>
  <si>
    <t xml:space="preserve">Aldeia de Arcozelo</t>
  </si>
  <si>
    <t xml:space="preserve">Reiterado o pedido de instrução em 4/11/2021. Origem: DEPAM, destino: SE/BA</t>
  </si>
  <si>
    <t>01458.001039/2013-61</t>
  </si>
  <si>
    <t>Ibitiara</t>
  </si>
  <si>
    <t xml:space="preserve">Igreja Nossa Senhora dos Remédios</t>
  </si>
  <si>
    <t xml:space="preserve">INDEFERIDO em 16/11/2021. Na SE/RJ em 06/12/2012</t>
  </si>
  <si>
    <t>01458.000668/2010-21</t>
  </si>
  <si>
    <t xml:space="preserve">Vila da Estrela e Vila Inhomirim</t>
  </si>
  <si>
    <t xml:space="preserve">Encaminhado à Superintendência em 27/02/2014 (Anna)</t>
  </si>
  <si>
    <t>01458.002319/2010-44</t>
  </si>
  <si>
    <t>Mata</t>
  </si>
  <si>
    <t xml:space="preserve">Bem paleontológico</t>
  </si>
  <si>
    <t xml:space="preserve">Reservas Paleobotânicas do Mun.da Mata</t>
  </si>
  <si>
    <t xml:space="preserve">Bem Paleontológico</t>
  </si>
  <si>
    <t xml:space="preserve">Solicitada instrução em 5/6/22. Origem: DEPAM 27/12/2012 / Destino: Superintendência 08/01/2013</t>
  </si>
  <si>
    <t>01458.001552/2012-71</t>
  </si>
  <si>
    <t xml:space="preserve">Acervo móvel (filmico, documental, mobiliário e tecnológico), de propriedade da Light</t>
  </si>
  <si>
    <t xml:space="preserve">Era duplicado. Apensado ao processo nº 1.097-T-83</t>
  </si>
  <si>
    <t xml:space="preserve">Centro Histórico de Paranaguá</t>
  </si>
  <si>
    <t xml:space="preserve">Reaberto para delimitação do entorno. Na CGAF em 10/02/2014</t>
  </si>
  <si>
    <t>01512.002737/2011-11</t>
  </si>
  <si>
    <t xml:space="preserve">Imóvel situado na Av. Independência, 867 conhecido como Palacete Argentina</t>
  </si>
  <si>
    <t>RS4314902BIED00003</t>
  </si>
  <si>
    <t xml:space="preserve">Portaria n° 27, de 15/janeiro/2014, publicada no DOU nº 21, Seção 01, p. 09, de 30/janeiro/2014</t>
  </si>
  <si>
    <t xml:space="preserve">Origem: DEPAM, destino: Presidência, com indicação de INDEFERIMENTO, em 05/05/2016</t>
  </si>
  <si>
    <t>01458.0001040/2013-96</t>
  </si>
  <si>
    <t>Ibiapina</t>
  </si>
  <si>
    <t xml:space="preserve">Antiga Cadeia Pública</t>
  </si>
  <si>
    <t xml:space="preserve">Assembléia Legislativa</t>
  </si>
  <si>
    <t xml:space="preserve">INDEFERIDO em 16/07/2020</t>
  </si>
  <si>
    <t>01458.001490/2012-06</t>
  </si>
  <si>
    <t xml:space="preserve">Igreja Santa Efigênia</t>
  </si>
  <si>
    <t xml:space="preserve">Processo INDEFERIDO em 27/05/2008. Bem demolido.</t>
  </si>
  <si>
    <t xml:space="preserve">Casa à Rua Ana Jesuína nº 8</t>
  </si>
  <si>
    <t xml:space="preserve">O proc. nº 1265-T-88 deverá, oportunamente, ser apensado ao vol. do proc. nº 566-T-57 (Conjunto urbanístico e paisagístico da cidade de Vassouras, RJ</t>
  </si>
  <si>
    <t xml:space="preserve">INDEFERIDO em 06/09/1988.</t>
  </si>
  <si>
    <t xml:space="preserve">Casa: Professor Antônio Lopes (Rua)</t>
  </si>
  <si>
    <t xml:space="preserve">Imóvel demolido.</t>
  </si>
  <si>
    <t xml:space="preserve">INDEFERIDO em 03/08/2021</t>
  </si>
  <si>
    <t>01450.000923/2014-30</t>
  </si>
  <si>
    <t xml:space="preserve">Mata de Maranguape</t>
  </si>
  <si>
    <t xml:space="preserve">Processo INDEFERIDO em 23/01/2014.</t>
  </si>
  <si>
    <t>01458.000809/2013-59</t>
  </si>
  <si>
    <t xml:space="preserve">Casa: Cine-Teatro Rio Branco </t>
  </si>
  <si>
    <t>01450.001542/2004-04</t>
  </si>
  <si>
    <t xml:space="preserve">Corumbá de Goiás</t>
  </si>
  <si>
    <t xml:space="preserve">Conjunto arquitetônico constituído pela Igreja Matriz de Nossa Senhora da Penha de França e dos bens edificados que a envolvem.</t>
  </si>
  <si>
    <t>GO5205802BICA00001</t>
  </si>
  <si>
    <t xml:space="preserve">Portaria 68 de 22/02/13. Exclui-se deste tombamento a Casa Paroquial.</t>
  </si>
  <si>
    <t xml:space="preserve">Enviado para indeferimento em 24/01/2019</t>
  </si>
  <si>
    <t>01458.000849/2012-10</t>
  </si>
  <si>
    <t xml:space="preserve">Acervo: bens móveis que pertencem à capela de Nossa Senhora da Ajuda da fazend a do Pombal, localizada na fazenda Ouro Fino.</t>
  </si>
  <si>
    <t xml:space="preserve">INDEFERIDO em 21/09/2021</t>
  </si>
  <si>
    <t>01458.000270/2013-38</t>
  </si>
  <si>
    <t>Iguape</t>
  </si>
  <si>
    <t xml:space="preserve">Bairro: Jipovura(Katsura)</t>
  </si>
  <si>
    <t xml:space="preserve">INDEFERIDO em 13/07/2021</t>
  </si>
  <si>
    <t>01458.000081/2013-65</t>
  </si>
  <si>
    <t>Itaberaba</t>
  </si>
  <si>
    <t xml:space="preserve">Cruzeiro de Itaberaba</t>
  </si>
  <si>
    <t xml:space="preserve">Presidência notificou as proprietárias que faltavam em 16/5/2023. Nome do processo alterado para abarcar as demais freguesias. O processo 1215-T-86, referente ao Ribeirão da Ilha, foi anexado a esse. Notificado em 04/11/2016. Enviado à Secretaria do Conselho em 10/04/2024.</t>
  </si>
  <si>
    <t xml:space="preserve">Freguesias Luso-Brasileiras na Região da Grande Florianópolis (Ribeirão da Ilha)
Nome anterior do processo: Enseada do Brito</t>
  </si>
  <si>
    <t xml:space="preserve">Dalmo Vieira Filho</t>
  </si>
  <si>
    <t>SC-4211900-BI-CU-00001</t>
  </si>
  <si>
    <t xml:space="preserve">Presidência notificou as proprietárias que faltavam em 16/5/2023.Enviado à Secretaria do Conselho em 10/04/2024.</t>
  </si>
  <si>
    <t xml:space="preserve">Freguesias Luso-Brasileiras na Região da Grande Florianópolis ( Santo Antônio de Lisboa)
Nome anterior do processo: Enseada do Brito</t>
  </si>
  <si>
    <t>SC-4211900-BI-CU-00002</t>
  </si>
  <si>
    <t xml:space="preserve">Presidência notificou as proprietárias que faltavam em 16/5/2023. Nome do processo alterado para abarcar as demais freguesias. O processo 1215-T-86, referente ao Ribeirão da Ilha, foi anexado a esse. Notificado em 04/11/2016. Tombados isoladamente 12 bens (imóveis e cemitério). Enviado à Secretaria do Conselho em 10/04/2024.</t>
  </si>
  <si>
    <t xml:space="preserve">Freguesias Luso-Brasileiras na Região da Grande Florianópolis (Lagoa da Conceição)
Nome anterior do processo: Enseada do Brito</t>
  </si>
  <si>
    <t xml:space="preserve">Aparecida de Goiania</t>
  </si>
  <si>
    <t xml:space="preserve">Igreja Nossa Senhora da Aparecida</t>
  </si>
  <si>
    <t xml:space="preserve">Solicitada complementação de informações em 25/09/2021 Superintendência recomenda dar continuidade à instrução. Origem: Superintendência / Destino: Depam 01/12/2016</t>
  </si>
  <si>
    <t>01458.000850/2012-44</t>
  </si>
  <si>
    <t>Araxá</t>
  </si>
  <si>
    <t xml:space="preserve">Conjunto: Complexo Hidrotermal do Barreiro</t>
  </si>
  <si>
    <t xml:space="preserve">INDEFERIDO em 24/10/2021. Enviado a Superintendência para instrução. Origem: DEPAM / Origem: Superintendência 28/06/2012</t>
  </si>
  <si>
    <t>01458.000847-2012-21</t>
  </si>
  <si>
    <t xml:space="preserve">Igreja: São Sebastião (Capela)</t>
  </si>
  <si>
    <t xml:space="preserve">Origem: DEPAM. Destino: SE-RJ. Em 23/12/2016</t>
  </si>
  <si>
    <t>01427.000038/2018-71</t>
  </si>
  <si>
    <t xml:space="preserve">Instituto Presídio do Norte do Estado</t>
  </si>
  <si>
    <t xml:space="preserve">Processo INDEFERIDO em 08/12/1998.</t>
  </si>
  <si>
    <t xml:space="preserve">Volta Redonda</t>
  </si>
  <si>
    <t xml:space="preserve">Cine Nove de Abril</t>
  </si>
  <si>
    <t xml:space="preserve">Processo INDEFERIDO em 10/02/2012. Nova solicitação de tombamento do Auditório da Rádio Nacional e seus anexos (01450.011327/2016-47). Encaminhado ao Arquivo em 09/11/2016 solicitando o DESARQUIVAMENTO e envio à SE-RJ para análise e manifestação.</t>
  </si>
  <si>
    <t>01450.011590/2008-26</t>
  </si>
  <si>
    <t xml:space="preserve">Estúdios da Rádio Nacional</t>
  </si>
  <si>
    <t xml:space="preserve">Indeferido na 64º reunião (2010), mas tombado o edifício A Noite na 72ª reunião (2013).</t>
  </si>
  <si>
    <t>01450.003946/2004-24</t>
  </si>
  <si>
    <t xml:space="preserve">Casa Av. Rio Branco, 241 - antigo Supremo Tribunal Federal</t>
  </si>
  <si>
    <t>RJ-3304557-BI-ED-00113</t>
  </si>
  <si>
    <t xml:space="preserve">28, 84</t>
  </si>
  <si>
    <t xml:space="preserve">Na 28ª reunião do Conselho (2001), a análise foi suspensa pois o relator faltou a reunião e seu parecer, que foi enviado ao conselho, pedia o envio do processo para apreciação da área técnica do IPHAN para serem realizados mais estudos visando a melhor compreensão do bem para que se tome uma decisão melhor embasada quanto ao tombamento ou não do bem.</t>
  </si>
  <si>
    <t xml:space="preserve">Processo INDEFERIDO em 05/07/2021</t>
  </si>
  <si>
    <t>01458.002329/2010-80</t>
  </si>
  <si>
    <t xml:space="preserve">Espelho d'água e contorno da Baía de Guanabara</t>
  </si>
  <si>
    <t xml:space="preserve">Casa de Anastácia Alves Braga, conhecida como "O Saranhão"</t>
  </si>
  <si>
    <t xml:space="preserve">Tombamento aprovado em 11/11/2021.</t>
  </si>
  <si>
    <t>01458.001178/2012-12</t>
  </si>
  <si>
    <t xml:space="preserve">Casa: Praça da Cruz Vermelha, inclusive as casas que compõem o Conjunto Arquitetônico.</t>
  </si>
  <si>
    <t>Tombado</t>
  </si>
  <si>
    <t xml:space="preserve">Encaminhado solicitando especificações dos subsídios necessários para conclusão</t>
  </si>
  <si>
    <t>01458.001041/2013-31</t>
  </si>
  <si>
    <t xml:space="preserve">Poço Redondo</t>
  </si>
  <si>
    <t xml:space="preserve">Grota de Angicos, onde morreu Lampião</t>
  </si>
  <si>
    <t>01450.014052/2006-21</t>
  </si>
  <si>
    <t xml:space="preserve">Ed. Dom Pedro II, Central do Brasil</t>
  </si>
  <si>
    <t>RJ3304557BIED00004</t>
  </si>
  <si>
    <t xml:space="preserve">São Félix</t>
  </si>
  <si>
    <t xml:space="preserve">Conjunto Arquitetônico Urbanístico e Paisagístico da Cidade de São Félix</t>
  </si>
  <si>
    <t>BA2929008BICA00001</t>
  </si>
  <si>
    <t xml:space="preserve">Inscrito em 09/07/2012. Livro Histórico, v.3, f. 035-038, nº 605 / Livro Arqueológico, Etnog. e Paisag., v.2, f. 067-070, nº 155.</t>
  </si>
  <si>
    <t xml:space="preserve">INDEFERIDO em 10/02/2021</t>
  </si>
  <si>
    <t>01458.001578/2012-10</t>
  </si>
  <si>
    <t xml:space="preserve">Instituto Nacional de Educação de Surdos</t>
  </si>
  <si>
    <t xml:space="preserve">Laranjeiras, SE: conjunto arquitetônico e paisagístico</t>
  </si>
  <si>
    <t>SE-2803609-BI-CU-00002</t>
  </si>
  <si>
    <t xml:space="preserve">Estudo para normatização iniciado durante as Oficinas Regionais em 2011. setembro 2012 em finalização</t>
  </si>
  <si>
    <t xml:space="preserve">Parque e Fonte do Queimado</t>
  </si>
  <si>
    <t>BA2927408PSJD00001</t>
  </si>
  <si>
    <t xml:space="preserve">Encaminhado para INDEFERIMENTO em 18/11/2015</t>
  </si>
  <si>
    <t>01458.000677/2012-84</t>
  </si>
  <si>
    <t>Pains</t>
  </si>
  <si>
    <t xml:space="preserve">Igreja do Rosário</t>
  </si>
  <si>
    <t>01458.002315/2010-66</t>
  </si>
  <si>
    <t xml:space="preserve">Poços de Caldas</t>
  </si>
  <si>
    <t xml:space="preserve">Serra de São Domingos</t>
  </si>
  <si>
    <t xml:space="preserve">Encaminhado para INDEFERIMENTO em 17/11/2015</t>
  </si>
  <si>
    <t>01458.000676/2012-30</t>
  </si>
  <si>
    <t xml:space="preserve">Encaminhado para indeferimento em 22/01/2022</t>
  </si>
  <si>
    <t>01458.000133/2012-12</t>
  </si>
  <si>
    <t>Arraias</t>
  </si>
  <si>
    <t xml:space="preserve">Igreja: Nossa Senhora dos Remédios</t>
  </si>
  <si>
    <t xml:space="preserve">ARQUIVADO em 29/12/2014</t>
  </si>
  <si>
    <t>01458.002564/2010-51</t>
  </si>
  <si>
    <t xml:space="preserve">Reserva Arqueológica: Chapada dos Negros - reserva arqueológica</t>
  </si>
  <si>
    <t xml:space="preserve">Antonio Aires Costa - Presidente da Fundação Vó Ita</t>
  </si>
  <si>
    <t xml:space="preserve">Casa: Imperial Escola Agrícola da Bahia, no Engenho de São Bento das Lages; Imperial Escola Agrícola da Bahia, no Engenho de São Bento das Lages</t>
  </si>
  <si>
    <t>01458.000271/2013-82</t>
  </si>
  <si>
    <t>Tomazina</t>
  </si>
  <si>
    <t xml:space="preserve">Igreja Matriz de Tomazina</t>
  </si>
  <si>
    <t xml:space="preserve">Parque Zoobotânico do Museu Paraense Emílio Goeldi</t>
  </si>
  <si>
    <t>PA-1501402-PS-JD-00002</t>
  </si>
  <si>
    <t xml:space="preserve">Indeferido em 20/09/2019. Enviado pela Superintendência para indeferimento em outubro de 2017. </t>
  </si>
  <si>
    <t>01458.000675-2012-95</t>
  </si>
  <si>
    <t xml:space="preserve">Santa Luzia</t>
  </si>
  <si>
    <t xml:space="preserve">Igreja Matriz de Santa Luzia (sede da Irmandade do Santíssimo Sacramento)</t>
  </si>
  <si>
    <t xml:space="preserve">Processo físico está desaparecido. Aberto processo administrativo eletrônico para instrução. Info Arquivo: "11/10/89-  DEPROT 00/02/98- DEPROT"</t>
  </si>
  <si>
    <t>01450.001403/2019-59</t>
  </si>
  <si>
    <t xml:space="preserve">Carmo do Cachoeira</t>
  </si>
  <si>
    <t xml:space="preserve">Cemitério de escravos (Faz. Da Chamusca).</t>
  </si>
  <si>
    <t>1450.013497/2007-75</t>
  </si>
  <si>
    <t xml:space="preserve">Ponte Metálica João Luís Ferreira</t>
  </si>
  <si>
    <t>PI2211001BIOE00001</t>
  </si>
  <si>
    <t>01458.002562/2010-62</t>
  </si>
  <si>
    <t>Bodoquena</t>
  </si>
  <si>
    <t xml:space="preserve">Cavernas na Serra Bodoquena</t>
  </si>
  <si>
    <t xml:space="preserve">Grupo ambientalista ECOA</t>
  </si>
  <si>
    <t xml:space="preserve"> 04/05/2023</t>
  </si>
  <si>
    <t xml:space="preserve">Ofício Nº 74/2024/DEPAM-IPHAN solicita complementação. Ofício Nº 734/2023/IPHAN-RJ-IPHAN e Ofício Nº 675/2023/IPHAN-RJ-IPHAN propõe inscrição do Conjunto Paisagístico da Ilha ao Pontal, em Arraial do Cabo no Livro Arqueológico, Etnográfico e Paisagístico e no Livro Histórico e indica inventario e avaliação de possível registro, da Pesca com Vigia, de Arraial do Cabo. Processo físico arquivado em ETRL. Na Div-Tec da SE-RJ desde 22/12/2009 - para verificar se é questão paisagística apenas. </t>
  </si>
  <si>
    <t>01458.002582/2009-08</t>
  </si>
  <si>
    <t xml:space="preserve">Arraial do Cabo</t>
  </si>
  <si>
    <t xml:space="preserve">Conjunto: Arquitetônico e Paisagístico do Município de Arraial do Cabo</t>
  </si>
  <si>
    <t xml:space="preserve">Marco Antonio Barreto Simas, Diretor Presidente Movimento Ressurgência</t>
  </si>
  <si>
    <t>RJ-3300258-BI-CU-00001</t>
  </si>
  <si>
    <t xml:space="preserve">processo não encontrado</t>
  </si>
  <si>
    <t xml:space="preserve">Aguardando inscrição. Na Presidência para inscrição. 30/12/2021. Na PF para inscrição. Na CGID para inscrição</t>
  </si>
  <si>
    <t>01458.001179/2012-59</t>
  </si>
  <si>
    <t xml:space="preserve">Prédio do Instituto  de Resseguros do Brasil</t>
  </si>
  <si>
    <t xml:space="preserve">Instituto de Resseguro do Brasil</t>
  </si>
  <si>
    <t>tombado</t>
  </si>
  <si>
    <t xml:space="preserve"> RJ-3304557-BI-ED-00110</t>
  </si>
  <si>
    <t xml:space="preserve">Arquitetura Institucional</t>
  </si>
  <si>
    <t xml:space="preserve">Nota 38/88 (fl 01) Briane Bicca sugere que o tombamento de um quilombo sugere a proteção das características culturais do grupo, o que observou no Vão do Moleque, Cavalcante. Parecer de indeferimento de 3/11/2022. Ficou como desaparecido por anos. Localizado em 2020 no DPI. Recomendação de consulta à comunidade do interesse de tombamento constitucional feita por meio do Ofício Nº 617/2023/CGID/DEPAM-IPHAN (4942903) em 07/12/2023.</t>
  </si>
  <si>
    <t>01458.001524/2011-73</t>
  </si>
  <si>
    <t>Quilombo</t>
  </si>
  <si>
    <t xml:space="preserve">Quilombo:Vão do Moleque</t>
  </si>
  <si>
    <t xml:space="preserve">Sr.  Roberto Balduíno da Sillva, Delegado de Goiás na Federação dos Trabalhadores Rurais (relatado em  Nota 38/88 Coordenadora de conservação, Pro-memória)</t>
  </si>
  <si>
    <t xml:space="preserve"> entre 08/1990 e 08/10/90  (ofíio nº 023/90 fl. 122 e folha de despacho fl. 140)</t>
  </si>
  <si>
    <t xml:space="preserve">Solicitada instrução em 20/5/22. Origem: DEPAM, destino: PF, em 03/02/2016 </t>
  </si>
  <si>
    <t xml:space="preserve">01458.002000/2011-08/ 01551.000717/2011-49 (delimitação do entorno)</t>
  </si>
  <si>
    <t xml:space="preserve">Conjunto urbanístico de Brasília construído em decorrência do Plano Piloto traçado para a cidade</t>
  </si>
  <si>
    <t>DF5300108BICU00001</t>
  </si>
  <si>
    <t xml:space="preserve">Normatização: Portaria 314/92 (Escalas); Portaria 68/2012 (Entorno); Portaria 166/2016 (detalhamento da 314); Portaria 184/2016 (Esplanada)</t>
  </si>
  <si>
    <t xml:space="preserve">Processo INDEFERIDO em 18/11/2011.</t>
  </si>
  <si>
    <t>01450.011373/2007-55</t>
  </si>
  <si>
    <t>Itajaí</t>
  </si>
  <si>
    <t xml:space="preserve">Casarão Malburg</t>
  </si>
  <si>
    <t>01450.011619/2008-70</t>
  </si>
  <si>
    <t xml:space="preserve">Conjunto Histórico do Forte de Copacabana, atual Museu Histórico do Exército, e o seu acervo móvel e integrado, no município do Rio de Janeiro, Estado do Rio de Janeiro</t>
  </si>
  <si>
    <t>RJ-3304557-BI-CA-00012</t>
  </si>
  <si>
    <t xml:space="preserve">Parecer de indeferimento de 19/3/2022, a presidência encaminhou para a SE em 26/4/2022. Destino: Superintendência 16/07/2013</t>
  </si>
  <si>
    <t>01458.000682/2011-14</t>
  </si>
  <si>
    <t xml:space="preserve">Conjunto: Paisagístico Natural, formado pela área da Prainha, Recreio dos Bandeirantes e Grumari</t>
  </si>
  <si>
    <t xml:space="preserve">SE-PR quer rerratificar</t>
  </si>
  <si>
    <t>01450.011594/2008-12</t>
  </si>
  <si>
    <t xml:space="preserve">Lapa, PR: conjunto arquitetônico e paisagístico</t>
  </si>
  <si>
    <t>PR-4113205-BI-CU-00001</t>
  </si>
  <si>
    <t xml:space="preserve">1992, 1997</t>
  </si>
  <si>
    <t xml:space="preserve">3, 11</t>
  </si>
  <si>
    <t xml:space="preserve">Partituras de Heitor Villa-Lobos, depositadas no Museu Villa-Lobos, na Rua Sorocaba, 200 </t>
  </si>
  <si>
    <t>RJ3304557BMAC00001</t>
  </si>
  <si>
    <t xml:space="preserve">Ofício Nº 1035/2023/IPHAN-PA-IPHAN referente a MPF (IPHAN e MCultura); PARECER TÉCNICO nº 232/2022/CONAC/CNA/DEPAM indica alto potencial arqueológico para a área; PARECER TÉCNICO nº 54/2022/CGID/DEPAM indica indeferimento (Adler Homero Fonseca de Castro); Ofício Nº 677/2022/IPHAN-PA-IPHAN, indica tombamento do bem conforme Parecer Técnico s/n julho de 2012 (DEPAM). DESPACHO Nº 549/2022 COTEC IPHAN-PA/IPHAN-PA apresenta informações sobre  identificação e narrativas de valoração cultural já haviam sido construídas no Parecer Técnico s/n julho de 2012 (DEPAM),regularização fundiária, acesso e se posiciona que não a dificuldade de acesso não é entrave ao reconhecimento do bem cultural.  PARECER TÉCNICO nº 9/2022/COREC/CGID/DEPAM solicita manifestação explícita da Superintendência. Em instrução na Superintendência - bens situados em Belterra e Aveiro. Parecer elaborado pela Maria Regina Weissheimer, no DEPAM. SE está articulando com Estado e não vai tombar pelo IPHAN. Indeferido pelo Presidente Leandro Grass em 23/05/2024. Arquivado em 24/05/2024.</t>
  </si>
  <si>
    <t>01458.002985/2010-82</t>
  </si>
  <si>
    <t>Belterra</t>
  </si>
  <si>
    <t xml:space="preserve">Áreas urbanas de Belterra e Fordlândia, em Santarém e Aveiro, respectivamente</t>
  </si>
  <si>
    <t xml:space="preserve">IPHAN (1a DR/SPHAN)</t>
  </si>
  <si>
    <t xml:space="preserve">Indicação de INDEFERIMENTO. Os membros da Câmara Setorial de Patrimônio Material, após debate sobre os encaminhamentos possíveis, recomendam ao Presidente do Iphan o arquivamento do Processo nº 01458.002985/2010-82</t>
  </si>
  <si>
    <t>Aveiro</t>
  </si>
  <si>
    <t xml:space="preserve">Ofício Nº 270/2024/CGID/DEPAM-IPHAN indicando relatoria pela Conselheira Ana Cláudia Bazzo Sá. No Conselho aguardando apreciação</t>
  </si>
  <si>
    <t>01458.001009/2009-79</t>
  </si>
  <si>
    <t xml:space="preserve">Coqueiro Seco</t>
  </si>
  <si>
    <t xml:space="preserve">Igreja de Nossa Senhora Mãe dos Homens</t>
  </si>
  <si>
    <t xml:space="preserve">Senador Guilherme Palmeira</t>
  </si>
  <si>
    <t>AL2702207BIED00001</t>
  </si>
  <si>
    <t xml:space="preserve">Origem: Depam, destino: SE-RJ, em 10/04/2015</t>
  </si>
  <si>
    <t>01458.001180/2012-83</t>
  </si>
  <si>
    <t xml:space="preserve">Casa: Rua São Clemente,213</t>
  </si>
  <si>
    <t xml:space="preserve">Lucio Costa</t>
  </si>
  <si>
    <t xml:space="preserve">INDEFERIDO em 12/11/2021. Reaberto em 3/7/2019. 02/07/98 - Não Localizado. Ver observações.</t>
  </si>
  <si>
    <t>01450.001402/2019-12</t>
  </si>
  <si>
    <t>Indaial</t>
  </si>
  <si>
    <t xml:space="preserve">Pontes de ferro sobre o Rio Encano </t>
  </si>
  <si>
    <t xml:space="preserve">Info SE-SC (14/03/2016): Não se tem conhecimento do teor da proposta, nem do rol de bens elencados. A princípio, indicar-se-ia o arquivamento do pedido. </t>
  </si>
  <si>
    <t xml:space="preserve">Casa: Taquaral (Fazenda); Casa da Fazenda Taguaral</t>
  </si>
  <si>
    <t xml:space="preserve">Encaminha recomendações 6/1/2022. Recomenda tombamento e solicita orientação para conclusão da instrução</t>
  </si>
  <si>
    <t>01458.001088/2015-66</t>
  </si>
  <si>
    <t xml:space="preserve">Bosque: Rodrigues Alves</t>
  </si>
  <si>
    <t xml:space="preserve">INDEFERIDO em 28/12/2011.</t>
  </si>
  <si>
    <t>01458.001089/2015-19</t>
  </si>
  <si>
    <t xml:space="preserve">Dunas - Localidade de Taíba</t>
  </si>
  <si>
    <t xml:space="preserve">INDEFERIDO em 10/07/2020</t>
  </si>
  <si>
    <t>01458.000923/2012-06</t>
  </si>
  <si>
    <t xml:space="preserve">Casa: Conde de Prados (Antigo Prédio do Fórum), Município de Barbacena, Estado de Minas Gerais.</t>
  </si>
  <si>
    <t xml:space="preserve">Tombamento homologado em 10/2/2022</t>
  </si>
  <si>
    <t>01458.001029/2009-40</t>
  </si>
  <si>
    <t xml:space="preserve">Aviões (dois):Catalinas - 1º) No Museu Espacial (Rio de Janeiro/RJ), 2º) Na Base Aérea....</t>
  </si>
  <si>
    <t xml:space="preserve">RJ-3304557-BM-AC-00007 </t>
  </si>
  <si>
    <t xml:space="preserve">Homologado pela PORTARIA MTUR Nº 8, DE 10 DE FEVEREIRO DE 2022</t>
  </si>
  <si>
    <t xml:space="preserve">Encaminhada para atualizar estado de conservação</t>
  </si>
  <si>
    <t>PA-1501402-BM-AC-00001</t>
  </si>
  <si>
    <t xml:space="preserve">Imóvel situado na Av. Presidente Antônio Carlos, 641 denominado Palácio Tiradentes e obras de arte a ele integradas</t>
  </si>
  <si>
    <t>RJ3304557BIED00012</t>
  </si>
  <si>
    <t xml:space="preserve">Parecer de indeferimento de 19 de julho de 2022, encaminhado pela Presidência à SE em 11/08/2022. Origem:SE/RJ. Destino: DEPAM, Recebido em 08/10/2016 - É rerratificação do processo T 503</t>
  </si>
  <si>
    <t>01458.001579/2012-64</t>
  </si>
  <si>
    <t xml:space="preserve">Casa: Avenida Venceslau Brás, 71 -Fundos;  Instituto de Psiquiatria no Campus da Praia Vermelha da Universidade Federal do Rio de Janeiro</t>
  </si>
  <si>
    <t xml:space="preserve">Instituto de Psiquiatria</t>
  </si>
  <si>
    <t xml:space="preserve">Poligonal é o Parque</t>
  </si>
  <si>
    <t xml:space="preserve">São Raimundo Nonato</t>
  </si>
  <si>
    <t xml:space="preserve">Parque Nacional da Serra da Capivara</t>
  </si>
  <si>
    <t>PI2210607PSPS00001</t>
  </si>
  <si>
    <t xml:space="preserve">A área do parque localiza-se nos municípios de São Raimundo Nonato, João Costa, Brejo do Piauí e Coronel José Dias. Priorizou-se o município de São Raimundo Nonato visto ter sido originalmente o município registrado no processo de tombamento.</t>
  </si>
  <si>
    <t xml:space="preserve">INDEFERIDO em 27/07/2021</t>
  </si>
  <si>
    <t>01450.004964/2009-38</t>
  </si>
  <si>
    <t>Comodor</t>
  </si>
  <si>
    <t xml:space="preserve">Sítios: Tainhanteçu e Pequizal</t>
  </si>
  <si>
    <t xml:space="preserve">Parecer de tombamento da Superintendência de 31 de julho de 2021</t>
  </si>
  <si>
    <t>01492.000044/2015-01</t>
  </si>
  <si>
    <t xml:space="preserve">Igreja Nossa Senhora de Nazaré</t>
  </si>
  <si>
    <t xml:space="preserve">Processo INDEFERIDO, em 24/02/2011. Decisão Judicial anulando o parecer de indeferimento 17/04/202. Tombamento judicial, não houve notificação. Encaminhado para SE para identificação do que deve ser afetado pelo tombamento</t>
  </si>
  <si>
    <t>01450.010887/2008-74</t>
  </si>
  <si>
    <t xml:space="preserve">Casa: Santos Andrade (Praça), Edifício Central da Universidade Federal do Paraná</t>
  </si>
  <si>
    <t xml:space="preserve"> 17/04/202</t>
  </si>
  <si>
    <t xml:space="preserve">PR-4106902-BI-ED-00015	</t>
  </si>
  <si>
    <t xml:space="preserve">Inscrito por Decisão judicial</t>
  </si>
  <si>
    <t xml:space="preserve">Memorando que informa o INDEFERIMENTO do Processo em 06/12/1993.</t>
  </si>
  <si>
    <t>Gurinhatã</t>
  </si>
  <si>
    <t xml:space="preserve">Igreja: São Jerônimo</t>
  </si>
  <si>
    <t xml:space="preserve">Cine-Teatro Central, situado na Praça João Pessoa, s/nº</t>
  </si>
  <si>
    <t>MG-3136702-BI-ED-00001</t>
  </si>
  <si>
    <t xml:space="preserve">Processo INDEFERIDO em 13/11/1995.</t>
  </si>
  <si>
    <t xml:space="preserve">Três Corações</t>
  </si>
  <si>
    <t xml:space="preserve">Casa: Presidente Vargas (Av.), 154 Antiga Agencia do Banco do Brasil</t>
  </si>
  <si>
    <t xml:space="preserve">Casa: Sede da Associação dos Ex-Combatentes do Brasil</t>
  </si>
  <si>
    <t xml:space="preserve">INDEFERIDO em 16/03/22. Parecer de indeferimento de 15/02/2022. Falta despacho efetivando o indeferimento.</t>
  </si>
  <si>
    <t>01458.000009/2022-29</t>
  </si>
  <si>
    <t xml:space="preserve">Santa Quitéria</t>
  </si>
  <si>
    <t xml:space="preserve">Gruta Existente no Serrote dos Morrinhos</t>
  </si>
  <si>
    <t xml:space="preserve">INDEFERIDO em 4/4/2023. O solicitante não foi informado da do arquivamento. Origem: DEPAM. Destino:SE/RJ, encaminhado em 10/04/2015</t>
  </si>
  <si>
    <t>01453.001181/2012-28</t>
  </si>
  <si>
    <t xml:space="preserve">Colégio Nossa Senhora das Dores</t>
  </si>
  <si>
    <t xml:space="preserve">Câmara Municipal de Nova Friburgo</t>
  </si>
  <si>
    <t xml:space="preserve">Indicação de INDEFERIMENTO. Não foram encontrados eventos históricos relevantes ocorridos na edificação em questão; não se destaca, em termos artísticos, na produção arquitetônica da segunda metade do século XIX; já possui tombamento em nível municipal e estadual</t>
  </si>
  <si>
    <t>01458.000674/2012-41</t>
  </si>
  <si>
    <t>Buritizeiro</t>
  </si>
  <si>
    <t xml:space="preserve">Casa: Coronel José Geraldo (Praça)-Prédio da Fundação Educacional Caio Martins FUCAM, Buritizeiro, Minas Gerais</t>
  </si>
  <si>
    <t xml:space="preserve">Mirante da Av. Sete de Setembro, trecho da Ladeira da Barra, situado entre as casas de nºs 3.026 e 3.244</t>
  </si>
  <si>
    <t xml:space="preserve">INDEFERIDO em 30/10/2021. Origem SE, 22/11/2016 / Destino Depam, 02/12/2016. Recomenda tombamento. Para parecer da CGID</t>
  </si>
  <si>
    <t>01458.000813/2013-17</t>
  </si>
  <si>
    <t xml:space="preserve">Coleção: Abelardo Santos</t>
  </si>
  <si>
    <t xml:space="preserve">Encaminhado para arquivamento em 26/12/2017</t>
  </si>
  <si>
    <t>01458.000098/2013-12</t>
  </si>
  <si>
    <t xml:space="preserve">Juazeiro do Norte</t>
  </si>
  <si>
    <t xml:space="preserve">Casa: São José (Rua) Casa onde morou e morreu Padre Cícero (Museu do Padre Cícero)</t>
  </si>
  <si>
    <t>01504.001044/2008-12</t>
  </si>
  <si>
    <t xml:space="preserve">Casa: General Valadão (Praça), Prédio da Delegacia da Receita Federal - Antiga Alfândega </t>
  </si>
  <si>
    <t xml:space="preserve">Origem: DEPAM, destino: Presidência, para INDEFERIMENTO, em 22/11/2016</t>
  </si>
  <si>
    <t>01458.002563/2010-15</t>
  </si>
  <si>
    <t xml:space="preserve">Àrea da Mata Esperança</t>
  </si>
  <si>
    <t>01458.000362/2011-56</t>
  </si>
  <si>
    <t xml:space="preserve">Mata Atlântica</t>
  </si>
  <si>
    <t xml:space="preserve">Origem: DEPAM. Destino: SE-SE, em 07/11/2016 </t>
  </si>
  <si>
    <t>01458.001519/2011-61</t>
  </si>
  <si>
    <t xml:space="preserve">Casa: Terreiro Filhos de Obá</t>
  </si>
  <si>
    <t xml:space="preserve">No GAB da SE-MG em 10/06/2015</t>
  </si>
  <si>
    <t>01450.011612/2008-58</t>
  </si>
  <si>
    <t xml:space="preserve">Pampulha: conjunto arquitetônico e paisagístico</t>
  </si>
  <si>
    <t>MG3106200BICA00001</t>
  </si>
  <si>
    <t xml:space="preserve">Na 10ª reunião do Conselho (1996) foi aprovada a delimitação da poligonal de proteção</t>
  </si>
  <si>
    <t xml:space="preserve">volumes III e IV na PROFER; há soliictação da definição da poligonal ser analisada pelo CCPC (ata 7a. Sessão que aprova o tombamento, 1994). Informações sobre delimitação das poligonais: DEPAM-RJ 98-99</t>
  </si>
  <si>
    <t>02042/2001</t>
  </si>
  <si>
    <t xml:space="preserve">Cataguases, MG: conjunto histórico, arquitetônico e paisagístico</t>
  </si>
  <si>
    <t>MG-3115300-BI-CU-00001</t>
  </si>
  <si>
    <t xml:space="preserve">Decidido o tombamento em 1994, mas inscrito apenas em 2003. Tombado como CONJUNTO URBANÍSTICO, mas indicado o tombamento isolado de 16 bens imóveis (7 com acervo de bens móveis e integrados), com "anotação" deles feitas na inscrição do conjunto apenas no Livro de Belas Artes. Necessita rerratificação.</t>
  </si>
  <si>
    <t xml:space="preserve">volume III não foi encontrado (PROFER?); que outros bens? Informações sobre delimitação das poligonais: DEPAM-RJ 98-99</t>
  </si>
  <si>
    <t>01458.001037/2013-72</t>
  </si>
  <si>
    <t xml:space="preserve">Ruína: de um Paiol, Quartel e Casa do administrador</t>
  </si>
  <si>
    <t>UFBA</t>
  </si>
  <si>
    <t>01458.001182/2012-72</t>
  </si>
  <si>
    <t xml:space="preserve">Vila junto à Escola Naval de Angra</t>
  </si>
  <si>
    <t xml:space="preserve">Iphan (IBPC)</t>
  </si>
  <si>
    <t xml:space="preserve">INDEFERIDO em 15/09/2021</t>
  </si>
  <si>
    <t>01458.000840/2012-17</t>
  </si>
  <si>
    <t xml:space="preserve">Casa: barão de Suassuí (solar do Barão de Suassuí)</t>
  </si>
  <si>
    <t xml:space="preserve">Na Superintendência do AM em 20/02/2014. SE-AM entende ser pertinente o processo, e sugere incluir a contratação dos levantamentos no orçamento para 2015. Tabela anexa ao memorando nº110/2014/GAB IPHAN/AM, de 13/05/2014 (CPROD 01490.001412/2014-69) </t>
  </si>
  <si>
    <t>01450.013226/2008-09</t>
  </si>
  <si>
    <t xml:space="preserve">Novo Airão</t>
  </si>
  <si>
    <t xml:space="preserve">Ruínas da Cidade de Airão</t>
  </si>
  <si>
    <t xml:space="preserve">Origem: DEPAM/RJ. Destino: CGPN: 22/06/2010 (não recebido - verificar). Tem cópia na Superintendência do Ceará, Ramiro vai mandar (07/11/2014) Origem: DEPAM/DF          Destino:SE/CE 08/01/2015</t>
  </si>
  <si>
    <t>01458.002561/2010-18</t>
  </si>
  <si>
    <t xml:space="preserve">Jijoca de Jericoacoara</t>
  </si>
  <si>
    <t xml:space="preserve">Localidade de Jericoacoara</t>
  </si>
  <si>
    <t xml:space="preserve">Conjunto do Ipiranga: Museu Paulista, Monumento à Independência, Casa do Grito e Parque da Independência</t>
  </si>
  <si>
    <t>SP-3550308-BI-CA-00005</t>
  </si>
  <si>
    <t>01450.011607/2008-45</t>
  </si>
  <si>
    <t xml:space="preserve">Teatro Municipal de São Paulo</t>
  </si>
  <si>
    <t>SP3550308BIED00011</t>
  </si>
  <si>
    <t xml:space="preserve">Aprovado pelo Conselho em 1997. Portaria nº  30 de 08 de abril de 2014 – DOU 09/04/2014 -  Seção 1, pg. 08 -   Homologa o tombamento do Teatro Municipal de São Paulo, incluindo o edifício, com seus bens integrados e o seu jardim lateral, situados na Praça Ramos de Azevedo, Município de São Paulo, Estado de São Paulo.</t>
  </si>
  <si>
    <t>01458.000678/2012-29</t>
  </si>
  <si>
    <t xml:space="preserve">Grão Mogol</t>
  </si>
  <si>
    <t xml:space="preserve">Conjunto: Cultural, histórico, artístico e ambiental Grão Mogol</t>
  </si>
  <si>
    <t xml:space="preserve">Determinada a inscrição em 19/11/2021. Origem: DEPAM. Destino: PF, em 27/04/2016</t>
  </si>
  <si>
    <t>01458.001195/2011-61</t>
  </si>
  <si>
    <t xml:space="preserve">Ruínas do Forte do Buraco </t>
  </si>
  <si>
    <t xml:space="preserve">PE-2611606-BA-ST-00001	</t>
  </si>
  <si>
    <t xml:space="preserve">Já aprovado pelo Conselho em 2000, faltava poligonal, delimitada em 2016. Homologado PORTARIA Nº 113, DE 13 DE DEZEMBRO DE 2017</t>
  </si>
  <si>
    <t xml:space="preserve">DEPAM: 19/08/2011. Selmo Norte. parecer de indeferimento de 13/11/2022. Ofício Nº 611/2023/CGID/DEPAM-IPHAN,06/12/2023, orientando a consulta à comunidade sobre o interesse no tombamento segundo  Portaria 135/2023.</t>
  </si>
  <si>
    <t>01458.001514/2011-38</t>
  </si>
  <si>
    <t>Mirinzal</t>
  </si>
  <si>
    <t xml:space="preserve">Quilombo: Flexal (do) (ou Frechal)</t>
  </si>
  <si>
    <t xml:space="preserve">Alvaro Augusto Ribeiro Costa Sub-Porocurador Geral da República - SECOID</t>
  </si>
  <si>
    <t xml:space="preserve">Parecer de indeferimento de 3/11/2022. DEPAM: 19/08/2011. Selmo Norte . Ofício Nº 618/2023/CGID/DEPAM-IPHAN, 07/12/2023, orientando a consulta à comunidade sobre o interesse no tombamento segundo  Portaria 135/2023.</t>
  </si>
  <si>
    <t>01458.001520/2011-95</t>
  </si>
  <si>
    <t>Oriximiná</t>
  </si>
  <si>
    <t xml:space="preserve">Quilombos: Oriximiná</t>
  </si>
  <si>
    <t xml:space="preserve">Ministério Público Federal</t>
  </si>
  <si>
    <t xml:space="preserve">parecer de indeferimento de 18/12/2022. DEPAM/RJ</t>
  </si>
  <si>
    <t>01458.001036/2013-28</t>
  </si>
  <si>
    <t xml:space="preserve">Ponte: Ferroviária</t>
  </si>
  <si>
    <t>01458.001998/2011-15</t>
  </si>
  <si>
    <t xml:space="preserve">Casa da Antiga Escola de Veterinária do Exército</t>
  </si>
  <si>
    <t xml:space="preserve">Erro de Numeração de processo T- ver 1335-T-95</t>
  </si>
  <si>
    <t>01450.011615/2008-91</t>
  </si>
  <si>
    <t>Palmeiras</t>
  </si>
  <si>
    <t xml:space="preserve">Conjunto Paisagístico do Morro do Pai Inácio</t>
  </si>
  <si>
    <t>BA2923506PSPS00001</t>
  </si>
  <si>
    <t>Iguatemi</t>
  </si>
  <si>
    <t xml:space="preserve">Corveta: "Iguatemi"</t>
  </si>
  <si>
    <t xml:space="preserve">Na SE-MG tem um processo (01450.009888/2011-71) que eles dizem ser o de tombamento, mas no CPROD consta  "TOMBAMENTO DEFINITIVO DA SEDE DA FAZENDA DO REGISTRO VELHO", e faz menção ao processo T, que seria o 01450.011597/2008-48, que está no arquivo.</t>
  </si>
  <si>
    <r>
      <rPr>
        <sz val="10"/>
        <rFont val="Arial"/>
      </rPr>
      <t xml:space="preserve">01450.011597/2008-48
</t>
    </r>
    <r>
      <rPr>
        <sz val="10"/>
        <color indexed="2"/>
        <rFont val="Arial"/>
      </rPr>
      <t>01450.009888/2011-71</t>
    </r>
  </si>
  <si>
    <t xml:space="preserve">Sede da Fazenda do Registro Velho - Residência do Inconfidente Padre Manoel Rodrigues da Costa</t>
  </si>
  <si>
    <t>MG3105608BIED00004</t>
  </si>
  <si>
    <t xml:space="preserve">Ofício Nº 7/2024/CITES-IPHAN solicita Certidão de propriedade atualizada do Bem denominado como “Farol de Salinas"; Solicitadas informações à Marinha, 13/07/21, Origem: DEPAM. Destino: SE-PA, em 14/10/2014</t>
  </si>
  <si>
    <t>01458.000140/2012-14</t>
  </si>
  <si>
    <t>Salinópolis</t>
  </si>
  <si>
    <t xml:space="preserve">Farol de Salinas</t>
  </si>
  <si>
    <t xml:space="preserve">Dr. Moacir Guimarães Morais Filho, Procurador da República (Ministério Público Federal do Pará)</t>
  </si>
  <si>
    <t xml:space="preserve">Processo INDEFERIDO em 15/12/2011.</t>
  </si>
  <si>
    <t>01458.000363/2011-09</t>
  </si>
  <si>
    <t xml:space="preserve">Lago: Pedalinho (do)</t>
  </si>
  <si>
    <t xml:space="preserve">Faixa Litorânea das praias de Maçarico e Atalaia Salinópolis</t>
  </si>
  <si>
    <t xml:space="preserve">Arquivado em 11/4/2023. O requerente não foi notificado do indeferimento. Parecer de indeferimento de 4/1/2023. Passivo do DEPAM/RJ encaminhado à SE/RJ em 24/04/15</t>
  </si>
  <si>
    <t>01458.001183/2012-17</t>
  </si>
  <si>
    <t xml:space="preserve">Chácara da Floresta - Jardim Botânico</t>
  </si>
  <si>
    <t>UFRJ</t>
  </si>
  <si>
    <t xml:space="preserve">Indicação de INDEFERIMENTO. O bem tem tombamento estadual e não se observam no bem características arquitetônicas marcantes; não tem associado a ele fatos ou processos históricos relevantes, ou atividades culturais excepcionais.</t>
  </si>
  <si>
    <t>01458.001632/2012-27</t>
  </si>
  <si>
    <t xml:space="preserve">Casa: Prédio da Escola de Equitação do Exército</t>
  </si>
  <si>
    <t xml:space="preserve">Encaminhado para indeferimento em 17/11/2015</t>
  </si>
  <si>
    <t>01458.000132/2010-14</t>
  </si>
  <si>
    <t xml:space="preserve">Casa localizada à Rua Haddock Lobo, nº 239</t>
  </si>
  <si>
    <t xml:space="preserve">Solicitada a instrução em 20/06/2022. Na Superintendência do AM desde 14/07/2011. Superintendência opina pelonão tombamento de alguns bens (já protegidos pelo Estado ou município), mas indica a inclusão do inventário do prédio de bombeamento no orçamento de 2015.Tabela anexa ao memorando nº110/2014/GAB IPHAN/AM, de 13/05/2014 (CPROD 01490.001412/2014-69)</t>
  </si>
  <si>
    <t>01458.000660/2010-65</t>
  </si>
  <si>
    <t xml:space="preserve">Conjunto de Edificações da companhia de saneamento do Amazonas/COSAMA</t>
  </si>
  <si>
    <t xml:space="preserve">INDEFERIDO em 3/1/2022. Há parecer de indeferimento do CNA. Foi encaminhado à SE/RJ em 25/07/2019.</t>
  </si>
  <si>
    <t>01458.001513/2011-93</t>
  </si>
  <si>
    <t xml:space="preserve">Reserva: Arqueológica "Sambaqui de Beirada"</t>
  </si>
  <si>
    <t xml:space="preserve">Encaminhado em 13/06/2016 ao Arquivo Central para ser ANEXADO ao processo de tombamento nº 64-T-38, referente ao Conjunto Arquitetônico e Urbanístico de Diamantina/MG</t>
  </si>
  <si>
    <t xml:space="preserve">Conjunto Paisagístico da Serra dos Cristais</t>
  </si>
  <si>
    <t xml:space="preserve">Encaminhado para o Iphan-SP em 4/5/2023 para adoção de providências para regularização do processo. Tombamento aprovado em 10/11/2021.</t>
  </si>
  <si>
    <t>01458.000664/2011-24</t>
  </si>
  <si>
    <t xml:space="preserve">São José dos Campos</t>
  </si>
  <si>
    <t xml:space="preserve">Conjunto Arquitetônico e Paisagístco "Tecelagem Parahyba"</t>
  </si>
  <si>
    <t xml:space="preserve">  SP-3549904-BI-CA-00001</t>
  </si>
  <si>
    <t xml:space="preserve">Info Arquivo: A titulação do processo de tombamento 1369-T-96 foi cancelada, pois "a solicitação se referia ao cadastro e não ao tombamento da reserva arqueológica em questão".</t>
  </si>
  <si>
    <t>Buíque</t>
  </si>
  <si>
    <t xml:space="preserve">Reserva Arqueológica do Vale do Catimbau; Sítio Arqueológico "Alcobaça" </t>
  </si>
  <si>
    <t xml:space="preserve">Cancelada o Processo de tombamento, em razão do exposto no MEMO/DEPROT Nº 471/96</t>
  </si>
  <si>
    <t xml:space="preserve">INDEFERIDO  em 13/08/2021</t>
  </si>
  <si>
    <t>01458.000099/2013-67</t>
  </si>
  <si>
    <t xml:space="preserve">Casa onde Nasceu Antonio Conselheiro</t>
  </si>
  <si>
    <t xml:space="preserve">Origem: DEPAM, destino: SE-SP, em 13/06/2016</t>
  </si>
  <si>
    <t>01458.000165/2016-41</t>
  </si>
  <si>
    <t xml:space="preserve">Igreja: Catedral Metropolitana de Campinas</t>
  </si>
  <si>
    <t xml:space="preserve">ao qual foi apensado o processo nº 764-T-65. aguardando instrução</t>
  </si>
  <si>
    <t xml:space="preserve">Origem: DEPAM, 18/07/2013 / Destino: Superintendência, 23/07/2013</t>
  </si>
  <si>
    <t>01458.000812/2013-72</t>
  </si>
  <si>
    <t xml:space="preserve">Igreja: romana (Capela do Taim)</t>
  </si>
  <si>
    <t>01458.000138/2012-45</t>
  </si>
  <si>
    <t xml:space="preserve">Conjunto Histórico do Arquipélago de Fernando de Noronha</t>
  </si>
  <si>
    <t>PE-2605459-BI-CU-00001</t>
  </si>
  <si>
    <t xml:space="preserve">Prazo do processo judicial já expirou. Profer considerou ser necessário notificação individual e não apenas por edital. Encaminhado pelo Presidente ao Conselho em 04/09/2023.</t>
  </si>
  <si>
    <t>01458.001631/2012-82</t>
  </si>
  <si>
    <t xml:space="preserve">Conjunto: Arquitetônico e Paisagístico formado pelos Fortes de Imbuhy e Rio Branco</t>
  </si>
  <si>
    <t xml:space="preserve">Vareador João Batista Mendes</t>
  </si>
  <si>
    <t xml:space="preserve">INDEFERIDO em 09/07/2021. Carina informa estar na SE-RJ (22/10/2015). O processo foi localizado e verificamos que foi arquivado equivocadamente no IPHAN-RJ. O encaminhamento se deu ao fato da casa ter sido demolida em 2002 não cabendo mais portanto a continuidade do processo em tela. 
 indeferido em 26/09/2019</t>
  </si>
  <si>
    <t>01500.000075/1995-01</t>
  </si>
  <si>
    <t xml:space="preserve">Casa: Rua Alberto Braune, 208</t>
  </si>
  <si>
    <t>01458.001488/2009-23</t>
  </si>
  <si>
    <t xml:space="preserve">General Câmara</t>
  </si>
  <si>
    <t xml:space="preserve">Conjunto histórico da Vila de Santo Amaro, contendo quatorze edificações.</t>
  </si>
  <si>
    <t>RS4308805BICA00001</t>
  </si>
  <si>
    <t xml:space="preserve">Verificar situação do processo, consta como um "reencaminhamento"</t>
  </si>
  <si>
    <t xml:space="preserve">volume III na PROFER desde 2009, deve conter parecer conselheiro. Informações sobre delimitação das poligonais: DEPAM-RJ 98-99</t>
  </si>
  <si>
    <t xml:space="preserve">Origem: DEPAM. Destino: SE-CE, em 05/11/2014. Reaberto para rerratificação de poligonal de tombamento.</t>
  </si>
  <si>
    <t>01458.001485/2009-90</t>
  </si>
  <si>
    <t xml:space="preserve">Conjunto Paisagístico dos Serrotes, constituído por formações geomorfológicas em monólito, no município de Quixadá</t>
  </si>
  <si>
    <t>CE2311306BPST00001</t>
  </si>
  <si>
    <t xml:space="preserve">definição da poligonal é imprecisa, dificultando fiscalização e há demanda da SE para sua revisão junto ao Conselho Consultivo (CPROD 01496.000796/2011-27)</t>
  </si>
  <si>
    <t xml:space="preserve">INDEFERIDO em 28/04/2020</t>
  </si>
  <si>
    <t xml:space="preserve">Sobral, CE: conjunto arquitetônico e urbanístico</t>
  </si>
  <si>
    <t xml:space="preserve"> CE2312908BICU00001</t>
  </si>
  <si>
    <t xml:space="preserve">Processo T: volume IV na PROFER desde 2000, deve conter pareceres. </t>
  </si>
  <si>
    <t xml:space="preserve">2007 a 2009</t>
  </si>
  <si>
    <t xml:space="preserve">Estudo concluído (contratação Monumenta) para normatização; aguardando encaminhamento da Superintendência para publicar. Informações sobre poligonais no Sambaqui.</t>
  </si>
  <si>
    <r>
      <rPr>
        <sz val="8"/>
        <rFont val="Arial"/>
      </rPr>
      <t xml:space="preserve">Reiteração do pedido de tombamento por Cyro Illidio Correa de Oliveira Lyra, 6ª CR Iphan em 23/10/1996. </t>
    </r>
    <r>
      <rPr>
        <sz val="8"/>
        <color indexed="2"/>
        <rFont val="Arial"/>
      </rPr>
      <t xml:space="preserve">Parecer Tecnico de 29/01/2021 (Superintendência). Atribuído a Carolina Di Lello desde 19/02/2021.</t>
    </r>
    <r>
      <rPr>
        <sz val="8"/>
        <rFont val="Arial"/>
      </rPr>
      <t xml:space="preserve"> Encaminhado à SE-RJ para justificar a apresentação na Câmara de bens móveis. </t>
    </r>
  </si>
  <si>
    <t>01458.001637/2012-50</t>
  </si>
  <si>
    <t xml:space="preserve">Acervo remanescente da antiga Igreja de São Sebastião</t>
  </si>
  <si>
    <t xml:space="preserve">Sabino Barroso, Diretor do DEPROT, IBPC.</t>
  </si>
  <si>
    <t>01500.004053/2009-78</t>
  </si>
  <si>
    <t xml:space="preserve">Conjunto Paisagístico Jardins do Largo da Carioca e adjacências </t>
  </si>
  <si>
    <t xml:space="preserve">Encaminhado para inscrição</t>
  </si>
  <si>
    <t>01500.000007/1997-13</t>
  </si>
  <si>
    <t xml:space="preserve">Museu do Trem: Acervo móvel e imóvel do Antigo Centro de Preservação da História Ferroviária do Rio de Janeiro, situado na rua Arquias Cordeiro, nº 1046</t>
  </si>
  <si>
    <t>RJ3304557BIED00056</t>
  </si>
  <si>
    <t xml:space="preserve">Encaminhado à SE/BA em 11/04/2014. Ofício Nº 1380/2023/IPHAN-BA-IPHAN e Parecer Técnico nº 24/2023/ETL-BA (SEI nº 4240530) indicando indeferimento e encaminhamento deste processo para o setor de Arqueologia, para avaliação da pertinência do cadastro imediato de todos os sítios arqueológicos, com vestígios pré-históricos e históricos;e  abertura de processo visando à realização do inventário da paisagem da Serra do Sincorá. </t>
  </si>
  <si>
    <t xml:space="preserve">01450.000924/2014-84 </t>
  </si>
  <si>
    <t xml:space="preserve">Rio Mucugezinho, situado no Parque Nacional da Chapa Diamantina</t>
  </si>
  <si>
    <t xml:space="preserve">Indicação de INDEFERIMENTO. Necessidade de estudos mais amplos sobre o que pode se constituir a "Paisagem Cultural da Serra do Sincorá" que deverá ser tratado em processo específico</t>
  </si>
  <si>
    <t xml:space="preserve">INDEFERIDO em 22/10/2014</t>
  </si>
  <si>
    <t>01450.001272/2007-76</t>
  </si>
  <si>
    <t xml:space="preserve">Conjunto Paisagístico da Ilha de Trindade</t>
  </si>
  <si>
    <t xml:space="preserve">Sr. Roosevelt Fideles de Souza</t>
  </si>
  <si>
    <t xml:space="preserve">INDEFERIDO,  em 18/05/2016</t>
  </si>
  <si>
    <t>01458.002330/2010-12</t>
  </si>
  <si>
    <t xml:space="preserve">C.Paisag.Parq.Eco.Ulysses Guimarães</t>
  </si>
  <si>
    <t xml:space="preserve">Conforme acordado com Hilario, o processo será encaminhado à SE-RJ para conclusão da instrução técnica (Anna, 28/04/2014)</t>
  </si>
  <si>
    <t>01458.001636/2012-13</t>
  </si>
  <si>
    <t xml:space="preserve">Conjunto Arquitetônico de Pedregulho (Conjunto residencial Prefeito Mendes de Moraes)</t>
  </si>
  <si>
    <t xml:space="preserve">Conjunto Paisagístico constituído pela aléia de figueiras-de-pagode existente na Av. Visconde de Albuquerque - Leblon</t>
  </si>
  <si>
    <t xml:space="preserve">Publicado no D.O.U / SEÇÕES: 1, 2, e 3 - EDIÇÃO Nº 238, TERÇA - FEIRA, 13 DE DEZEMBRO DE 2016.</t>
  </si>
  <si>
    <t>01450.004811/2008-18</t>
  </si>
  <si>
    <t xml:space="preserve">Campo de Santana</t>
  </si>
  <si>
    <t>RJ-3304557-PS-JD-00003</t>
  </si>
  <si>
    <t xml:space="preserve">Foi tombado pelo processo nº 99-T-38, e "destombado por Despacho do Senhor Presidente da República, de 08 de janeiro de 1943" (informação do processo 99-T-38), em função da abertura da Av. Presidente Vargas. Aprovado pelo Conselho em 11/06/2015. Homologado pela Portaria nº 73, de 19 de agosto de  2015 .</t>
  </si>
  <si>
    <t>01458.002569/2010-84</t>
  </si>
  <si>
    <t xml:space="preserve">Armação dos Búzios</t>
  </si>
  <si>
    <t xml:space="preserve">Conjunto Paisagístico do Município de Buzios</t>
  </si>
  <si>
    <t xml:space="preserve">ver se a abordagem é como paisagem </t>
  </si>
  <si>
    <t xml:space="preserve">Origem: Depam. Destino: Superintendência 23/12/2016</t>
  </si>
  <si>
    <t>01458.001654/2012-97</t>
  </si>
  <si>
    <t xml:space="preserve">Setor Histórico do Cemitério do Catumbí</t>
  </si>
  <si>
    <t xml:space="preserve">Marco Comemorativo do Centenário de Juiz de Fora</t>
  </si>
  <si>
    <t>MG3136702BMAR00001</t>
  </si>
  <si>
    <t>01458.000735/2011-99</t>
  </si>
  <si>
    <t xml:space="preserve">Prédios do Museu Histórico Nacional e Coleções que ali se abrigam, com exclusão da Coleção Bibliográfica</t>
  </si>
  <si>
    <t xml:space="preserve">RJ-3304557-BI-ED-00115; RJ3304557BMCL00001</t>
  </si>
  <si>
    <t xml:space="preserve">é o mesmo que o processo nº 101???</t>
  </si>
  <si>
    <t xml:space="preserve">Processo INDEFERIDO em 03/01/2013.</t>
  </si>
  <si>
    <t>01458.001635/2012-61</t>
  </si>
  <si>
    <t xml:space="preserve">Coleções Museu Nacional de Belas Artes</t>
  </si>
  <si>
    <t>01458.001640/2012-73</t>
  </si>
  <si>
    <t xml:space="preserve">Coleções do Museu Imperial</t>
  </si>
  <si>
    <t xml:space="preserve">Enviado a Superintendência para instrução. Origem: DEPAM / Destino: Superintendência 28/06/2012</t>
  </si>
  <si>
    <t>01458.000839/20012-84</t>
  </si>
  <si>
    <t xml:space="preserve">Coleções do Museu da Inconfidência</t>
  </si>
  <si>
    <t xml:space="preserve">Processo INDEFERIDO em 13/12/2012.</t>
  </si>
  <si>
    <t>01458.001641/2012-18</t>
  </si>
  <si>
    <t xml:space="preserve">Coleções do Museu da República</t>
  </si>
  <si>
    <t xml:space="preserve">Solicitada a instrução em 17/06/2022</t>
  </si>
  <si>
    <t>01450.009813/2006-23</t>
  </si>
  <si>
    <t xml:space="preserve">Conjunto arquitetônico e urbanístico da cidade de Marechal Deodoro</t>
  </si>
  <si>
    <t>AL2704708BICU00003</t>
  </si>
  <si>
    <t xml:space="preserve">volume II na COPEDOC para conservação, deve conter pareceres. Estudos para normas em acompanhamento pela CGAF (2016)</t>
  </si>
  <si>
    <t xml:space="preserve">Ofício Nº 619/2023/CGID/DEPAM-IPHAN, 07/12/2023, orientando a consulta à comunidade sobre o interesse no tombamento segundo  Portaria 135/2023. CGID: 23/04/2014. Parecer de indeferimento de 7/11/2022. </t>
  </si>
  <si>
    <t>01450.010832/2008-64</t>
  </si>
  <si>
    <t>Turiaçu</t>
  </si>
  <si>
    <t xml:space="preserve">Àrea conhecida como "Jamary dos Pretos", ocupada por comunidade remanescente de Quilombo</t>
  </si>
  <si>
    <t xml:space="preserve">Fundação Cultural Palmares, Dulce Maria Pereira</t>
  </si>
  <si>
    <t xml:space="preserve">Ofício Nº 620/2023/CGID/DEPAM-IPHAN,  07/12/2023, orientando a consulta à comunidade sobre o interesse no tombamento segundo  Portaria 135/2023. DEPAM: 18/08/2011. Selmo Norte. Parecer de indeferimento de 8/11/2022. </t>
  </si>
  <si>
    <t>01458.001516/2011-27</t>
  </si>
  <si>
    <t xml:space="preserve">Porto da Folha</t>
  </si>
  <si>
    <t xml:space="preserve">Àrea conhecida como "Mocambo", ocupada por comunidade remanescente de quilombo</t>
  </si>
  <si>
    <t xml:space="preserve">Fundação Cultural Palmares,  Presideente Dulce Maria Pereira</t>
  </si>
  <si>
    <t xml:space="preserve"> 29/11/2023</t>
  </si>
  <si>
    <t xml:space="preserve"> Ofício Nº 621/2023/CGID/DEPAM-IPHAN DE 07/12/2023, orientando consulta à comunidade sobre tombamento pela Portaria 135/2023. DEPAM: 19/08/2011. Selmo Norte.</t>
  </si>
  <si>
    <t>01458.001523/2011-29</t>
  </si>
  <si>
    <t>Wanderley</t>
  </si>
  <si>
    <t xml:space="preserve">Àreas conhecidas como "Riacho de Sacutiaba" e "Sacutiaba", ocupadas por comunidades..</t>
  </si>
  <si>
    <t xml:space="preserve">Ofício Nº 622/2023/CGID/DEPAM-IPHAN, 06/12/2023, orientando a consulta à comunidade sobre o interesse no tombamento segundo  Portaria 135/2023. DEPAM: 19/08/2011. Selmo Norte. Parecer de indeferimento de 5/11/2022. </t>
  </si>
  <si>
    <t>01458.001522/2011-84</t>
  </si>
  <si>
    <t>Garanhuns</t>
  </si>
  <si>
    <t xml:space="preserve">Àrea conhecida como "Castainho", ocupada por comunidade remanescente de quilombo</t>
  </si>
  <si>
    <t xml:space="preserve">Fundação Cultural Palmares,  Presidente Dulce Maria Pereira</t>
  </si>
  <si>
    <t>01450.008725/2015-03</t>
  </si>
  <si>
    <t>Canudos</t>
  </si>
  <si>
    <t xml:space="preserve">Vestígios Arqueológicos do Arraial de Canudos</t>
  </si>
  <si>
    <t xml:space="preserve">Anexado ao 1377-T-96.</t>
  </si>
  <si>
    <t>01450.006154/2003-21</t>
  </si>
  <si>
    <t xml:space="preserve">Morro conhecido como "Pedra da Galinha Choca"</t>
  </si>
  <si>
    <t>01458.000104/2013-31</t>
  </si>
  <si>
    <t xml:space="preserve">Prédio do Palácio Anchieta</t>
  </si>
  <si>
    <t>Guapimirim</t>
  </si>
  <si>
    <t xml:space="preserve">Maciço Rochoso Dedo de Deus</t>
  </si>
  <si>
    <t>RJ3301850PSPS00001</t>
  </si>
  <si>
    <t>01450.011598/2008-92</t>
  </si>
  <si>
    <t xml:space="preserve">Prédio da Secretaria de Justiça e Negócios do Interior no Império, onde fora o Solar do Visconde do Rio Seco e o Clube Fluminense</t>
  </si>
  <si>
    <t>RJ3304557BIED00054</t>
  </si>
  <si>
    <t xml:space="preserve">Ofício Nº 495/2024/GAB PRESI/PRESI-IPHAN solicita DEPAM indicação do Conselheiro. Parecer de tombamento de 2/1/2022. Solicitada complementação de informações em 12/07/2021Origem: DEPAM, destino: SE-SP, EM 11/02/2016</t>
  </si>
  <si>
    <t>01458.000088/2016-20</t>
  </si>
  <si>
    <t xml:space="preserve">Prédio da estação Júlio Prestes</t>
  </si>
  <si>
    <t>10/071997</t>
  </si>
  <si>
    <t>CONDEPHAAT</t>
  </si>
  <si>
    <t>SP-3550308-BI-ED-00049</t>
  </si>
  <si>
    <t xml:space="preserve">Arquitetura de Transportes</t>
  </si>
  <si>
    <t xml:space="preserve">Notificado em 17 de outubro de 2022</t>
  </si>
  <si>
    <t xml:space="preserve">Processo foi INDEFERIDO em 27/05/2008, por conta da inserção do bem no Conjunto Arquitetônico e urbanístico do antigo bairro do Recife, já tombado.</t>
  </si>
  <si>
    <t xml:space="preserve">Local onde funcionou a 1ª Sinagoga do Brail e das Américas "Zur Israel" (Pedra de Israel), rua Bom Jesus nº 197 e 203.</t>
  </si>
  <si>
    <t xml:space="preserve">Observação arquivo: "De acordo com informações constantes no processo, o bem está inserido no Conjunto Arquitetônico e urbanístico do antigo bairro do Recife, já tombado."</t>
  </si>
  <si>
    <t xml:space="preserve">Ofício Nº 623/2023/CGID/DEPAM-IPHAN, 06/12/2023, orientando a consulta à comunidade sobre o interesse no tombamento segundo  Portaria 135/2023. DEPAM: 20/03/2014 (Selmo Norte). Parecer de indeferimento de 5/11/2022. </t>
  </si>
  <si>
    <t>01458.000314/2014-19</t>
  </si>
  <si>
    <t xml:space="preserve">Leme do Prado</t>
  </si>
  <si>
    <t xml:space="preserve">Área conhecida como Porto Coris - Quilombo de porto Coris</t>
  </si>
  <si>
    <t xml:space="preserve">Fundação Palmares, Dulce Maria Pereira</t>
  </si>
  <si>
    <t xml:space="preserve">Ofício Nº 624/2023/CGID/DEPAM-IPHAN, 06/12/2023, orientando a consulta à comunidade sobre o interesse no tombamento segundo  Portaria 135/2023. DEPAM: 20/03/2014 (Selmo Norte)Parecer de indeferimento de 5/11/2022. </t>
  </si>
  <si>
    <t>01458.001518/2011-16</t>
  </si>
  <si>
    <t>Eldorado</t>
  </si>
  <si>
    <t xml:space="preserve">Àrea conhecida como Ivaporanduva, ocupada por comunidade remanescente de quilombo</t>
  </si>
  <si>
    <t xml:space="preserve">Fundaçao Palmares, Dulce Maria Pereira</t>
  </si>
  <si>
    <t>01450.011618/2008-25</t>
  </si>
  <si>
    <t>Andaraí</t>
  </si>
  <si>
    <t xml:space="preserve">Conjunto Arquitetônico, Urbanístico e Paisagístico na Cidade de Igatu, inclusive as ruínas de habitações de pedra</t>
  </si>
  <si>
    <t>BA2901304BICU00001</t>
  </si>
  <si>
    <t xml:space="preserve">INDEFERIDO em 01/10/2019</t>
  </si>
  <si>
    <t>01458.000100/2013-53</t>
  </si>
  <si>
    <t>Crato</t>
  </si>
  <si>
    <t xml:space="preserve">Seminário do Crato</t>
  </si>
  <si>
    <t>01458.000101/2013-06</t>
  </si>
  <si>
    <t xml:space="preserve">Sé Catedral do Crato</t>
  </si>
  <si>
    <t xml:space="preserve">INDEFERIDO em 05/08/2021</t>
  </si>
  <si>
    <t>01458.000097/2013-78</t>
  </si>
  <si>
    <t xml:space="preserve">Casa da Cadeia Pública do Crato</t>
  </si>
  <si>
    <t>01458.000516/2013-71</t>
  </si>
  <si>
    <t xml:space="preserve">Prédio da Estação Ferroviária de Crato</t>
  </si>
  <si>
    <t xml:space="preserve">Assembléia Legislativa - Deputado Welingon Landim</t>
  </si>
  <si>
    <t xml:space="preserve">Origem: CGCH 31/01/2013 / Destino: Superintendência 04/06/2013.</t>
  </si>
  <si>
    <t>01458.000080/2013-11</t>
  </si>
  <si>
    <t xml:space="preserve">Conjunto Arquitetônico da Cidade de Palmeiras</t>
  </si>
  <si>
    <t xml:space="preserve">Processo INDEFERIDO em 24/02/2011, conforme decisão do Conselho Consultivo do IPHAN em sua 60ª Reunião, realizada em 11/02/2009.</t>
  </si>
  <si>
    <t xml:space="preserve">Prédio do Cinema Paratodos</t>
  </si>
  <si>
    <t xml:space="preserve">Parecer de indeferimento de 5/09/2022. Superintendência: 23/07/2013</t>
  </si>
  <si>
    <t>01458.000811/2013-28</t>
  </si>
  <si>
    <t>Paracambu</t>
  </si>
  <si>
    <t xml:space="preserve">Igreja de Nossa Senhora da Conceição no Distrito de Cococi</t>
  </si>
  <si>
    <t xml:space="preserve">Prédio do Cinema Metro Boa Vista</t>
  </si>
  <si>
    <t xml:space="preserve">Ofício Nº 625/2023/CGID/DEPAM-IPHAN, 06/12/2023, orientando a consulta à comunidade sobre o interesse no tombamento segundo  Portaria 135/2023. DEPAM: 20/03/2014 (Selmo Norte). parecer de indeferimento de 8/11/2022. </t>
  </si>
  <si>
    <t>01458.001521/2011-30</t>
  </si>
  <si>
    <t xml:space="preserve">Área ocupada por comunidade remanescente de Quilombo, conhecida como "Campinho da Independência"</t>
  </si>
  <si>
    <t xml:space="preserve">ETEC Rio de Contas/BA: 11/03/2011</t>
  </si>
  <si>
    <t>01458.002322/2010-68</t>
  </si>
  <si>
    <t xml:space="preserve">Remanescentes da Estrada Real, na Chapada Diamantina</t>
  </si>
  <si>
    <t xml:space="preserve">Encaminhado para instrução em 4/4/2022. SE-RJ em 27/03/2014</t>
  </si>
  <si>
    <t>01458.001558/2012-49</t>
  </si>
  <si>
    <t xml:space="preserve">Acervo de documentos e objetos de estudo do Imperador Pedro II, acautelado no Museu Nacional e Museu Imperial</t>
  </si>
  <si>
    <r>
      <rPr>
        <sz val="10"/>
        <rFont val="Arial"/>
      </rPr>
      <t xml:space="preserve">Indicação de INDEFERIMENTO. Não tem condições de prosseguir nos termos em que está apresentado, de duas coleções separadas, pertencentes a instituições distintas, ainda que ligadas por um elo conceitual comum. A isso se soma a dificuldade de se estabelecer, tal como bem colocado pelo Sr. diretor do Museu Imperial, </t>
    </r>
    <r>
      <rPr>
        <b/>
        <sz val="12"/>
        <color indexed="64"/>
        <rFont val="Calibri"/>
      </rPr>
      <t xml:space="preserve">o que </t>
    </r>
    <r>
      <rPr>
        <sz val="12"/>
        <color indexed="64"/>
        <rFont val="Calibri"/>
      </rPr>
      <t xml:space="preserve">seria o objeto de estudo de tombamento.</t>
    </r>
  </si>
  <si>
    <t xml:space="preserve">Imagem de Nossa Senhora do Rosário (Aleijadinho)</t>
  </si>
  <si>
    <t>RJ-3306206-BM-AC-00001</t>
  </si>
  <si>
    <t xml:space="preserve">Acervo do Museu Rodoviário de Paraibuna</t>
  </si>
  <si>
    <t xml:space="preserve">Torah constituída por nove rolos em pergaminho, que integra o acervo do Museu Nacional da Universidade Federal do Rio de Janeiro sob a classificação de "Manuscritos IVRIIM"</t>
  </si>
  <si>
    <t>RJ3304557BMAR00001</t>
  </si>
  <si>
    <t>01458.000087/2021-42</t>
  </si>
  <si>
    <t xml:space="preserve">Ilha do Campeche: sítio arqueológico e paisagístico</t>
  </si>
  <si>
    <t>SC4205407BAST00001</t>
  </si>
  <si>
    <t xml:space="preserve">Processo INDEFERIDO em 03/11/2005.</t>
  </si>
  <si>
    <t xml:space="preserve">Prédio do Cinema Oriente</t>
  </si>
  <si>
    <t xml:space="preserve">Remetido para o arquivo em 20/11/2021. Recebemos pedido de correção da área. No DEPAM para análise junto com os demais processos de quilombo.</t>
  </si>
  <si>
    <t xml:space="preserve"> 01450.011593/2008-60</t>
  </si>
  <si>
    <t>Ibiá</t>
  </si>
  <si>
    <t xml:space="preserve">Quilombo Ambrósio:remanscentes</t>
  </si>
  <si>
    <t>MG3129509BMCL00001</t>
  </si>
  <si>
    <t xml:space="preserve">Inclui documentação, inserida em três códices classificados como “SC” – “Seção Colonial”, estando identificados pelos números 45, 84 e 116.</t>
  </si>
  <si>
    <t>01450.013230/2008-69</t>
  </si>
  <si>
    <t xml:space="preserve">Conjunto das edificações projetadas pelo arquiteto Oscar Niemeyer para o Parque do Ibirapuera</t>
  </si>
  <si>
    <t>SP3550308BICA00006</t>
  </si>
  <si>
    <t xml:space="preserve">Notificação publicada no DOU seção 3 28/08/2009, p.12. Andrey sugere tombar APENAS: Grande Marquise, Palácio das Nações (atual Pavilhão Manuel da Nóbrega), Palácio dos Estados (Pavilhão Francisco Matarazzo Sobrinho), Palácio das Indústrias (Pavilhão Armando de Arruda Pereira), Palácio de Exportações ou das Artes - ou "Oca" (Pavilhão Lucas Nogueira Garcez ), e Palácio da Agricultura</t>
  </si>
  <si>
    <t xml:space="preserve">Origem: DEPAM. Destino: SE-MG, em 29/09/2015</t>
  </si>
  <si>
    <t>01458.000684/2010-14</t>
  </si>
  <si>
    <t>Januária-Itacarambi</t>
  </si>
  <si>
    <t xml:space="preserve">Conj.Arqueol e Pais no Vale do Peruaçu</t>
  </si>
  <si>
    <t>Carrancas</t>
  </si>
  <si>
    <t xml:space="preserve">Capela de Nossa Senhora da Conceição</t>
  </si>
  <si>
    <t>01450.011616/2008-36</t>
  </si>
  <si>
    <t xml:space="preserve">Terreiro do Axé Opô Afonjá</t>
  </si>
  <si>
    <t>BA2927408BICA00002</t>
  </si>
  <si>
    <t xml:space="preserve">INDEFERIDO em 24/06/2015</t>
  </si>
  <si>
    <t>01458.000359/2014-85</t>
  </si>
  <si>
    <t xml:space="preserve">Ruínas da ponte dos Dois Arcos</t>
  </si>
  <si>
    <t xml:space="preserve">Zênia de Leon</t>
  </si>
  <si>
    <t>01450.004839/2004-13</t>
  </si>
  <si>
    <t>Mairinque</t>
  </si>
  <si>
    <t xml:space="preserve">Estação Ferroviária de Mayrink.</t>
  </si>
  <si>
    <t xml:space="preserve">SP3528403BIED00001; SP3528403BIED00002</t>
  </si>
  <si>
    <t xml:space="preserve">Prédio do Cinema Pathé</t>
  </si>
  <si>
    <t xml:space="preserve">Restituído o processo no SEI para análise. Após levantamento da SE-RJ
VER OBSERVAÇÃO:
-EXTRAVIADO
-Não existe informação precisa sobre o Processo. Após rasterar o CPROD, encontra-se a informação de que o documento 01450.003513/2004-79 tramitou o Processo de Tombamento no âmbito da Superintendência do Rio de Janeiro entre os anos de 2004 a 2008.
-Após consulta à SE.Rio para saber se o Processo encontra-se, de fato, na Superintendência (aguardando resposta a partir de 13.12.13).
-Resposta da SE.Rio em 23.01.13, ainda aguardando resposta definitiva:
"Hilário,
Te encaminho as informações da Joyce.
Vamos procurar no nosso arquivo para que possamos verificar se está aqui.
Copio a Secretaria Técnica e o Arquivo da SE/RJ para que verifiquem se estamos de posse do Processo 1436-T-98.
Beijos,
Letícia". Indeferido em 17/03/2021
</t>
  </si>
  <si>
    <t xml:space="preserve">01450.003513/2004-79 (01500.901376/2017-11)</t>
  </si>
  <si>
    <t xml:space="preserve">Rio Claro </t>
  </si>
  <si>
    <t xml:space="preserve">Conjunto Arquitetônico e  Urbanístico de São João Marcos - remanescentes; Cidade de São João Marcos, antiga São João do Príncipe.</t>
  </si>
  <si>
    <t xml:space="preserve">Ofício Nº 626/2023/CGID/DEPAM-IPHAN, 06/12/2023, orientando a consulta à comunidade a respeito do interesse do prosseguimento do processo de tombamento pela Portaria 135/2023. Solicitada reunião com a Superintendência. O pedido de tombamento é da Capela N. sra. Do Homens pretos, mas foi solicitado pelo MPF com o argumento do artigo da constituição, por estar situado em território quilombola.</t>
  </si>
  <si>
    <t>01458.001517/2011-71</t>
  </si>
  <si>
    <t xml:space="preserve">Igreja Nossa Senhora do Rosário dos Homens Pretos</t>
  </si>
  <si>
    <t xml:space="preserve">MPF, Procuradora da Republica Isabel Cristina Groba Vieira</t>
  </si>
  <si>
    <t xml:space="preserve">VER OBSERVAÇÃO</t>
  </si>
  <si>
    <t>01450.011606/2008-09</t>
  </si>
  <si>
    <t xml:space="preserve">Prédios do Observatório Astronômico e da Faculdade de Direito, situados no Campus do Centro da Universidade Federal do Rio Grande do Sul</t>
  </si>
  <si>
    <t>RS4314902BICA00002</t>
  </si>
  <si>
    <t xml:space="preserve">delimitacao de entorno e diretrizes encaminhadas para COIP em julho 2013.</t>
  </si>
  <si>
    <t xml:space="preserve">INDEFERIDO em 29.01.16</t>
  </si>
  <si>
    <t>01458.001527/2011-15</t>
  </si>
  <si>
    <t xml:space="preserve">Sítio Paleontológico Liberato Saturnino</t>
  </si>
  <si>
    <t xml:space="preserve">Na DIVITEC da SE-RJ em 13/08/2015</t>
  </si>
  <si>
    <t>01458.001989/2011-24</t>
  </si>
  <si>
    <t xml:space="preserve">Miguel Pereira</t>
  </si>
  <si>
    <t xml:space="preserve">Ponte Paulo de Frontin</t>
  </si>
  <si>
    <t xml:space="preserve">Encaminhado para indeferimento em 24/10/2018</t>
  </si>
  <si>
    <t>01458.000096/2013-23</t>
  </si>
  <si>
    <t xml:space="preserve">Antiga casa da Câmara do Crato - onde funciona o Museu do Fósseis do Crato</t>
  </si>
  <si>
    <t xml:space="preserve">Indeferido em  23/07/2021</t>
  </si>
  <si>
    <t>01458.001655/2012-31</t>
  </si>
  <si>
    <t xml:space="preserve">INDEFERIDO em 25/05/2010</t>
  </si>
  <si>
    <t xml:space="preserve">Parque Municipal da Galheta</t>
  </si>
  <si>
    <t xml:space="preserve">INDEFERIDO em 30/07/2009</t>
  </si>
  <si>
    <t xml:space="preserve">Casa da Rua Professor Gabizo, nº 97</t>
  </si>
  <si>
    <t xml:space="preserve">INDEFERIDO em 30/05/2016. Desapensado do processo 1550 e enviado ao Arquivo Central para arquivamento.</t>
  </si>
  <si>
    <t>01458.000272/2013-27</t>
  </si>
  <si>
    <t xml:space="preserve">Conjunto de edificações projetadas pelo arquiteto Oscar Niemeyer para o Centro Tecnológico da Aeronáutica</t>
  </si>
  <si>
    <t xml:space="preserve">Copio a Secretaria Técnica e o Arquivo da SE/RJ para que verifiquem se estamos de posse do Processo 1436-T-98.</t>
  </si>
  <si>
    <t>01458.000838/2012-30</t>
  </si>
  <si>
    <t xml:space="preserve">Mário Campos</t>
  </si>
  <si>
    <t xml:space="preserve">Casarão Sampaio</t>
  </si>
  <si>
    <t xml:space="preserve">INDEFERIDO em 14/11/2021. Memorando 60, de 28/1/2015 sugere indeferimento</t>
  </si>
  <si>
    <t>01458.000360/2014-18</t>
  </si>
  <si>
    <t xml:space="preserve">Prédio da estação ferroviária de Alegrete</t>
  </si>
  <si>
    <t xml:space="preserve">Vereador Gilmar de Lima Martins/ Câmara Municipal de Alegrete</t>
  </si>
  <si>
    <t>RS4311106BIED00001</t>
  </si>
  <si>
    <t xml:space="preserve">De acordo com o CPROD, encontra-se na Superintendência, não foi indeferido. 22/11/2021. Indeferido após audiência com Ministério Público e Superintendência</t>
  </si>
  <si>
    <t>01496.000194/2018-19</t>
  </si>
  <si>
    <t xml:space="preserve">Sítio Caldeirão (Dist.Ponta da Serra)</t>
  </si>
  <si>
    <t xml:space="preserve">Campo Grande</t>
  </si>
  <si>
    <t xml:space="preserve">Prédio e acervo da casa da memória Arnaldo Estevão de Figueiredo</t>
  </si>
  <si>
    <t xml:space="preserve">Pavilhão Promotor Ismael Siriel, pertencente ao Instituto Pena Vieira Ferreira Neto</t>
  </si>
  <si>
    <t xml:space="preserve">Processo INDEFERIDO em 14/06/2013, conforme decisão do Conselho Consultivo em sua 43ª Reunião, realizada em 04/06/2004. </t>
  </si>
  <si>
    <t>01450.006155/2003-75</t>
  </si>
  <si>
    <t xml:space="preserve">Conjunto Arquitetônico do Corredor da Vitória</t>
  </si>
  <si>
    <t xml:space="preserve">2003/ 2004</t>
  </si>
  <si>
    <t xml:space="preserve">39, 40, 41, 42</t>
  </si>
  <si>
    <t xml:space="preserve">Devido a complexas questões jurídicas que são importantíssimas quanto ao tombamento do bem. Outra questão é o fato de a Procuradoria da República ter questionado o Executivo, fazendo assim que se tivesse a certeza de que, caso tombado, o bem seria questionado em esfera jurídica. Dessa forma, ficou decidida a realização de uma discussão na cidade de Salvador para decidir se o Conselho voltaria em sua decisão de arquivar o pedido de tombamento.</t>
  </si>
  <si>
    <t>Ouroeste</t>
  </si>
  <si>
    <t xml:space="preserve">Complexo Arqueológico Àgua Vermelha</t>
  </si>
  <si>
    <t xml:space="preserve">Viçosa do Ceará</t>
  </si>
  <si>
    <t xml:space="preserve">Igreja Matriz de Nossa Senhora da Assunção e seu acervo móvel e integrado, especialmente os painéis pintados no teto da capela-mor</t>
  </si>
  <si>
    <t>CE-2314102-BI-ED-00008</t>
  </si>
  <si>
    <t xml:space="preserve">No arquivo do Hilario diz que foi inscrito no livro arq/etn/psg. Numero 569 volume 2 f.79-80 em 08/07/2004. </t>
  </si>
  <si>
    <t xml:space="preserve">Inserido na poligonal de tombamento do Centro Histórico </t>
  </si>
  <si>
    <t xml:space="preserve">aguardando instrução. Origem: DEPAM 18/09/2012 / Destino: Superintendência 10/10/2012.</t>
  </si>
  <si>
    <t>01458.001559/2012-93</t>
  </si>
  <si>
    <t xml:space="preserve">Memorial Judaico de Vassouras</t>
  </si>
  <si>
    <t xml:space="preserve">Memorial Manoel Congo, Vassouras, RJ</t>
  </si>
  <si>
    <t>Resende</t>
  </si>
  <si>
    <t xml:space="preserve">Conjunto Paisagístico da Cachoeira da Fumaça</t>
  </si>
  <si>
    <t xml:space="preserve">Processo INDEFERIDO em 09/07/2009.</t>
  </si>
  <si>
    <t xml:space="preserve">Imagem de São José de Botas</t>
  </si>
  <si>
    <t>01502.001023/2019-61</t>
  </si>
  <si>
    <t xml:space="preserve">Terreiro do Ilê Axé Opô Ajuganã</t>
  </si>
  <si>
    <t xml:space="preserve">Fundação Cultural Ajagunã</t>
  </si>
  <si>
    <t xml:space="preserve">Verificar com CGCO</t>
  </si>
  <si>
    <t>01450.013238/2008-25</t>
  </si>
  <si>
    <t xml:space="preserve">Casa Grande e Tulha da Antiga Chácara do Paraíso das Campinas Velhas, situada na Avenida Arlindo Joaquim de Lemos, 1300</t>
  </si>
  <si>
    <t xml:space="preserve">SP3509502BIED00002 não cadastrado a proteção pois não tem o  processo cadastrado pelo ACI</t>
  </si>
  <si>
    <t xml:space="preserve">Homologação: Portaria nº 104, de 24 de setembro de 2014</t>
  </si>
  <si>
    <t xml:space="preserve">INDEFERIDO em 13/09/2019</t>
  </si>
  <si>
    <t>01502.000431/1999-64</t>
  </si>
  <si>
    <t xml:space="preserve">Terreiro do Ilê Ache Iba Ogum</t>
  </si>
  <si>
    <t xml:space="preserve">Devolvido para a Superintendência para complementação em 28/9/2023. Parecer de tombamento de 05/09/2022.</t>
  </si>
  <si>
    <t>01458.002337/2010-26</t>
  </si>
  <si>
    <t xml:space="preserve">Canal artificial entre Macaé e Campos</t>
  </si>
  <si>
    <t xml:space="preserve">Simone Teixeira, Sylvia Márcia Paes, Leonardo de Vasconcellos Silva, Aristides Arthur Soffiati Netto</t>
  </si>
  <si>
    <t>01450.013207/2008-74</t>
  </si>
  <si>
    <t xml:space="preserve">Conjunto Arquitetônico e Paisagistico no Bairro da Luz</t>
  </si>
  <si>
    <t>SP-3550308-BI-CA-00007</t>
  </si>
  <si>
    <t xml:space="preserve">23, 73</t>
  </si>
  <si>
    <t xml:space="preserve">Homologada por meio da Portaria 32, de 06 de maio de 2015</t>
  </si>
  <si>
    <t xml:space="preserve">Aprovado pelo Conselho em 23a reunião (2000), constituído pelo Jardim da Luz; Pinacoteca do Estado; Edifício Paula Souza; Edifício Ramos de Azevedo; Quartel da Luz; Antigo Armazém Central da estrada de Ferro Sorocabana; Hotéis Federal Paulista e do Comércio; Hotel Queluz; e solicitado incluir entre os edifícios: Estação da Luz (já tombada); Vila Inglesa (situada à Rua Mauá no. 836 a 846); Seminário; da Igreja de São Cristóvão; do Museu de Arte Sacra; Quartel da Luz; Hospital Militar; Portal do antigo Mercado de Escravos</t>
  </si>
  <si>
    <t xml:space="preserve">Terreiro Casa das Minas Jeje, situado na Rua de São Pantaleão nº 857 e 857A.</t>
  </si>
  <si>
    <t>MA2111300BICA00006</t>
  </si>
  <si>
    <t xml:space="preserve">Segundo Superintendência: "O bem tombado pelo Governo Federal, está inserido dentro do Conjunto Histórico, Arquitetônico e Paisagístico do Centro Urbano de São Luís tombado pelo Governo do Estado do Maranhão ", mas informa ainda ter delimitação de entorno pelo tombamento.</t>
  </si>
  <si>
    <t xml:space="preserve">INDEFERIDO em 15/07/2020</t>
  </si>
  <si>
    <t>01458.000679/2012-73</t>
  </si>
  <si>
    <t xml:space="preserve">Lima Duarte</t>
  </si>
  <si>
    <t xml:space="preserve">Igreja matriz de Nossa Senhora da Conceição de Ibitipoca e seu acervo</t>
  </si>
  <si>
    <t xml:space="preserve">INDEFERIDO em 2008.</t>
  </si>
  <si>
    <t>Barretos</t>
  </si>
  <si>
    <t xml:space="preserve">Recinto de Exposições Agropecuárias "Paulo de Lima Correa"</t>
  </si>
  <si>
    <t xml:space="preserve">INDEFERIDO em 19/03/2020</t>
  </si>
  <si>
    <t>01458.000274/2013-16</t>
  </si>
  <si>
    <t>Araras</t>
  </si>
  <si>
    <t xml:space="preserve">Fazenda Montividéu</t>
  </si>
  <si>
    <t>01450.011610/2008-69</t>
  </si>
  <si>
    <t xml:space="preserve">Sítio Histórico das Praças da Matriz e da Alfândega</t>
  </si>
  <si>
    <t>RS4314902BICU00001</t>
  </si>
  <si>
    <t xml:space="preserve">No tombamento foram excluídos os equipamentos de lazer instalados nessa praça. volume III não encontrado (Conselho Consultivo?), deve conter pareceres.</t>
  </si>
  <si>
    <t xml:space="preserve">Na Superintendência para complementação em 05/06/2024.</t>
  </si>
  <si>
    <t>01450.007201/2014-14</t>
  </si>
  <si>
    <t xml:space="preserve">Ribeirão Preto</t>
  </si>
  <si>
    <t xml:space="preserve">Centro histórico do município de Ribeirão Preto</t>
  </si>
  <si>
    <t xml:space="preserve">Interna (Carlos Henrique Heck, presidente do IPHAN)</t>
  </si>
  <si>
    <t xml:space="preserve">verificar se é o mesmo processo do 1470</t>
  </si>
  <si>
    <t xml:space="preserve">anexado ao processo 1469-T-00</t>
  </si>
  <si>
    <t>01450.007200/2014-61</t>
  </si>
  <si>
    <t xml:space="preserve">Sistema viário, área e conjunto arquitetônico da Fazenda Monte Alegre e da Escola Agrícola Getúlio Vargas, incorporados à Faculdade de Medicina de Ribeirão Preto</t>
  </si>
  <si>
    <t xml:space="preserve">verificar se é o mesmo processo do 1469</t>
  </si>
  <si>
    <t xml:space="preserve">Terreiro de Candomblé Ilê Iyá Omim Axé Iyamassé, rua Alto dos Gantois nº 23, Federação.</t>
  </si>
  <si>
    <t>BA2927408BIED00002</t>
  </si>
  <si>
    <t xml:space="preserve">CGID: 26/09/2014 (Juliana). Encaminhado para instrução em 23/11/2022.</t>
  </si>
  <si>
    <t>01450.000651/2022-88</t>
  </si>
  <si>
    <t xml:space="preserve">Bens moveis componentes do acervo histórico de propriedade da Cervejaria Brahma, com sede na Avenida Marquês de Sapucai, 200</t>
  </si>
  <si>
    <t xml:space="preserve"> 01450.008894/2008-14</t>
  </si>
  <si>
    <t xml:space="preserve">Canoa de Tolda Luzitânia, de propriedade da Sociedade Sócio - Ambiental  do baixo São Francisco</t>
  </si>
  <si>
    <t>SE2800308BMAR00001</t>
  </si>
  <si>
    <t xml:space="preserve">Inscrito em 19.11.2012. Livro Histórico, v.3, f. 050, nº 611 / Livro Arqueológico, Etnog. e Paisag., v.2, f. 074, nº 160 / Livro Belas Artes, v.2, f. 071, nº 635.</t>
  </si>
  <si>
    <t xml:space="preserve">Solicita orientação do Depam</t>
  </si>
  <si>
    <t>01408.001330/2015-97</t>
  </si>
  <si>
    <t xml:space="preserve">Rio Tinto</t>
  </si>
  <si>
    <t xml:space="preserve">Conjunto Arquitetônico de Rio Tinto</t>
  </si>
  <si>
    <t xml:space="preserve">Parecer de indeferimento de 31/12/2022. Segundo a SE (Regina Prado, teria sido remetido ao ETRL)</t>
  </si>
  <si>
    <t>01458.002583/2009-44</t>
  </si>
  <si>
    <t xml:space="preserve">Lagoa de Araruama</t>
  </si>
  <si>
    <t xml:space="preserve">Processo INDEFERIDO em 31/01/2012.</t>
  </si>
  <si>
    <t>01450.005092/2011-40</t>
  </si>
  <si>
    <t>Angelândia</t>
  </si>
  <si>
    <t xml:space="preserve">Fazenda Alto dos Bois, situada a 14 km da cidade de Angelândia </t>
  </si>
  <si>
    <t xml:space="preserve">Processo INDEFERIDO em 29/02/2012.</t>
  </si>
  <si>
    <t>01458.001987/2011-35</t>
  </si>
  <si>
    <t xml:space="preserve">Igreja de Nossa Senhora do Desterro</t>
  </si>
  <si>
    <t xml:space="preserve">Verificar localização</t>
  </si>
  <si>
    <t xml:space="preserve">Cristo Redentor, estátua erigida no Penhasco do Corcovado.</t>
  </si>
  <si>
    <t>RJ-3304557-BM-AR-00023</t>
  </si>
  <si>
    <t xml:space="preserve">INDEFERIDO em 13/07/2020</t>
  </si>
  <si>
    <t>01458.000680/2012-06</t>
  </si>
  <si>
    <t xml:space="preserve">Vila Marzagão</t>
  </si>
  <si>
    <t xml:space="preserve">Solicitada a instrução em 12/10/2022. Aguardando análise no Depam, 11/11/2021. Aguardando instrução. Origem: DEPAM 18/09/2012 / Destino: Superintendência 10/10/2012.</t>
  </si>
  <si>
    <t>01458.001624/2012-81</t>
  </si>
  <si>
    <t xml:space="preserve">Edifício da antiga repartição central de Polícia</t>
  </si>
  <si>
    <t>01450.004376/2004-90</t>
  </si>
  <si>
    <t xml:space="preserve">Terreiro do Alaketo, Ilê Maroiá Láji</t>
  </si>
  <si>
    <t xml:space="preserve">Notificado. Solicitada instrução em 4/4/2022</t>
  </si>
  <si>
    <t>01458.000135/2012-10</t>
  </si>
  <si>
    <t>Maruim</t>
  </si>
  <si>
    <t xml:space="preserve">Igreja Matriz de Nosso Senhor dos Passos</t>
  </si>
  <si>
    <t>SE2804003BIED00001</t>
  </si>
  <si>
    <t xml:space="preserve">Encaminhado para SE-PE para complementação de informações em 27/4/2023</t>
  </si>
  <si>
    <t>01450.012722/2010-51</t>
  </si>
  <si>
    <t xml:space="preserve">Conjunto arquitetônico, urbanístico e paisagístico da cidade de Goiana, estado de Pernambuco</t>
  </si>
  <si>
    <t>PE-2606200-BI-CU-00001</t>
  </si>
  <si>
    <t xml:space="preserve">Aguarda apreciação do Conselho Consultivo. Origem: Secretaria do Conselho Consultivo.</t>
  </si>
  <si>
    <t xml:space="preserve">Parecer de indeferimento de 19/08/2022, remetido a SE pela presidência em 29/08/2022.. Enviado a Superintendência para instrução. Origem: DEPAM / Destino: Superintendência 28/06/2012</t>
  </si>
  <si>
    <t>01458.000681/2012-42</t>
  </si>
  <si>
    <t>Felixlândia</t>
  </si>
  <si>
    <t xml:space="preserve">Imagem de Nossa Senhora da Piedade, atribuída a Antônio Francisco Lisboa, o Aleijadinho</t>
  </si>
  <si>
    <t>01450.011631/2008-84</t>
  </si>
  <si>
    <t xml:space="preserve">Conjunto de edificações e bens móveis da Companhia Paulista de Estrada de Ferro.</t>
  </si>
  <si>
    <t xml:space="preserve">SP-3525904-BI-CA-00001	</t>
  </si>
  <si>
    <t xml:space="preserve">As 34 edificações tombadas estão relacionadas às fls. 248 do volume 2 do processo; conforme as fls. 486 do processo, ficam excluídos os acervos móveis (museológico, fotográfico, arquivístico e bibliográfico) assim como o edifício da Estação da São Paulo Railway Company.</t>
  </si>
  <si>
    <t>01458.001496/2009-70</t>
  </si>
  <si>
    <t xml:space="preserve">Terreiro de Candomblé do Bate-Folha, Município de Salvador, Estado da Bahia</t>
  </si>
  <si>
    <t>BA2927408BIED00004</t>
  </si>
  <si>
    <t xml:space="preserve">Anexado ao processo nº 1550-T-07 (Obras do arquiteto Oscar Niemeyer), CPROD  01450.011563/2008-53. Ultima tramitação: DEPAM, em 18/01/2016</t>
  </si>
  <si>
    <t>01450.003577/2014-41</t>
  </si>
  <si>
    <t xml:space="preserve">Casa das Canoas</t>
  </si>
  <si>
    <t>RJ3304557BIED00061</t>
  </si>
  <si>
    <t xml:space="preserve">Pendente no conjunto das obras do Niemeyer</t>
  </si>
  <si>
    <t xml:space="preserve">Anexado ao processo nº 1550-T-07 (Obras do arquiteto Oscar Niemeyer), CPROD  01450.011563/2008-53. </t>
  </si>
  <si>
    <t>01450.003270/2013-60</t>
  </si>
  <si>
    <t xml:space="preserve">Museu de Arte Contemporânea de Niterói</t>
  </si>
  <si>
    <t>RJ-3303302-BI-ED-00011</t>
  </si>
  <si>
    <t>Notificado.</t>
  </si>
  <si>
    <t>01450.004987/2004-38</t>
  </si>
  <si>
    <t>Areia</t>
  </si>
  <si>
    <t xml:space="preserve">Conjunto Histórico, Urbanístico e Paisagístico da Cidade de Areia</t>
  </si>
  <si>
    <t>PB-2501104-BI-CU-00003</t>
  </si>
  <si>
    <t xml:space="preserve">Processo T: na PROFER, volume I deve conter parecer técnico, no arquivo temos apenas cópia volume II. </t>
  </si>
  <si>
    <t xml:space="preserve">Normatização: Portaria Iphan nº 297/2010. Durante as Oficinas de Normatização (2011) Superintendência se comprometeu a encaminhar o pedido de revisão com Parecer Técnico</t>
  </si>
  <si>
    <t xml:space="preserve">Solicitada instrução em23/06/2021. Origem: DEPAM. Destino: SE-SP, em 13/10/2015. Estava perdido. Entregue em mãos pelo Vitor Hugo, durante reunião do Comitê Gestor, pedi cadastramento no CPROD (Anna, 06/10/2015)</t>
  </si>
  <si>
    <t>01450.010592/2015-27</t>
  </si>
  <si>
    <t xml:space="preserve">Capela cristo operário</t>
  </si>
  <si>
    <t xml:space="preserve">Info Arquivo: "13/02/2002 - Deprot/Brasília" Reaberto em 06/03/2020</t>
  </si>
  <si>
    <t>01450.001398/2019-84</t>
  </si>
  <si>
    <t xml:space="preserve">Residência Cardinalícia do Campo Grande, situada na Avenida 7 de Setembro, n.1682, em frente à Praça Dois de Julho (Campo Grande)</t>
  </si>
  <si>
    <t>01500.005719/2010-49</t>
  </si>
  <si>
    <t xml:space="preserve">Sítio da antiga fazenda de Santo Inácio de Campos Novos, situado no Distrito de Tamoios</t>
  </si>
  <si>
    <t>RJ3300704BICA00002</t>
  </si>
  <si>
    <t xml:space="preserve">Homologação: Portaria nº 100, de 23 de setembro de 2014</t>
  </si>
  <si>
    <t xml:space="preserve">DESPACHO Nº 101/2021 GAB PRESI/PRESI comunicando o indeferimento do pedido de tombamento. Parecer de indeferimento de 20/20/2021</t>
  </si>
  <si>
    <t>01458.001626/2012-70</t>
  </si>
  <si>
    <t xml:space="preserve">Santa Casa de Misericordia de Valença</t>
  </si>
  <si>
    <t xml:space="preserve">Estava perdido. Superintendência achou lá. Origem: DEPAM. Destino: SE-SP, em 04/09/2015</t>
  </si>
  <si>
    <t>01450.005611/2015-01</t>
  </si>
  <si>
    <t xml:space="preserve">Sítio urbano do bairro de Pacaembu</t>
  </si>
  <si>
    <t>01450.008433/2004-18</t>
  </si>
  <si>
    <t xml:space="preserve">Museu de Arte de São Paulo Assis Chateaubriand - MASP: edifício e acervo móvel constituído pelos cavaletes de concreto e cristal</t>
  </si>
  <si>
    <t>SP3550308BIED00001</t>
  </si>
  <si>
    <t xml:space="preserve">2003, 2004</t>
  </si>
  <si>
    <t xml:space="preserve">40, 41, 42</t>
  </si>
  <si>
    <t xml:space="preserve">Solicitação de instrução em 20/06/2022. Trata-se de solicitação de rerratificação (01496.000130/2020-32)</t>
  </si>
  <si>
    <t>01496.000130/2020-32</t>
  </si>
  <si>
    <t xml:space="preserve">Viçosa, CE: conjunto Histórico e Arquitetônico </t>
  </si>
  <si>
    <t>CE-2314102-BI-CU-00001</t>
  </si>
  <si>
    <t xml:space="preserve">Elevador Lacerda</t>
  </si>
  <si>
    <t>BA2927408BIOE00001</t>
  </si>
  <si>
    <t>01502.002378/2013-82</t>
  </si>
  <si>
    <t xml:space="preserve">Terreiro de Candomblé Ilê Axé Oxumaré</t>
  </si>
  <si>
    <t>BA2927408BICA00005</t>
  </si>
  <si>
    <t xml:space="preserve">Homologação: PORTARIA Nº 68, DE 9 DE JULHO DE 2014</t>
  </si>
  <si>
    <t xml:space="preserve">INDEFERIDO em 23/07/2021</t>
  </si>
  <si>
    <t>01500.001522/2014-64</t>
  </si>
  <si>
    <t xml:space="preserve">Centro histórico da cidade do Rio de Janeiro</t>
  </si>
  <si>
    <t xml:space="preserve">O processo 951-T-77, referente ao Museu Professor Zoroastro Artiaga, foi encaminhado para ser anexado a esse (25/09/2014)</t>
  </si>
  <si>
    <t xml:space="preserve">01458.001023/2008-91 </t>
  </si>
  <si>
    <t xml:space="preserve">Acervo Arquitetônico e Urbanístico Art Déco de Goiânia</t>
  </si>
  <si>
    <t>GO-5208707-BI-CU-00001</t>
  </si>
  <si>
    <t xml:space="preserve">Estudos para normatização contratados em 2012</t>
  </si>
  <si>
    <t>01450.015894/2007-81</t>
  </si>
  <si>
    <t xml:space="preserve">Centro Histórico de João Pessoa</t>
  </si>
  <si>
    <t>PB-2507507-BI-CU-00001</t>
  </si>
  <si>
    <t xml:space="preserve">volume III está na PROFER, mas o volume II vai até a ata da reunião do conselho e notificações</t>
  </si>
  <si>
    <t>2006/2012</t>
  </si>
  <si>
    <t xml:space="preserve">Estudos para normatização iniciados nas Oficinas Regionais em 2011, mas não avançou. Subsídios contratados em 2012.</t>
  </si>
  <si>
    <t xml:space="preserve">COPEDOC/RJ: 15/06/2005.</t>
  </si>
  <si>
    <t xml:space="preserve">01450.001174/2005-77  (Outros CPROD: 01450.009554/2009-83 e 01450.000954/2005-08)</t>
  </si>
  <si>
    <t xml:space="preserve">Conjunto Histórico e Urbanistico de Santana do Parnaíba,SP</t>
  </si>
  <si>
    <t xml:space="preserve">SE-DF: 11/08/2014</t>
  </si>
  <si>
    <t>01551.000633/2014-58</t>
  </si>
  <si>
    <t xml:space="preserve">Igreja de São Sebastião em Planaltina</t>
  </si>
  <si>
    <t xml:space="preserve">Aguardando inscrição. Os Processos 0888-T-73; 1028-T-80; 1504-T-09 e 1580-T-09 foram ANEXADOS ao Processo 1613-T-10.</t>
  </si>
  <si>
    <t>RR</t>
  </si>
  <si>
    <t>Bonfim</t>
  </si>
  <si>
    <t xml:space="preserve">Forte de São Joaquim</t>
  </si>
  <si>
    <t xml:space="preserve">Tombamento aprovado em 25/11/2015, na 81ª Reunião.Encaminhado para Inscrição em 03/01/2017</t>
  </si>
  <si>
    <t>01502.001139/2015-77</t>
  </si>
  <si>
    <t xml:space="preserve">Terreiro Culto aos ancestrais - OMO Ilê Agbôulá</t>
  </si>
  <si>
    <t>BA2916104BICA00002</t>
  </si>
  <si>
    <t xml:space="preserve">Homologado pela PORTARIA Nº 132, DE 6 DE SETEMBRO DE 2016</t>
  </si>
  <si>
    <t>01458.001028/2009-03</t>
  </si>
  <si>
    <t xml:space="preserve">Sistema de Bondes de Santa Teresa</t>
  </si>
  <si>
    <t xml:space="preserve">Acervo do Museu de Imagens do Inconsciente do Rio de Janeiro</t>
  </si>
  <si>
    <t>RJ3304557BMAC00002</t>
  </si>
  <si>
    <t xml:space="preserve">A fls. 141-142 do processo citam a quant. De obras de cada coleção e indicam que o acervo é constitutído de 53.133 obras; nos anexos encontra-se arrolamento.</t>
  </si>
  <si>
    <t>Piranhas</t>
  </si>
  <si>
    <t xml:space="preserve">Piranhas, AL: Sítio histórico e Paisagístico</t>
  </si>
  <si>
    <t xml:space="preserve"> AL2707107BICU00002</t>
  </si>
  <si>
    <t xml:space="preserve">Informações sobre poligonal de tombamento no Sambaqui.</t>
  </si>
  <si>
    <t>01450.013242/2008-93</t>
  </si>
  <si>
    <t xml:space="preserve">Teatro Castro Alves</t>
  </si>
  <si>
    <t>BA2927408BIED00083</t>
  </si>
  <si>
    <t xml:space="preserve">Aprovado pelo Conselho Consultivo em 27/11/2013</t>
  </si>
  <si>
    <t>01450.000877/2005-88</t>
  </si>
  <si>
    <t xml:space="preserve">Floresta Fóssil no Rio Poti</t>
  </si>
  <si>
    <t>PI2211001BPST00001</t>
  </si>
  <si>
    <t xml:space="preserve">Foi encaminhado para homologação mas retornou a pedido da SE-SP para propor nova área de tombamento, incluindo o lote de entorno. (18/12/2018). PARECER TÉCNICO nº 6/2023/COREC/CGID/DEPAM roposta de tombamento cujo objeto está em consonância com o PARECER TÉCNICO nº 200/2019/COTEC IPHAN-SP/IPHAN-SP (30/11/2023).</t>
  </si>
  <si>
    <t>01450.015786/2006-28</t>
  </si>
  <si>
    <t xml:space="preserve">Casa de Vidro, sede do Instituto Lina Bo Bardi, à Rua General Almerio de Moura, nº200, no Bairro do Morumbi</t>
  </si>
  <si>
    <t xml:space="preserve">André Vainer</t>
  </si>
  <si>
    <t>SP3550308BIED00014</t>
  </si>
  <si>
    <t xml:space="preserve">Em 2007 o Conselho aprovou o tombamento da casa. O processo aberto trata da ampliação para todo o lote e acervo.</t>
  </si>
  <si>
    <t xml:space="preserve">Origem: DEPAM, destino: SE-RS, em 23/08/2016</t>
  </si>
  <si>
    <t>01458.002962/2009-34</t>
  </si>
  <si>
    <t xml:space="preserve">Centro histórico da cidade de Pelotas</t>
  </si>
  <si>
    <t>RS-4314407-BI-CU-00002</t>
  </si>
  <si>
    <t xml:space="preserve">Tombamento provisório publicado em 30/05/2016</t>
  </si>
  <si>
    <t xml:space="preserve">Acervo Histórico da Discoteca Oneyda Alvarenga, no Centro Cultural São Paulo da Secretaria Municipal de Cultura.</t>
  </si>
  <si>
    <t>SP3550308BMAC00003</t>
  </si>
  <si>
    <t>01450.011622/2008-93</t>
  </si>
  <si>
    <t xml:space="preserve">Edifício da Bolsa Oficial do Café</t>
  </si>
  <si>
    <t>SP3548500BIED00001</t>
  </si>
  <si>
    <t xml:space="preserve">Publicado em Diário Oficial o tombamento definitivo em 12/01/2015</t>
  </si>
  <si>
    <t>01450.005674/2008-21</t>
  </si>
  <si>
    <t xml:space="preserve">Teatro Oficina, Rua Jaceguai nº 520 antigo 70 e anteriormente nº 64.</t>
  </si>
  <si>
    <t>SP3550308BIED00012</t>
  </si>
  <si>
    <t xml:space="preserve">Portaria nº 62, de 15 de julho de 2011 – Homologa o tombamento do Teatro Oficina, situado na rua Jaceguai, nº 520, bairro Bela Vista, no Município de São Paulo, estado de São Paulo. Falta a delimitação do entorno, que será feita por Portaria.</t>
  </si>
  <si>
    <t xml:space="preserve">Não foi feita delimitação do entorno durante o tombamento. Há conflito com o interessado, que quer a desapropriação de uma área vizinha (que nunca vai sair).</t>
  </si>
  <si>
    <t>01450.012504/2014-41</t>
  </si>
  <si>
    <t xml:space="preserve">Santana do Cariri</t>
  </si>
  <si>
    <t xml:space="preserve">Acervo Paleontológico do Museu Paleontológico da Universidade Regional do Cariri</t>
  </si>
  <si>
    <t xml:space="preserve">Encaminhado para inscrição em 22/07/2019</t>
  </si>
  <si>
    <t>01502002351/2013-90</t>
  </si>
  <si>
    <t xml:space="preserve">Terreiro Tumba Junsara</t>
  </si>
  <si>
    <t>BA-2927408-BI-CA-00014</t>
  </si>
  <si>
    <t xml:space="preserve">Cópia do documento enviado a Superintendência, Memo. 042/2005/JKEA/Gprot/DEPAM. PROCESSO ENCONTRA-SE EM BSB. Origem: DEPAM/RJ / Destino: Superintendência 31/01/2013.</t>
  </si>
  <si>
    <t xml:space="preserve">Encaminhado para INDEFERIMENTO em 04/12/2015</t>
  </si>
  <si>
    <t>01458.001032/2009-63</t>
  </si>
  <si>
    <t>Itajubá</t>
  </si>
  <si>
    <t xml:space="preserve">Imóvel sito à Pça Dr. Wenceslau Braz, nº 87 - Centro, onde residiu o ex- presidente Wenceslau Braz</t>
  </si>
  <si>
    <t>01458.000845/2012-31</t>
  </si>
  <si>
    <t>Ubá</t>
  </si>
  <si>
    <t xml:space="preserve">Prédio do Ginásio São José.</t>
  </si>
  <si>
    <t>01458.002560/2010-73</t>
  </si>
  <si>
    <t xml:space="preserve">Sítio Histórico de Caça à Baleia em Itaparica</t>
  </si>
  <si>
    <t xml:space="preserve">Sr. Naomar Monteiro de Almeida, Reitor da Universidade Federal da Bahia</t>
  </si>
  <si>
    <t>01458.000105/2013-86</t>
  </si>
  <si>
    <t xml:space="preserve">Mimoso do Sul</t>
  </si>
  <si>
    <t xml:space="preserve">Sede da Fazenda Independência.</t>
  </si>
  <si>
    <t xml:space="preserve">Prédio do Ministério da Fazenda, no município do Rio de Janeiro, Estado do Rio de Janeiro</t>
  </si>
  <si>
    <t>RJ3304557BIED00001</t>
  </si>
  <si>
    <t xml:space="preserve">07/01/2008 14/03/2012</t>
  </si>
  <si>
    <t xml:space="preserve">encaminhado à Sueprintendência em 23/03/2020</t>
  </si>
  <si>
    <t>01502.000720/2005-08</t>
  </si>
  <si>
    <t xml:space="preserve">Terreiro Mokambo-Onzo Nguzo Za Nkisi Dandalunda Ye Tempo</t>
  </si>
  <si>
    <t xml:space="preserve">INDEFERIDO em 28.04.16</t>
  </si>
  <si>
    <t>01458.002587/2009-22</t>
  </si>
  <si>
    <t xml:space="preserve">Edifícios Rui Barbosa e Joaquim Nabuco (USP) - Rua Maria Antônia</t>
  </si>
  <si>
    <t xml:space="preserve">Analisado pela Câmara Setorial de Arquitetura e Urbanismo, do Conselho Consultivo, na 14ª Sessão, em 14/04/2016, que entendeu não ser o caso para tombamento, já que os edifícios propriamente ditos não foram decisivos para os acontecimentos ali ocorridos. Sugeriram sua valorização como "lugar de memória".</t>
  </si>
  <si>
    <t xml:space="preserve">no Gabinete da SE/DF em 14/05/2013</t>
  </si>
  <si>
    <t>01458.000108/2013-10</t>
  </si>
  <si>
    <t xml:space="preserve">Antiga sede da Fazenda Gama, setor de Àreas Isoladas Sul, ao lado do PHN Catetinho - ParkWay</t>
  </si>
  <si>
    <t xml:space="preserve">Analisado pela CAU e encaminhado para indeferimento, em 03/12/2015</t>
  </si>
  <si>
    <t>01450.010150/2005-17</t>
  </si>
  <si>
    <t xml:space="preserve">Mausoléu Ícaro, localizado no Cemitério São João Batista</t>
  </si>
  <si>
    <t xml:space="preserve">DESPACHO Nº 8/2024 GAB PRESI/PRESI decide pelo INDEFERIMENTO em 05/02/2024. Enviado a Superintendência para instrução. Origem: DEPAM / Destino: Superintendência 28/06/2012</t>
  </si>
  <si>
    <t xml:space="preserve">01458.001990/2011-59 </t>
  </si>
  <si>
    <t xml:space="preserve">Pátio ferroviário, Usina de creosotagem e conjunto arquitetôncio da Estação Francisco Bernardino</t>
  </si>
  <si>
    <t xml:space="preserve">Organização da Sociedade Civil de Interesse Público - Ong, Movimento Nacional Amigos do Trem</t>
  </si>
  <si>
    <t xml:space="preserve">Indicação de INDEFERIMENTO. Ausência de características relevantes e o não enquadramento dos bens ao disposto no art. 1º do Decreto-Lei nº 25, de 30 de novembro de 1937. Não foram identificados, tampouco, os valores relevantes para seu enquadramento nos critérios previstos no Art. 31 da  Portaria IPHAN nº 375/2018.</t>
  </si>
  <si>
    <t>01450.007394/2005-12</t>
  </si>
  <si>
    <t xml:space="preserve">Igreja de Nossa Senhora da Vitória e do seu acervo móvel e integrado</t>
  </si>
  <si>
    <t>BA2927408BIED00081</t>
  </si>
  <si>
    <t xml:space="preserve">2007, 2008</t>
  </si>
  <si>
    <t xml:space="preserve">54, 58</t>
  </si>
  <si>
    <t xml:space="preserve">Esse é um dos bens que foram originados do processo do Corredor da Vitória que, após ser arquivado foi desmembrado para análise de bens que poderiam vir a ser tombados. A Igreja objeto do tombamento foi a primeira a ser agraciada pelo Conselho.</t>
  </si>
  <si>
    <t xml:space="preserve">Encaminhado à Superintendência do IPHAN no RS em 14/12/2012</t>
  </si>
  <si>
    <t>01450.006094/2006-99</t>
  </si>
  <si>
    <t xml:space="preserve">Pinheiro Machado</t>
  </si>
  <si>
    <t>Porongos</t>
  </si>
  <si>
    <t>01450.005675/2008-75</t>
  </si>
  <si>
    <t xml:space="preserve">Complexo vulcânico de Nova Iguaçu</t>
  </si>
  <si>
    <t xml:space="preserve">Solicitada instrução em 31/11/2022. Encaminhado à Superintendência em 15/12/2013</t>
  </si>
  <si>
    <t>01458.001978/2011-44</t>
  </si>
  <si>
    <t xml:space="preserve">Terreiro de Candomblé Asé Nassó Oká Ilê Osun, no município de Nova Iguaçu, estado do Rio de Janeiro</t>
  </si>
  <si>
    <t xml:space="preserve">Processo INDEFERIDO em 24/02/2011, conforme decisão do Conselho Consultivo em sua  60ª Reunião, realizada em 11.02.2009.</t>
  </si>
  <si>
    <t xml:space="preserve">Cinema Rosário</t>
  </si>
  <si>
    <t xml:space="preserve">Origem: DEPAM, destino: SE-RJ, em 09/11/2021</t>
  </si>
  <si>
    <t>01458.001530/2011-21</t>
  </si>
  <si>
    <t xml:space="preserve">Terreiro Santo Antônio dos Pobres – Ilê Ogum Megegê Asé Baru Lepé,</t>
  </si>
  <si>
    <t xml:space="preserve">Processo INDEFERIDO, em 09/06/2010, conforme decisão do Conselho Consultivo em sua 62ª Reunião, realizada em 03.12.2009.</t>
  </si>
  <si>
    <t xml:space="preserve">Imóvel conhecido como Solar Abreu Vieira</t>
  </si>
  <si>
    <t xml:space="preserve">Solicitada instrução em 20/09/2021. Termo de reabertura do processo de tombamento número 1535-T-06 em 08/11/2023.</t>
  </si>
  <si>
    <t xml:space="preserve">01450.008760/2006-23 e 01450.014776/2007-56</t>
  </si>
  <si>
    <t xml:space="preserve">Lugares indígenas sagrados denominados Kamukuwaká e Sagihenku - Alto Xingu, estado do Mato Grosso.</t>
  </si>
  <si>
    <t xml:space="preserve">Marina Silva, Ministra de Estado do Meio Ambiente</t>
  </si>
  <si>
    <t>MT-5106422-PS-JD-00001</t>
  </si>
  <si>
    <t xml:space="preserve">Homologado pela Portaria nº 103, de 20 de outubro de 2015</t>
  </si>
  <si>
    <t>01450.011248/2005-83</t>
  </si>
  <si>
    <t xml:space="preserve">Complexo ferroviário da antiga Estrada de Ferro Noroeste do Brasil – EFNOB, em Campo Grande</t>
  </si>
  <si>
    <t>MS-5002704-BI-CU-00001</t>
  </si>
  <si>
    <t xml:space="preserve">Os estudos para normatização foram iniciados durante as Oficinas Regionais em 2011, mas não avançaram. Verificar necessidade de alterar a poligonal de entorno</t>
  </si>
  <si>
    <t>01458.000254/2013-45</t>
  </si>
  <si>
    <t xml:space="preserve">Mesa da funcionária da sede do Conselho Federal da OAB, Lydia Monteiro da Silva - Museu da OAB, SAS Quadra 05 Bloco N, Lote 02, Brasília/DF</t>
  </si>
  <si>
    <t xml:space="preserve">INDEFERIDO em 17/09/2007. Foi proposta a reabertura em 2013, Andrey fez parecer contra. Origem: DEPAM. Destino: Arquivo Central, em 09/10/2014. ARQUIVADO em 30/12/2014</t>
  </si>
  <si>
    <t>01458.000227/2006-43</t>
  </si>
  <si>
    <t xml:space="preserve">Antigo Museu do Índio, sede da Fazenda Engenho Velho</t>
  </si>
  <si>
    <t xml:space="preserve">INDEFERIDO em 13/07/21</t>
  </si>
  <si>
    <t>01458.001991/2011-01</t>
  </si>
  <si>
    <t xml:space="preserve">Engenheiro Passos</t>
  </si>
  <si>
    <t xml:space="preserve">Estação ferroviária de Engenheiro Passos</t>
  </si>
  <si>
    <t xml:space="preserve">Pedida visoria em 10/01/2022. Devolvido pela Conselheira, e encaminhado ao Conselho em 28/02/2014, por não ter nenhuma providência a ser tomada pelo DEPAM.</t>
  </si>
  <si>
    <t>01458.000015/2007-47</t>
  </si>
  <si>
    <t xml:space="preserve">Imagem de São Bonifácio</t>
  </si>
  <si>
    <t>MA-2111300-BM-AR-00003</t>
  </si>
  <si>
    <t xml:space="preserve">Enviado para instrução em 070/03/2022. Enviado ao arquivo para corrigir digitalização, 24/12/2021</t>
  </si>
  <si>
    <t xml:space="preserve">01450.004386/2018-21 01502.000323/2007-90</t>
  </si>
  <si>
    <t xml:space="preserve">Terreiro Palácio de Ogum</t>
  </si>
  <si>
    <t xml:space="preserve">Sandoval Amorim Santos, Presidente da Associação dos Filhos de Santo do Palácio de Ogum e Caboclo Sete Serra</t>
  </si>
  <si>
    <t>01450.003851/2007-53</t>
  </si>
  <si>
    <t xml:space="preserve">Conjunto Arquitetônico, Urbanístico e Paisagístico da Cidade de Cáceres - Mato Grosso</t>
  </si>
  <si>
    <t>MT-5102504-BI-CU-00001</t>
  </si>
  <si>
    <t xml:space="preserve">Os estudos para normatização foram iniciados nas Oficinas Regionais em 2011, mas não avançaram.</t>
  </si>
  <si>
    <t xml:space="preserve">Solicitada instrução em 19/02/2022. CGID: 16/11/2015</t>
  </si>
  <si>
    <t>01502.000487/2008-06</t>
  </si>
  <si>
    <t xml:space="preserve">Coleção de Obras da produção plástica de Walter Smetak, de propriedade do espólio de Waletr Smetak</t>
  </si>
  <si>
    <t xml:space="preserve">                                                                                                                                                                                                                                                                                                                       </t>
  </si>
  <si>
    <t xml:space="preserve">DESAPARECIDO. Copia inserida no processo 1550-T-07 (18/02/2014). Consta como tramitado para a COPEDOC. Saiu da lista dos desaparecidos porque foi analisado no âmbito do processo 1550, mesmo que apenas pela cópia (Anna, 14/03/2016).</t>
  </si>
  <si>
    <t>01458.000050/2007-66</t>
  </si>
  <si>
    <t xml:space="preserve">Praça do Caminho Niemeyer</t>
  </si>
  <si>
    <t xml:space="preserve">Após análise, Andrey sugere não tombar.</t>
  </si>
  <si>
    <t xml:space="preserve">No MinC para homologação, em 03/10/2016. MINC não homologou! Verificar com PF e IBRAM para proceder homologação. Encaminhado à PF no dia 17/12/2019. Solicitadas informações ao Ibram 21/8/2021</t>
  </si>
  <si>
    <t>01458.001560/2012-18</t>
  </si>
  <si>
    <t xml:space="preserve">Coleção Geyer</t>
  </si>
  <si>
    <t> RJ-3304557-BM-CL-00004</t>
  </si>
  <si>
    <t xml:space="preserve">Enviado para indeferimento em 13/02/2019</t>
  </si>
  <si>
    <t>01458.000052/2007-55</t>
  </si>
  <si>
    <t xml:space="preserve">Edificação Sede do GRES Estação Primeira da Mangueira</t>
  </si>
  <si>
    <t xml:space="preserve">Encaminhado à Superintendência da Bahia em 28/02/2014</t>
  </si>
  <si>
    <t>01458.000078/2013-41</t>
  </si>
  <si>
    <t xml:space="preserve">Feira de São Joaquim</t>
  </si>
  <si>
    <t xml:space="preserve">Edificações e Núcleos Urbanos e Rurais relacionados com a imigração em Santa Catarina</t>
  </si>
  <si>
    <t>01450.015271/2007-17</t>
  </si>
  <si>
    <t>Urussanga</t>
  </si>
  <si>
    <t xml:space="preserve">Edificações e Núcleos Urbanos e Rurais relacionados com a imigração em Santa Catarina - Igreja São Gervásio e São Protásio</t>
  </si>
  <si>
    <t>SC4219002BIED00002</t>
  </si>
  <si>
    <t xml:space="preserve">Homologado por meio da Portaria nº 128,de 10 de dezembro de 2014 – DOU 12/12/2014 – Seção I,  pag.29</t>
  </si>
  <si>
    <t xml:space="preserve">Edificações e Núcleos Urbanos e Rurais relacionados com a imigração em Santa Catarina - Casa Duwe</t>
  </si>
  <si>
    <t>SC4207502BIED00001</t>
  </si>
  <si>
    <t xml:space="preserve">Edificações e Núcleos Urbanos e Rurais relacionados com a imigração em Santa Catarina - Casa Ristow, Arlindo e Edmundo</t>
  </si>
  <si>
    <t>SC4207502BIED00003</t>
  </si>
  <si>
    <t xml:space="preserve">Edificações e Núcleos Urbanos e Rurais relacionados com a imigração em Santa Catarina - Capela Nossa Sra do Perpétuo Socorro</t>
  </si>
  <si>
    <t>SC4207502BIED00004</t>
  </si>
  <si>
    <t xml:space="preserve">Edificações e Núcleos Urbanos e Rurais relacionados com a imigração em Santa Catarina - Casa Hersing, Lorival</t>
  </si>
  <si>
    <t>SC4207502BIED00002</t>
  </si>
  <si>
    <t xml:space="preserve">Edificações e Núcleos Urbanos e Rurais relacionados com a imigração em Santa Catarina - Casa Schroeder, Luiza </t>
  </si>
  <si>
    <t>SC4207502BIED00005</t>
  </si>
  <si>
    <t xml:space="preserve">Edificações e Núcleos Urbanos e Rurais relacionados com a imigração em Santa Catarina - Ponte madeira coberta Warnow</t>
  </si>
  <si>
    <t>SC4207502BIOE00001</t>
  </si>
  <si>
    <t>Ascurra</t>
  </si>
  <si>
    <t xml:space="preserve">Edificações e Núcleos Urbanos e Rurais relacionados com a imigração em Santa Catarina - Casa Buzzi</t>
  </si>
  <si>
    <t>SC4201703BIED00001</t>
  </si>
  <si>
    <t xml:space="preserve">Edificações e Núcleos Urbanos e Rurais relacionados com a imigração em Santa Catarina - Igreja Luterana do Espírito Santo</t>
  </si>
  <si>
    <t>SC4202404BIED00001</t>
  </si>
  <si>
    <t xml:space="preserve">Edificações e Núcleos Urbanos e Rurais relacionados com a imigração em Santa Catarina - Salão Primavera</t>
  </si>
  <si>
    <t>SC4202404BIED00007</t>
  </si>
  <si>
    <t xml:space="preserve">Edificações e Núcleos Urbanos e Rurais relacionados com a imigração em Santa Catarina - Casa Conrad, Heinz Carl (Haco)</t>
  </si>
  <si>
    <t>SC4202404BIED00005</t>
  </si>
  <si>
    <t xml:space="preserve">Edificações e Núcleos Urbanos e Rurais relacionados com a imigração em Santa Catarina - Comercial Husadel</t>
  </si>
  <si>
    <t>SC4202404BIED00002</t>
  </si>
  <si>
    <t xml:space="preserve">Edificações e Núcleos Urbanos e Rurais relacionados com a imigração em Santa Catarina - Conjunto Zimmdars</t>
  </si>
  <si>
    <t>SC4202404BICA00001</t>
  </si>
  <si>
    <t xml:space="preserve">Edificações e Núcleos Urbanos e Rurais relacionados com a imigração em Santa Catarina - Museu da Família Colonial</t>
  </si>
  <si>
    <t>SC4202404BIED00003</t>
  </si>
  <si>
    <t>Itaiópolis</t>
  </si>
  <si>
    <t xml:space="preserve">Edificações e Núcleos Urbanos e Rurais relacionados com a imigração em Santa Catarina - Igreja São Pedro e São Paulo e cemitério</t>
  </si>
  <si>
    <t>SC4208104BIED00003</t>
  </si>
  <si>
    <t xml:space="preserve">Edificações e Núcleos Urbanos e Rurais relacionados com a imigração em Santa Catarina - Casa Polaski, David</t>
  </si>
  <si>
    <t>SC4208104BIED00002</t>
  </si>
  <si>
    <t xml:space="preserve">Inserido na poligonal de tombamento do Conjunto de Alto Paraguaçú</t>
  </si>
  <si>
    <t xml:space="preserve">Edificações e Núcleos Urbanos e Rurais relacionados com a imigração em Santa Catarina - Igreja Santo Estanislau</t>
  </si>
  <si>
    <t>SC4208104BIED00001</t>
  </si>
  <si>
    <t xml:space="preserve">Edificações e Núcleos Urbanos e Rurais relacionados com a imigração em Santa Catarina - Conjunto de Alto Paraguaçú</t>
  </si>
  <si>
    <t>SC-4208104-BI-CU-00001</t>
  </si>
  <si>
    <t xml:space="preserve">Jaraguá do Sul</t>
  </si>
  <si>
    <t xml:space="preserve">Edificações e Núcleos Urbanos e Rurais relacionados com a imigração em Santa Catarina - Casa Rux, Erwin</t>
  </si>
  <si>
    <t>SC4208906BIED00003</t>
  </si>
  <si>
    <t xml:space="preserve">Inserido na poligonal de tombamento de Rio da Luz</t>
  </si>
  <si>
    <t xml:space="preserve">Edificações e Núcleos Urbanos e Rurais relacionados com a imigração em Santa Catarina - Casa Schiocket, Vittório </t>
  </si>
  <si>
    <t>SC4208906BIED00002</t>
  </si>
  <si>
    <t xml:space="preserve">Edificações e Núcleos Urbanos e Rurais relacionados com a imigração em Santa Catarina - Depósito Breithaupt</t>
  </si>
  <si>
    <t>SC4208906BIED00001</t>
  </si>
  <si>
    <t xml:space="preserve">Edificações e Núcleos Urbanos e Rurais relacionados com a imigração em Santa Catarina - Conjunto Rural de Rio da Luz</t>
  </si>
  <si>
    <t>SC4208906PSPS00001</t>
  </si>
  <si>
    <t xml:space="preserve">Portaria  69/2013 </t>
  </si>
  <si>
    <t xml:space="preserve">Edificações e Núcleos Urbanos e Rurais relacionados com a imigração em Santa Catarina - Casa Fleith, Alvino</t>
  </si>
  <si>
    <t>SC4209102BIED00004</t>
  </si>
  <si>
    <t xml:space="preserve">Edificações e Núcleos Urbanos e Rurais relacionados com a imigração em Santa Catarina - Casa Kruger, Wally</t>
  </si>
  <si>
    <t>SC4209102BIED00003</t>
  </si>
  <si>
    <t xml:space="preserve">Edificações e Núcleos Urbanos e Rurais relacionados com a imigração em Santa Catarina - Casa Schwisky, Otto </t>
  </si>
  <si>
    <t>SC4209102BIED00005</t>
  </si>
  <si>
    <t xml:space="preserve">Edificações e Núcleos Urbanos e Rurais relacionados com a imigração em Santa Catarina - Estação Ferroviária</t>
  </si>
  <si>
    <t>SC4209102BIOE00001</t>
  </si>
  <si>
    <t xml:space="preserve">Edificações e Núcleos Urbanos e Rurais relacionados com a imigração em Santa Catarina - Casa Barzan, João Félix</t>
  </si>
  <si>
    <t>SC4211702BIED00001</t>
  </si>
  <si>
    <t>Pomerode</t>
  </si>
  <si>
    <t xml:space="preserve">Edificações e Núcleos Urbanos e Rurais relacionados com a imigração em Santa Catarina - Casa Raduenz, Walter</t>
  </si>
  <si>
    <t>SC4213203BIED00008</t>
  </si>
  <si>
    <t xml:space="preserve">Edificações e Núcleos Urbanos e Rurais relacionados com a imigração em Santa Catarina - Sítio Tribess</t>
  </si>
  <si>
    <t>SC4213203BICA00001</t>
  </si>
  <si>
    <t xml:space="preserve">Edificações e Núcleos Urbanos e Rurais relacionados com a imigração em Santa Catarina - Casa Hardt, Erich</t>
  </si>
  <si>
    <t>SC4213203BIED00010</t>
  </si>
  <si>
    <t xml:space="preserve">Edificações e Núcleos Urbanos e Rurais relacionados com a imigração em Santa Catarina - Casa Lümke, Helmut (casa de taipa)</t>
  </si>
  <si>
    <t>SC4213203BIED00009</t>
  </si>
  <si>
    <t xml:space="preserve">Edificações e Núcleos Urbanos e Rurais relacionados com a imigração em Santa Catarina - Casa Siewert, Ovídio </t>
  </si>
  <si>
    <t>SC4213203BIED00007</t>
  </si>
  <si>
    <t xml:space="preserve">Edificações e Núcleos Urbanos e Rurais relacionados com a imigração em Santa Catarina - Casa Voigt, Ella </t>
  </si>
  <si>
    <t>SC4213203BIED00005</t>
  </si>
  <si>
    <t xml:space="preserve">Edificações e Núcleos Urbanos e Rurais relacionados com a imigração em Santa Catarina - Casa Wacholz, Felipe </t>
  </si>
  <si>
    <t>SC4213203BIED00004</t>
  </si>
  <si>
    <t xml:space="preserve">Edificações e Núcleos Urbanos e Rurais relacionados com a imigração em Santa Catarina - Casa Wunderwald</t>
  </si>
  <si>
    <t>SC4213203BIED00003</t>
  </si>
  <si>
    <t xml:space="preserve">Edificações e Núcleos Urbanos e Rurais relacionados com a imigração em Santa Catarina - Comércio Haut</t>
  </si>
  <si>
    <t>SC4213203BIED00002</t>
  </si>
  <si>
    <t xml:space="preserve">Edificações e Núcleos Urbanos e Rurais relacionados com a imigração em Santa Catarina - Comércio Weege</t>
  </si>
  <si>
    <t>SC4213203BIED00001</t>
  </si>
  <si>
    <t xml:space="preserve">Edificações e Núcleos Urbanos e Rurais relacionados com a imigração em Santa Catarina - Conjunto Rural de Testo Alto</t>
  </si>
  <si>
    <t>SC4213203PSPS00001</t>
  </si>
  <si>
    <t xml:space="preserve">Portaria  70/2013 </t>
  </si>
  <si>
    <t xml:space="preserve">Edificações e Núcleos Urbanos e Rurais relacionados com a imigração em Santa Catarina - Casa Arndt, Erwin (Casa da Crista)</t>
  </si>
  <si>
    <t>SC4213203BIED00011</t>
  </si>
  <si>
    <t xml:space="preserve">Edificações e Núcleos Urbanos e Rurais relacionados com a imigração em Santa Catarina - Casa Siewert, Wendelin, em Testo Alto</t>
  </si>
  <si>
    <t>SC4213203BIED00006</t>
  </si>
  <si>
    <t xml:space="preserve">Edificações e Núcleos Urbanos e Rurais relacionados com a imigração em Santa Catarina - Casa Cancelier, Ivanir</t>
  </si>
  <si>
    <t>SC4219002BIED00001</t>
  </si>
  <si>
    <t xml:space="preserve">São Bento do Sul</t>
  </si>
  <si>
    <t xml:space="preserve">Edificações e Núcleos Urbanos e Rurais relacionados com a imigração em Santa Catarina - Casa Neumann</t>
  </si>
  <si>
    <t>SC4215802BIED00002</t>
  </si>
  <si>
    <t xml:space="preserve">Edificações e Núcleos Urbanos e Rurais relacionados com a imigração em Santa Catarina - Antiga Escola nº1, em Itoupava Central</t>
  </si>
  <si>
    <t>SC4202404BIED00004</t>
  </si>
  <si>
    <t>Timbó</t>
  </si>
  <si>
    <t xml:space="preserve">Edificações e Núcleos Urbanos e Rurais relacionados com a imigração em Santa Catarina - Salão Hammermeister</t>
  </si>
  <si>
    <t>SC4218202BIED00001</t>
  </si>
  <si>
    <t xml:space="preserve">Edificações e Núcleos Urbanos e Rurais relacionados com a imigração em Santa Catarina - Casa Ewald, na Via Hass</t>
  </si>
  <si>
    <t>SC4218202BIED00006</t>
  </si>
  <si>
    <t xml:space="preserve">Edificações e Núcleos Urbanos e Rurais relacionados com a imigração em Santa Catarina - Casa Schlagenhaufer, em Bela Aliança</t>
  </si>
  <si>
    <t>SC4215802BIED00004</t>
  </si>
  <si>
    <t xml:space="preserve">Edificações e Núcleos Urbanos e Rurais relacionados com a imigração em Santa Catarina - Casa Struck, Waldemiro, em Bela Aliança</t>
  </si>
  <si>
    <t>SC4215802BIED00003</t>
  </si>
  <si>
    <t xml:space="preserve">Edificações e Núcleos Urbanos e Rurais relacionados com a imigração em Santa Catarina - Casa Eichendorf, Edeltraud</t>
  </si>
  <si>
    <t>SC4215802BIED00001</t>
  </si>
  <si>
    <t xml:space="preserve">Edificações e Núcleos Urbanos e Rurais relacionados com a imigração em Santa Catarina - Propriedade Bez Fontana</t>
  </si>
  <si>
    <t>SC4219002BICA00001</t>
  </si>
  <si>
    <t xml:space="preserve">Vidal Ramos</t>
  </si>
  <si>
    <t xml:space="preserve">Edificações e Núcleos Urbanos e Rurais relacionados com a imigração em Santa Catarina - Conjunto Irmãos Stoltenberg</t>
  </si>
  <si>
    <t>SC4219200BICA00001</t>
  </si>
  <si>
    <t xml:space="preserve">Benedito Novo</t>
  </si>
  <si>
    <t xml:space="preserve">Edificações e Núcleos Urbanos e Rurais relacionados com a imigração em Santa Catarina - Igreja da Liberdade e Cemitério, em Alto Liberdade</t>
  </si>
  <si>
    <t>SC4202206BIED00001</t>
  </si>
  <si>
    <t xml:space="preserve">Edificações e Núcleos Urbanos e Rurais relacionados com a imigração em Santa Catarina - Casa Hoerning, Alcides, em Vila toupava</t>
  </si>
  <si>
    <t>SC4202404BIED00010</t>
  </si>
  <si>
    <t xml:space="preserve">Edificações e Núcleos Urbanos e Rurais relacionados com a imigração em Santa Catarina - Beneficência Misericórdia - (maternidade), em Vila toupava</t>
  </si>
  <si>
    <t>SC4202404BIED00006</t>
  </si>
  <si>
    <t xml:space="preserve">Edificações e Núcleos Urbanos e Rurais relacionados com a imigração em Santa Catarina - Casa Bauer, Nelson</t>
  </si>
  <si>
    <t>SC4202404BIED00009</t>
  </si>
  <si>
    <t xml:space="preserve">Edificações e Núcleos Urbanos e Rurais relacionados com a imigração em Santa Catarina - Casa Hein, Hary (Tangerina), em Vila Itoupava</t>
  </si>
  <si>
    <t>SC4202404BIED00008</t>
  </si>
  <si>
    <t xml:space="preserve">Homologado por meio da Portaria nº 128,de 10 de dezembro de 2014 – DOU 12/12/2014 – Seção I,  pag.29. Edificação demolida. Encaminhei consulta à PF para saber o que fazer com a inscrição (Anna, 09/10/2015)</t>
  </si>
  <si>
    <t>Guabiruba</t>
  </si>
  <si>
    <t xml:space="preserve">Edificações e Núcleos Urbanos e Rurais relacionados com a imigração em Santa Catarina - Casa Ulrich, Helmut, em São Pedro</t>
  </si>
  <si>
    <t>SC4206306BIED00001</t>
  </si>
  <si>
    <t xml:space="preserve">Nova Veneza</t>
  </si>
  <si>
    <t xml:space="preserve">Edificações e Núcleos Urbanos e Rurais relacionados com a imigração em Santa Catarina - Casa de Pedra da Família Bratti</t>
  </si>
  <si>
    <t>SC4211603BIED00001</t>
  </si>
  <si>
    <t xml:space="preserve">Edificações e Núcleos Urbanos e Rurais relacionados com a imigração em Santa Catarina - Casa Radoll, Invalt</t>
  </si>
  <si>
    <t>SC4218202BIED00002</t>
  </si>
  <si>
    <t xml:space="preserve">Edificações e Núcleos Urbanos e Rurais relacionados com a imigração em Santa Catarina - Escola Rural</t>
  </si>
  <si>
    <t xml:space="preserve">Edificações e Núcleos Urbanos e Rurais relacionados com a imigração em Santa Catarina - Casa do Professor</t>
  </si>
  <si>
    <t>SC4218202BIED00007</t>
  </si>
  <si>
    <t xml:space="preserve">Edificações e Núcleos Urbanos e Rurais relacionados com a imigração em Santa Catarina - Casa Reinecke, Érica</t>
  </si>
  <si>
    <t>SC4218202BIED00005</t>
  </si>
  <si>
    <t xml:space="preserve">Edificações e Núcleos Urbanos e Rurais relacionados com a imigração em Santa Catarina - Casa Zimath, Norberto</t>
  </si>
  <si>
    <t>SC4218202BIED00004</t>
  </si>
  <si>
    <t>Vargem</t>
  </si>
  <si>
    <t xml:space="preserve">Edificações e Núcleos Urbanos e Rurais relacionados com a imigração em Santa Catarina - Igreja São Judas Tadeu</t>
  </si>
  <si>
    <t>SC4219150BIED00001</t>
  </si>
  <si>
    <t>01450.011962/2006-52</t>
  </si>
  <si>
    <t xml:space="preserve">Casa de Chico Mendes e seu acervo</t>
  </si>
  <si>
    <t xml:space="preserve">AC1200708BIED00001 e outros (acervo)</t>
  </si>
  <si>
    <t xml:space="preserve">O entorno havia sido delimitado no processo, mas foi alterado pela PORTARIA No- 134, DE 20 DE ABRIL DE 2016</t>
  </si>
  <si>
    <t>01450.011563/2008-53</t>
  </si>
  <si>
    <t xml:space="preserve">Espaço Lúcio Costa</t>
  </si>
  <si>
    <t>DF5300108BIED00009</t>
  </si>
  <si>
    <t xml:space="preserve">Memorial dos Povos Indígenas</t>
  </si>
  <si>
    <t>DF5300108BIED00007</t>
  </si>
  <si>
    <t xml:space="preserve">Teatro Nacional</t>
  </si>
  <si>
    <t>DF5300108BIED00016</t>
  </si>
  <si>
    <t xml:space="preserve">Capela Nossa Senhora de Fátima</t>
  </si>
  <si>
    <t>DF5300108BIED00020</t>
  </si>
  <si>
    <t xml:space="preserve">Palácio do Planalto</t>
  </si>
  <si>
    <t>DF5300108BIED00003</t>
  </si>
  <si>
    <t xml:space="preserve">Casa de Chá</t>
  </si>
  <si>
    <t>DF5300108BIED00019</t>
  </si>
  <si>
    <t xml:space="preserve">Congresso Nacional</t>
  </si>
  <si>
    <t>DF5300108BIED00017</t>
  </si>
  <si>
    <t xml:space="preserve">Conjunto Cultural da República:  Museu da República Honestino Guimarães e Biblioteca Nacional Leonel de Moura Brizola </t>
  </si>
  <si>
    <t>DF5300108BICA00006</t>
  </si>
  <si>
    <t xml:space="preserve">Conjunto Cultural Funarte</t>
  </si>
  <si>
    <t>DF5300108BICA00005</t>
  </si>
  <si>
    <t xml:space="preserve">Edifício do Touring Club do Brasil</t>
  </si>
  <si>
    <t>DF5300108BIED00010</t>
  </si>
  <si>
    <t>Pombal</t>
  </si>
  <si>
    <t>DF5300108BIED00013</t>
  </si>
  <si>
    <t xml:space="preserve">Espaço Oscar Niemeyer</t>
  </si>
  <si>
    <t>DF5300108BIED00008</t>
  </si>
  <si>
    <t xml:space="preserve">Memorial JK</t>
  </si>
  <si>
    <t>DF5300108BIED00006</t>
  </si>
  <si>
    <t xml:space="preserve">Blocos Ministeriais e anexos</t>
  </si>
  <si>
    <t>DF5300108BICA00001</t>
  </si>
  <si>
    <t xml:space="preserve">Museu da Cidade</t>
  </si>
  <si>
    <t>DF5300108BIED00005</t>
  </si>
  <si>
    <t xml:space="preserve">Conjunto do Palácio da Alvorada (incluindo a capela)</t>
  </si>
  <si>
    <t>DF5300108BICA00002</t>
  </si>
  <si>
    <t xml:space="preserve">Palácio da Justiça</t>
  </si>
  <si>
    <t>DF5300108BIED00004</t>
  </si>
  <si>
    <t xml:space="preserve">Praça dos Três Poderes</t>
  </si>
  <si>
    <t>DF5300108BICA00004</t>
  </si>
  <si>
    <t xml:space="preserve">Palácio do Itamaraty e anexos</t>
  </si>
  <si>
    <t>DF5300108BICA00003</t>
  </si>
  <si>
    <t xml:space="preserve">Palácio Jaburu</t>
  </si>
  <si>
    <t>DF5300108BIED00011</t>
  </si>
  <si>
    <t xml:space="preserve">Panteão da Liberdade e Democracia</t>
  </si>
  <si>
    <t>DF5300108BIED00012</t>
  </si>
  <si>
    <t xml:space="preserve">Quartel General do Exército</t>
  </si>
  <si>
    <t>DF5300108BIED00014</t>
  </si>
  <si>
    <t xml:space="preserve">Supremo Tribunal Federal</t>
  </si>
  <si>
    <t>DF5300108BIED00015</t>
  </si>
  <si>
    <t xml:space="preserve">INDEFERIDO em 03/12/2015 (82ª reunião do Conselho)</t>
  </si>
  <si>
    <t xml:space="preserve">Capela Nossa Senhora da Paz</t>
  </si>
  <si>
    <t>RJ-3304557-BI-ED-00111</t>
  </si>
  <si>
    <t xml:space="preserve">Indicado para tombamento pelo Conselho Consultivo. Parecer desfavorável (Andrey)</t>
  </si>
  <si>
    <t xml:space="preserve">INDEFERIDO em 06/05/2016 (82ª reunião do Conselho)</t>
  </si>
  <si>
    <t xml:space="preserve">Sambódromo da Ceilândia</t>
  </si>
  <si>
    <t xml:space="preserve">Indicado para tombamento pelo Conselho Consultivo. Parecer desfavorável (Andrey), já que o bem nem existe.</t>
  </si>
  <si>
    <t xml:space="preserve">Casa do Teatro Amador</t>
  </si>
  <si>
    <t xml:space="preserve">Indicado para tombamento. Parecer desfavorável (Andrey)</t>
  </si>
  <si>
    <t xml:space="preserve">Memorial Israel Pinheiro</t>
  </si>
  <si>
    <t xml:space="preserve">Centro Cultural Oscar Niemeyer</t>
  </si>
  <si>
    <t xml:space="preserve">Torre do Parque Dom Nivaldo Monte</t>
  </si>
  <si>
    <t xml:space="preserve">Memorial da América Latina</t>
  </si>
  <si>
    <t xml:space="preserve">INDEFERIDO em 06/05/2016 (82ª reunião do Conselho).  Sugere instrução do Lugar de Memória (DESPACHO Nº 140/2023 ETMVP-RJ/IPHAN-RJ)</t>
  </si>
  <si>
    <t xml:space="preserve">Monumento Nove de Novembro</t>
  </si>
  <si>
    <t xml:space="preserve">Oscar Niemeyer (autor da obra)</t>
  </si>
  <si>
    <t xml:space="preserve">Centro Cultural</t>
  </si>
  <si>
    <t xml:space="preserve">Paty dos Alferes</t>
  </si>
  <si>
    <t xml:space="preserve">Capela de Santa Cecília</t>
  </si>
  <si>
    <t xml:space="preserve">Indicado para tombamento pelo Conselho Consultivo. </t>
  </si>
  <si>
    <t xml:space="preserve">Passarela do Samba</t>
  </si>
  <si>
    <t xml:space="preserve">RJ-3304557-BI-ED-00111	</t>
  </si>
  <si>
    <t xml:space="preserve">SE-BA: 14/10/2008</t>
  </si>
  <si>
    <t>01502.001384/2007-74</t>
  </si>
  <si>
    <t xml:space="preserve">Edifício Caramuru</t>
  </si>
  <si>
    <t>01450.006200/2008-04</t>
  </si>
  <si>
    <t xml:space="preserve">Salvador, BA: Conjunto Arquitetônico, Urbanístico e Paisagístico da Cidade Baixa de Salvador</t>
  </si>
  <si>
    <t>BA2927408BICU00012</t>
  </si>
  <si>
    <t xml:space="preserve">Comunicado, DOU, Seção 3, 15 de julho de 2013, do Tombamento definitivo do Conjunto Urbano e Arquitetônico da Cidade Baixa de Salvador, no Estado da Bahia, processo nº 1552-T-08, inscrito no Livro do Tombado Histórico, vol. III, fl. 68/69, número de inscrição 618 e no Livro do Tombo Arqueológico, Etnográfico e Paisagístico, vol. II, fl. 83/84, número de inscrição: 166. Ass. Jurema Machado..</t>
  </si>
  <si>
    <t xml:space="preserve">estudo concluído (SICG) para normatização; falta elaborar minuta de portaria</t>
  </si>
  <si>
    <t xml:space="preserve">Voltou ao DEPAM. Devolvido ao Arquivo em 24/08/2015</t>
  </si>
  <si>
    <t>01450.005680/2008-88</t>
  </si>
  <si>
    <t xml:space="preserve">Porto Nacional</t>
  </si>
  <si>
    <t xml:space="preserve">Núcleo Histórico de Porto Nacional</t>
  </si>
  <si>
    <t>TO1718204BICU00001</t>
  </si>
  <si>
    <t xml:space="preserve">Rerratificação homologada por meio da Portaria nº 111, de 15 de outubro de 2014</t>
  </si>
  <si>
    <t xml:space="preserve">Estudos para normatização iniciados durante as Oficinas Regionais m 2011. Aguardando revisão das poligonais.</t>
  </si>
  <si>
    <t>01450.005681/2008-22</t>
  </si>
  <si>
    <t>Parnaíba</t>
  </si>
  <si>
    <t xml:space="preserve">Conjunto Histórico e Paisagístico de Parnaíba</t>
  </si>
  <si>
    <t>PI-2207702-BI-CU-00002</t>
  </si>
  <si>
    <t xml:space="preserve">Pré-setorização do processo de tombamento, complementada por contratação do SICG.</t>
  </si>
  <si>
    <t xml:space="preserve">Parecer de indeferimento de 18/12/2022. Escritório Técnico Cachoeira 18/09/2012. Encerramento do Processo (SEI nº4676858)</t>
  </si>
  <si>
    <t>1502.000382/2007-68</t>
  </si>
  <si>
    <t xml:space="preserve">Terreiro de Candomblé do Cajá, situado na Fazenda Capivari</t>
  </si>
  <si>
    <t xml:space="preserve">Jandira de Lourdes Souza, responsável espiritual do terreiro</t>
  </si>
  <si>
    <t xml:space="preserve">anexado ao processo Centro histórico da cidade de Pelotas (01458.002962/2009-34)</t>
  </si>
  <si>
    <t>01450.001485/2008-89</t>
  </si>
  <si>
    <t xml:space="preserve">Sítio Charqueador Pelotense</t>
  </si>
  <si>
    <t>01450.008735/2008-10</t>
  </si>
  <si>
    <t xml:space="preserve">Conjunto da Estação Ferroviária de Teresina</t>
  </si>
  <si>
    <t xml:space="preserve">PI-2211001-BI-CA-00001	</t>
  </si>
  <si>
    <t xml:space="preserve">Voltou ao DEPAM. Devolvido ao Arquivo em 13/08/2015</t>
  </si>
  <si>
    <t>01408.003336/2008-70</t>
  </si>
  <si>
    <t xml:space="preserve">Centro Histórico de Natal</t>
  </si>
  <si>
    <t>RN-2408102-BI-CU-00001</t>
  </si>
  <si>
    <t xml:space="preserve">2010, 2012</t>
  </si>
  <si>
    <t xml:space="preserve">66, 69</t>
  </si>
  <si>
    <t xml:space="preserve">Homologação: PORTARIA Nº 72, DE 16 DE JULHO DE 2014</t>
  </si>
  <si>
    <t xml:space="preserve">Estudos para normatização iniciados durante as Oficinas Regionais m 2011 e subsídios contratados em 2012.</t>
  </si>
  <si>
    <t xml:space="preserve">INDEFERIDO em 24/02/2015</t>
  </si>
  <si>
    <t>01502.002990/2007-15</t>
  </si>
  <si>
    <t xml:space="preserve">Acervos arquitetônico, Artístico e Documental da Escola de Belas Artes da UFBA</t>
  </si>
  <si>
    <t xml:space="preserve">Congregação da Escola de Belas Artes da UFBA</t>
  </si>
  <si>
    <t xml:space="preserve">CGID:04/10/2013. Estava no Conselho, pedimos retorno ao DEPAM para revisar a indicação do tombamento, em consonância com a proposta de registro (2013)</t>
  </si>
  <si>
    <t>01450.004866/2008-10</t>
  </si>
  <si>
    <t xml:space="preserve">Igreja Nossa Senhora de Lourdes</t>
  </si>
  <si>
    <t xml:space="preserve">IPHAN e comunidade (abaixo assinado)</t>
  </si>
  <si>
    <t>PI2211001BIED00002</t>
  </si>
  <si>
    <t xml:space="preserve">Devolvido à SE-PI a pedido do Arquivo Central, para comprovação da propriedade, antes da inscrição. 14/08/2015</t>
  </si>
  <si>
    <t>01450.010249/2008-53</t>
  </si>
  <si>
    <t>Floriano</t>
  </si>
  <si>
    <t xml:space="preserve">Estabelecimento das Fazendas Nacionais do Piauí: Estabelecimento Rural São Pedro de Alcântara, no Município de Floriano.</t>
  </si>
  <si>
    <t>PI2203909BIED00002</t>
  </si>
  <si>
    <t>25.05.15</t>
  </si>
  <si>
    <t xml:space="preserve">Homologação: PORTARIA Nº 87, DE 3 DE SETEMBRO DE 2014</t>
  </si>
  <si>
    <t xml:space="preserve">Estabelecimento das Fazendas Nacionais do Piauí: Fábrica de Manteiga e Queijo, no Município de Campinas do Piauí</t>
  </si>
  <si>
    <t>01450.010250/2008-88</t>
  </si>
  <si>
    <t xml:space="preserve">Conjunto Histórico e Paisagístico de Piracuruca</t>
  </si>
  <si>
    <t>PI-2208304-BI-CU-00001</t>
  </si>
  <si>
    <t xml:space="preserve">Inscrito em 09.08.2013. Livro Histórico, v.3, f. 077-080, nº 621 / Livro Arqueológico, Etnog. e Paisag., v.2, f. 090-093, nº 168.</t>
  </si>
  <si>
    <t>2009/2010</t>
  </si>
  <si>
    <t>01498.000892/2008-22</t>
  </si>
  <si>
    <t xml:space="preserve">Praça da República/Jardins do Palácio Campo das Princesas - Jardins de Burle Marx na Cidade de Recife</t>
  </si>
  <si>
    <t xml:space="preserve">Laboratório da Paisagem do Departamento de Arquitetura e Urbanismo/UFPE</t>
  </si>
  <si>
    <t xml:space="preserve">	PE-2611606-PS-JD-00006</t>
  </si>
  <si>
    <t xml:space="preserve">Homologado por meio da PORTARIA No- 84, DE 9 DE SETEMBRO DE 2015</t>
  </si>
  <si>
    <t>01498.000892/2008-23</t>
  </si>
  <si>
    <t xml:space="preserve">Praça de Casa Forte - Jardins de Burle Marx na Cidade de Recife</t>
  </si>
  <si>
    <t xml:space="preserve">	PE-2611606-PS-JD-00002</t>
  </si>
  <si>
    <t xml:space="preserve">Homologado por meio da PORTARIA No- 84, DE 9 DE SETEMBRO DE 2016</t>
  </si>
  <si>
    <t>01498.000892/2008-24</t>
  </si>
  <si>
    <t xml:space="preserve">Praça do Derby - Jardins de Burle Marx na Cidade de Recife</t>
  </si>
  <si>
    <t xml:space="preserve">	PE-2611606-PS-JD-00005</t>
  </si>
  <si>
    <t xml:space="preserve">Homologado por meio da PORTARIA No- 84, DE 9 DE SETEMBRO DE 2017</t>
  </si>
  <si>
    <t>01498.000892/2008-25</t>
  </si>
  <si>
    <t xml:space="preserve">Praça Euclides da Cunha - Jardins de Burle Marx na Cidade de Recife</t>
  </si>
  <si>
    <t>PE-2611606-PS-JD-00003</t>
  </si>
  <si>
    <t xml:space="preserve">Homologado por meio da PORTARIA No- 84, DE 9 DE SETEMBRO DE 2018</t>
  </si>
  <si>
    <t>01498.000892/2008-26</t>
  </si>
  <si>
    <t xml:space="preserve">Praça Faria Neves - Jardins de Burle Marx na Cidade de Recife</t>
  </si>
  <si>
    <t>PE-2611606-PS-JD-00001</t>
  </si>
  <si>
    <t xml:space="preserve">Homologado por meio da PORTARIA No- 84, DE 9 DE SETEMBRO DE 2019</t>
  </si>
  <si>
    <t>01498.000892/2008-27</t>
  </si>
  <si>
    <t xml:space="preserve">Praça Salgado Filho - Jardins de Burle Marx na Cidade de Recife</t>
  </si>
  <si>
    <t>PE-2611606-PS-JD-00004</t>
  </si>
  <si>
    <t xml:space="preserve">Homologado por meio da PORTARIA No- 84, DE 9 DE SETEMBRO DE 2020</t>
  </si>
  <si>
    <t xml:space="preserve">Encaminhado à Superintendência em 01/10/2010</t>
  </si>
  <si>
    <t>01450.013084/2008-71</t>
  </si>
  <si>
    <t xml:space="preserve">Sítio Histórico de Caiboaté</t>
  </si>
  <si>
    <t>01450.014370/2008-54</t>
  </si>
  <si>
    <t xml:space="preserve">Bens Culturais da Imigração Japonesa no Vale do Ribeira - Engenho, Sede Social e Residência Colônia Katsura</t>
  </si>
  <si>
    <t>SP3520301BICA00001</t>
  </si>
  <si>
    <t>Registro</t>
  </si>
  <si>
    <t xml:space="preserve">Bens Culturais da Imigração Japonesa no Vale do Ribeira - Fábrica de chá Amaya</t>
  </si>
  <si>
    <t>SP3542602BIED00007</t>
  </si>
  <si>
    <t xml:space="preserve">Bens Culturais da Imigração Japonesa no Vale do Ribeira - Fábrica de Chá Kawagiri</t>
  </si>
  <si>
    <t>SP3542602BIED00006</t>
  </si>
  <si>
    <t xml:space="preserve">Bens Culturais da Imigração Japonesa no Vale do Ribeira - Fábrica de Chá e Residência Shimizu</t>
  </si>
  <si>
    <t>SP3542602BICA00001</t>
  </si>
  <si>
    <t xml:space="preserve">Bens Culturais da Imigração Japonesa no Vale do Ribeira - Residência Fukasawa</t>
  </si>
  <si>
    <t>SP3542602BIED00003</t>
  </si>
  <si>
    <t xml:space="preserve">Bens Culturais da Imigração Japonesa no Vale do Ribeira - Residência Gozo Okiyama</t>
  </si>
  <si>
    <t>SP3542602BIED00002</t>
  </si>
  <si>
    <t xml:space="preserve">Bens Culturais da Imigração Japonesa no Vale do Ribeira - Residência Senhora Susu Okiyama</t>
  </si>
  <si>
    <t>SP3542602BIED00001</t>
  </si>
  <si>
    <t xml:space="preserve">Bens Culturais da Imigração Japonesa no Vale do Ribeira - Residência Família Hokugawa</t>
  </si>
  <si>
    <t>SP3542602BIED00004</t>
  </si>
  <si>
    <t xml:space="preserve">Bens Culturais da Imigração Japonesa no Vale do Ribeira - Residência Família Amaya</t>
  </si>
  <si>
    <t>SP-3542602-BI-ED-00008</t>
  </si>
  <si>
    <t xml:space="preserve">Igreja de São Francisco Xavier </t>
  </si>
  <si>
    <t>SP-3542602-BI-ED-00009</t>
  </si>
  <si>
    <t xml:space="preserve">Sede da Kaigai Kogyo Kabushiki KaishaKKKK </t>
  </si>
  <si>
    <t>SP-3542602-BI-ED-00010</t>
  </si>
  <si>
    <t xml:space="preserve">Bens Culturais da Imigração Japonesa no Vale do Ribeira - Igreja Episcopal Anglicana</t>
  </si>
  <si>
    <t>SP3542602BIED00005</t>
  </si>
  <si>
    <t xml:space="preserve">Bens Culturais da Imigração Japonesa no Vale do Ribeira - Primeiras mudas de chá variedade Assam</t>
  </si>
  <si>
    <t>SP3542602BMCL00001</t>
  </si>
  <si>
    <t>01458.002237/2008-85</t>
  </si>
  <si>
    <t xml:space="preserve">Acervo do Museu de Artes e Ofícios</t>
  </si>
  <si>
    <t> MG-3106200-BM-AC-00001</t>
  </si>
  <si>
    <t xml:space="preserve">Aprovado pelo Conselho em 04/12/2014.</t>
  </si>
  <si>
    <t xml:space="preserve">Rerratificação homologada pela PORTARIA Nº 124, DE 28 DE DEZEMBRO DE 2018. DOU 31/12/2018. para inscrição</t>
  </si>
  <si>
    <t>01492.000116/1998-68</t>
  </si>
  <si>
    <t xml:space="preserve">Serra do Navio</t>
  </si>
  <si>
    <t xml:space="preserve">Vila Serra do Navio</t>
  </si>
  <si>
    <t>AP1600055BICU00001</t>
  </si>
  <si>
    <t xml:space="preserve">Não tem delimitação de entorno pq está em meio à Floresta Amazônica, que já é protegida, e toda a área de interesse está tombada.Estudos encaminhados do processo de tombamento e trabalhados nas Oficinas de Normatização.</t>
  </si>
  <si>
    <t>01512.000182/2001-09</t>
  </si>
  <si>
    <t xml:space="preserve">Núcleo urbano de Santa Tereza</t>
  </si>
  <si>
    <t>RS4317251BICU00001</t>
  </si>
  <si>
    <t xml:space="preserve">Inscrito em 24.02.2012. Livro Histórico, v.3, f. 025-026, nº 603 / Livro Arqueológico, Etnog. e Paisag., v.2, f. 066-067, nº 153.</t>
  </si>
  <si>
    <t>2008-2009</t>
  </si>
  <si>
    <t xml:space="preserve">Haveria estudos para normatização junto com o Processo de Tombamento. Foi contratado INCEU (2008), verificar resultado.</t>
  </si>
  <si>
    <t>01512.000089/2008-62</t>
  </si>
  <si>
    <t>Jaguarão</t>
  </si>
  <si>
    <t xml:space="preserve">Conjunto Histórico e Paisagístico de Jaguarão</t>
  </si>
  <si>
    <t>RS-4311007-BI-CU-00001</t>
  </si>
  <si>
    <t xml:space="preserve">Aguardando homologação do ministro para encaminhar a normatização</t>
  </si>
  <si>
    <t>01512.000067/2008-01</t>
  </si>
  <si>
    <t xml:space="preserve">Ponte Internacional Mauá</t>
  </si>
  <si>
    <t>RS4311007BIOE00001</t>
  </si>
  <si>
    <t xml:space="preserve">Inscrito em 20.02.2012. Livro Histórico, v.3, f. 041-043, nº 607 / Livro Arqueológico, Etnog. e Paisag., v.2, f. 072-073, nº 157 / Livro Artes Aplicadas, v.1, f. 02-05, nº 005.</t>
  </si>
  <si>
    <t xml:space="preserve">Entorno adota os mesmos critérios do setor onde está inserido. Elaborado a partir do processo de tombamento.</t>
  </si>
  <si>
    <t xml:space="preserve">Processo INDEFERIDO em 25/05/2010, conforme decisão do Consellho Consultivo do Patrimônio Cultural em sua 62ª Reunião, realizada no dia 03.12.2009.</t>
  </si>
  <si>
    <t>01500.002530/2008-80</t>
  </si>
  <si>
    <t xml:space="preserve">Castelo do Conde Pereira Carneiro, situado à Rua Barão de Mauá</t>
  </si>
  <si>
    <t xml:space="preserve">Igreja de Nossa Senhora da Penha, situada na Ladeira Major Rocha, Ponta d´Areia</t>
  </si>
  <si>
    <t>01502.001364/2005-31</t>
  </si>
  <si>
    <t xml:space="preserve">IMÓVEL À RUA CONSELHEIRO CUNHA LOPES 65, (SOCIEDADE SÃO VICENTE DE PAULO) </t>
  </si>
  <si>
    <t xml:space="preserve">esteve na pauta da 62ª Reunião do Conselho, quando foi indicado o ARQUIVAMENTO</t>
  </si>
  <si>
    <t>01450.013622/2007-47</t>
  </si>
  <si>
    <t xml:space="preserve">RUÍNAS DO SOLAR DE ARAMARÉ.</t>
  </si>
  <si>
    <t xml:space="preserve">INDEFERIDO em 13/11/2014</t>
  </si>
  <si>
    <t>01506.002636/2008-23</t>
  </si>
  <si>
    <t xml:space="preserve">IMÓVEL DENOMINADO VILA SANTO ALEIXO SITUADO À RUA Dr. EMILIO WINTHER, Nº 374, CENTRO.</t>
  </si>
  <si>
    <t xml:space="preserve">Parecer de indeferimento de 15/5/22</t>
  </si>
  <si>
    <t>01500.004018/2008-78</t>
  </si>
  <si>
    <t>Miracema</t>
  </si>
  <si>
    <t xml:space="preserve">Centro histórico de Miracema.</t>
  </si>
  <si>
    <t xml:space="preserve">Parecer de indeferimento de 25/09/2022. Solicitada a instrução, 07/07/2021. CGID. Devolvido ao DEPAM por nossa orientação, uma vez que se trata de bem paleontológico.</t>
  </si>
  <si>
    <t>01450.015940/2008-23</t>
  </si>
  <si>
    <t xml:space="preserve">SÍTIO COM PEGADAS DE DINOSSAURO DA BACIA DO PEIXE.</t>
  </si>
  <si>
    <t>01401.000091/2006-27</t>
  </si>
  <si>
    <t xml:space="preserve">Ponte Ferroviária Eurico Gaspar Dutra sobre o Rio Paraguai</t>
  </si>
  <si>
    <t>MS5003207BIOE00001</t>
  </si>
  <si>
    <t xml:space="preserve">Livro Belas Artes: inscrição 643, volume 002, folha 079-080, data 03/10/2014
Livro Histórico: inscrição 628, volume 003, folha 096, data 03/10/2014
Livro Arqueológico, Etnográfico e Paisagístico: inscrição 173, volume 003, folha 008, data 03/10/2014
Portaria nº  28, de 04 abril de  2014 – DOU 07/04/2014 -  Seção 1  Homologa o tombamento Homologa o tombamento da Ponte Ferroviária Eurico Gaspar Dutra, situada no Município de Corumbá, Estado do Mato Grosso do Sul.</t>
  </si>
  <si>
    <t xml:space="preserve">Processo INDEFERIDO em 25/04/2011.</t>
  </si>
  <si>
    <t>01500.004448/2008-90</t>
  </si>
  <si>
    <t xml:space="preserve">IMÓVEL À RUA IMPERATRIZ LEOPOLDINA, Nº 28 E O ALINHAMENTO DO CITADO LOGRADOURO</t>
  </si>
  <si>
    <t xml:space="preserve">Processo INDEFERIDO em 13/04/2009.</t>
  </si>
  <si>
    <t>01450.003495/2007-78</t>
  </si>
  <si>
    <t xml:space="preserve">TENDA ESPIRITA VOVÓ MARIA CONGA DE ARRUDA, NO BAIRRO DO ESTÁCIO</t>
  </si>
  <si>
    <t xml:space="preserve">Os Processos 0888-T-73; 1028-T-80; 1504-T-09 e 1580-T-09 foram ANEXADOS ao Processo 1613-T-10.</t>
  </si>
  <si>
    <t>01494.000160/2009-53</t>
  </si>
  <si>
    <t>Rosário</t>
  </si>
  <si>
    <t xml:space="preserve">FORTE VERA CRUZ OU DO CALVÁRIO</t>
  </si>
  <si>
    <t>MA2109601BIED00003</t>
  </si>
  <si>
    <t xml:space="preserve">INDEFERIDO em 09.05.16</t>
  </si>
  <si>
    <t>01512.000487/2009-60</t>
  </si>
  <si>
    <t xml:space="preserve">Bairro Moinhos de Ventos</t>
  </si>
  <si>
    <t xml:space="preserve">enviado para continuidade da instrução. Tombamento emergencial</t>
  </si>
  <si>
    <t>01512.000623/2009-11</t>
  </si>
  <si>
    <t xml:space="preserve">Centro Histórico de Novo Hamburgo (incluindo coleção pertencente à Fundação Ernesto Scheffel)</t>
  </si>
  <si>
    <t xml:space="preserve">TOMB. EMERG.</t>
  </si>
  <si>
    <t>RS4313409BICU00001</t>
  </si>
  <si>
    <t>01458.001782/2009-35</t>
  </si>
  <si>
    <t xml:space="preserve">Monumento aos Mortos da II Guerra Mundial, ou Monumento aos Pracinhas</t>
  </si>
  <si>
    <t>RJ3304557BIED00003</t>
  </si>
  <si>
    <t xml:space="preserve">Inscrito em 04.06.2012. Livro Histórico, v.3, f. 035, nº 604 / Livro Arqueológico, Etnog. e Paisag., v.2, f. 067, nº 154 / Livro Belas Artes, v.2, f. 071, nº 633.</t>
  </si>
  <si>
    <t>01450.007679/2009-79</t>
  </si>
  <si>
    <t xml:space="preserve">Conjunto Histórico e Paisagístico de Iguape - SP</t>
  </si>
  <si>
    <t>SP3520301BICU00001</t>
  </si>
  <si>
    <t>2008/2011</t>
  </si>
  <si>
    <t xml:space="preserve">Estudos encaminhados do Processo de tombamento, e revisados durante as Oficinas Regionais em 2011.</t>
  </si>
  <si>
    <t xml:space="preserve">Homologado pela PORTARIA Nº 116, DE 28 DE DEZEMBRO DE 2018. DOU 31/12/2018.  encaminhado para inscrição. CERTIDÃO DE TOMBAMENTO emitida em 22/11/2019.</t>
  </si>
  <si>
    <t>01498.000710/2009-02</t>
  </si>
  <si>
    <t xml:space="preserve">TERREIRO OBÁ OGUNTÉ-SÍTIO PAI ADÃO</t>
  </si>
  <si>
    <t xml:space="preserve">Manoel do Nascimento Costa-Ogunté F... Babalorixa do Sitio de Pai Adão</t>
  </si>
  <si>
    <t xml:space="preserve">PE-2611606-BI-CA-00003	</t>
  </si>
  <si>
    <t>01512.000468/2009-33</t>
  </si>
  <si>
    <t xml:space="preserve">Conjunto Arquitetônico da Antiga Fábrica Rheingantz</t>
  </si>
  <si>
    <t xml:space="preserve">Enviado para instrução da SE/AL em 11/06/2013</t>
  </si>
  <si>
    <t>01458.002593/2009-80</t>
  </si>
  <si>
    <t xml:space="preserve">Água Branca</t>
  </si>
  <si>
    <t xml:space="preserve">Núcleo central da cidade de Água Branca</t>
  </si>
  <si>
    <t>01450.007380/2009-14</t>
  </si>
  <si>
    <t xml:space="preserve">CINEMA OLÁRIA,SITUADO NA RUA URANUS, Nº 1474</t>
  </si>
  <si>
    <t xml:space="preserve">Na Superintendência do IPHAN/AL desde 04/03/2011</t>
  </si>
  <si>
    <t>01458.002594/2009-24</t>
  </si>
  <si>
    <t xml:space="preserve">Rio Largo</t>
  </si>
  <si>
    <t xml:space="preserve">VILA INDUSTRIAL MODERNISTA, DENOMINADA DESTILARIA CENTRAL</t>
  </si>
  <si>
    <t>01506.000169/2010-11</t>
  </si>
  <si>
    <t xml:space="preserve">Conjunto Histórico e Paisagístico de São Luis do Paraitinga</t>
  </si>
  <si>
    <t>SP3550001BICU00001</t>
  </si>
  <si>
    <t xml:space="preserve">Inscrito em 05/12/2012. Livro Histórico, v.3, f. 051-053, nº 612 / Livro Arqueológico, Etnog. e Paisag., v.2, f. 074-075, nº 161.</t>
  </si>
  <si>
    <t xml:space="preserve">Estudos iniciados durante as Oficinas de Normatização em 2011</t>
  </si>
  <si>
    <t xml:space="preserve">Encaminhado para indeferiemento em 18/09/2020</t>
  </si>
  <si>
    <t>01450.007755/2009-46</t>
  </si>
  <si>
    <t xml:space="preserve">COLEÇÃO ORIGINÁRIAS DO INSTITUTO CULTURAL BANCO SANTOS</t>
  </si>
  <si>
    <t>01450.003937/2010-81</t>
  </si>
  <si>
    <t xml:space="preserve">Centro Histórico de Paracatu</t>
  </si>
  <si>
    <t>MG-3147006-BI-CU-00001</t>
  </si>
  <si>
    <t xml:space="preserve">66, 78</t>
  </si>
  <si>
    <t xml:space="preserve">Inscrito em 01.10.2012. Livro Histórico, v.3, f. 043-050, nº 608. 
Inscrito em 16.07.2015. Livro Arqueológico, etnográfico e paisagístico, v.3, f.13-20 n°177</t>
  </si>
  <si>
    <t xml:space="preserve">A PF solicitou as certidões de propriedade atualizadas para a notificação do tombamento provisório. Apresentadas as certidoes pelo IPHAN/RS (SEI 4727400).</t>
  </si>
  <si>
    <t>01512.000247/2004-51</t>
  </si>
  <si>
    <t xml:space="preserve">COMPLEXO ARQUITETÔNICO DO HIPODROMO CRISTAL</t>
  </si>
  <si>
    <t xml:space="preserve">Carlos Eduardo Dias Comas, Coord DOCOMOMO Nucleo RS</t>
  </si>
  <si>
    <t>01450.005517/2009-04</t>
  </si>
  <si>
    <t xml:space="preserve">BAMBUZAL DO AEROPORTO LUIZ EDUARDO MAGALHÃES</t>
  </si>
  <si>
    <t>01498.000386/2010-58</t>
  </si>
  <si>
    <t xml:space="preserve">ENGENHO DE MOROJÓ</t>
  </si>
  <si>
    <t>01450.016377/2009-91</t>
  </si>
  <si>
    <t xml:space="preserve">CONJUNTO PAISAGÍSTICO E HISTÓRICO DOS MORROS DE SANTANA E SANTO ANTÔNIO</t>
  </si>
  <si>
    <t xml:space="preserve">Notificação publicada no D.O.U de 23 de maio de 2014. envcaminhada para atualizar informações, para poder incluir na pauta do conselho. Enviado à Secretaria do Conselho em 10/06/2024</t>
  </si>
  <si>
    <t>01458.000679/2010-10</t>
  </si>
  <si>
    <t xml:space="preserve">Coleção de artilharia do antigo Arsenal de Marinha – 4º Distrito Naval</t>
  </si>
  <si>
    <t>PA-1501402-BM-CL-00002</t>
  </si>
  <si>
    <t>01516.000022/2007-15</t>
  </si>
  <si>
    <t>Itumbiara</t>
  </si>
  <si>
    <t xml:space="preserve">Ponte Pênsil Affonso Penna, no Município de Itumbiara, Estado de Goiás</t>
  </si>
  <si>
    <t>GO5211503BIOE00001</t>
  </si>
  <si>
    <t xml:space="preserve">Portaria nº  27, de 04 de abril de 2014 – DOU 07/04/2014 – Seção 1 -Homologa o tombamento da Ponte Pênsil Affonso Penna, assim como os remanescentes da sua localização original, situada no Município de Itumbiara, Estado de Goiás, e no Município de Araporã, Estado de Minas Gerais.</t>
  </si>
  <si>
    <t xml:space="preserve">Estudo motivado pela Informação Tecnica n 04/2009/IPHAN/AM. Estado do Amazonas desistiu da ação contra o tombamento. Encaminhado à PF para verificar se há óbice para homologação em 23/5/2023. Ofício Nº 397/2023/CGID/DEPAM-IPHAN decidiu o retorno à Superintendência.</t>
  </si>
  <si>
    <t>01450.015766/2009-08</t>
  </si>
  <si>
    <t xml:space="preserve">Encontro das Águas dos Rios Negro e Solimões</t>
  </si>
  <si>
    <t xml:space="preserve">André Bazzanella, Superintendente Interino do Iphan AM; Messias Tadeu Gouvea,  Iphan AM.</t>
  </si>
  <si>
    <t>AM1302603PSPS00001</t>
  </si>
  <si>
    <t xml:space="preserve">Notificado em 11 do Outubro de 2010 e  Apreciado pelo Conselho Culsultivo em 2010</t>
  </si>
  <si>
    <t xml:space="preserve">Encaminhado para análise prévia a inscrição em 17/11/2021. Encaminhado para inscrição em 03/01/2017</t>
  </si>
  <si>
    <t>01500.005713/2009-38</t>
  </si>
  <si>
    <t xml:space="preserve">Prédio à praça da República, 26 (antiga sede do Arquivo Nacional).</t>
  </si>
  <si>
    <t xml:space="preserve">RJ-3304557-BI-ED-00114	</t>
  </si>
  <si>
    <t xml:space="preserve">Tombamento aprovado durante a 80ª Reunião do Conselho Consultivo. Homologado pela PORTARIA Nº 131, DE 5 DE SETEMBRO DE 2016</t>
  </si>
  <si>
    <t xml:space="preserve">Tombamento aprovado sem entorno, por já estar inserido no entorno do Campo de Santana</t>
  </si>
  <si>
    <t xml:space="preserve">SE/PE: 27/07/2010</t>
  </si>
  <si>
    <t>01498.000129/2007-11</t>
  </si>
  <si>
    <t xml:space="preserve">Engenho Gaipó</t>
  </si>
  <si>
    <t>01450.006978/2010-20</t>
  </si>
  <si>
    <t xml:space="preserve">Conjunto Histórico e Paisagístico de Oeiras</t>
  </si>
  <si>
    <t>PI-2207009-BI-CU-00002</t>
  </si>
  <si>
    <t xml:space="preserve">Inscrito em 14.08.2013. Livro Histórico, v.3, f. 081-086, nº 622 / Livro Arqueológico, Etnog. e Paisag., v.2, f. 093-098, nº 169.</t>
  </si>
  <si>
    <t>01450.008323/2010-96</t>
  </si>
  <si>
    <t xml:space="preserve">TEATRO CULTURA ARTÍSTICA</t>
  </si>
  <si>
    <t>SP3550308BIED00015</t>
  </si>
  <si>
    <t xml:space="preserve">Homologação: PORTARIA Nº 89, DE 1º DE JUNHO DE 2016</t>
  </si>
  <si>
    <t xml:space="preserve">INDEFERIDO 06/01/2022. 26/10/2021. CGID: 29/05/2014 - incendiado. arquivar processo.</t>
  </si>
  <si>
    <t>01502.003508/2009-18</t>
  </si>
  <si>
    <t xml:space="preserve">CASARÃO DO CORONEL TERTULIANO GUEDES DE PINHO (Fazenda Valparaíso), para IMPLANTAÇÃO DO MUSEU DA CIDADE ou  MUSEU DE ITABUNA</t>
  </si>
  <si>
    <t xml:space="preserve">DESABOU BA-2914802-BI-ED-00001</t>
  </si>
  <si>
    <t xml:space="preserve">Processo INDEFERIDO em 13/12/2010.</t>
  </si>
  <si>
    <t>01500.005289/2009-21</t>
  </si>
  <si>
    <t xml:space="preserve">Escultura “A doadora”, de AlfredoCeschiatti, situada no prédio do Hemorio, à rua Frei Caneca, nº 8</t>
  </si>
  <si>
    <t xml:space="preserve">Encaminhado à superintendência para manifestação quanto à recomendação de indeferiemtneo da superintendente</t>
  </si>
  <si>
    <t>01450.009428/2010-62</t>
  </si>
  <si>
    <t xml:space="preserve">Pedras Altas</t>
  </si>
  <si>
    <t xml:space="preserve">CASTELO ASSIS BRASIL</t>
  </si>
  <si>
    <t xml:space="preserve">Marco Anonio de Faria Galvão e Vera Braum Galvão</t>
  </si>
  <si>
    <t>RS-4314175-BI-ED-00001</t>
  </si>
  <si>
    <t xml:space="preserve">Notificado em 24/06/2016</t>
  </si>
  <si>
    <t xml:space="preserve">01458.000378/2011-69 (Info Arquivo: o processo foi arquivado a partir do número 01450.015679/2008-61)</t>
  </si>
  <si>
    <t xml:space="preserve">Bens localizados no Município de Nilópolis: Capela de São Mateus, Igreja Matriz de Nossa Senhora da Conceição, Igreja de São Sebastião, Loja Maçônica União de Iguassu, Antiga Sinagoga Israelita de Nilópolis, Palacete Queiroz Lopes e bosque ao redor</t>
  </si>
  <si>
    <t xml:space="preserve">Parecer de indeferimento de 5/8/2022. Após pedido da SE-MT, foi devolvido pela SE-GO. Encaminhado à SE-MT para manifestação em 03/11/2014.</t>
  </si>
  <si>
    <t>01450.003944/2009-40</t>
  </si>
  <si>
    <t xml:space="preserve">Araguainha e Ponte Branca</t>
  </si>
  <si>
    <t xml:space="preserve">Domo de Araguainha</t>
  </si>
  <si>
    <t>01508.000492/2010-75</t>
  </si>
  <si>
    <t>Antonina</t>
  </si>
  <si>
    <t xml:space="preserve">Centro Histórico de Antonina</t>
  </si>
  <si>
    <t>PR-4101200-BI-CU-00001</t>
  </si>
  <si>
    <t xml:space="preserve">Pré-setorização concluída. Aguardando homologação do ministro para avançar na normatização.</t>
  </si>
  <si>
    <t xml:space="preserve">Encaminhado para complementação da instrução pela Superintendência em 9/4/2023.</t>
  </si>
  <si>
    <t>01450.004991/2010-44</t>
  </si>
  <si>
    <t xml:space="preserve">Complexo Ferro-portuário de Camocim</t>
  </si>
  <si>
    <t xml:space="preserve">Indeferido em 25/08/2021</t>
  </si>
  <si>
    <t>01450.002836/2010-93</t>
  </si>
  <si>
    <t>Granja</t>
  </si>
  <si>
    <t xml:space="preserve">Ponte ferroviária de Granja</t>
  </si>
  <si>
    <t xml:space="preserve">Processo de Tombamento INDEFERIDO em 04/06/2013.</t>
  </si>
  <si>
    <t>01450.013029/2010-04</t>
  </si>
  <si>
    <t xml:space="preserve">Hotel Sanatório Tavares Correia</t>
  </si>
  <si>
    <t xml:space="preserve"> Destino: Arquivo para inscrição em 11/08/2018. Certidão de tombamento em 12/07/22.</t>
  </si>
  <si>
    <t xml:space="preserve">CONJUNTO DAS FORTIFICAÇÕES BRASILEIRAS - Ruínas do Forte Vera Cruz ou do Calvário</t>
  </si>
  <si>
    <t xml:space="preserve">Tombamento aprovado pelo Conselho em 11/09/2014. Englobou os processos: 888-T-73 (Forte Junqueira, Município de Corumbá/MS); 1028-T-80 (Forte da Vila de Óbidos/Forte da Serra da Escama, Óbidos, PA); 1580-T-09 (Forte Vera Cruz ou do Calvário, Município de Rosário, MA); 1504-T-02 (Forte de São Joaquim do Rio Branco, Boa Vista, RR)</t>
  </si>
  <si>
    <t xml:space="preserve">Destino: Arquivo para inscrição em 11/08/2018. Certidão de tombamento em 12/07/22.</t>
  </si>
  <si>
    <t xml:space="preserve">CONJUNTO DAS FORTIFICAÇÕES BRASILEIRAS - Forte da Vila de Óbidos, incluindo 13 canhões</t>
  </si>
  <si>
    <t>MS5005202BICA00001</t>
  </si>
  <si>
    <t>Ladário</t>
  </si>
  <si>
    <t xml:space="preserve">CONJUNTO DAS FORTIFICAÇÕES BRASILEIRAS - Base Fluvial de Ladário, incluindo 15 (quinze) peças de artilharia a carregar pela boca</t>
  </si>
  <si>
    <t>MS5003207BIED00003</t>
  </si>
  <si>
    <t xml:space="preserve">Por decisão do Conselho, o bem não contará com área de entorno, acatando parcialmente impugnação da Marinha, analisada pelo Conselho em 04/12/2014</t>
  </si>
  <si>
    <t xml:space="preserve">CONJUNTO DAS FORTIFICAÇÕES BRASILEIRAS - Forte Junqueira</t>
  </si>
  <si>
    <t xml:space="preserve">Durante a reunião do Conselho de 04/12/2014 foi apresentada os pontos georreferenciados da poligonal de entorno corrigida pelo Conselheiro Synésio, aprovada pelo Conselho.</t>
  </si>
  <si>
    <t xml:space="preserve">CONJUNTO DAS FORTIFICAÇÕES BRASILEIRAS -  Vestígios do Forte da Serra da Escama e Quartel General Gurjão</t>
  </si>
  <si>
    <t xml:space="preserve">	PA-1505106-BI-CA-00001</t>
  </si>
  <si>
    <t xml:space="preserve">Voltou ao Depam com recomendação da PF para inscrição. Certidão de tombamento em 12/07/22.</t>
  </si>
  <si>
    <t xml:space="preserve">CONJUNTO DAS FORTIFICAÇÕES BRASILEIRAS - Forte de São Joaquim do Rio Branco</t>
  </si>
  <si>
    <t> RR-1400159-BI-ED-00001</t>
  </si>
  <si>
    <t xml:space="preserve">Homologado pela PORTARIA MTUR Nº 25, DE 20 de julho de 2021.  Inscrito em 22/5/2023</t>
  </si>
  <si>
    <t>01450.012718/2010-93</t>
  </si>
  <si>
    <t xml:space="preserve">Centro Histórico de Manaus</t>
  </si>
  <si>
    <t>Depam</t>
  </si>
  <si>
    <t>AM1302603BICU00001</t>
  </si>
  <si>
    <t xml:space="preserve">Apreciado pelo Conselho Culsultivo em 2012</t>
  </si>
  <si>
    <t xml:space="preserve">Diretrizes do processo de tombamento. Estudos contratados em 2012</t>
  </si>
  <si>
    <t>01450.015058/2010-01</t>
  </si>
  <si>
    <t xml:space="preserve">Recôncavo Baiano </t>
  </si>
  <si>
    <t xml:space="preserve">Saveiro de vela de içar, de nome Sombra da Lua </t>
  </si>
  <si>
    <t>BA2927408BMAR00005</t>
  </si>
  <si>
    <t xml:space="preserve">Inscrito em 20/12/2012. Livro Histórico, v.3, f. 053, nº 613 / Livro Arqueológico, Etnog. e Paisag., v.2, f. 075, nº 162 / Livro Belas Artes, v.2, f. 071, nº 637.</t>
  </si>
  <si>
    <t>01450.015059/2010-47</t>
  </si>
  <si>
    <t xml:space="preserve">Canoa Costeira, de nome Dinamar</t>
  </si>
  <si>
    <t>MA2111300BMAR00001</t>
  </si>
  <si>
    <t xml:space="preserve">Inscrito em 18.10.2012 (Livros Histórico e Arq., Etn., Paisag.) e 06.12.2012 (Livro Belas Artes). Livro Histórico, v.3, f. 050, nº 610 / Livro Arqueológico, Etnog. e Paisag., v.2, f. 074, nº 159 / Livro Belas Artes, v.2, f. 071, nº 636.</t>
  </si>
  <si>
    <t>01450.0150.60/2010-71</t>
  </si>
  <si>
    <t xml:space="preserve">Canoa de Pranchão, de nome Tradição</t>
  </si>
  <si>
    <t>RS4315602BMAR00001</t>
  </si>
  <si>
    <t xml:space="preserve">Inscrito em 11/10/2012. Livro Histórico, v.3, f. 050, nº 609 / Livro Arqueológico, Etnog. e Paisag., v.2, f. 074, nº 158 / Livro Belas Artes, v.2, f. 071, nº 634.</t>
  </si>
  <si>
    <t xml:space="preserve">Processo não está disponível no SEI.</t>
  </si>
  <si>
    <t>01450.015061/2010-16</t>
  </si>
  <si>
    <t xml:space="preserve">ACERVO DO MUSEU NACIONAL DO MAR</t>
  </si>
  <si>
    <t>SC4216206BMAR00001</t>
  </si>
  <si>
    <t xml:space="preserve">Portaria nº 80, de 19 de junho de 2012 - Homologa o tombamento do Acervo do Museu Nacional do Mar, no Município de São Francisco do Sul, no Estado de Santa Catarina</t>
  </si>
  <si>
    <t xml:space="preserve">Ofício Nº 627/2023/CGID/DEPAM-IPHAN,  06/12/2023, orientando consulta sobre tombamento constitucional. Parecer de indeferimento de 7/11/2022. CGID: 20/05/2014. Sobrepõem-se três bens, de natureza distintas: igreja, sítio arqueológico e comunidade quilombola. </t>
  </si>
  <si>
    <t>01498.001424/2010-90</t>
  </si>
  <si>
    <t>Custódia</t>
  </si>
  <si>
    <t xml:space="preserve">IGREJA DE SÃO LUIS GONZAGA, NO SÍTIO DA FAZENDINHA, DA COMUNIDADE QUILOMBOLA DO SÍTIO CARVALHO</t>
  </si>
  <si>
    <t xml:space="preserve">MPF, Procurador da República Rodrigo Gomes Teixeira</t>
  </si>
  <si>
    <t xml:space="preserve">SE/SC: 09/02/2011. Ver observações.</t>
  </si>
  <si>
    <t>01450.015179/2010-44</t>
  </si>
  <si>
    <t xml:space="preserve">PALACETE POLIDORO SANTIAGO</t>
  </si>
  <si>
    <t xml:space="preserve">Info SE-SC (14/04/2016): O Palacete deveria estar inserido num processo de rerratificação do centro histórico de Laguna, é parte do conjunto, mesmo que não contíguo ao perímetro ou envolto por este. Seu possível valor individual está sendo analisado pelo ETEC em Laguna.</t>
  </si>
  <si>
    <t>01500.004143/2008-88</t>
  </si>
  <si>
    <t xml:space="preserve">PARQUES FONTE DA SAUDADE E SÃO JOSÉ GUILHERME MERCHIOR</t>
  </si>
  <si>
    <t>01500.002911/2009-40</t>
  </si>
  <si>
    <t xml:space="preserve">Imagem de São Sebastião, de propriedade de Guilherme Vaz Muniz Brito, localizada à rua Alambari luz, nº 563, na ilha de Paquetá</t>
  </si>
  <si>
    <t xml:space="preserve">Encaminhado para INDEFERIMENTO em 28/09/2015</t>
  </si>
  <si>
    <t>01500.005814/2010-42</t>
  </si>
  <si>
    <t xml:space="preserve">Ponte metálica em São Fidélis</t>
  </si>
  <si>
    <t>01458.004441/2010-55</t>
  </si>
  <si>
    <t>Brumadinho</t>
  </si>
  <si>
    <t xml:space="preserve">Complexo arqueológico de Brumadinho, no município de Brumadinho, estado de Minas Gerais.</t>
  </si>
  <si>
    <t xml:space="preserve">Origem: SE/SP: Destino: DEPAM. 20/12/2016. Encaminha para arquivamento.</t>
  </si>
  <si>
    <t>01450.018160/2010-50</t>
  </si>
  <si>
    <t xml:space="preserve">São Bernardo do Campo</t>
  </si>
  <si>
    <t xml:space="preserve">CONJUNTO ARQUITETÔNICO DOS ESTÚDIOS DA CIA. CINEMATOGRÁFICA VERA CRUZ </t>
  </si>
  <si>
    <t>01450.005047/2010-12</t>
  </si>
  <si>
    <t xml:space="preserve">CHÁCARA SILVESTRE</t>
  </si>
  <si>
    <t xml:space="preserve">Leopoldo Nunes da Silva Filho, Secretário de Cultura</t>
  </si>
  <si>
    <t xml:space="preserve">Encaminhado para inscrição em 13/07/2015.</t>
  </si>
  <si>
    <t>01502.000147/2009-58</t>
  </si>
  <si>
    <t xml:space="preserve">TERREIRO ZOGBODO MALE BOGUN SEJA UNDE (Roça do Ventura)</t>
  </si>
  <si>
    <t> BA-2904902-BI-ED-00030</t>
  </si>
  <si>
    <t xml:space="preserve">2011, 2014</t>
  </si>
  <si>
    <t xml:space="preserve">67, 77</t>
  </si>
  <si>
    <t xml:space="preserve">Homologação PORTARIA do MinC Nº 21, DE 25 DE MARÇO DE 2015 . </t>
  </si>
  <si>
    <t xml:space="preserve">Homologado pela portaria MTUR nº 7 de 1º de fevereiro de 2022. Tombamento provisório publicado em 11/01/2021. Certidão de tombamento em 28/03/2023.</t>
  </si>
  <si>
    <t>01458.000045/2011-30</t>
  </si>
  <si>
    <t>Londrina</t>
  </si>
  <si>
    <t xml:space="preserve">Antiga Rodoviária</t>
  </si>
  <si>
    <t xml:space="preserve">CGID. Eram 2 bens, indicação favorável ao tombamento apenas da Rodoviária. 23/08/2016 - Memorando nº 356/16 (fl. 110): o Superintendente Substituto do IPHAN-PR, José Luiz Desordi Lautert, remeteu novamente o processo ao DEPAM, assim manifestando-se: "(...) informo que, em face ao incêndio ocorrido no cine Teatro Ouro Verde e ao trabalho ainda em curso de restauração do prédio, concordamos que deva ser dado andamento ao processo de tombamento federal, ao menos por ora, especificamente da 'Antiga Rodoviária, no Município de Londrina/PR.' (0190404, fl. 110)". Encaminhado à SE em 03/01/2017 a pedido da Chefe de div. Tecnica. Processo SEI sobrestado no ACI-RJ.</t>
  </si>
  <si>
    <t xml:space="preserve">Cine Teatro Ouro Verde</t>
  </si>
  <si>
    <t>PENDÊNCIA</t>
  </si>
  <si>
    <t xml:space="preserve">Na Superintendência do IPHAN/DF desde 14/03/2011</t>
  </si>
  <si>
    <t>01450.014778/2009-15</t>
  </si>
  <si>
    <t>Valparaíso</t>
  </si>
  <si>
    <t xml:space="preserve">TERREIRO ILÊ AXÉ OPÔ AFONJÁ- ILÊ OXUM</t>
  </si>
  <si>
    <t xml:space="preserve">INDEFERIDO em 24.03.16</t>
  </si>
  <si>
    <t>01421.000002/2010-91</t>
  </si>
  <si>
    <t xml:space="preserve">IMAGEM DE SANT'ANA MESTRA QUE ACOMPANHAVA A PROCISSÃO DE SANT'ANA DE CAICÓ</t>
  </si>
  <si>
    <t xml:space="preserve">Processo INDEFERIDO em 10/10/2011.</t>
  </si>
  <si>
    <t>01450.006861/2007-41</t>
  </si>
  <si>
    <t>Boquim</t>
  </si>
  <si>
    <t xml:space="preserve">ESTAÇÃO FERROVIÁRIA DE BOQUIM</t>
  </si>
  <si>
    <t xml:space="preserve">Parecer de indeferimento de 17/12/2022 CGID: 25/03/2014. Encaminhado para tombamento. Tem análises técnicas e jurídicas, e minuta de notificação, mas não foi notificado. Processo se encontra no ETRS-RJ</t>
  </si>
  <si>
    <t>01500.000966/2011-30</t>
  </si>
  <si>
    <t xml:space="preserve">Santa Maria Madalena</t>
  </si>
  <si>
    <t xml:space="preserve">Sítio histórico de Santa Maria Madalena</t>
  </si>
  <si>
    <t xml:space="preserve">Na SE/RJ desde 05/09/2011</t>
  </si>
  <si>
    <t>01458.001583/2011-41</t>
  </si>
  <si>
    <t xml:space="preserve">HOSPITAL UNIVERSITÁRIO GAFRÉE GUINLE</t>
  </si>
  <si>
    <t xml:space="preserve">Na SE/RJ desde 10/08/2011</t>
  </si>
  <si>
    <t>01458.000650/2011-19</t>
  </si>
  <si>
    <t xml:space="preserve">INSTITUTO SUPERIOR DE EDUCAÇÃO DO RIO DE JANEIRO (ISERJ)</t>
  </si>
  <si>
    <t xml:space="preserve">Origem: DEPAM, 25/04/2013 / Destino: Superintendência, 17/06/2013 - Análise da CGBI, recomendou a inclusão de mais 3 igrejas. Mas a SE está sem equipe para dar continuidade à instrução. </t>
  </si>
  <si>
    <t>01508.000291/2011-59</t>
  </si>
  <si>
    <t xml:space="preserve">Igrejas Ucranianas do Paraná </t>
  </si>
  <si>
    <t xml:space="preserve">Processo INDEFERIDO em 28/12/2011.</t>
  </si>
  <si>
    <t>01500.002474/2011-89</t>
  </si>
  <si>
    <t xml:space="preserve">Imóvel situado à Rua dos Beneditinos, 20, Centro</t>
  </si>
  <si>
    <t>01500.000577/2011-12</t>
  </si>
  <si>
    <t>Itaperuna</t>
  </si>
  <si>
    <t xml:space="preserve">Estátua do Cristo Redentor, Itaperuna, RJ</t>
  </si>
  <si>
    <t>01500.006029/2010-15</t>
  </si>
  <si>
    <t xml:space="preserve">Antiga Usina de Bondes, localizada na Estrada do Magarça, 01 - Guaratiba, Rio</t>
  </si>
  <si>
    <t>01500.000284/2011-27</t>
  </si>
  <si>
    <t xml:space="preserve">Imóvel situado à Rua Fonte da Saudade, 281</t>
  </si>
  <si>
    <t>01500.004183/2011-25</t>
  </si>
  <si>
    <t xml:space="preserve">Imóvel situado à Rua São Clemente, 174</t>
  </si>
  <si>
    <t>01424.000137/2011-15</t>
  </si>
  <si>
    <t xml:space="preserve">Conjunto Histórico da Cidade de Macapá</t>
  </si>
  <si>
    <t>01506.000505/2011-15</t>
  </si>
  <si>
    <t xml:space="preserve">Coleção Nemirovsky</t>
  </si>
  <si>
    <t>SP-3550308-BM-CL-00004</t>
  </si>
  <si>
    <t xml:space="preserve">Homologado pela PORTARIA Nº 114, DE 18 DE DEZEMBRO DE 2017</t>
  </si>
  <si>
    <t xml:space="preserve">Solicitada vistoria em 13/5/22. Notificado. Foi para a secretaria do conselho em 02/12/2014</t>
  </si>
  <si>
    <t>01450.015190/2011-95</t>
  </si>
  <si>
    <t xml:space="preserve">Plataformas de embarque da Estação Barão de Mauá e da Estação e Oficinas de Praia Formosa</t>
  </si>
  <si>
    <t>RJ3304557BIED00104</t>
  </si>
  <si>
    <t xml:space="preserve">Instrução concluída. Indicação de Tombamento da Estação Barão de Mauá. Indicação de Arquivamento do Complexo da Prais Formosa.</t>
  </si>
  <si>
    <t xml:space="preserve">Processo INDEFERIDO em 02/08/2012.</t>
  </si>
  <si>
    <t>01458.001207/2009-32</t>
  </si>
  <si>
    <t xml:space="preserve">Antiga Estação Imperial da Quinta da Boa Vista, Localizada à Av. Oswaldo Aranha, 680, Rio de Janeiro, RJ</t>
  </si>
  <si>
    <t xml:space="preserve">Processo INDEFERIDO em 18/07/2012.</t>
  </si>
  <si>
    <t>01500.004150/2011-85</t>
  </si>
  <si>
    <t xml:space="preserve">Centro Hípico do Exército, localizado na Av. Bartolomeu de Gusmão, 453, São Cristóvão, Rio de Janeiro, RJ.</t>
  </si>
  <si>
    <t>01500.003852/2011-41</t>
  </si>
  <si>
    <t xml:space="preserve">Imóvel localizado à Rua carvalho Azevedo, 96, Lagoa, Rio de Janeiro, RJ, conhecido como "Casa Amarela", primeira residência do arquiteto Oscar Niemeyer.</t>
  </si>
  <si>
    <t xml:space="preserve">Indicada para tombamento pelo Conselho Consultivo, mas após análise, Andrey sugere não tombar.</t>
  </si>
  <si>
    <t xml:space="preserve">Em instrução pela Superintendência de SC.Informado pela Superintendência como prioritário para conclusão, conforme diagnóstico realizado em 2015</t>
  </si>
  <si>
    <t>01510.000124/2012-40</t>
  </si>
  <si>
    <t xml:space="preserve">Baleeira São José I, de Florianópolis, Santa Catarina</t>
  </si>
  <si>
    <t xml:space="preserve">Em estudo. Após telefonema da Coordenadora de Identificação e Proteção, Anna Finger, em 27/01/2012, seguido de mensagem eletrônica, decidiu-se pela abertura "virtual" do Processo de Tombamento, uma vez que havia a urgência de apresentar o número "T" no evento que o IPHAN iria participar no município no dia seguinte, sábado. Ficou acordado que a Superintendência irá encaminhar  o Processo Administrativo (01510.000124/2012-40) instruido o mais rapidamente possível. Origem: Superintendência.</t>
  </si>
  <si>
    <t>01450.001802/2012-43</t>
  </si>
  <si>
    <t xml:space="preserve">Edifício "A Noite", localizado no Praça Mauá, nº 7, Município do Rio de Janeiro</t>
  </si>
  <si>
    <t>RJ3304557BIED00096</t>
  </si>
  <si>
    <t xml:space="preserve">Homologado pela PORTARIA No- 74, DE 25 DE AGOSTO DE 2015</t>
  </si>
  <si>
    <t xml:space="preserve">Processo INDEFERIDO em 04/06/2013.</t>
  </si>
  <si>
    <t>01506.000211/2011-85</t>
  </si>
  <si>
    <t xml:space="preserve">Cine Belas Artes</t>
  </si>
  <si>
    <t xml:space="preserve">Em instrução na Superintendência. Origem: Superintendência.</t>
  </si>
  <si>
    <t xml:space="preserve">Origem: DEPAM; Destino: SE-MT, em 16/02/2016</t>
  </si>
  <si>
    <t>01425.000391/2011-03</t>
  </si>
  <si>
    <t xml:space="preserve">Complexo Arqueológico Histórico do Arraial de São Francisco Xavier</t>
  </si>
  <si>
    <t xml:space="preserve">Ofício Nº 1926/2023/DEPAM-IPHAN solicita a continuidade da instrução do processo. Solicitada a instrução à Superintendencia em 13/07/21. SE-RJ encaminhou  incompleto ao DEPAM pela 2ª vez, dizendo haver tratativas com o Diretor para a conclusão do processo. Aguardando orientações da Direção (23/08/2016, Anna)</t>
  </si>
  <si>
    <t>01500.004607/2011-51</t>
  </si>
  <si>
    <t xml:space="preserve">Casa e Coleção Heloisa Alberto Torres</t>
  </si>
  <si>
    <t xml:space="preserve">Carlos Fernando de Andrade, IPHAN-RJ</t>
  </si>
  <si>
    <t xml:space="preserve">Pedidos esclarecimentos sobre a definião do bem, 20/11/2021. Retornou da SE/SC com proposta revisada para notificação</t>
  </si>
  <si>
    <t>01510.001314/2009-89</t>
  </si>
  <si>
    <t xml:space="preserve">Remanescentes do Caminho do Viamão, situado entre os Estados do Rio Grande do Sul e de Santa Catarina</t>
  </si>
  <si>
    <t>01500.000715/2010-74</t>
  </si>
  <si>
    <t xml:space="preserve">Sede do America Football Club, sutuada à Rua Campos Sales, n.18, Bairro Tijuca, Município do Rio de Janeiro, Estado do Rio de Janeiro.</t>
  </si>
  <si>
    <t xml:space="preserve">Encaminhado para INDEFERIMENTO em 20/09/2016</t>
  </si>
  <si>
    <t>01450.007165/2012-19</t>
  </si>
  <si>
    <t xml:space="preserve">Sítio Histórico Vila Vinhais Velho</t>
  </si>
  <si>
    <t xml:space="preserve">Passou pela câmara de bens móveis em 15/05/19 e foi devolvido à SE/RJ para instrução 6/4/2022</t>
  </si>
  <si>
    <t>01500.000549/2012-78</t>
  </si>
  <si>
    <t xml:space="preserve">Coleção de Postais de Elysio Custódio Gonçalves de Oliveira Belchior</t>
  </si>
  <si>
    <t>RJ-3304557-BM-CL-00005</t>
  </si>
  <si>
    <t xml:space="preserve">Verificar com SE-GO</t>
  </si>
  <si>
    <t>01450.007172/2012-11</t>
  </si>
  <si>
    <t>Trindade</t>
  </si>
  <si>
    <t xml:space="preserve">Santuário Matriz do Divino Pai Eterno</t>
  </si>
  <si>
    <t>GO5221403BIED00001</t>
  </si>
  <si>
    <t xml:space="preserve">Homologação: Portaria nº 102, de 23 de setembro de 2014</t>
  </si>
  <si>
    <t xml:space="preserve">Processo INDEFERIDO em 14/09/2012.</t>
  </si>
  <si>
    <t>01506.002290/2010-88</t>
  </si>
  <si>
    <t xml:space="preserve">Prédio e Terreno da Ex-Fábrica Japy na Vila Arens</t>
  </si>
  <si>
    <t xml:space="preserve">Indicação de arquivamento. Envio ao Arquivo Central para abertura de processo de tombamento. Origem: DEPAM / Destino: Arquivo Central.</t>
  </si>
  <si>
    <t>01500.001007-2012-12</t>
  </si>
  <si>
    <t xml:space="preserve">Sede do São Cristovão Futebol de Regatas</t>
  </si>
  <si>
    <t>01500.002792/2012-21</t>
  </si>
  <si>
    <t xml:space="preserve">Casa da Flor, sita à Estrada dos Passageiros, 232, Município de São Pedro da Aldeia, Estado do Rio de Janeiro</t>
  </si>
  <si>
    <t>RJ-3305208-BI-ED-00002</t>
  </si>
  <si>
    <t xml:space="preserve">Processo INDEFERIDO em 18/01/2013.</t>
  </si>
  <si>
    <t>01500.004951/2009-26</t>
  </si>
  <si>
    <t xml:space="preserve">Conjunto da Estação Ferroviária Conde de Araruama</t>
  </si>
  <si>
    <t xml:space="preserve">Origem: DEPAM, destino: Conselho, em 30/11/2016.</t>
  </si>
  <si>
    <t>01500.003136/2012-45</t>
  </si>
  <si>
    <t xml:space="preserve">Prédio das Antigas Docas Dom Pedro II, incluindo sua Pedra Fundamental e objetos contidos no interior da "Capsula do Tempo"</t>
  </si>
  <si>
    <t>RJ-3304557-BI-ED-00112</t>
  </si>
  <si>
    <t xml:space="preserve">Enviado a Superintendência para instrução. Origem: DEPAM / Destino: Superintendência 08/10/2012</t>
  </si>
  <si>
    <t xml:space="preserve">01450.010833/2005-66
01450.015165/2005-63</t>
  </si>
  <si>
    <t xml:space="preserve">Joaquim José da Natividade</t>
  </si>
  <si>
    <t>01500.006027/2010-18</t>
  </si>
  <si>
    <t xml:space="preserve">Ponte Eurico Gaspar Dutra, sito à Estrada Burle Marx, Guaratiba</t>
  </si>
  <si>
    <t>01450.001167/2005-75</t>
  </si>
  <si>
    <t xml:space="preserve">Estádio de Remo, situado à Lagoa Rodrigo de Freitas</t>
  </si>
  <si>
    <t xml:space="preserve">INDEFERIDO em 09/08/2021</t>
  </si>
  <si>
    <t>01516.000177/2002-39</t>
  </si>
  <si>
    <t>Morrinhos</t>
  </si>
  <si>
    <t xml:space="preserve">Casa de Morrinhos, situada na Av. Coronel Pedro Nunes 116</t>
  </si>
  <si>
    <t xml:space="preserve">Processo INDEFERIDO em 14/05/2013.</t>
  </si>
  <si>
    <t xml:space="preserve">01458.001506/2012-72 </t>
  </si>
  <si>
    <t xml:space="preserve">Aeroporto Santos Dumont e seu entorno</t>
  </si>
  <si>
    <t>01500.002573/2012-41</t>
  </si>
  <si>
    <t xml:space="preserve">Praça Governador Portela</t>
  </si>
  <si>
    <t>01419.000251/2012-97</t>
  </si>
  <si>
    <t xml:space="preserve">São Marcos</t>
  </si>
  <si>
    <t xml:space="preserve">Sítio Arquelógico Pedra Pintada, situado na Terra Indígena São Marco</t>
  </si>
  <si>
    <t xml:space="preserve">José Carlos Souza Rodrigues Junot</t>
  </si>
  <si>
    <t xml:space="preserve">ATA DE REUNIÃO de  22/022024: CGID comprometeu-se a entrar em contato com o IPHAN-MG, para alinhamento das tratativas e oficiar a Prefeitura Municipal de Caxambu, encaminhando a lista dos documentos necessários, sendo eles: Certidão de Propriedade, Termo de Concessão de Uso do Parque à Municipalidade, Georreferenciamento da área do município e informações atualizadas sobre a revisão do Plano Diretor de Caxambu; CGID: 29/05/2014. Processo foi encaminhado à SE/MG em 09/06/2014</t>
  </si>
  <si>
    <t>01450.004470/2013-30</t>
  </si>
  <si>
    <t xml:space="preserve">Parque das Águas de Caxambu</t>
  </si>
  <si>
    <t xml:space="preserve">Promotor de Justiça Marcos Paulo de Souza Miranda</t>
  </si>
  <si>
    <t xml:space="preserve">Parecer de indeferimento de 24/11/2021</t>
  </si>
  <si>
    <t>01500.002714/2009-21</t>
  </si>
  <si>
    <t>Japeri</t>
  </si>
  <si>
    <t xml:space="preserve">Antiga Estação Ferroviária de Japeri</t>
  </si>
  <si>
    <t xml:space="preserve">Processo INDEFERIDO em 27/06/2013.</t>
  </si>
  <si>
    <t>01500.001478/2012-21</t>
  </si>
  <si>
    <t xml:space="preserve">Igreja de São Francisco Xavier, Praça Luis Guanella, 120</t>
  </si>
  <si>
    <t xml:space="preserve">INDEFERIDO  em 24/11/2014</t>
  </si>
  <si>
    <t>01500.002708/2012-79</t>
  </si>
  <si>
    <t xml:space="preserve">Crucifixo da Paróquia de Santo Afonso, Barra da Tijuca</t>
  </si>
  <si>
    <t xml:space="preserve">Processo INDEFERIDO em 18/10/2013.</t>
  </si>
  <si>
    <t>01500.002371/2012-08</t>
  </si>
  <si>
    <t xml:space="preserve">Quartel General da Polícia Militar do estado do Rio de Janeiro, especialmente a Capela de Nossa Senhora das Dores</t>
  </si>
  <si>
    <t xml:space="preserve">Processo INDEFERIDO em 08/10/2013.</t>
  </si>
  <si>
    <t>01500.002210/2013-97</t>
  </si>
  <si>
    <t xml:space="preserve">IGREJA E IMÓVEIS DA PAROQUIA DE SÃO JOSÉ EM MAGALHÃES BASTOS</t>
  </si>
  <si>
    <t>01496.000606/2013-14</t>
  </si>
  <si>
    <t>Capistrano</t>
  </si>
  <si>
    <t xml:space="preserve">Estação Ferroviária de Capistrano</t>
  </si>
  <si>
    <t xml:space="preserve">Processo INDEFERIDO em 07/11/2013.</t>
  </si>
  <si>
    <t>01500.002840/2012-81</t>
  </si>
  <si>
    <t xml:space="preserve">PraçaNossa Senhora da Paz e Igreja de Nossa Senhora da Paz</t>
  </si>
  <si>
    <t xml:space="preserve">Processo INDEFERIDO em 08/11/2013.</t>
  </si>
  <si>
    <t>01500.004109/2012-90</t>
  </si>
  <si>
    <t xml:space="preserve">Capela de Nossa Senhora da Conceição e Armazém Fiel</t>
  </si>
  <si>
    <t xml:space="preserve">Encaminhado à SE/MG em 28/02/2014</t>
  </si>
  <si>
    <t>01450.008657/2013-11</t>
  </si>
  <si>
    <t xml:space="preserve">São Lourenço</t>
  </si>
  <si>
    <t xml:space="preserve">Recursos Hídricos do Parque das Águas</t>
  </si>
  <si>
    <t xml:space="preserve">Processo INDEFERIDO em 26/08/2014. DESPACHO 7.2017 ACI-RJ/DIVDOC/CODIN/COPEDOC/DAF à reabertura do processo de tombamento nº 1679-T-13 27/10/2017.</t>
  </si>
  <si>
    <t>01450.007417/2006-61</t>
  </si>
  <si>
    <t xml:space="preserve">Foz do Iguaçu</t>
  </si>
  <si>
    <t xml:space="preserve">Parque Nacional do Iguaçu</t>
  </si>
  <si>
    <t xml:space="preserve">Processo INDEFERIDO em 12/11/2013.</t>
  </si>
  <si>
    <t>01500.002605/2013-90</t>
  </si>
  <si>
    <t xml:space="preserve">Casa de Pedra, situada à Avenida Atlântica,  2692, Copacabana</t>
  </si>
  <si>
    <t>01450.002512/2013-06</t>
  </si>
  <si>
    <t xml:space="preserve">Vila Belga</t>
  </si>
  <si>
    <t xml:space="preserve">Pedido de tombamento recebido, encaminhado à Superintendência do RS para manifestação preliminar</t>
  </si>
  <si>
    <t xml:space="preserve">Encaminhado à SE/RJ em 09/11/2021</t>
  </si>
  <si>
    <t>01458.000940/2008-59</t>
  </si>
  <si>
    <t xml:space="preserve">Belfford Roxo</t>
  </si>
  <si>
    <t xml:space="preserve">Culto Corte Real da Nação de Ijexá - Ilê Ti Osum Omi Iya Iiya Oba Ti òdô Ti Ogum Alé</t>
  </si>
  <si>
    <t xml:space="preserve">Encaminhado para Superintendência para instrução</t>
  </si>
  <si>
    <t>01450.002898/2006-19</t>
  </si>
  <si>
    <t xml:space="preserve">Espaço Religioso Cultural Afro Brasileiro - Megito Pai Dancy</t>
  </si>
  <si>
    <t xml:space="preserve">Encaminhado à Superintendência</t>
  </si>
  <si>
    <t>01450.013702/2013-41</t>
  </si>
  <si>
    <t>Pedreiras</t>
  </si>
  <si>
    <t xml:space="preserve">Santuário de São Benedito</t>
  </si>
  <si>
    <t xml:space="preserve">Origem: DEPAM. Destino: Presidência, em 18/08/2015. Foi estraviado e reconstituído. Encaminhado novamento para indeferimento em 04/02/2019.</t>
  </si>
  <si>
    <t>01458.001444/2013-80</t>
  </si>
  <si>
    <t>Tanguá</t>
  </si>
  <si>
    <t xml:space="preserve">Edificações fabris da massa falida da Companhia Brasileira de Antibióticos - CIBRAN</t>
  </si>
  <si>
    <t xml:space="preserve">Alair de Souza Brandão, Presidente da Câmara Municipal de Tanguá/RJ</t>
  </si>
  <si>
    <t>01421001863/2013-66</t>
  </si>
  <si>
    <t xml:space="preserve">Edifício onde funcionava o Cine Rio Grande, Localizado à Avenida Deodoro da Fonseca, número 645, Cidade Alta, no município de Natal, Estado do Rio Grande do Norte</t>
  </si>
  <si>
    <t xml:space="preserve">INDEFERIDO em 2014</t>
  </si>
  <si>
    <t>01500.001938/2008-34</t>
  </si>
  <si>
    <t xml:space="preserve">Igreja Matriz de Nossa Senhora da Conceição de Rio Bonito</t>
  </si>
  <si>
    <t xml:space="preserve"> 19/06/2023</t>
  </si>
  <si>
    <t xml:space="preserve">parecer de indeferimento de 6/11/2022. Ofício Nº 628/2023/CGID/DEPAM-IPHAN, 07/12/2023,  orientando a consulta à comunidade sobre o interesse no tombamento segundo  Portaria 135/2023.</t>
  </si>
  <si>
    <t>01450.011623/2006-76</t>
  </si>
  <si>
    <t xml:space="preserve">Morro Alto</t>
  </si>
  <si>
    <t xml:space="preserve">Território Quilombola de Morro Alto</t>
  </si>
  <si>
    <t xml:space="preserve">MPF no RS</t>
  </si>
  <si>
    <t xml:space="preserve">INDEFERIDO em 20/09/21</t>
  </si>
  <si>
    <t>01421.001522/2013-63</t>
  </si>
  <si>
    <t xml:space="preserve">Hotel Reis Magos</t>
  </si>
  <si>
    <t xml:space="preserve">INDEFERIDO em 07/11/2014</t>
  </si>
  <si>
    <t>01450.005084/2004-74</t>
  </si>
  <si>
    <t xml:space="preserve">Casarão Born</t>
  </si>
  <si>
    <t xml:space="preserve">Afonso José dos Santos Filho, Secretário Municipal da Organização do Lazer/ Prefeitura Municipal de Biguaçu</t>
  </si>
  <si>
    <t xml:space="preserve">Notificado em 25/08/2015. Homologado em 16/11/2023, Portaria Minc nº 66 (DOU Seção 1 17/11/2023)</t>
  </si>
  <si>
    <t>01514.001197/2013-08</t>
  </si>
  <si>
    <t xml:space="preserve">Conjunto Arquitetônico e Paisagístico do Museu Mariano Procópio</t>
  </si>
  <si>
    <t xml:space="preserve">Douglas Fasolato, Diretor Superintendente da Fundação Museu Mariano Procópio</t>
  </si>
  <si>
    <t>MG-3136702-BI-CA-00001</t>
  </si>
  <si>
    <t>01496.000655/2010-04</t>
  </si>
  <si>
    <t xml:space="preserve">Estátua do Padre Cícero Romão Batista</t>
  </si>
  <si>
    <t xml:space="preserve">Encaminhado para SE/DF em 09/04/2014</t>
  </si>
  <si>
    <t>01450.006665/2011-52</t>
  </si>
  <si>
    <t xml:space="preserve">Edifício denominado "Beijódromo", sede da Fundação Darcy Ribeiro, na UnB</t>
  </si>
  <si>
    <t xml:space="preserve">Encaminhado à SE-MG em 24/04/2014</t>
  </si>
  <si>
    <t>01450.007345/2013-81</t>
  </si>
  <si>
    <t>Cambuquira</t>
  </si>
  <si>
    <t xml:space="preserve">Parque das Águas de Cambuquira</t>
  </si>
  <si>
    <t>01504.001490/2013-86</t>
  </si>
  <si>
    <t xml:space="preserve">Igreja de São Pedro e Cemitério, localizados na Aldeia dos Índios Xocó, na Ilha de São Pedro</t>
  </si>
  <si>
    <t xml:space="preserve">Para análise da CGID</t>
  </si>
  <si>
    <t>01419.000279/2012-24</t>
  </si>
  <si>
    <t xml:space="preserve">Boa Vista</t>
  </si>
  <si>
    <t xml:space="preserve">Conjunto Arquitetônico da Fazenda São Marcos</t>
  </si>
  <si>
    <t>01419.000006/2011-07</t>
  </si>
  <si>
    <t xml:space="preserve">Casa da Cultura Madre leotávia Zoller</t>
  </si>
  <si>
    <t>01419.000545/2012-19</t>
  </si>
  <si>
    <t>Caracaraí</t>
  </si>
  <si>
    <t xml:space="preserve">Corredeiras do Bem Querer</t>
  </si>
  <si>
    <t xml:space="preserve">Encaminhado para arquivamento em 20/12/2018</t>
  </si>
  <si>
    <t>01458.000829/2014-19</t>
  </si>
  <si>
    <t xml:space="preserve">Dois Corrégos</t>
  </si>
  <si>
    <t xml:space="preserve">Estação Ferroviária de Dois Córregos</t>
  </si>
  <si>
    <t xml:space="preserve">Sr. Lars Schmidt Grael, Secretário de Estado do Governo do Estado de São Paulo</t>
  </si>
  <si>
    <t xml:space="preserve">Origem: DEPAM. Destino: SE-SP. 25/08/2014</t>
  </si>
  <si>
    <t>01450.000926/2014-73</t>
  </si>
  <si>
    <t xml:space="preserve">Acervo da RFFSA, reunido no Museu Ferroviário da Companhia Paulista de Estradas de Ferro</t>
  </si>
  <si>
    <t xml:space="preserve">Solicitada a instrução em 29/SE-AM: 15/08/2014</t>
  </si>
  <si>
    <t>01450.013309/2013-57</t>
  </si>
  <si>
    <t>Tefé</t>
  </si>
  <si>
    <t xml:space="preserve">Seminário de Tefé</t>
  </si>
  <si>
    <t xml:space="preserve">Processo INDEFERIDO em 22/07/2014.</t>
  </si>
  <si>
    <t>01401.000560/2013-37</t>
  </si>
  <si>
    <t>Miranda</t>
  </si>
  <si>
    <t xml:space="preserve">Cidade de Miranda</t>
  </si>
  <si>
    <t>01500.005025/2012-73</t>
  </si>
  <si>
    <t xml:space="preserve">Edifício Paysandú</t>
  </si>
  <si>
    <t xml:space="preserve">Processo Indeferido em 05/07/2021</t>
  </si>
  <si>
    <t>01458.000949/2014-16</t>
  </si>
  <si>
    <t xml:space="preserve">Antigo Instituto João Alves Afonso, de propriedade da Sociedade Amante da Instrução, situado à Rua Ipiranga, 70, Laranjeiras</t>
  </si>
  <si>
    <t xml:space="preserve">Imperial Sociedade Amante da Instrução</t>
  </si>
  <si>
    <t xml:space="preserve">aguardando deliberação da diretoria do Depam</t>
  </si>
  <si>
    <t>01506.002184/2008-80</t>
  </si>
  <si>
    <t xml:space="preserve">Estádio da Vila Euclides</t>
  </si>
  <si>
    <t xml:space="preserve">Paulismar Duarte, presidente da "SOS Chácara Silvestre"</t>
  </si>
  <si>
    <t xml:space="preserve">Processo aberto na PF (oficio 1134) e na COTEC/IPHAN/RJ. Ofício Nº 375/2023/CGID/DEPAM-IPHAN solicita manifestação da PF. Ofício Nº 1134/2023/DEPAM-IPHAN encaminha a PF para apreciação.</t>
  </si>
  <si>
    <t>01500.003629/2013-66</t>
  </si>
  <si>
    <t xml:space="preserve">Prédio do DOI-CODI</t>
  </si>
  <si>
    <t xml:space="preserve">Antonio do Passo Cabral, Procurador da República no Estado do Rio de Janeiro</t>
  </si>
  <si>
    <t xml:space="preserve">Parecer de indeferimento de 10/07/2022. Encaminhado à SE-MG em 15/07/2020</t>
  </si>
  <si>
    <t>01450.010460/2014-14</t>
  </si>
  <si>
    <t xml:space="preserve">Peça escultórica denominada Samaritana, de autoria atribuída a Antônio Francisco Lisboa, o Aleijadinho</t>
  </si>
  <si>
    <t>01458.001285/2014-02</t>
  </si>
  <si>
    <t>Chapecó</t>
  </si>
  <si>
    <t xml:space="preserve">Capela São Carlos</t>
  </si>
  <si>
    <t xml:space="preserve">Vereadores Marcilei Vignatti e Cleiton Fossá, e Deputado Federal Pedro Uczai</t>
  </si>
  <si>
    <t xml:space="preserve">Info SE-SC (14/03/2016): Sob responsabilidade da arquiteta Marina Cañas para fundamentação do parecer. Assim como a Igreja São João Batista, não parece ter, individualmente, relevância significativa para tombamento nacional. Um eventual interesse estaria atrelado à arquitetura de madeira da região oeste do estado, onde se configurou o que pode-se chamar de segunda etapa do processo de imigração do Sul do Brasil, com lugarejos formados a partir da migração interna de imigrantes italianos que vieram, no século XIX, para o Rio Grande do Sul. Caberia complementação dos estudos, numa nova frente de proteção.</t>
  </si>
  <si>
    <t>01450.007865/2014-75</t>
  </si>
  <si>
    <t xml:space="preserve">Igreja São João Batista, localizada na Linha Serrinha</t>
  </si>
  <si>
    <t xml:space="preserve">Info SE-SC (14/03/2016): Sob responsabilidade da arquiteta Marina Cañas para fundamentação do parecer. Assim como a Capela São Carlos, não parece ter, individualmente, relevância significativa para tombamento nacional. Um eventual interesse estaria atrelado à arquitetura de madeira da região oeste do estado, onde se configurou o que pode-se chamar de segunda etapa do processo de imigração do Sul do Brasil, com lugarejos formados a partir da migração interna de imigrantes italianos que vieram, no século XIX, para o Rio Grande do Sul. Caberia complementação dos estudos, numa nova frente de proteção.</t>
  </si>
  <si>
    <t xml:space="preserve">INDEFERIDO em 11/09/2019</t>
  </si>
  <si>
    <t>01450.006895/2007-35</t>
  </si>
  <si>
    <t>Guanambi</t>
  </si>
  <si>
    <t xml:space="preserve">Terreiro de Aché Ilê Cicôngo Roxo Mucumbe de H'anzambi</t>
  </si>
  <si>
    <t xml:space="preserve">Wilson Souza Mota, Sacerdote-Afro Diretor do Terreiro</t>
  </si>
  <si>
    <t xml:space="preserve">Origem: DEPAM. Destino: SE-PE, em 29/20/2014</t>
  </si>
  <si>
    <t>01498.001275/2014-92</t>
  </si>
  <si>
    <t xml:space="preserve">Conjunto da obra do arquiteto Luiz Nunes e seus colaboradores</t>
  </si>
  <si>
    <t xml:space="preserve">DOCOMOMO Brasil</t>
  </si>
  <si>
    <t xml:space="preserve">INDEFERIDO em 21.10.14</t>
  </si>
  <si>
    <t>01500.002841/2014-97</t>
  </si>
  <si>
    <t xml:space="preserve">Sede da Fazenda Magepe-Mirim</t>
  </si>
  <si>
    <t xml:space="preserve">Antonio Seixas, Presidente do Conselho Municipal de Política Cultural de Magé</t>
  </si>
  <si>
    <t xml:space="preserve">Ofício Nº 79/2024/GAB PRESI/PRESI-IPHAN, 08/01/2024, solicita a homologação. Ofício Nº 49/2024/DEPAM-IPHAN solicita verificar quanto a homologação. DEPAM e CNA responsáveis pela instrução técnica</t>
  </si>
  <si>
    <t>01410.000094/2007-32</t>
  </si>
  <si>
    <t xml:space="preserve">Sítios Arqueológicos de Estrutura de Terra Geoglifos</t>
  </si>
  <si>
    <t xml:space="preserve">MPF, Procurador da República Anselmo Henrique Cordeiro Lopes</t>
  </si>
  <si>
    <t xml:space="preserve">CGID: 29/10/2014 INDEFERIDO em 08/01/2015 enviado para Arquivo Central</t>
  </si>
  <si>
    <t>01500.003031/2014-58</t>
  </si>
  <si>
    <t xml:space="preserve">Cachoeira de Macacu</t>
  </si>
  <si>
    <t xml:space="preserve">Prédio do antigo Grupo Escolar Quintino Bocaiuva</t>
  </si>
  <si>
    <t xml:space="preserve">Isabel Jovita Rodrigues da Costa</t>
  </si>
  <si>
    <t xml:space="preserve">INDEFERIDO em 06/07/2020 (a ele foi apensado o processo nº 1096-T-83)</t>
  </si>
  <si>
    <t>01450.010526/2014-76</t>
  </si>
  <si>
    <t xml:space="preserve">Conjunto Arquitetônico e Paisagístico Ferroviário de Ribeirão Vermelho</t>
  </si>
  <si>
    <t xml:space="preserve">Instituto Estadual do Patrimônio Histórico e Artístico de Minas Gerais - IEPHA (Fernando Viana Cabral - Presidente)</t>
  </si>
  <si>
    <t xml:space="preserve">Solicitada instrução em 30/11/2022. aguardando Nota Técnica com orientações para  em caminhar a SE</t>
  </si>
  <si>
    <t>01500.003464/2009-46</t>
  </si>
  <si>
    <t xml:space="preserve">São João do Meriti</t>
  </si>
  <si>
    <t xml:space="preserve">Terreiro Ilê Omulu Oxum</t>
  </si>
  <si>
    <t xml:space="preserve">Mãe Meninazinha de Oxum (Maria do Nascimento)</t>
  </si>
  <si>
    <t xml:space="preserve">Origem: DEPAM. Destino: SE-AL, em 25/11/2014.</t>
  </si>
  <si>
    <t>01458.001287/2014-93</t>
  </si>
  <si>
    <t xml:space="preserve">Mata Grande</t>
  </si>
  <si>
    <t xml:space="preserve">Cadeia Pública do Município de Mata Grande</t>
  </si>
  <si>
    <t xml:space="preserve">Paulão (Deputado PT/AL)</t>
  </si>
  <si>
    <t xml:space="preserve">Origem: DEPAM. Destino: SE-MG, em 25/11/2014.</t>
  </si>
  <si>
    <t>01450.012318/2011-69</t>
  </si>
  <si>
    <t xml:space="preserve">Conjunto de residências pertencentes à família Cambraia de Azevedo, juntamente com a Praça Dr. Augusto Silva</t>
  </si>
  <si>
    <t xml:space="preserve">Conselho Deliberativo Municipal do Patrimônio Cultural de Lavras</t>
  </si>
  <si>
    <t xml:space="preserve">INDEFERIDO em 31.10.14</t>
  </si>
  <si>
    <t>01450.011510/2011-38</t>
  </si>
  <si>
    <t xml:space="preserve">Área de interesse natural e histórico no Bairro de Morumbi</t>
  </si>
  <si>
    <t xml:space="preserve">sem data (2011?)</t>
  </si>
  <si>
    <t xml:space="preserve">Associação Morumbi Melhor</t>
  </si>
  <si>
    <t xml:space="preserve">Encaminhado para INDEFERIMENTO em 19/11/2015</t>
  </si>
  <si>
    <t>01409.000127/2012-41</t>
  </si>
  <si>
    <t xml:space="preserve">Sítio da Praia do Ribeiro</t>
  </si>
  <si>
    <t xml:space="preserve">Henedina Dias Nogueira</t>
  </si>
  <si>
    <t xml:space="preserve">Origem: DEPAM. Destino: SE-BA, em 25/11/2014</t>
  </si>
  <si>
    <t>01450.011028/2014-41</t>
  </si>
  <si>
    <t xml:space="preserve">Santa Brígida</t>
  </si>
  <si>
    <t xml:space="preserve">Museu e Casa do Beato Pedro Batista</t>
  </si>
  <si>
    <t>01458.001294/2014-95</t>
  </si>
  <si>
    <t xml:space="preserve">Serra do Galeão</t>
  </si>
  <si>
    <t xml:space="preserve">INDEFERIDO em 29/12/2014</t>
  </si>
  <si>
    <t>01510.000044/2003-01</t>
  </si>
  <si>
    <t xml:space="preserve">Antigo Campo de Pouso denominado 'Campo de Aviação'</t>
  </si>
  <si>
    <t xml:space="preserve">Associação de Moradores do Campeche</t>
  </si>
  <si>
    <t xml:space="preserve">INDEFERIDO em 14.11.2014</t>
  </si>
  <si>
    <t>01551.000282/2006-75</t>
  </si>
  <si>
    <t xml:space="preserve">Cidade Ocidental</t>
  </si>
  <si>
    <t xml:space="preserve">Usina Hidrelétrica de Saia Velha</t>
  </si>
  <si>
    <t xml:space="preserve">23/07/2007
27/02/2008
17/12/2008
06/11/2009</t>
  </si>
  <si>
    <t xml:space="preserve">Alexandre Xavier de Souza Rocha, Promotor de Justiça de Cidade Ocidental (fl. 46)/ GDF: José Carlos Córdova Coutinho, Diretor do DePHA (f. 68); Carlos Roberto Silva, Presidente da Osaff (fls. 69-74); Gilberto Lopes de Oliveira, Sócio-Gerente da Águas Correntes Saia Velha LTDA. (fls.106-107)</t>
  </si>
  <si>
    <t>01450.009085/2010-36</t>
  </si>
  <si>
    <t xml:space="preserve">Floresta Amazônica</t>
  </si>
  <si>
    <t>01506.004264/2013-37</t>
  </si>
  <si>
    <t xml:space="preserve">Sesc Pompeia</t>
  </si>
  <si>
    <t>SP-3550308-BI-CA-00008</t>
  </si>
  <si>
    <t xml:space="preserve">Conselho recomendou instrução de processo para incluir os bens móveis e integrados.</t>
  </si>
  <si>
    <t xml:space="preserve">INDEFERIDO em 30/09/2015.</t>
  </si>
  <si>
    <t>01496.001139/2014-12</t>
  </si>
  <si>
    <t xml:space="preserve">Praça Portugal, localizada no município de Fortaleza, estado do Ceará</t>
  </si>
  <si>
    <t xml:space="preserve">Pedida a instrução em 11/11/2021. Encaminhado à SE/RJ em 13/04/2015</t>
  </si>
  <si>
    <t>01450.011149/2014-92</t>
  </si>
  <si>
    <t xml:space="preserve">Prédio e acervo da Rádio MEC</t>
  </si>
  <si>
    <t>17/11/204</t>
  </si>
  <si>
    <t xml:space="preserve">Ministério Público Federal/PR/RJ</t>
  </si>
  <si>
    <t xml:space="preserve">INDEFERIDO em 23.03.2015</t>
  </si>
  <si>
    <t>01458.001208/2009-87</t>
  </si>
  <si>
    <t xml:space="preserve">Solar do Marquês do Lavradio</t>
  </si>
  <si>
    <t xml:space="preserve">Origem: DEPAM. Destino: Presidência, para indeferimento, em 26/04/2016</t>
  </si>
  <si>
    <t>01400.001780/2015-50</t>
  </si>
  <si>
    <t xml:space="preserve">Pátio Ferroviário das Cinco Pontas</t>
  </si>
  <si>
    <t xml:space="preserve">Militantes do movimetno Ocupe Estelita</t>
  </si>
  <si>
    <t xml:space="preserve">INDEFERIDO em 5/11/2021. Origem: DEPAM. Destino: SE-BA, em 13/04/2014</t>
  </si>
  <si>
    <t>01450.003068/2015-08</t>
  </si>
  <si>
    <t>Itaitê</t>
  </si>
  <si>
    <t xml:space="preserve">Gruta do Poço Encantado</t>
  </si>
  <si>
    <t>MPF</t>
  </si>
  <si>
    <t>01506.004042/2014-03</t>
  </si>
  <si>
    <t xml:space="preserve">Edifício Sede do IAB - Departamento de São Paulo</t>
  </si>
  <si>
    <t>IAB/SP</t>
  </si>
  <si>
    <t>SP3550308BIED00016</t>
  </si>
  <si>
    <t xml:space="preserve">Homologação: PORTARIA Nº 301, DE 17 DE OUTUBRO DE 2016</t>
  </si>
  <si>
    <t xml:space="preserve">INDEFERIDO em 30/05/2016</t>
  </si>
  <si>
    <t>01450.005286/2015-79</t>
  </si>
  <si>
    <t xml:space="preserve">Catedral Metropolitana de Aracaju</t>
  </si>
  <si>
    <t xml:space="preserve">Senador/ Arcebispo</t>
  </si>
  <si>
    <t>01500.000155/2015-62</t>
  </si>
  <si>
    <t xml:space="preserve">Imóvel à Praça da República, nº 22</t>
  </si>
  <si>
    <t>MPF/RJ</t>
  </si>
  <si>
    <t xml:space="preserve">Encaminhada à COTEC IPHAN/RJ em 05/05/2024. Memorando nº 8/2019/IPHAN-RJ e PARECER TÉCNICO nº 144/2017/COTEC IPHAN-RJ/IPHAN-RJ (deferimento) Ofício 63 (5323271)</t>
  </si>
  <si>
    <t>01500.002367/2010-70</t>
  </si>
  <si>
    <t xml:space="preserve">Mosteiro de São Bento, localizado no distrito de Mussurepe</t>
  </si>
  <si>
    <t xml:space="preserve">Mosterio de São Bento do Rio de Janeiro</t>
  </si>
  <si>
    <t xml:space="preserve">encaminhado para indeferimento em 23/01/2019</t>
  </si>
  <si>
    <t>01500.005013/2010-87</t>
  </si>
  <si>
    <t xml:space="preserve">Casa de Cultura Macedo Miranda, antiga Casa de Câmara e Cadeia</t>
  </si>
  <si>
    <t xml:space="preserve">Presidente da Fundação  Casa de Cultura Macedo Miranda</t>
  </si>
  <si>
    <t xml:space="preserve">Parecer de indeferimento de 15/05/22. Encaminhado à SE/RJ em 18/06/2015</t>
  </si>
  <si>
    <t>01500.002840/2014-42</t>
  </si>
  <si>
    <t xml:space="preserve">Sede Social da Real Fábrica de Pólvora da Estrela</t>
  </si>
  <si>
    <t xml:space="preserve">Conselho Municipal de Política Cultural de Magé</t>
  </si>
  <si>
    <t xml:space="preserve">SE-GO fez parecer de infeferimento, mas Depam respondeu solicitando reenquadramento do objeto em 8/5/2023.</t>
  </si>
  <si>
    <t>01450.000300/2015-48</t>
  </si>
  <si>
    <t xml:space="preserve">Casa de Dona Pereira Braga, localizada no município de Cidade Ocidental</t>
  </si>
  <si>
    <t xml:space="preserve">01500.000794/2008-07 </t>
  </si>
  <si>
    <t xml:space="preserve">Palacete Finazinha Queiroz, atual Casa de Cultura Vila Maria</t>
  </si>
  <si>
    <t xml:space="preserve">Universidade Estadual do Norte Fluminense Darcy Ribeiro</t>
  </si>
  <si>
    <t xml:space="preserve">INDEFERIDO em 06/07/2020</t>
  </si>
  <si>
    <t>01500.003087/2014-11</t>
  </si>
  <si>
    <t xml:space="preserve">Prédio do Mercado Municipal de Campos dos Goytacazes</t>
  </si>
  <si>
    <t xml:space="preserve">Petição assinada por Professores de várias instituições</t>
  </si>
  <si>
    <t xml:space="preserve">Encaminhado à SE-SP em 28/3/2023 para complementação da instrução.</t>
  </si>
  <si>
    <t>01450.003200/2015-73</t>
  </si>
  <si>
    <t xml:space="preserve">Edifício Sede da Biblioteca Mário de Andrade e sua coleção de obras raras e especiais</t>
  </si>
  <si>
    <t xml:space="preserve">Secretário de Cultura do Município de São Paulo, Nabil Bonduki/ Diretor da Biblioteca Mario de Andrade, Luiz Bagolin</t>
  </si>
  <si>
    <t>01500.001554/2015-41</t>
  </si>
  <si>
    <t xml:space="preserve">Acervo da Casa da Força Expedicionária Brasileira</t>
  </si>
  <si>
    <t xml:space="preserve">Solicitada a instruçao em 29/06/2022</t>
  </si>
  <si>
    <t>01450.006050/2015-50</t>
  </si>
  <si>
    <t xml:space="preserve">Terreiro Banda Lecongo</t>
  </si>
  <si>
    <t>GTIT</t>
  </si>
  <si>
    <t>01450.007221/2015-68</t>
  </si>
  <si>
    <t xml:space="preserve">Santo Amaro da Purificação</t>
  </si>
  <si>
    <t xml:space="preserve">Ilê Axé Yá Oman</t>
  </si>
  <si>
    <t xml:space="preserve">INDEFERIDO em 06/06/2016</t>
  </si>
  <si>
    <t>01450.007876/2015-36</t>
  </si>
  <si>
    <t xml:space="preserve">Edifícios da Aliança Francesa de Brasília e do Liceu Francês François Miterrand</t>
  </si>
  <si>
    <t xml:space="preserve">Cecilia Gomes de Sá e José Manoel Morales Sánchez</t>
  </si>
  <si>
    <t xml:space="preserve">INDEFERIDO em 09/03/2016</t>
  </si>
  <si>
    <t>01450.007433/2015-45</t>
  </si>
  <si>
    <t xml:space="preserve">Presidente Prudente</t>
  </si>
  <si>
    <t xml:space="preserve">Obras do artista José Bottosso</t>
  </si>
  <si>
    <t xml:space="preserve">INDEFERIDO em 24/07/2015</t>
  </si>
  <si>
    <t>01506.006072/2015-27</t>
  </si>
  <si>
    <t>Araraquara</t>
  </si>
  <si>
    <t xml:space="preserve">Casarão da Fazenda Bela Vista e suas cercanias, localizado no Projeto de Assentamento Bela Vista do Chibarro</t>
  </si>
  <si>
    <t xml:space="preserve">Encaminhado à presidência para arquivametno em 13/11/17</t>
  </si>
  <si>
    <t>01458.000116/2015-28</t>
  </si>
  <si>
    <t xml:space="preserve">Escola Estadual João de Oliveira Botas</t>
  </si>
  <si>
    <t xml:space="preserve">Origem: DEPAM. Destino: SE-PI, em 27/08/2015</t>
  </si>
  <si>
    <t>01450.007471/2015-06</t>
  </si>
  <si>
    <t>Esperantina</t>
  </si>
  <si>
    <t xml:space="preserve">Painéis e Prédio da Igreja Matriz Nossa Senhora da Boa Esperança</t>
  </si>
  <si>
    <t xml:space="preserve">Solicitada instrução, 6/11/2022. CGID, em 27/08/2015</t>
  </si>
  <si>
    <t>01496.000945/2015-54</t>
  </si>
  <si>
    <t xml:space="preserve">Acervo do Museu de Arte da Universidade Federal do Ceará</t>
  </si>
  <si>
    <t xml:space="preserve">Encaminhado para INDEFERIMENTO em 31/08/2015</t>
  </si>
  <si>
    <t>01450.000805/2013-41</t>
  </si>
  <si>
    <t xml:space="preserve">Ruínas e entorno da Igreja de Bom Jesus de Vera Cruz </t>
  </si>
  <si>
    <t>01506.000356/2009-81</t>
  </si>
  <si>
    <t>Maracaí</t>
  </si>
  <si>
    <t xml:space="preserve">Túmulo de Antônio Marcelino - Menino da Tábua</t>
  </si>
  <si>
    <t xml:space="preserve">Origem: DEPAM. Destino: SE-SC, em 04/09/2015. Ver observações.</t>
  </si>
  <si>
    <t>01510.000854/2014-11</t>
  </si>
  <si>
    <t xml:space="preserve">Três Barras</t>
  </si>
  <si>
    <t xml:space="preserve">Complexo Lumber</t>
  </si>
  <si>
    <t xml:space="preserve">Info SE-SC, 14/03/2016:O processo carece de complementação de informações, levantamentos cadastrais e históricos, para formatação do dossiê. A proposta é extrememente pertinente, mas a instrução encontra-se paralisada por falta de recursos.</t>
  </si>
  <si>
    <t xml:space="preserve">Origem: DEPAM. Destino: SE-SC, em 14/09/2015. Ver observações.</t>
  </si>
  <si>
    <t>01510.000774/2009-90</t>
  </si>
  <si>
    <t xml:space="preserve">Conjunto da Obra do Arquiteto Hans Broos em Santa Catarina</t>
  </si>
  <si>
    <t xml:space="preserve">Info SE-SC (14/03/2016): O arquiteto é um dos expoentes do modernismo no Brasil, com obras expressivas em Santa Catarina e São Paulo. As duas superintendências estão em contato para dar continuidade à instrução. O próximo passo seria a seleção de quais das obras do arquiteto seriam consideradas para o tombamento nacional, sendo necessária idas a campo para vistorias e evewntuais levantamentos complementares.  A proposta é  pertinente, mas a instrução encontra-se parcialmente paralisada por falta de recursos.</t>
  </si>
  <si>
    <t xml:space="preserve">Anexado ao processo 748-T-64, do Aterro do Flamento,  a ser reaberto para rerratificação.</t>
  </si>
  <si>
    <t>01500.003328/2014-13</t>
  </si>
  <si>
    <t xml:space="preserve">Viaduto Paulo Bittencourt, no Parque do Flamengo</t>
  </si>
  <si>
    <t>01500.004953/2009-15</t>
  </si>
  <si>
    <t xml:space="preserve">Remanescentes da Companhia Engenho Central de Quissamã</t>
  </si>
  <si>
    <t xml:space="preserve">Encaminhado para INDEFERIMENTO em 14/09/2015</t>
  </si>
  <si>
    <t>01510.002238/2011-43</t>
  </si>
  <si>
    <t xml:space="preserve">Ponta do Coral e Ponta do Lessa</t>
  </si>
  <si>
    <t xml:space="preserve">Origem: DEPAM. Destino: SE-SP, em 14/09/2015</t>
  </si>
  <si>
    <t>01506.001120/2009-42</t>
  </si>
  <si>
    <t xml:space="preserve">Conjunto da Obra do Arquiteto Hans Broos em São Paulo</t>
  </si>
  <si>
    <t xml:space="preserve">INDEFERIDO em 14/10/2015.</t>
  </si>
  <si>
    <t>01506.004189/2014-95</t>
  </si>
  <si>
    <t xml:space="preserve">Distrito de Bueno de Andrada</t>
  </si>
  <si>
    <t xml:space="preserve">INDEFERIDO em 12/10/2021</t>
  </si>
  <si>
    <t>01450.008739/2015-19</t>
  </si>
  <si>
    <t>Lages</t>
  </si>
  <si>
    <t xml:space="preserve">Catedral de Lages</t>
  </si>
  <si>
    <t xml:space="preserve">Info SE-SC (14/03/2016): Sob responsabilidade da arquiteta Marina Cañas para fundamentação do parecer. Ainda há posicionamento final da Superintendência sobre o pedido. De toda forma, não é um tombamento emergencial, o bem não está em risco e já é tombado em nível Estadual.</t>
  </si>
  <si>
    <t xml:space="preserve">Origem: DEPAM. Destino: SE-ES em 28/09/2016. Superintendência entende que tem valor histórico e simbólico e vai instruir (Anna, 12/01/2016)</t>
  </si>
  <si>
    <t>01450.009161/2015-18</t>
  </si>
  <si>
    <t xml:space="preserve">Serra </t>
  </si>
  <si>
    <t xml:space="preserve">Sítio Histórico e Arqueológico do Queimado</t>
  </si>
  <si>
    <t xml:space="preserve">CGID: 08/10/2015. Ofício Nº 629/2023/CGID/DEPAM-IPHAN encaminhado para Consulta à comunidade sobre o interesse que o tombamento seja realizado conforme portaria específica em 07/12/2023.</t>
  </si>
  <si>
    <t>00730.000185/2015-01</t>
  </si>
  <si>
    <t xml:space="preserve">Bens Materiais do Rincão dos Negros</t>
  </si>
  <si>
    <t xml:space="preserve">Origem: DEPAM. Destino: SE-SC, em 06/10/2015</t>
  </si>
  <si>
    <t>01500.003320/2015-38</t>
  </si>
  <si>
    <t xml:space="preserve">Torre de aviação do Aeroclube de Volta Redonda</t>
  </si>
  <si>
    <t xml:space="preserve">Paulo da Silva Roriz</t>
  </si>
  <si>
    <t xml:space="preserve">Indicação de INDEFERIMENTO. Insuficiência  de características relevantes e o não enquadramento dos bens ao disposto no art. 1º do Decreto-Lei nº 25, de 30 de novembro de 1937. Não foram identificados, tampouco, os valores relevantes para seu enquadramento nos critérios previstos no Art. 31 da  Portaria IPHAN nº 375/2018.</t>
  </si>
  <si>
    <t xml:space="preserve">Origem: DEPAM. Destino: SE-RJ, em 06/10/2015. Ver observações. Enviado à Secretaria do Conselho em 29/05/2024</t>
  </si>
  <si>
    <t>01510.002135/2015-15</t>
  </si>
  <si>
    <t xml:space="preserve">Conjunto de Edificações Representativas da Arquitetura Moderna em Florianópolis</t>
  </si>
  <si>
    <t xml:space="preserve">Universidade Federal de Santa Catarina, Centro Tecnológico, Departamento de Arquitetura e Urbanismo. Prof Dr. Gilberto Sarkis Yunes. Prof. Dr. Luiz Eduardo Fontoura Teixeira</t>
  </si>
  <si>
    <t xml:space="preserve">Info SE-SC (14/03/2016): Um primeiro estudo sobre a arquitetura moderna de Florianópolis foi realizado em parceria com a UFSC e ainda carece de uma reflexão mais aprofundada sobre a efetiva relevância de algumas edificações no contexto nacional. É fato que o movimento modernista teve extrema relevância na história da evolução da arquitetura brasileira, encontrando repercussão e expressão em praticamente todas as cidades. Contudo, embora haja um interesse local pela preservação de determinadas obras específicas da cidade de Florianópolis, os documentos contidos no processo não fazem nenhuma menção particular a unidades que se destaquem sobremaneira no cenário nacional. O processo foi aberto e instruído mais como um estímulo ao movimento preservacionista local, que pode ensejar uma ação mais concreta rumo ao tombamento municipal (nenhum dos bens é protegido em nenhuma das esferas) do que pela real relevância dos exemplares no cenário da arquitetura modernista brasileira. De toda forma, deve ser considerado em fase  inicial de instrução.</t>
  </si>
  <si>
    <t>01450.009055/2015-34</t>
  </si>
  <si>
    <t xml:space="preserve">Prédio situado à Avenida Ferreira de Novais, 1001</t>
  </si>
  <si>
    <t xml:space="preserve">Superintendência diz que vai instruir. Restituído pra lá. Origem: DEPAM. Destino: SE-PR, em 12/01/2016</t>
  </si>
  <si>
    <t>01450.003900/2015-68</t>
  </si>
  <si>
    <t xml:space="preserve">São Mateus do Sul</t>
  </si>
  <si>
    <t xml:space="preserve">Igreja da Água Branca</t>
  </si>
  <si>
    <t xml:space="preserve">Parecer de indeferimento de 11/02/2022. Origem: DEPAM. Destino: SE-RJ, em 22/12/2015</t>
  </si>
  <si>
    <t>01500.000554/2008-02</t>
  </si>
  <si>
    <t xml:space="preserve">Muro localizado em terreno baldio, na Ilha de Paquetá</t>
  </si>
  <si>
    <t xml:space="preserve">GTIT, em 22/12/2015</t>
  </si>
  <si>
    <t>01450.010533/2015-59</t>
  </si>
  <si>
    <t xml:space="preserve">Terreiro São Jorge Filho da Goméia</t>
  </si>
  <si>
    <t xml:space="preserve">Origem: DEPAM. Destino: SE-RJ, em 14/01/2016</t>
  </si>
  <si>
    <t>01500.004817/2012-21</t>
  </si>
  <si>
    <t xml:space="preserve">Escola Técnica Engenheiro Silva Freire</t>
  </si>
  <si>
    <t xml:space="preserve">Origem: DEPAM. Destino: SE-SE, em 13/01/2016</t>
  </si>
  <si>
    <t>01504.001770/2009-16</t>
  </si>
  <si>
    <t>Neópolis</t>
  </si>
  <si>
    <t xml:space="preserve">Origem: DEPAM. Destino: SE-DF, em 11/02/2016</t>
  </si>
  <si>
    <t>01450.011786/2015-40</t>
  </si>
  <si>
    <t xml:space="preserve">Edifício Sede I - Banco do Brasil</t>
  </si>
  <si>
    <t xml:space="preserve">Solicitada a instrução em 27/07/2021. Origem: DEPAM. Destino: SE-AL, em 14/01/2017</t>
  </si>
  <si>
    <t>01403.000323/2013-56</t>
  </si>
  <si>
    <t xml:space="preserve">Belo Monte</t>
  </si>
  <si>
    <t xml:space="preserve">INDEFERIDO em 02/08/2021</t>
  </si>
  <si>
    <t>01450.007476/2015-21</t>
  </si>
  <si>
    <t xml:space="preserve">Teatro Vila Velha</t>
  </si>
  <si>
    <t>01506.004220/2013-15</t>
  </si>
  <si>
    <t>Guarulhos</t>
  </si>
  <si>
    <t xml:space="preserve">Área com presença de estruturas arqueológicas de lavra de ouro do período colonial</t>
  </si>
  <si>
    <t xml:space="preserve">Origem: DEPAM, destino: SE-SP, em 12/02/2016</t>
  </si>
  <si>
    <t>01450.002469/2016-13</t>
  </si>
  <si>
    <t xml:space="preserve">Hospital Antoninho da Rocha Marmo (Sanatorinho)</t>
  </si>
  <si>
    <t xml:space="preserve">INDEFERIDO em 09.03.16</t>
  </si>
  <si>
    <t>01506.003787/2015-28</t>
  </si>
  <si>
    <t>Altinópolis</t>
  </si>
  <si>
    <t xml:space="preserve">Cine Emília</t>
  </si>
  <si>
    <t xml:space="preserve">Origem: DEPAM, destino: Presidência, para INDEFERIMENTO, em 20/07/2016</t>
  </si>
  <si>
    <t>01506.004418/2015-52</t>
  </si>
  <si>
    <t xml:space="preserve">Parque Augusta</t>
  </si>
  <si>
    <t xml:space="preserve">Origem: DEPAM, destino: SE-PI, em 26/02/2017</t>
  </si>
  <si>
    <t>01402.000849/2015-16</t>
  </si>
  <si>
    <t xml:space="preserve">Prédio Sede do Tribunal de Justiça do Estado do Piauí</t>
  </si>
  <si>
    <t xml:space="preserve">Origem: DEPAM, destino: SE-MS, em 26/02/2017</t>
  </si>
  <si>
    <t>01401.000039/2014-81</t>
  </si>
  <si>
    <t xml:space="preserve">Templo Maçônico da Augusta e Respeitável Loja Simbólica Pharol do Norte</t>
  </si>
  <si>
    <t>01450.012984/2010-16</t>
  </si>
  <si>
    <t xml:space="preserve">Edificações da área do Hospital Dom Rodrigo de Menezes</t>
  </si>
  <si>
    <t xml:space="preserve">INDEFERIDO em 17/06/2021</t>
  </si>
  <si>
    <t>01496.000131/2001-14</t>
  </si>
  <si>
    <t>Jaguaribe</t>
  </si>
  <si>
    <t xml:space="preserve">Parecer de indeferimento de 1/1/2023. Origem: DEPAM. Destino: SE-RJ, em 24/03/2016</t>
  </si>
  <si>
    <t>01500.000998/2015-69</t>
  </si>
  <si>
    <t xml:space="preserve">Ruínas da Igreja de São José da Boa Morte</t>
  </si>
  <si>
    <t xml:space="preserve">Origem: DEPAM. Destino: Arquivo, em 24/03/2016, para correção da UF, cadastrada como em MG. Solicitei envio direto para a SE-RJ</t>
  </si>
  <si>
    <t>01500.002353/2015-61</t>
  </si>
  <si>
    <t xml:space="preserve">Sede da Fazenda São Martino</t>
  </si>
  <si>
    <t xml:space="preserve">Encaminhado para INDEFERIMENTO em 24/06/2016</t>
  </si>
  <si>
    <t>01450.002450/2016-77</t>
  </si>
  <si>
    <t xml:space="preserve">Nova Roma do Sul</t>
  </si>
  <si>
    <t xml:space="preserve">Antigo Frigorífico</t>
  </si>
  <si>
    <t xml:space="preserve">INDEFERIDO em 1/1/2022. Origem: DEPAM. Destino: SE-PE, em 05/05/2016</t>
  </si>
  <si>
    <t>01498.000019/2015-69</t>
  </si>
  <si>
    <t>Cabrobó</t>
  </si>
  <si>
    <t xml:space="preserve">Povoação original, 1ª e 2ª Igrejas Matrizes de Cabrobó</t>
  </si>
  <si>
    <t xml:space="preserve">Parecer 12/2017 de 16/02/2017</t>
  </si>
  <si>
    <t>01402.000316/2013-64</t>
  </si>
  <si>
    <t xml:space="preserve">Fazenda São Joaquim</t>
  </si>
  <si>
    <t>01506.003832/2012-00</t>
  </si>
  <si>
    <t xml:space="preserve">Áreas Naturais nos Municípios de Valinhos, Itatiba, Vinhedo e Louveira</t>
  </si>
  <si>
    <t xml:space="preserve">Origem: DEPAM. Destino: Presidência, em 22/08/2016, com sugestão de INDEFERIMENTO.</t>
  </si>
  <si>
    <t>01510.001686/2013-91</t>
  </si>
  <si>
    <t xml:space="preserve">Curva do Rio Itajaí-Açú, abrangendo a área do Antigo Porto</t>
  </si>
  <si>
    <t xml:space="preserve">INDEFERIDO, em 18/05/2016</t>
  </si>
  <si>
    <t>01510.001676/2014-37</t>
  </si>
  <si>
    <t xml:space="preserve">Colégio Aristiliano Ramos</t>
  </si>
  <si>
    <t xml:space="preserve">Origem: DEPAM. Destino: Presidência, para INDEFERIMENTO, em 13/06/2016</t>
  </si>
  <si>
    <t>01506.003759/2015-19</t>
  </si>
  <si>
    <t>Pariquera-Açu</t>
  </si>
  <si>
    <t xml:space="preserve">Imóvel à Rua dos Expedicionários, nº 198</t>
  </si>
  <si>
    <t>01506.003760/2015-35</t>
  </si>
  <si>
    <t xml:space="preserve">Terreiro Ilê Axé Oxossi Caçador</t>
  </si>
  <si>
    <t xml:space="preserve">solicitada a instrução em 9/10/2021</t>
  </si>
  <si>
    <t>01502.000817/2010-70</t>
  </si>
  <si>
    <t xml:space="preserve">Terreiro Egbé Éran Ope Olúwa - Terreiro Viva Deus</t>
  </si>
  <si>
    <t xml:space="preserve">Ofício Nº 1344/2024/GAB PRESI/PRESI-IPHAN encaminha ao conselho. PARECER TÉCNICO nº 6/2023/ETC-BA/IPHAN-BA recomenda o tombamento. Encaminhado para instrução em 060/03/2022. Homologação Portaria MinC nº 135, de 20 de junho de 2024, no Diário Oficial da União nº 118, de 21 de junho de 2024</t>
  </si>
  <si>
    <t xml:space="preserve">01502.002434/2012-06 </t>
  </si>
  <si>
    <t xml:space="preserve">Terreiro Aganjú Didê da Nação Nagô-Tedô (Terreiro Ilê Axé Icimimó Aganju Didè)</t>
  </si>
  <si>
    <t xml:space="preserve">Fabio Macedo Velame. UFBA. Faculdade de Arquitetura</t>
  </si>
  <si>
    <t>BA2904902BICA00004</t>
  </si>
  <si>
    <t xml:space="preserve">Origem:CGID, destino: SE-RS em 22/12/2016. Teve o pedido de tombamento emergencial negado pela Câmara Setorial, segue para instrução</t>
  </si>
  <si>
    <t>01450.008680/2016-40</t>
  </si>
  <si>
    <t>Canoas</t>
  </si>
  <si>
    <t xml:space="preserve">Centro de Umbanda Ogum Lanceiro e Iemanjá</t>
  </si>
  <si>
    <t>01458.002594/2010-68</t>
  </si>
  <si>
    <t xml:space="preserve">Arquivo Histórico José Ferreira da Silva</t>
  </si>
  <si>
    <t xml:space="preserve">CGID (19/07/2016). Enviado em 20/07/2016 á SE/RJ para instrução.</t>
  </si>
  <si>
    <t>01500.003895/2014-70</t>
  </si>
  <si>
    <t xml:space="preserve">Acervo Privado da Companhia Imobiliária de Petrópolis, situada à Av. Koeller, nº 42, Palácio da Princesa Isabel</t>
  </si>
  <si>
    <t xml:space="preserve">Origem: DEPAM, destino: SE-DF, em 28/07/2016</t>
  </si>
  <si>
    <t>01450.002767/2016-11</t>
  </si>
  <si>
    <t xml:space="preserve">Torre de TV</t>
  </si>
  <si>
    <t xml:space="preserve">INDEFERIDO em 19/08/2019</t>
  </si>
  <si>
    <t>01450.003431/2016-68</t>
  </si>
  <si>
    <t xml:space="preserve">Plataforma Rodoviária</t>
  </si>
  <si>
    <t xml:space="preserve">Parecer de indeferimento de 5/10/2022.Solicitada a instrução em 5/6/2022. Origem: DEPAM, destino: SE-AM, em 22/08/2016</t>
  </si>
  <si>
    <t>01490.002273/2013-18</t>
  </si>
  <si>
    <t>Barreirinha</t>
  </si>
  <si>
    <t xml:space="preserve">Conjunto Arquitetônico projetado por Lucio Costa, em Barreirinha/AM</t>
  </si>
  <si>
    <t xml:space="preserve">AM-1300508-BI-CA-00001; AM-1300508-BI-CA-00002</t>
  </si>
  <si>
    <t xml:space="preserve">Enviado para o Conselho em 26/10/2021. Parecer de indeferimento de 20/20/2021</t>
  </si>
  <si>
    <t>01512.002006/2016-80</t>
  </si>
  <si>
    <t xml:space="preserve">Acervo da Fundação Ernesto Frederico Scheffel</t>
  </si>
  <si>
    <t>RS-4313409-BM-AC-00001</t>
  </si>
  <si>
    <t xml:space="preserve">Foi colocado sob tombamento provisório em caráter emergencial juntamente com o Centro Histórico de Novo Hamburgo. Orientamos ao desmembramento dos processos, após inventário do acervo, o que foi feito e deu origem ao presente processo.</t>
  </si>
  <si>
    <t xml:space="preserve">Enviado para a SE em 06/09/2022. CGID: 16/09/2016</t>
  </si>
  <si>
    <t>01423.000081/2011-09</t>
  </si>
  <si>
    <t xml:space="preserve">Rio Branco </t>
  </si>
  <si>
    <t xml:space="preserve">Centro Histórico de Rio Branco</t>
  </si>
  <si>
    <t xml:space="preserve">Indicação de INDEFERIMENTO. Falta de uma definição acerca desse conjunto urbano que abarque tanto a justificativa da seleção de imóveis realizada como a própria indicação clara sobre quais seriam esses imóveis selecionados</t>
  </si>
  <si>
    <t xml:space="preserve">contratado SICG da área central de Rio Branco. Os técnicos já haviam trabalhado numa proposta de pré-setorização.</t>
  </si>
  <si>
    <t xml:space="preserve">CGID: 16/09/2017</t>
  </si>
  <si>
    <t>01500.001061/2013-49</t>
  </si>
  <si>
    <t xml:space="preserve">Jazigo Perpétuo de Clarisse Lage Índio do Brasil, situado no Cemitério São João Batista</t>
  </si>
  <si>
    <t xml:space="preserve">Solicitado prosseguimento a instrução processual em 09/01/2024 - apresentação da proposta/escuta da Comunidade IBC</t>
  </si>
  <si>
    <t>01500.004686/2014-43</t>
  </si>
  <si>
    <t xml:space="preserve">Conjunto Histórico do Instituto Benjamin Constant - IBC (Instituto de Cegos)</t>
  </si>
  <si>
    <t>IBC</t>
  </si>
  <si>
    <t>01409.000570/2009-16</t>
  </si>
  <si>
    <t xml:space="preserve">Cachoeiro de Itapemirim</t>
  </si>
  <si>
    <t xml:space="preserve">Casa onde nasceram os escritores Rubem e Newton Braga</t>
  </si>
  <si>
    <t xml:space="preserve">Prefeitura Municipal</t>
  </si>
  <si>
    <t xml:space="preserve">Origem: CGID. Destino:Superintendência</t>
  </si>
  <si>
    <t>01409.000205/2009-10</t>
  </si>
  <si>
    <t xml:space="preserve">Casa onde nasceu o cantor Roberto Carlos Braga</t>
  </si>
  <si>
    <t xml:space="preserve">Indicação de indeferimento para elaboração de parecer. Processo não se encontra no SEI.</t>
  </si>
  <si>
    <t xml:space="preserve">Baleeira São José I</t>
  </si>
  <si>
    <t xml:space="preserve">Iate Clube de Santa Catarina Veleiros da Ilha</t>
  </si>
  <si>
    <t>01409.000362/2011-31</t>
  </si>
  <si>
    <t xml:space="preserve">Conjunto Arquitetônico e Paisagístico do Porto de Vitória</t>
  </si>
  <si>
    <t>01409.000108/2013-03</t>
  </si>
  <si>
    <t xml:space="preserve">Veleiro Karioka Mahallo II</t>
  </si>
  <si>
    <t>Transportes</t>
  </si>
  <si>
    <t>01450.011402/2016-70</t>
  </si>
  <si>
    <t xml:space="preserve">Imóvel à Rua Teófilo Otoni, nº5</t>
  </si>
  <si>
    <t xml:space="preserve">Origem: CGID /Destino: ACI-RJ</t>
  </si>
  <si>
    <t>01502.002048/2016-30</t>
  </si>
  <si>
    <t xml:space="preserve">Feira de Santana</t>
  </si>
  <si>
    <t xml:space="preserve">Centro de Abastecimento de Feira de Santana (CAF)</t>
  </si>
  <si>
    <t>PA-1501402-BI-ED-00030</t>
  </si>
  <si>
    <t xml:space="preserve">Parecer de indeferimento de 14/07/2022. Encaminhado para SR para instrução em 24/02/2017</t>
  </si>
  <si>
    <t>01450.003052/2016-78</t>
  </si>
  <si>
    <t>Diamantino</t>
  </si>
  <si>
    <t xml:space="preserve">Centro Histórico de Diamantino</t>
  </si>
  <si>
    <t xml:space="preserve">Encaminhado para arquivamento em 06/07/2020</t>
  </si>
  <si>
    <t>01409.000904/2016-81</t>
  </si>
  <si>
    <t xml:space="preserve">Manguezal do Rio Benevente</t>
  </si>
  <si>
    <t>MT5103403BIED00001</t>
  </si>
  <si>
    <t xml:space="preserve">Encaminhado à SE-ES para prosseguimento da instrução em 12/4/2023.</t>
  </si>
  <si>
    <t>01409.000151/2017-94</t>
  </si>
  <si>
    <t xml:space="preserve">Conjunto Urbano de Vitória</t>
  </si>
  <si>
    <t xml:space="preserve">Governo do Estado do ES</t>
  </si>
  <si>
    <t xml:space="preserve">Enviado à Superintendência SP em 27/12/2017</t>
  </si>
  <si>
    <t>01506.007428/2016-21</t>
  </si>
  <si>
    <t xml:space="preserve">Catedral de São Sebastião</t>
  </si>
  <si>
    <t xml:space="preserve">Origem: ACI-RJ / Destino: CGID</t>
  </si>
  <si>
    <t>01510.001722/2016-60</t>
  </si>
  <si>
    <t xml:space="preserve">Casa Strelow, localizada à rua 15 de Novembro, nº 1165</t>
  </si>
  <si>
    <t>01450.002522/2017-67</t>
  </si>
  <si>
    <t xml:space="preserve">Parque Municipal do Gogo</t>
  </si>
  <si>
    <t>BA2913606BIED00001</t>
  </si>
  <si>
    <t xml:space="preserve">Encaminhado a SE RO pelo SEI em 02/10/2017</t>
  </si>
  <si>
    <t xml:space="preserve">01450.006430/2017 </t>
  </si>
  <si>
    <t xml:space="preserve">Estrada de Ferro Madeira Mamoré, no trecho correspondente ao Km 8, no município de Porto Velho, ao km 366 no município de Guarajá-Mirim</t>
  </si>
  <si>
    <t xml:space="preserve">Associação dos Ferroviários da Estrada Madeira Mamoré</t>
  </si>
  <si>
    <t xml:space="preserve">INDEFERIDO em 9/9/2021. Reaberto em 16/6/2023.</t>
  </si>
  <si>
    <t>01512.002555/2012-21</t>
  </si>
  <si>
    <t xml:space="preserve">Praça do Imigrante</t>
  </si>
  <si>
    <t xml:space="preserve">Secretário de cultura do Município de São Leopoldo</t>
  </si>
  <si>
    <t xml:space="preserve">Solicitada a instrução em 20/06/2022. Recomenda desmebramento do acervo móvel e dos imóveis</t>
  </si>
  <si>
    <t xml:space="preserve">01506.000249/2010-77 </t>
  </si>
  <si>
    <t xml:space="preserve">Locomotivas elétricas e subestações de energia remanescentes do Sistema Ferroviário Eletrificado do Estado de São Paulo</t>
  </si>
  <si>
    <t xml:space="preserve">Movimento de preservação ferroviária</t>
  </si>
  <si>
    <t xml:space="preserve">INDEFERIDO em 12/09/2017</t>
  </si>
  <si>
    <t>01506.009547/2017-07</t>
  </si>
  <si>
    <t>Bauru</t>
  </si>
  <si>
    <t xml:space="preserve">Aeroclube de Bauru</t>
  </si>
  <si>
    <t xml:space="preserve">Encaminhado à SE SP em 19/03/2018</t>
  </si>
  <si>
    <t>01506.004713/2016-90</t>
  </si>
  <si>
    <t xml:space="preserve">Conjunto Arquitetônico, Centro Histórico de Araras / Igreja de Santa Cruz, Praça Theófila Maria da Conceição e casinhas moradias de ex-escravos, situadas na Rua Santa Cruz, 449, 451, 453</t>
  </si>
  <si>
    <t xml:space="preserve">Acervo Cultural Afrobrasileiro - Acafro</t>
  </si>
  <si>
    <t xml:space="preserve">Encaminhado à SE MG em 19/03/2019</t>
  </si>
  <si>
    <t>01514.004028/2017-45</t>
  </si>
  <si>
    <t xml:space="preserve">Augusto de Lima</t>
  </si>
  <si>
    <t xml:space="preserve">Fazenda Santa Barbara</t>
  </si>
  <si>
    <t xml:space="preserve">Secretaria Municipal de Cultura</t>
  </si>
  <si>
    <t>01506.000855/2010-92</t>
  </si>
  <si>
    <t xml:space="preserve">Colégio São José, localizado na Avenida Dona Ana Costa, 373</t>
  </si>
  <si>
    <t xml:space="preserve">Cidadã Patricia Almeida</t>
  </si>
  <si>
    <t>01506.005215/2016-64</t>
  </si>
  <si>
    <t xml:space="preserve">Prédios Batalhão da Infantaria da Aeronáutica (BINFA), situados na Avenida Castelo Branco s/n, Jardim Cunhambebe</t>
  </si>
  <si>
    <t xml:space="preserve">Cidadão André Luiz de Oliveira Marques</t>
  </si>
  <si>
    <t xml:space="preserve">INDEFERIDO em 13/11/2021</t>
  </si>
  <si>
    <t>01506.004035/2016-65</t>
  </si>
  <si>
    <t xml:space="preserve">Segundo Batalhão de Guardas</t>
  </si>
  <si>
    <t xml:space="preserve">Instituto Sergio Escadinha</t>
  </si>
  <si>
    <t xml:space="preserve">Processo foi reaberto em 18/07/2023. Parecer de indeferimento de 17/4/22. Inclui acervo. </t>
  </si>
  <si>
    <t>01514.001779/2010-33</t>
  </si>
  <si>
    <t>Goianá</t>
  </si>
  <si>
    <t xml:space="preserve">Fazenda Fortaleza de Santana</t>
  </si>
  <si>
    <t xml:space="preserve">Ministério Público Federal e conselho de Cultura municipal</t>
  </si>
  <si>
    <t>01450.004088/2006-05</t>
  </si>
  <si>
    <t xml:space="preserve">Santuário Nossa Senhora do Monte Serrat de Santos</t>
  </si>
  <si>
    <t xml:space="preserve">Diocese de Santos</t>
  </si>
  <si>
    <t xml:space="preserve">Faz parte de um levantamento amplo de lugares de tortura que a comissão está levantando</t>
  </si>
  <si>
    <t>01450.900759/2017-13</t>
  </si>
  <si>
    <t xml:space="preserve">Casarão n°600, da Rua Santo Antônio (Doppinha)​</t>
  </si>
  <si>
    <t xml:space="preserve">Comissão Especial sobre Mortos e desaparecidos políticos</t>
  </si>
  <si>
    <t xml:space="preserve">Encaminhado à SE-DF em 27/02/2018</t>
  </si>
  <si>
    <t>01450.901516/2017</t>
  </si>
  <si>
    <t xml:space="preserve">Acervo pessoal do compositor e maestro Cláudio Santoro</t>
  </si>
  <si>
    <t xml:space="preserve">Dep. Federal Rogério Rosso</t>
  </si>
  <si>
    <t xml:space="preserve">INDEFERIDO em 27/11/2017</t>
  </si>
  <si>
    <t>01500.000508/2014-43</t>
  </si>
  <si>
    <t xml:space="preserve">Conjunto Arquitetônico do Cenáculo das Laranjeiras - Rua Pereira da Silva, 135, Laranjeiras</t>
  </si>
  <si>
    <t xml:space="preserve">Encaminhado em 10/02/2021</t>
  </si>
  <si>
    <t>01498.001802/2012-05</t>
  </si>
  <si>
    <t xml:space="preserve">Hospital da Restauração</t>
  </si>
  <si>
    <t>01496.001343/2016-03</t>
  </si>
  <si>
    <t xml:space="preserve">Casa de Câmara e Cadeia de Santa Quitéria</t>
  </si>
  <si>
    <t xml:space="preserve">Encaminhado em 06/07/2020 para instrução da SE</t>
  </si>
  <si>
    <t>01498.001285/2010-02</t>
  </si>
  <si>
    <t xml:space="preserve">Capela Nossa Senhora de Fátima do Colégio Nóbrega</t>
  </si>
  <si>
    <t xml:space="preserve">Encaminhado à SE-MS em 19/03/2019</t>
  </si>
  <si>
    <t>01450.900695/2017-42</t>
  </si>
  <si>
    <t xml:space="preserve">Três Lagoas</t>
  </si>
  <si>
    <t xml:space="preserve">Prefeito ângelo Chaves Guerreiro</t>
  </si>
  <si>
    <t>1506.005003/2017-68</t>
  </si>
  <si>
    <t xml:space="preserve">Casa da Princesa</t>
  </si>
  <si>
    <t xml:space="preserve">Ministério Público</t>
  </si>
  <si>
    <t xml:space="preserve">Encaminhado à SE SP em 19/03/2019</t>
  </si>
  <si>
    <t>01450.000634/2018-64</t>
  </si>
  <si>
    <t>Guararapes</t>
  </si>
  <si>
    <t xml:space="preserve">Antigo Cinema Guararapes</t>
  </si>
  <si>
    <t xml:space="preserve">INDEFERIDO em 11/10/2021</t>
  </si>
  <si>
    <t>01496.000139/2018-29</t>
  </si>
  <si>
    <t xml:space="preserve">Escola Normal Rural de Juazeiro do Norte</t>
  </si>
  <si>
    <t xml:space="preserve">Encaminhado ao ACI RJem 19/03/2020</t>
  </si>
  <si>
    <t>01500.002837/2017-71</t>
  </si>
  <si>
    <t xml:space="preserve">Imóvel situado à Rua Carlos Wenceslau, nº 343</t>
  </si>
  <si>
    <t>01400.030358/2017-73</t>
  </si>
  <si>
    <t xml:space="preserve">Primeira Igreja Protestante do Brasil</t>
  </si>
  <si>
    <t xml:space="preserve">Homologado DOU 31/12/2018 PORTARIA Nº 120, DE 28 DE DEZEMBRO DE 2018. Certidão de tombamento de 24/03/2023.</t>
  </si>
  <si>
    <t>01450.001794/2018-21</t>
  </si>
  <si>
    <t xml:space="preserve">Acervo Arthur Bispo do Rosário</t>
  </si>
  <si>
    <t xml:space="preserve">Museu Bispo do Rosário Arte Contemporânea</t>
  </si>
  <si>
    <t xml:space="preserve">RJ-3304557-BM-AC-00008	</t>
  </si>
  <si>
    <t>89ª</t>
  </si>
  <si>
    <t xml:space="preserve">aruivado em 06/01/2019</t>
  </si>
  <si>
    <t>01490.002770/2017-31</t>
  </si>
  <si>
    <t>Parintins</t>
  </si>
  <si>
    <t xml:space="preserve">Casa de Cultura Alzira Saunier</t>
  </si>
  <si>
    <t xml:space="preserve">INDEFERIDO em 16/10/2019</t>
  </si>
  <si>
    <t>01500.000579/2016-16</t>
  </si>
  <si>
    <t xml:space="preserve">Cemitério São Lázaro (Cemitério de Itaipu)</t>
  </si>
  <si>
    <t xml:space="preserve">enviado à SE em 06/01/2020</t>
  </si>
  <si>
    <t>01409.000192/2018-61</t>
  </si>
  <si>
    <t xml:space="preserve">Sítio Histórico de São Pedro de Itabapoana</t>
  </si>
  <si>
    <t xml:space="preserve">Encaminha ao Depam para elaboração de Parecer</t>
  </si>
  <si>
    <t>01516.900398/2017-95</t>
  </si>
  <si>
    <t xml:space="preserve">Jóquei Clube de Goiás</t>
  </si>
  <si>
    <t>CAU/GO</t>
  </si>
  <si>
    <t xml:space="preserve">Encaminhado para instrução da SE-SP</t>
  </si>
  <si>
    <t>01450.000243/2018-40</t>
  </si>
  <si>
    <t xml:space="preserve">Estação Barracão e acervo</t>
  </si>
  <si>
    <t xml:space="preserve">Solicitada a instrução em 29/10/2021 </t>
  </si>
  <si>
    <t>01496.000059/2018-73</t>
  </si>
  <si>
    <t xml:space="preserve">Náutico Atlético Cearense</t>
  </si>
  <si>
    <t xml:space="preserve">MPF está acompanhando e IPHAN vem sendo provocado a se manifestar em obra de restauração</t>
  </si>
  <si>
    <t>01496.000283/2018-65</t>
  </si>
  <si>
    <t>Itapiúna</t>
  </si>
  <si>
    <t xml:space="preserve">Capela Nossa Senhora da Conceição de Itans</t>
  </si>
  <si>
    <t xml:space="preserve">Assembleia Legislativa do Estado do Ceará</t>
  </si>
  <si>
    <t xml:space="preserve">Reaberto a pedido do interessado. Enviado à Secretaria do Conselho em 19/04/2024</t>
  </si>
  <si>
    <t xml:space="preserve">01500.000266/2017-31. </t>
  </si>
  <si>
    <t xml:space="preserve">Antigo Armazém Externo nº 5 da Companhia Siderúrgica Nacional</t>
  </si>
  <si>
    <t xml:space="preserve">Galpão Aplausos</t>
  </si>
  <si>
    <t>01500.002525/2010-91</t>
  </si>
  <si>
    <t xml:space="preserve">Acervo de arte originariamente pertencente ao Banco do Estado do Rio de Janeiro - Banerj</t>
  </si>
  <si>
    <t>AAFBanerj</t>
  </si>
  <si>
    <t xml:space="preserve">INDEFERIDO em 17/11/2021.</t>
  </si>
  <si>
    <t>01506.001457/2009-50</t>
  </si>
  <si>
    <t>Indaiatuba</t>
  </si>
  <si>
    <t xml:space="preserve">Bens Culturais em Indaiatuba: Sede da Fazenda Engenho d’Água, Igreja Matriz de Nossa Senhora da Candelária, Casa Paroquial, Casarão do Pau Preto, Hospital Augusto de Oliveira Camargo, Estação Itaici, Estação Pimenta, Estação Helvétia e Estação Indaiatuba da Estrada de Ferro Sorocabana</t>
  </si>
  <si>
    <t xml:space="preserve">INDEFERIDO em 30/08/2021</t>
  </si>
  <si>
    <t>01506.007275/2016-11</t>
  </si>
  <si>
    <t xml:space="preserve">Busto do Mártir - Joaquim da Silva Xavier (Tiradentes)</t>
  </si>
  <si>
    <t xml:space="preserve">Sr. José Carlos Rocha Ferreira</t>
  </si>
  <si>
    <t>01510.000394/2018-46</t>
  </si>
  <si>
    <t xml:space="preserve">Luiz Alves</t>
  </si>
  <si>
    <t xml:space="preserve">Casa Schmitz</t>
  </si>
  <si>
    <t xml:space="preserve">Sr. Yasmin Muller</t>
  </si>
  <si>
    <t xml:space="preserve">Enviado para elaboração de parecer da SE/SP</t>
  </si>
  <si>
    <t>01506.002354/2018-06</t>
  </si>
  <si>
    <t xml:space="preserve">Esporte Clube Banespa</t>
  </si>
  <si>
    <t xml:space="preserve">sr. Oswaldo Moreira Antunes - associado</t>
  </si>
  <si>
    <t xml:space="preserve">Para instrução</t>
  </si>
  <si>
    <t>01508.000454/2018-70</t>
  </si>
  <si>
    <t>Araucária</t>
  </si>
  <si>
    <t xml:space="preserve">Coudelaria de Tindiquera</t>
  </si>
  <si>
    <t>MP-PR</t>
  </si>
  <si>
    <t>01506.900716/2017-37</t>
  </si>
  <si>
    <t xml:space="preserve">Casa da Ba-Tian e Jardins de Pêssegos na Colônia Japonesa de Itaquera</t>
  </si>
  <si>
    <t xml:space="preserve">UNIFESP - Reitoria</t>
  </si>
  <si>
    <t>01510.000563/2017-67</t>
  </si>
  <si>
    <t xml:space="preserve">Casa Klotz</t>
  </si>
  <si>
    <t xml:space="preserve">sr. Verônica Kreuz</t>
  </si>
  <si>
    <t>01506.000055/2018-29</t>
  </si>
  <si>
    <t xml:space="preserve">Feirinha da Madrugada</t>
  </si>
  <si>
    <t>COOPSCER</t>
  </si>
  <si>
    <t xml:space="preserve">INDEFERIDO em 14/9/21</t>
  </si>
  <si>
    <t>01496.900065/2017-41</t>
  </si>
  <si>
    <t xml:space="preserve">Casa-Museu do Padre Cícero, da Rua São José nº 120/126</t>
  </si>
  <si>
    <t xml:space="preserve">Academia Brasileira de hagiologia</t>
  </si>
  <si>
    <t>01450.002831/2018-18</t>
  </si>
  <si>
    <t>Dianópolis</t>
  </si>
  <si>
    <t xml:space="preserve">Conjunto de 15 casas do IFTO</t>
  </si>
  <si>
    <t xml:space="preserve">Comissão Pró-Tombamento das Casinhas do IFTO</t>
  </si>
  <si>
    <t>01506.003016/2014-50</t>
  </si>
  <si>
    <t xml:space="preserve">Parque do Povo</t>
  </si>
  <si>
    <t xml:space="preserve">Sr Mauro Pinheiro encaminhado à Ministra solicita a reabertura de processo de tombamento do "Parque do Povo"</t>
  </si>
  <si>
    <t xml:space="preserve">INDEFERIDO em 29/07/2021</t>
  </si>
  <si>
    <t>01506.900994/2017-94</t>
  </si>
  <si>
    <t xml:space="preserve">Paraguaçu Paulista</t>
  </si>
  <si>
    <t xml:space="preserve">Jardim Histórico de Paraguaçu Paulista</t>
  </si>
  <si>
    <t xml:space="preserve">Associação Cultural e esportiva Paraguaçu</t>
  </si>
  <si>
    <t xml:space="preserve">Observações sobre normas e Portarias</t>
  </si>
  <si>
    <t xml:space="preserve">Para instrução. Conforme Ofício Nº 2008/2023/IPHAN-ES-IPHAN, estudos a ser viabilizado para o ano de 2024 através de recurso orçamentário de Emenda Parlamentar 30930008 (SEI nº 4251645), processo 01450.002395/2023-44.</t>
  </si>
  <si>
    <t>01409.000189/2018-48</t>
  </si>
  <si>
    <t xml:space="preserve">Presidente Kennedy</t>
  </si>
  <si>
    <t xml:space="preserve">Igreja Nossa Senhora das Neves </t>
  </si>
  <si>
    <t xml:space="preserve">Prefeitura de Presidente Kennedy</t>
  </si>
  <si>
    <t xml:space="preserve">INDEFERIDO em 25/10/2018</t>
  </si>
  <si>
    <t>01450.005817/2010-19</t>
  </si>
  <si>
    <t xml:space="preserve">Sítios Arqueológicos Ilha dos Martírios, Pedra Escrita, Ilha de Campo</t>
  </si>
  <si>
    <t>SAB</t>
  </si>
  <si>
    <t>01490.000915/2013-36</t>
  </si>
  <si>
    <t xml:space="preserve">Pavilhão da Colônia Antônio Aleixo</t>
  </si>
  <si>
    <t xml:space="preserve">INDEFERIDO em 08/11/2019</t>
  </si>
  <si>
    <t>01410.900048/2017-15</t>
  </si>
  <si>
    <t xml:space="preserve">Biblioteca Pública Dr. José Pontes Pinto </t>
  </si>
  <si>
    <t xml:space="preserve">Sra. Anne Michelle Barbosa machado</t>
  </si>
  <si>
    <t xml:space="preserve">INDEFERIDO em 20/09/2021</t>
  </si>
  <si>
    <t>01450.005038/2018-71</t>
  </si>
  <si>
    <t xml:space="preserve">Estação Jundiaí</t>
  </si>
  <si>
    <t xml:space="preserve"> Associação Preservação da Memória da Companhia Paulista</t>
  </si>
  <si>
    <t xml:space="preserve">Encaminhado à SE/PB para instrução técnica</t>
  </si>
  <si>
    <t>01450.001096/2019-14</t>
  </si>
  <si>
    <t>Itaporanga</t>
  </si>
  <si>
    <t xml:space="preserve">Igreja Nossa Senhora do Rosário de Itaporanga</t>
  </si>
  <si>
    <t xml:space="preserve">Encaminhado à SE/MG para instrução técnica. Em comunidade quilombola que já teve INRC</t>
  </si>
  <si>
    <t>01450.001315/2019-57</t>
  </si>
  <si>
    <t xml:space="preserve">Patos de Minas</t>
  </si>
  <si>
    <t xml:space="preserve">Casa de Santana</t>
  </si>
  <si>
    <t xml:space="preserve">ASSOCIAÇÃO DOS REMANESCENTES DOS QUILOMBOS DAS FAMILIAS TEODORO DE OLIVEIRA E VENTURA</t>
  </si>
  <si>
    <t xml:space="preserve">Ofício Nº 4/2024/DEPAM-IPHAN, 02/01/2024, solicita implementação plano de trabalho dentro do cronograma proposto. Inquérito Civil - Mandato de segurança</t>
  </si>
  <si>
    <t>01504.001061/2010-66</t>
  </si>
  <si>
    <t xml:space="preserve">Conjunto de Praças e Edificações Históricas dos bairros centrais de Aracaju</t>
  </si>
  <si>
    <t xml:space="preserve">08/01/2007 / 23/10/2009</t>
  </si>
  <si>
    <t xml:space="preserve">Defensores de Patrimônio Cultural Sergipano/ Ministério Público Federal - Procuradoria da República no Estado de Sergipe </t>
  </si>
  <si>
    <t>01506.001016/2006-13</t>
  </si>
  <si>
    <t xml:space="preserve">Teatro Ventoforte</t>
  </si>
  <si>
    <t xml:space="preserve">Teatro Ventoforte/Funart</t>
  </si>
  <si>
    <t xml:space="preserve">encaminhado para instrução em 06/11/2021</t>
  </si>
  <si>
    <t>01450.002051/2019-59</t>
  </si>
  <si>
    <t xml:space="preserve">PE </t>
  </si>
  <si>
    <t>Guaranhuns</t>
  </si>
  <si>
    <t xml:space="preserve">Igreja Nossa Senhora de Nazareth da Comunidade Quilombola do Timbó</t>
  </si>
  <si>
    <t xml:space="preserve">Parecer de indeferimento de 16/09/2022. Enviado para instrução em 02/07/2019</t>
  </si>
  <si>
    <t>01450.002962/2018-03</t>
  </si>
  <si>
    <t>Tatuí</t>
  </si>
  <si>
    <t xml:space="preserve">Fábrica São Martinho</t>
  </si>
  <si>
    <t xml:space="preserve">Câmara Municipal de Tatuí</t>
  </si>
  <si>
    <t>01450.002222/2019-40</t>
  </si>
  <si>
    <t xml:space="preserve">Santo Antônio de Pádua</t>
  </si>
  <si>
    <t xml:space="preserve">Prédio da Câmara Municipal de Santo Antônio de Pádua</t>
  </si>
  <si>
    <t xml:space="preserve">INDEFERIDO em 02/07/2019</t>
  </si>
  <si>
    <t>01498.000278/2007-80</t>
  </si>
  <si>
    <t>Escada</t>
  </si>
  <si>
    <t xml:space="preserve">Engenho Jundiaí - Casa Natal de Cícero Dias</t>
  </si>
  <si>
    <t>Superintendência</t>
  </si>
  <si>
    <t xml:space="preserve">Ofício Nº 463/2024/DEPAM-IPHAN solicita informações à UFRRJ.</t>
  </si>
  <si>
    <t>01450.002494/2019-40</t>
  </si>
  <si>
    <t>Seropédica</t>
  </si>
  <si>
    <t xml:space="preserve">Conjunto Arquitetônico da UFRRJ</t>
  </si>
  <si>
    <t xml:space="preserve">Reitor da UFRRJ Ricardo Luiz Louro Berbara</t>
  </si>
  <si>
    <t xml:space="preserve">Informado em 31/10/2021. parecer de indeferimento de 14/11/2022.</t>
  </si>
  <si>
    <t>01510.000667/2019-33</t>
  </si>
  <si>
    <t xml:space="preserve">Ramal Ferroviário São Francisco do Sul à Porto União</t>
  </si>
  <si>
    <t xml:space="preserve">Em instrução com apoio do Projeto Onilê UFBA - GTMAF</t>
  </si>
  <si>
    <t>01502.001198/2006-54</t>
  </si>
  <si>
    <t xml:space="preserve">Terreiro Zoogobô Bogum Malê Rundó</t>
  </si>
  <si>
    <t xml:space="preserve">Fundação Palmares</t>
  </si>
  <si>
    <t xml:space="preserve">Enviado para instrução em 20/11/2021 e 21/08/2019</t>
  </si>
  <si>
    <t>01510.000666/2019-99</t>
  </si>
  <si>
    <t xml:space="preserve">Bioma da Mata Atlântica, Administradora de Bens Tenax Ltda e Patrimônio Industrial e Hidrelétrico da Usina do Bracinho e Piraí</t>
  </si>
  <si>
    <t xml:space="preserve">Cidadão Ademir Pfiffer</t>
  </si>
  <si>
    <t>01496.001004/2010-23</t>
  </si>
  <si>
    <t>Saboeiro</t>
  </si>
  <si>
    <t xml:space="preserve">Conjunto Urbano de Saboeiro</t>
  </si>
  <si>
    <t xml:space="preserve">Promotor de Justiça Leyomar Nunes Pereira</t>
  </si>
  <si>
    <t xml:space="preserve">Parecer de indeferimento de 10/07/2022</t>
  </si>
  <si>
    <t>01450.001565/2019-97</t>
  </si>
  <si>
    <t xml:space="preserve">VIçosa do Ceará</t>
  </si>
  <si>
    <t xml:space="preserve">Igreja do Céu</t>
  </si>
  <si>
    <t xml:space="preserve">Deputado Leandro Leitão</t>
  </si>
  <si>
    <t>01502.000227/2003-18</t>
  </si>
  <si>
    <t xml:space="preserve">Casarão - Avenida Senhor dos Passos</t>
  </si>
  <si>
    <t xml:space="preserve">Assembleia Legislativa do Estado da Bahia - Dep. Walmir Mota</t>
  </si>
  <si>
    <t xml:space="preserve">Encaminhado à superintendência em 16/12/2019</t>
  </si>
  <si>
    <t xml:space="preserve">01450.002694/2019-01 </t>
  </si>
  <si>
    <t xml:space="preserve">Jardim projetado por Roberto Burle Marx</t>
  </si>
  <si>
    <t xml:space="preserve">Instituto Ambiental e Cultural Andréa Scherer</t>
  </si>
  <si>
    <t>01490.000906/2013-45</t>
  </si>
  <si>
    <t xml:space="preserve">Cemitério de Imigrantes Japoneses</t>
  </si>
  <si>
    <t xml:space="preserve">Solicitada a instrução em 2/10/2021</t>
  </si>
  <si>
    <t>01498.001749/2018-20</t>
  </si>
  <si>
    <t>Camaragibe</t>
  </si>
  <si>
    <t xml:space="preserve">Fábrica de Tecidos da Companhia Industrial Pernambucana</t>
  </si>
  <si>
    <t xml:space="preserve">Sra. Tereza Cristina Collier</t>
  </si>
  <si>
    <t xml:space="preserve">Ofício Nº 631/2023/CGID/DEPAM-IPHAN, 07/12/2023, orientando consulta à comunidade sobre tombamento pela Portaria 135/2023. Solicitado apoio à Fundação Palmares para instrução em 12/11/2021. parecer de indeferimento de 7/11/2022. </t>
  </si>
  <si>
    <t>01514.001294/2019-88</t>
  </si>
  <si>
    <t xml:space="preserve">Pedro Leopoldo</t>
  </si>
  <si>
    <t xml:space="preserve">Comunidade de Pimentel</t>
  </si>
  <si>
    <t xml:space="preserve">Encaminhado para SE PR em 10/07/2020</t>
  </si>
  <si>
    <t>01508.000432/2019-91</t>
  </si>
  <si>
    <t xml:space="preserve">Edifício municipal, localizado na esquina das Ruas Dom Pedro II e Barão do Rio Branco</t>
  </si>
  <si>
    <t xml:space="preserve">Ver. Fernanda Saldanha, Ver. Julio Balkowski e Ver. Marta Centa</t>
  </si>
  <si>
    <t xml:space="preserve">INDEFERIDO em 16/07/2024</t>
  </si>
  <si>
    <t>01450.004882/2019-65</t>
  </si>
  <si>
    <t>Barbalha</t>
  </si>
  <si>
    <t xml:space="preserve">Centro Histórico de Barbalha</t>
  </si>
  <si>
    <t xml:space="preserve">Dep. José Guimarães</t>
  </si>
  <si>
    <t xml:space="preserve">Indicação de INDEFERIMENTO. Falta de elementos expressivos que subsidiassem um reconhecimento em termos artísticos, seja pela pouca presença de elementos que o relacionassem aos processos históricos evocados, mas sobretudo pelo aparentemente bem sucedido acautelamento dos bens que compõem o conjunto em esfera municipal e estadual</t>
  </si>
  <si>
    <t xml:space="preserve">Encaminhado para a SE para instrução em 13/01/2020.</t>
  </si>
  <si>
    <t>01510.000844/2019-81</t>
  </si>
  <si>
    <t xml:space="preserve">Herbário Barbosa Rodrigues</t>
  </si>
  <si>
    <t xml:space="preserve">Ellen Chalô Vanzuita dos Santos</t>
  </si>
  <si>
    <t>01502.001098/2018-61</t>
  </si>
  <si>
    <t xml:space="preserve">ILê AXé Omin J'Jarrum -Terreiro Viva Deus</t>
  </si>
  <si>
    <t xml:space="preserve">Associação Beneficente Bembé do Mercado de Santo Amaro</t>
  </si>
  <si>
    <t>01450.003152/2019-47</t>
  </si>
  <si>
    <t xml:space="preserve">Bens do Museu de Armas da Polícia Civil do Distro Federal</t>
  </si>
  <si>
    <t xml:space="preserve">Wesley Anonio Ferreira Bonfim - Diretor da Divisão de Polícia Comunitária - PCDF</t>
  </si>
  <si>
    <t xml:space="preserve">Objetos Pessoais</t>
  </si>
  <si>
    <t>01502.001097/2018-17</t>
  </si>
  <si>
    <t xml:space="preserve">Terreiro Ilê Axé Ojú Onirê</t>
  </si>
  <si>
    <t xml:space="preserve">Associação Beneficente e Cultural Ilê Axé Ojú Onirè</t>
  </si>
  <si>
    <t>verificar</t>
  </si>
  <si>
    <t>01450.004960/2019-21</t>
  </si>
  <si>
    <t xml:space="preserve">Museu Municipal Padre Daniel Cargnin</t>
  </si>
  <si>
    <t>01510.000059/2020-62</t>
  </si>
  <si>
    <t>Brusque</t>
  </si>
  <si>
    <t xml:space="preserve">Villa Renaux</t>
  </si>
  <si>
    <t xml:space="preserve">PARECER TÉCNICO nº 3/2024/DIVTEC IPHAN-AL/IPHAN-AL, 23/02/2024, indicando tombamento. Encaminhado para instrução em 7/7/2021. Encaminhado para análise jurídica pela Procuradoria Federal junto ao Iphan em 13/06/2024</t>
  </si>
  <si>
    <t>01403.000050/2012-69</t>
  </si>
  <si>
    <t xml:space="preserve">Coleção Perseverança e Auxílio</t>
  </si>
  <si>
    <t xml:space="preserve">Maria Paula Adinolfi (Técnica em Ciências Sociais - Iphan/BA)</t>
  </si>
  <si>
    <t>01492.000198/2000-16</t>
  </si>
  <si>
    <t>Colares</t>
  </si>
  <si>
    <t xml:space="preserve">Ruínas do engenho de Barão do Guajará nas localidades de Cacau e Ovos</t>
  </si>
  <si>
    <t>01492.000120/2007-60</t>
  </si>
  <si>
    <t xml:space="preserve">Estádio de Futebol do Paysandu Sport Club</t>
  </si>
  <si>
    <t>01492.000120/2005-06</t>
  </si>
  <si>
    <t xml:space="preserve">Igrejas de São João Batista e São Francisco Xavier</t>
  </si>
  <si>
    <t>01492.000087/2003-44</t>
  </si>
  <si>
    <t xml:space="preserve">Coleções etnográficas da UFPA</t>
  </si>
  <si>
    <t>01492.000078/2000-19</t>
  </si>
  <si>
    <t xml:space="preserve">Limoeiro do Ajuru</t>
  </si>
  <si>
    <t xml:space="preserve"> Imóvel residencial na localidade São José do Custódio</t>
  </si>
  <si>
    <t xml:space="preserve">parecer de indeferimento de 23/10/2022. Encaminhado para instrução em 29/3/2021</t>
  </si>
  <si>
    <t>01492.000077/2005-71</t>
  </si>
  <si>
    <t xml:space="preserve">Bairro do Reduto</t>
  </si>
  <si>
    <t xml:space="preserve">Solicitada a instrução em 29/6/2022</t>
  </si>
  <si>
    <t>01492.000252/2012-59</t>
  </si>
  <si>
    <t xml:space="preserve"> Sede campestre da Tuna Luso Brasileira</t>
  </si>
  <si>
    <t xml:space="preserve">Estudo visando tombamento e registro de festividades religiosas a ela relacionados.  Pedido Conjunto de Registro e Tombamentos dos Bens Culturais (SEI nº 1576580 e SEI nº 1576596)</t>
  </si>
  <si>
    <t>01408.002036/2010-98</t>
  </si>
  <si>
    <t xml:space="preserve">Igreja Rosário dos Homens Pretos</t>
  </si>
  <si>
    <t>01492.000068/2001-56</t>
  </si>
  <si>
    <t xml:space="preserve">Conjunto paisagístico natural de Alter do Chão</t>
  </si>
  <si>
    <t xml:space="preserve">INDEFERIDO em  02/08/2021</t>
  </si>
  <si>
    <t>01492.000064/2006-82</t>
  </si>
  <si>
    <t xml:space="preserve">Memorial da Cabanagem</t>
  </si>
  <si>
    <t xml:space="preserve">INDEFERIDO em 9/10/2021</t>
  </si>
  <si>
    <t>01496.000339/2018-81</t>
  </si>
  <si>
    <t xml:space="preserve">Antiga Casa de Câmara e Cadeia,</t>
  </si>
  <si>
    <t xml:space="preserve">parecer de indeferimento de 6/10/2022</t>
  </si>
  <si>
    <t>01492.000139/2016-05</t>
  </si>
  <si>
    <t xml:space="preserve">Santa Izabel </t>
  </si>
  <si>
    <t xml:space="preserve">Antigas estações ferroviárias de Santa Izabel e Americano - integrantes da antiga Estrada de Ferro de Bragança"</t>
  </si>
  <si>
    <t>01510.000422/2019-14</t>
  </si>
  <si>
    <t>Siderópolis</t>
  </si>
  <si>
    <t xml:space="preserve">Conjunto Arquitetônico Industrial Vila Fiorita</t>
  </si>
  <si>
    <t xml:space="preserve">INDEFERIDO em 04/08/2021</t>
  </si>
  <si>
    <t>01496.000176/2020-51</t>
  </si>
  <si>
    <t xml:space="preserve"> Sede do Grupo J. Macedo S/A</t>
  </si>
  <si>
    <t>01492.000169/2020-90</t>
  </si>
  <si>
    <t xml:space="preserve">Forno crematório</t>
  </si>
  <si>
    <t xml:space="preserve">INDEFERIDO em 19/06/2021</t>
  </si>
  <si>
    <t>01510.000125/2020-02</t>
  </si>
  <si>
    <t xml:space="preserve">Residência de Lydia Josephina Pizza Polli Wandrey e Waldemar Wandrey, imóvel localizado na Rua Benjamin Constant nº 256, Bairro São Luiz</t>
  </si>
  <si>
    <t xml:space="preserve">Proprietária VERIDIANA WANDREY MAFRA</t>
  </si>
  <si>
    <t>01492.000003/2020-73</t>
  </si>
  <si>
    <t xml:space="preserve">Centro Histórico de Óbidos</t>
  </si>
  <si>
    <t>71000.023296/2020-37</t>
  </si>
  <si>
    <t xml:space="preserve">Sobrado da escritora Clarice Lispector</t>
  </si>
  <si>
    <t>AISOACB</t>
  </si>
  <si>
    <t xml:space="preserve">Parecer de indeferimento de 24/08/2022. Solicitada a instrução em 29/060/2022</t>
  </si>
  <si>
    <t>01492.000110/2015-34</t>
  </si>
  <si>
    <t xml:space="preserve">Casa Modernista à travessa Padre Eutíquio nº 1879</t>
  </si>
  <si>
    <t xml:space="preserve">Carta externa de Cidadão - arq. Rony Cordeiro</t>
  </si>
  <si>
    <t>01492.000050/2008-21</t>
  </si>
  <si>
    <t xml:space="preserve">Imóvel à Travessa João Balbi, nº 201</t>
  </si>
  <si>
    <t>01492.000033/2000-29</t>
  </si>
  <si>
    <t xml:space="preserve">Conjunto neocolonial na Avenida Governador José Malcher e Travessa João Balbi</t>
  </si>
  <si>
    <t xml:space="preserve">parecer de indeferimento de 14/07/2022</t>
  </si>
  <si>
    <t>01492.000019/2002-02</t>
  </si>
  <si>
    <t xml:space="preserve">Prédio do Instituto Carlos Gomes</t>
  </si>
  <si>
    <t xml:space="preserve">Indeferido em 17/05/2024</t>
  </si>
  <si>
    <t>01514.900911/2017-68</t>
  </si>
  <si>
    <t xml:space="preserve">Chafariz de Pitangui</t>
  </si>
  <si>
    <t xml:space="preserve">Prefeitura Municipal de Pitangui</t>
  </si>
  <si>
    <t xml:space="preserve">Solicitada a instrução em 16/07/2022</t>
  </si>
  <si>
    <t>01498.000403/2020-29</t>
  </si>
  <si>
    <t xml:space="preserve">Engenho Massangana</t>
  </si>
  <si>
    <t>01502.001252/2019-86</t>
  </si>
  <si>
    <t>Caetité</t>
  </si>
  <si>
    <t xml:space="preserve">Terreiro de Candomblé Ilê Asé Danadana</t>
  </si>
  <si>
    <t xml:space="preserve">solicitada a instrução em 16/07/2022</t>
  </si>
  <si>
    <t>01498.000549/2020-74</t>
  </si>
  <si>
    <t xml:space="preserve">Conjunto Arquitetônico do Campus Casa Forte da Fundação Joaquim Nabuco</t>
  </si>
  <si>
    <t>01492.000401/2019-56</t>
  </si>
  <si>
    <t>Marabá</t>
  </si>
  <si>
    <t xml:space="preserve">Coleções da Fundação Casa de Cultura de Marabá</t>
  </si>
  <si>
    <t>01506.004749/2019-16</t>
  </si>
  <si>
    <t xml:space="preserve">Faculdade de Direito da Universidade de São Paulo</t>
  </si>
  <si>
    <t xml:space="preserve">cidadão: Hélcio Maciel Franca Madeira e Carlos Alexandre Böttcher</t>
  </si>
  <si>
    <t>01500.004751/2019-45</t>
  </si>
  <si>
    <t xml:space="preserve">Quiosques 19 e 20 da Lagoa Rodrigo de Freitas</t>
  </si>
  <si>
    <t xml:space="preserve">empresa Palaphita Kitch Comércio de Gêneros alimentícios LTDA</t>
  </si>
  <si>
    <t xml:space="preserve">Parecer de indeferimento de 17/09/2022encaminhado para instrução em 25/06/2021</t>
  </si>
  <si>
    <t>01510.001210/2019-46</t>
  </si>
  <si>
    <t xml:space="preserve">Conjunto de casarões em Brusque</t>
  </si>
  <si>
    <t xml:space="preserve">Cidadão (Altair José Formento)</t>
  </si>
  <si>
    <t xml:space="preserve">Encaminhado para instrução em 23/12/2020</t>
  </si>
  <si>
    <t>01450.003129/2019-52</t>
  </si>
  <si>
    <t xml:space="preserve">Hospital da Cruz Vermelha Brasileira (antigo hospital dos defeitos da face)</t>
  </si>
  <si>
    <t xml:space="preserve">Cidadão José Carlo Ferreira</t>
  </si>
  <si>
    <t xml:space="preserve">    </t>
  </si>
  <si>
    <t xml:space="preserve">Foi enviado para análise da CGID, resultou no Ofício Nº 12/2024/CITES-IPHAN (5196636) e Ofício Nº 558/2024/DEPAM-IPHAN (5198179).</t>
  </si>
  <si>
    <t>01450.004798/2012-75</t>
  </si>
  <si>
    <t xml:space="preserve">Pedra Fundamental da Capital Federal</t>
  </si>
  <si>
    <t xml:space="preserve">Deputado Carlos Bezerra</t>
  </si>
  <si>
    <t xml:space="preserve">Encaminhado para instrução em 15/12/2020</t>
  </si>
  <si>
    <t>01500.004233/2019-21</t>
  </si>
  <si>
    <t xml:space="preserve">Santa Casa de Misericórdia</t>
  </si>
  <si>
    <t xml:space="preserve">Cidadão - Hilda Veiga Bezerra</t>
  </si>
  <si>
    <t xml:space="preserve">Encaminhado para instrução em 11/1/2021. Ofício Nº 838/2023/IPHAN-RJ-IPHAN indica indeferimento em 29/05/2023. Arquivado em 04/07/2024</t>
  </si>
  <si>
    <t xml:space="preserve">Conjunto da Fábrica Filó</t>
  </si>
  <si>
    <t xml:space="preserve">Despacho 00992/2024/PFIPHAN/PGF/AGU encaminha ao DEPAM. Ofício Nº 227/2024/DEPAM-IPHAN encaminha a Procuradoria em 25/01/2024. Solicitado tombamento provisório, encaminhado para a Superintendência para instrução em 25/06/2021</t>
  </si>
  <si>
    <t>01506.001806/2020-49</t>
  </si>
  <si>
    <t xml:space="preserve">Conjunto Desportivo Constâncio Vaz Guimarães</t>
  </si>
  <si>
    <t xml:space="preserve">Cidadão: Ricardo Sant'Anna</t>
  </si>
  <si>
    <t xml:space="preserve">	SP-3550308-BI-CA-00013</t>
  </si>
  <si>
    <t>01506.004315/2019-16</t>
  </si>
  <si>
    <t xml:space="preserve">Muro Histórico do Parque Augusta</t>
  </si>
  <si>
    <t xml:space="preserve">Cidadão (Movimento Parque Augusta): Daniel da Silva Taranta </t>
  </si>
  <si>
    <t xml:space="preserve">25/05/2022 (DEPAM)</t>
  </si>
  <si>
    <t xml:space="preserve">PARECER TÉCNICO nº 7/2022/CGID/DEPAM indicando indeferimento de 8/1/2022.  Dado conhecimento e solicitada complementação da instrução processual (Ofício Nº 1135/2023/DEPAM-IPHAN)</t>
  </si>
  <si>
    <t>01450.004630/2019-36</t>
  </si>
  <si>
    <t xml:space="preserve">São Borja</t>
  </si>
  <si>
    <t xml:space="preserve">Acervo jesuítico-missioneiro de São Borja</t>
  </si>
  <si>
    <t xml:space="preserve">Cidadã (profa. IFF - São Borja): Eliane Martins Coelho</t>
  </si>
  <si>
    <t xml:space="preserve">encaminhado para instrução em 29/01/2021</t>
  </si>
  <si>
    <t>01492.000020/2020-19</t>
  </si>
  <si>
    <t xml:space="preserve">Acervo do Centro de Memória da Amazônia - CMA/UFPA</t>
  </si>
  <si>
    <t xml:space="preserve">Cidadão: William Gaia Farias (Diretor do Centro de Memória da Amazônia - CMA/UFPA)</t>
  </si>
  <si>
    <t xml:space="preserve">Parecer de indeferimento de 17/09/2022. encaminhado para instrução em 29/01/2021</t>
  </si>
  <si>
    <t>01492.000207/2006-56</t>
  </si>
  <si>
    <t xml:space="preserve">Central Hotel</t>
  </si>
  <si>
    <t xml:space="preserve">Movimento Central Hotel</t>
  </si>
  <si>
    <t>01514.000347/2020-87</t>
  </si>
  <si>
    <t>Timóteo</t>
  </si>
  <si>
    <t xml:space="preserve">Forno Hoffmann</t>
  </si>
  <si>
    <t xml:space="preserve">Prefeitura Municipal de Timóteo</t>
  </si>
  <si>
    <t>01450.003158/2019-14</t>
  </si>
  <si>
    <t xml:space="preserve">Túmulo do Servo de Deus Antoninho da Rocha Marmo</t>
  </si>
  <si>
    <t xml:space="preserve">Cidadão: José Carlos Rocha Ferreira</t>
  </si>
  <si>
    <t>01506.002495/2019-00</t>
  </si>
  <si>
    <t xml:space="preserve">Usina Hidrelétrica de Itatinga</t>
  </si>
  <si>
    <t xml:space="preserve">Câmara Municipal de Santos</t>
  </si>
  <si>
    <t>01506.000909/2020-91</t>
  </si>
  <si>
    <t xml:space="preserve">Monumento Natural da Pedra Grande</t>
  </si>
  <si>
    <t xml:space="preserve">Marco Antonio Sanches Cherfêm</t>
  </si>
  <si>
    <t xml:space="preserve">encaminhado para SE em 13/06/21</t>
  </si>
  <si>
    <t>01508.000028/2021-31</t>
  </si>
  <si>
    <t xml:space="preserve">Palácio Garibaldi</t>
  </si>
  <si>
    <t xml:space="preserve">Presidente da Associação Giuseppe Garibaldi</t>
  </si>
  <si>
    <t xml:space="preserve">INDEFERIDO em 17/08/2021</t>
  </si>
  <si>
    <t>01551.000013/2021-48</t>
  </si>
  <si>
    <t xml:space="preserve">Brasília Palace Hotel</t>
  </si>
  <si>
    <t xml:space="preserve">encaminhado para instrução da SE-BA em 23/03/22</t>
  </si>
  <si>
    <t>01450.012786/2005-95</t>
  </si>
  <si>
    <t xml:space="preserve">Terreiro Axé Maroketu</t>
  </si>
  <si>
    <t xml:space="preserve">Mãe Pastora de Iemanjá</t>
  </si>
  <si>
    <t xml:space="preserve">INDEFERIDO em 25/08/2021</t>
  </si>
  <si>
    <t>01450.002926/2019-12</t>
  </si>
  <si>
    <t xml:space="preserve">Associação Esportiva Caxambú</t>
  </si>
  <si>
    <t xml:space="preserve">Associação esportica Caxambú</t>
  </si>
  <si>
    <t>01450.003305/2020-90</t>
  </si>
  <si>
    <t xml:space="preserve">Área de Atividades do Grupo Escoteiro Georg Black - Sede "Coxilha Escoteira Torrão Gaúcho" e Acesso "Caminho dos Escoteiros ou Alameda dos Escoteiros"</t>
  </si>
  <si>
    <t xml:space="preserve">Instituto pro Scout Lino Schiefferdecker</t>
  </si>
  <si>
    <t xml:space="preserve">Indeferido em 11/09/2024.</t>
  </si>
  <si>
    <t>01492.000143/2008-55</t>
  </si>
  <si>
    <t xml:space="preserve">Prédio do Instituto Evandro Chagas</t>
  </si>
  <si>
    <t xml:space="preserve">Instituto Evandro Chagas</t>
  </si>
  <si>
    <t xml:space="preserve">Parecer de indeferimento de 27/09/2022. Encaminhado para instrução em 13/06/2021</t>
  </si>
  <si>
    <t>01492.000237/2015-53</t>
  </si>
  <si>
    <t xml:space="preserve">Parque do Utinga</t>
  </si>
  <si>
    <t xml:space="preserve">Conselho regional de museologia</t>
  </si>
  <si>
    <t xml:space="preserve">Parecer de indeferimento de 26/08/2022. Encaminhado para instrução em 13/06/2021</t>
  </si>
  <si>
    <t>01492.000373/2009-03</t>
  </si>
  <si>
    <t xml:space="preserve">Teatro São Cristóvão e Associação dos Chauffeurs</t>
  </si>
  <si>
    <t xml:space="preserve">João de Jesus Paes Loureiro</t>
  </si>
  <si>
    <t xml:space="preserve">INDEFERIDO em 30/03/2022. Parecer de indeferimento de 23/02/2022</t>
  </si>
  <si>
    <t>01492.000315/2020-87</t>
  </si>
  <si>
    <t xml:space="preserve">Palacete Bolonha e Palacete José Júlio de Andrade</t>
  </si>
  <si>
    <t xml:space="preserve">Euler Santos de Arruda, presidente do Corem/PA</t>
  </si>
  <si>
    <t>01450.000804/2021-14</t>
  </si>
  <si>
    <t xml:space="preserve">Obras Literárias de Monteiro Lobato</t>
  </si>
  <si>
    <t xml:space="preserve">Dep. Federal Carla Zambelli</t>
  </si>
  <si>
    <t xml:space="preserve">Parecer de indeferimento de 19/3/2022. Encaminhado para instrução em 23/06/2021</t>
  </si>
  <si>
    <t>01492.000134/2003-50</t>
  </si>
  <si>
    <t xml:space="preserve">Área de Miramar</t>
  </si>
  <si>
    <t xml:space="preserve">João Lúcio Mazzini da Costa</t>
  </si>
  <si>
    <t xml:space="preserve">Encaminhado para instrução em 22/06/2021</t>
  </si>
  <si>
    <t>01492.000316/2020-21</t>
  </si>
  <si>
    <t xml:space="preserve">Imóveis situados à Av. Almirante Barroso 1648 e 2140</t>
  </si>
  <si>
    <t xml:space="preserve">Marialva Ferreira Pereira e outros</t>
  </si>
  <si>
    <t xml:space="preserve">Foi retificado o nome do processo.</t>
  </si>
  <si>
    <t xml:space="preserve">INDEFERIDO em 9/9/21</t>
  </si>
  <si>
    <t>01492.000027/2021-11</t>
  </si>
  <si>
    <t xml:space="preserve">Casa da Estrella de Belém</t>
  </si>
  <si>
    <t>25/01/201</t>
  </si>
  <si>
    <t xml:space="preserve">Nelson Rodrigues Sanjad</t>
  </si>
  <si>
    <t xml:space="preserve">Encaminhado para instrução em 23/06/2021</t>
  </si>
  <si>
    <t>01500.000013/2021-43</t>
  </si>
  <si>
    <t xml:space="preserve">Antiga Cia. Têxtil Brasil Indústria</t>
  </si>
  <si>
    <t xml:space="preserve">Davi Pereira Romeiro Neto</t>
  </si>
  <si>
    <t xml:space="preserve">Encaminhado para instrução em 25/06/2021</t>
  </si>
  <si>
    <t>01402.000042/2021-13</t>
  </si>
  <si>
    <t xml:space="preserve">Prédio do antigo Sanatório Meduna</t>
  </si>
  <si>
    <t xml:space="preserve">Wellington Carvalho Camarço</t>
  </si>
  <si>
    <t xml:space="preserve">Parecer de indeferimento de 6/8/2022. Encaminhado para instrução em 25/06/2021</t>
  </si>
  <si>
    <t>01492.000021/2005-16</t>
  </si>
  <si>
    <t>Tracuateua</t>
  </si>
  <si>
    <t xml:space="preserve">Casarão Secular de Tracuateua</t>
  </si>
  <si>
    <t xml:space="preserve">Waldeth Gomes da Costa</t>
  </si>
  <si>
    <t>01450.006788/2010-11</t>
  </si>
  <si>
    <t xml:space="preserve">Conjunto Arquitetônico da Fazenda Experimental Getúlio Vargas</t>
  </si>
  <si>
    <t xml:space="preserve">Anderson Adauto Pereira</t>
  </si>
  <si>
    <t xml:space="preserve">Ofício Nº 134/2024/CGID/DEPAM-IPHAN, 26/01/2024, solicita alinhamento entre a informação do referido Parecer Técnico e do Ofício de encaminhamento, ou justificativa. Encaminhado para instrução em 25/06/2021</t>
  </si>
  <si>
    <t>01492.000079/2000-55</t>
  </si>
  <si>
    <t xml:space="preserve">Igreja do Senhor dos Passos (Igreja de Pedra)</t>
  </si>
  <si>
    <t xml:space="preserve">Vereador Raimundo Alves da Costa, Camara Municipal de Vigia</t>
  </si>
  <si>
    <t>01502.000056/2021-17</t>
  </si>
  <si>
    <t>Valente</t>
  </si>
  <si>
    <t xml:space="preserve">Caldeirão do Boi Valente</t>
  </si>
  <si>
    <t xml:space="preserve">Walker Silva Mota</t>
  </si>
  <si>
    <t xml:space="preserve">Solicitada a instrução em 16/07/2021</t>
  </si>
  <si>
    <t>01506.000664/2021-83</t>
  </si>
  <si>
    <t>Limeira</t>
  </si>
  <si>
    <t xml:space="preserve">Conjunto do Casarão da Fazenda Tatu</t>
  </si>
  <si>
    <t xml:space="preserve">Paulo Masuit Levy Presidente do Conselho Municipal de defesa do patrimônio histórico</t>
  </si>
  <si>
    <t xml:space="preserve">Encaminhado para instrução em 28/06/2021</t>
  </si>
  <si>
    <t>01450.001861/2021-11</t>
  </si>
  <si>
    <t xml:space="preserve">Panteão dos Andradas</t>
  </si>
  <si>
    <t xml:space="preserve">Ana Luísa Duarte</t>
  </si>
  <si>
    <t xml:space="preserve">Encaminhado para instrução em 26/06/2021</t>
  </si>
  <si>
    <t>01500.005033/2018-13</t>
  </si>
  <si>
    <t xml:space="preserve">Igreja de São Elesbão e Santa Efigênia</t>
  </si>
  <si>
    <t xml:space="preserve">Jaime Mitropoulos, Minstério Público Federal</t>
  </si>
  <si>
    <t xml:space="preserve">Encaminhado para instrução em 28/06/2021. Encaminhada orientações da CGID em 11/09/2023.</t>
  </si>
  <si>
    <t>00135.210187/2018-60</t>
  </si>
  <si>
    <t xml:space="preserve">Cemitério dos Escravos da Comunidade Quilombola de Quartel do Indaiá</t>
  </si>
  <si>
    <t xml:space="preserve">Juvenal Araújo Júnior, Secretário Nacional de Políticas de Promoção da igualdade racial.</t>
  </si>
  <si>
    <t xml:space="preserve">Encaminhado para instrução em 16/07/2021</t>
  </si>
  <si>
    <t>01506.000713/2021-88.</t>
  </si>
  <si>
    <t xml:space="preserve">Campos dos Jordão</t>
  </si>
  <si>
    <t xml:space="preserve">Patrimônio cultural ferroviário da Estrada de Ferro Campos do Jordão (EFCJ)</t>
  </si>
  <si>
    <t xml:space="preserve">Fabricio Donizeti Cruz de Jesus</t>
  </si>
  <si>
    <t xml:space="preserve">Enviado para análise na COREC em 25/060/2021</t>
  </si>
  <si>
    <t>01514.002769/2009-81</t>
  </si>
  <si>
    <t xml:space="preserve">Volta Grande</t>
  </si>
  <si>
    <t xml:space="preserve">Casa e Estúdio do Cineasta Humberto Mauro</t>
  </si>
  <si>
    <t xml:space="preserve">Fernanda Caraline de Almeida Carvalhal</t>
  </si>
  <si>
    <t xml:space="preserve">INDEFERIDO em 10/08/2021</t>
  </si>
  <si>
    <t xml:space="preserve">01514.002858/2014-95 </t>
  </si>
  <si>
    <t>Sabará</t>
  </si>
  <si>
    <t xml:space="preserve">Capela do Senhor Bom Jesus do Morro da Cruz</t>
  </si>
  <si>
    <t xml:space="preserve">Diógenes Gonçalves Fantini, Prefeito de Sabará</t>
  </si>
  <si>
    <t xml:space="preserve">Recurso ao indeferimento, encaminhado à CAR em 12/1/2023. Reabertura do processo em 04/01/2023. Indeferido em 7/11/2021. Solicitada a instrução em 12/07/2021</t>
  </si>
  <si>
    <t>01512.000117/2020-38</t>
  </si>
  <si>
    <t xml:space="preserve">Ronda Alta</t>
  </si>
  <si>
    <t xml:space="preserve">Monumento em Homenagem aos Trabalhadores Rurais Sem Terra</t>
  </si>
  <si>
    <t xml:space="preserve">Jovan Gasparetto</t>
  </si>
  <si>
    <t xml:space="preserve">INDEFERIDO em  23/07/2021</t>
  </si>
  <si>
    <t>01514.002222/2018-77</t>
  </si>
  <si>
    <t xml:space="preserve">Caeté e Santa Bárbara</t>
  </si>
  <si>
    <t xml:space="preserve">Distrito espeleológico Serra do Gandarela, </t>
  </si>
  <si>
    <t xml:space="preserve">Alice Okawara, presidente da Macaca</t>
  </si>
  <si>
    <t xml:space="preserve">INDEFERIDO em  14/07/2021</t>
  </si>
  <si>
    <t>01500.000940/2021-63</t>
  </si>
  <si>
    <t xml:space="preserve">Casa situada à Rua da Conceição, nº 171</t>
  </si>
  <si>
    <t xml:space="preserve">Suzana Caspary Ribeiro</t>
  </si>
  <si>
    <t xml:space="preserve">INDEFERIDO em 23/07/21</t>
  </si>
  <si>
    <t>01421.000252/2018-88</t>
  </si>
  <si>
    <t xml:space="preserve">Locomotivas RS8</t>
  </si>
  <si>
    <t xml:space="preserve">Wagner  Douglas Júnior, Canal Supertrens</t>
  </si>
  <si>
    <t xml:space="preserve">INDEFERIDO em 28/07/21</t>
  </si>
  <si>
    <t>01510.000725/2018-48</t>
  </si>
  <si>
    <t xml:space="preserve">Sítio Paisagístico da pedra dos quatro furos</t>
  </si>
  <si>
    <t xml:space="preserve">Leandro Neto</t>
  </si>
  <si>
    <t xml:space="preserve">Parecer de indeferimento de 10/07/2022. Solicitada a instruçao em 14/07/2021</t>
  </si>
  <si>
    <t>01492.000568/2019-17</t>
  </si>
  <si>
    <t xml:space="preserve">Complexo do Mercado de São Braz</t>
  </si>
  <si>
    <t xml:space="preserve">Olímpio Yugo Ohnishi</t>
  </si>
  <si>
    <t xml:space="preserve">INDEFERIDO em 6/11/2021. Solicitada a instrução em  14/07/2021</t>
  </si>
  <si>
    <t xml:space="preserve"> 01425.000215/2021-35</t>
  </si>
  <si>
    <t>Cuiabã</t>
  </si>
  <si>
    <t xml:space="preserve">Quartel do 44º Batalhão de Infantaria Motorizada</t>
  </si>
  <si>
    <t xml:space="preserve">Alberto Machado, Secretário de Estado de Cultura, esporte e lazer</t>
  </si>
  <si>
    <t xml:space="preserve">Solicitada a instrução em 13/07/2021</t>
  </si>
  <si>
    <t>01496.000067/2021-15</t>
  </si>
  <si>
    <t xml:space="preserve">Acervo do Memorial Padre Antônio Vieira</t>
  </si>
  <si>
    <t xml:space="preserve">Gilton Barreto de Souza</t>
  </si>
  <si>
    <t xml:space="preserve">Indeferido em 21/06/2024</t>
  </si>
  <si>
    <t xml:space="preserve">01402.000177/2020-06 </t>
  </si>
  <si>
    <t xml:space="preserve">Gravura Érica, de autoria de Roberto Burle Marx</t>
  </si>
  <si>
    <t xml:space="preserve">Silvani Maia Resende Santana, Secretária de Administração, orçamento e financas, TRE-PI</t>
  </si>
  <si>
    <t xml:space="preserve">Indicação de INDEFERIMENTO. Parece difícil apontar a importância de uma obra específica, frente as outras que existem aos milhares, que mereça um tombamento individual; tanto mais difícil quando se trata de um exemplar de gravura reproduzida 220 vezes, como no caso em apreciação.</t>
  </si>
  <si>
    <t xml:space="preserve">Parecer de indeferimento de 21/11/2021</t>
  </si>
  <si>
    <t>01492.000148/2005-35</t>
  </si>
  <si>
    <t xml:space="preserve">Edifício D. Carlos</t>
  </si>
  <si>
    <t xml:space="preserve">Pedido de esclarecimentos respondido em 14/1/2022. Solicitada a instrução em 11/11/21</t>
  </si>
  <si>
    <t>01551.000098/2021-64</t>
  </si>
  <si>
    <t xml:space="preserve">Imóvel em que funcionou o Pelotão de Investigações Criminais, no Batalhão de Polícia do Exército de Brasília (BPEB)</t>
  </si>
  <si>
    <t xml:space="preserve">Anna Paula Coutinho de Barcelos Moreira, Procuradora da República</t>
  </si>
  <si>
    <t>01506.000451/2020-71</t>
  </si>
  <si>
    <t>Ibitinga</t>
  </si>
  <si>
    <t xml:space="preserve">Templo do Ministério Instituto e Acampamento Bíblico Ebennezer</t>
  </si>
  <si>
    <t xml:space="preserve">José Roberto de Souza</t>
  </si>
  <si>
    <t xml:space="preserve">Solicitada a instrução em  26/07/21</t>
  </si>
  <si>
    <t>01450.002663/2020-85</t>
  </si>
  <si>
    <t xml:space="preserve"> Casa da Morte</t>
  </si>
  <si>
    <t xml:space="preserve">Vanessa Serguezzi, Ministério Público Federal</t>
  </si>
  <si>
    <t xml:space="preserve">INDEFERIDO em 24/08/2021</t>
  </si>
  <si>
    <t>01500.004815/2018-27</t>
  </si>
  <si>
    <t>edificação</t>
  </si>
  <si>
    <t xml:space="preserve">Igreja da Freguesia de Santana</t>
  </si>
  <si>
    <t xml:space="preserve">Alonso de Oliveira, diretor do Departamento Histórico e Artístico da Secretaria de Cultura e Esportes do Município</t>
  </si>
  <si>
    <t xml:space="preserve">Solicitada a instrução em  30/07/21</t>
  </si>
  <si>
    <t>01496.000363/2021-16</t>
  </si>
  <si>
    <t xml:space="preserve">Conjunto Urbano Histórico do Centro da Cidade de Fortaleza</t>
  </si>
  <si>
    <t xml:space="preserve">Márcio Martins, vereador</t>
  </si>
  <si>
    <t xml:space="preserve">Solicitada a instrução em 23/08/21</t>
  </si>
  <si>
    <t>01450.002596/2021-80</t>
  </si>
  <si>
    <t xml:space="preserve">Cartas endereçadas a Luís Carlos Prestes</t>
  </si>
  <si>
    <t>01510.000557/2020-13</t>
  </si>
  <si>
    <t xml:space="preserve">Major Gercino</t>
  </si>
  <si>
    <t xml:space="preserve">Igreja Senhor Bom Jesus</t>
  </si>
  <si>
    <t xml:space="preserve">Everson Cristian Raimundo</t>
  </si>
  <si>
    <t xml:space="preserve">Parecer de indeferimento de 1/09/2022. Solicitada a instrução em 30/08/2021</t>
  </si>
  <si>
    <t>01496.000412/2021-11</t>
  </si>
  <si>
    <t xml:space="preserve">Edifício São Pedro</t>
  </si>
  <si>
    <t xml:space="preserve">Wagner de Souza Gomes, Deputado Federal Capitão Wagner</t>
  </si>
  <si>
    <t xml:space="preserve">Solicitada a instrução em 27/08/2021</t>
  </si>
  <si>
    <t>01450.002514/2021-05</t>
  </si>
  <si>
    <t xml:space="preserve">Conjunto Arquitetônico e Urbanístico do Instituto Biológico</t>
  </si>
  <si>
    <t xml:space="preserve">Ana Eugênia de Carvalho Campos, Diretora técnica do Departamento</t>
  </si>
  <si>
    <t xml:space="preserve">INDEFERIDO em 14/09/2021</t>
  </si>
  <si>
    <t xml:space="preserve">01402.000370/2021-10 </t>
  </si>
  <si>
    <t>Regeneração</t>
  </si>
  <si>
    <t xml:space="preserve">Mirante do Cruzeiro (Morro da Cruz)</t>
  </si>
  <si>
    <t xml:space="preserve">Eduardo Alves Carvalho, prefeito</t>
  </si>
  <si>
    <t xml:space="preserve">Parecer de indeferimento de 3/3/2022. encaminhado pela presidência à SE em 16/09/2022. Pedido parecer ao CNA em 26/12/2021</t>
  </si>
  <si>
    <t xml:space="preserve">01450.002749/2021-99 </t>
  </si>
  <si>
    <t xml:space="preserve">Canindé do São Francisco</t>
  </si>
  <si>
    <t xml:space="preserve">Sítios arqueológicos no Vale dos Mestres</t>
  </si>
  <si>
    <t xml:space="preserve">Omar Bradley de Oliveira, Procurador Federal</t>
  </si>
  <si>
    <t xml:space="preserve">Parecer de indeferimento de 10/02/2022. INDEFERIDO em 4/4/2022. Solicitada a instrução em 13/10/2021</t>
  </si>
  <si>
    <t xml:space="preserve">01450.003143/2021-71 </t>
  </si>
  <si>
    <t xml:space="preserve"> Imóvel conhecido como Casa de Pedra</t>
  </si>
  <si>
    <t xml:space="preserve">Cidadã Camilla Pecene de Lima André </t>
  </si>
  <si>
    <t xml:space="preserve">Encaminhado para instrução em 13/1/1022</t>
  </si>
  <si>
    <t>01450.003028/2021-04</t>
  </si>
  <si>
    <t xml:space="preserve">Palácio Rio Branco</t>
  </si>
  <si>
    <t xml:space="preserve">Luiz Antônio de Souza, presidente do IAB</t>
  </si>
  <si>
    <t>01500.900142/2017-57</t>
  </si>
  <si>
    <t xml:space="preserve"> Imóvel situado à Rua Dois de Dezembro, nº 63,</t>
  </si>
  <si>
    <t xml:space="preserve">Cidadã Joyce bahiense Gomes</t>
  </si>
  <si>
    <t xml:space="preserve">INDEFERIDO em 27/10/2021</t>
  </si>
  <si>
    <t>01402.000453/2021-17</t>
  </si>
  <si>
    <t xml:space="preserve">Nascentes do Rio Mulato, na Comunidade Coco dos Amâncio,</t>
  </si>
  <si>
    <t xml:space="preserve">PARECER TÉCNICO nº 1/2024/COTEC IPHAN-RJ/IPHAN-RJ sugere indeferimento, conforme expressa "procuramos evidenciar que não há sentido algum em se indicar o tombamento da coleção pictórica da Santa Casa de Valença por valor histórico." Encaminhado para instrução em 31/10/2021</t>
  </si>
  <si>
    <t>01450.003414/2021-98</t>
  </si>
  <si>
    <t xml:space="preserve">Acervo da Santa Casa de Misericórdia de Valença</t>
  </si>
  <si>
    <t xml:space="preserve">Olav Schrader, supeintendente do Iphan no Rio de Janeiro</t>
  </si>
  <si>
    <t xml:space="preserve">INDEFERIDO em 28/10/2021</t>
  </si>
  <si>
    <t>01450.007046/2009-61</t>
  </si>
  <si>
    <t xml:space="preserve">Dr. Camargo</t>
  </si>
  <si>
    <t xml:space="preserve">Estação Ferroviária de Doutor Camargo</t>
  </si>
  <si>
    <t xml:space="preserve">Alcídio Delapria, prefeito municial</t>
  </si>
  <si>
    <t xml:space="preserve">INDEFERIDO em 9/11/2021</t>
  </si>
  <si>
    <t>01502.000343/2021-19</t>
  </si>
  <si>
    <t>Boquira</t>
  </si>
  <si>
    <t xml:space="preserve">Capela da Comunidade de Santa Rita</t>
  </si>
  <si>
    <t xml:space="preserve">Luciano de Oliveira e Silva, Prefeiito</t>
  </si>
  <si>
    <t xml:space="preserve">INDEFERIDO em 20/11/2021</t>
  </si>
  <si>
    <t>01502.003800/2010-74</t>
  </si>
  <si>
    <t xml:space="preserve">Salvador e Candeias</t>
  </si>
  <si>
    <t xml:space="preserve">Sítios petrolíferos de Candeias e Lobato</t>
  </si>
  <si>
    <t xml:space="preserve">Antônio José Pinheiro Rivas e Gilberto Melo</t>
  </si>
  <si>
    <t xml:space="preserve">Encaminhado para instrução em 18/11/2021</t>
  </si>
  <si>
    <t>01450.003661/2021-94</t>
  </si>
  <si>
    <t xml:space="preserve">Circuito do Autódromo Internacional de Curitiba</t>
  </si>
  <si>
    <t xml:space="preserve">Wagner Gilberto de Carvalho, cidadão</t>
  </si>
  <si>
    <t>01450.003703/2021-97</t>
  </si>
  <si>
    <t xml:space="preserve">Circuito do Autódromo de São Paulo</t>
  </si>
  <si>
    <t xml:space="preserve">solicitada a instrução 20/11/2021</t>
  </si>
  <si>
    <t>01502.002488/2017-78</t>
  </si>
  <si>
    <t xml:space="preserve">Rio Real</t>
  </si>
  <si>
    <t xml:space="preserve">Sobrado à Praça da Bandeira,</t>
  </si>
  <si>
    <t xml:space="preserve">Clécia Nascimento Almeida , secretária municipal de educação'</t>
  </si>
  <si>
    <t xml:space="preserve">encaminhado para instrução em 20/11/2021</t>
  </si>
  <si>
    <t>01498.000942/2021-49</t>
  </si>
  <si>
    <t xml:space="preserve">Mural Cerâmico 'Batalha dos Guararapes’</t>
  </si>
  <si>
    <t xml:space="preserve">Antônio Ricardo Accioly Campos, presidente da FUNDAJ</t>
  </si>
  <si>
    <t xml:space="preserve">INDEFERIDO em 21/11/2021</t>
  </si>
  <si>
    <t>01450.015809/2009-47</t>
  </si>
  <si>
    <t xml:space="preserve">Conjunto arquitetônico ferroviário de Santa Bárbara</t>
  </si>
  <si>
    <t xml:space="preserve">Sérgio Motta de Mello, presidente da Apito</t>
  </si>
  <si>
    <t xml:space="preserve">Parecer de indeferimento de 20/12/2022</t>
  </si>
  <si>
    <t>01426.000046/2021-23</t>
  </si>
  <si>
    <t xml:space="preserve">Conjunto arquitetônico e paisagístico do bairro de Quebra Frascos</t>
  </si>
  <si>
    <t>s.d.</t>
  </si>
  <si>
    <t xml:space="preserve">Renata Crhistina C. de O. Gouveia, cidadã</t>
  </si>
  <si>
    <t xml:space="preserve">Parecer de indeferimento de 23/11/2021</t>
  </si>
  <si>
    <t>01502.001877/2005-42</t>
  </si>
  <si>
    <t xml:space="preserve">Nádia Mendes de Moura, servidora IPHAN</t>
  </si>
  <si>
    <t xml:space="preserve">Parecer de indeferimento de 18/11/2021</t>
  </si>
  <si>
    <t>01500.000356/2018-11</t>
  </si>
  <si>
    <t xml:space="preserve">Terreno e prédio situado à Rua Luisa Figueiredo n º 266</t>
  </si>
  <si>
    <t xml:space="preserve">Luís Fernando César de Azevedo Silva, Cidadão</t>
  </si>
  <si>
    <t xml:space="preserve">INDEFERIDO em 3/3/2022, Parecer de indeferimento de 9/2/2022</t>
  </si>
  <si>
    <t>01502.001370/2021-17</t>
  </si>
  <si>
    <t>Piritiba</t>
  </si>
  <si>
    <t xml:space="preserve">Estação Ferroviária do Distrito do França</t>
  </si>
  <si>
    <t xml:space="preserve">Fernando Rios, Vereador</t>
  </si>
  <si>
    <t xml:space="preserve">Parecer de indeferimento de 9/1/2022</t>
  </si>
  <si>
    <t>01502.001541/2021-08</t>
  </si>
  <si>
    <t>Araci</t>
  </si>
  <si>
    <t xml:space="preserve">Estádio Municipal José Brígido da Silva</t>
  </si>
  <si>
    <t xml:space="preserve">Joaquim Carvalho de Oliveira Neto, Cidadão</t>
  </si>
  <si>
    <t xml:space="preserve">Encaminhado para instrução em 4/1/2022</t>
  </si>
  <si>
    <t xml:space="preserve">01450.003921/2021-21 </t>
  </si>
  <si>
    <t xml:space="preserve">Pavilhão de comando do quartel do 3º Grupo de Artilharia Antiaérea</t>
  </si>
  <si>
    <t xml:space="preserve">Gustavo Luis Toigo</t>
  </si>
  <si>
    <t xml:space="preserve">INDEFERIDO em 11/1/2022</t>
  </si>
  <si>
    <t>01502.002080/2019-68</t>
  </si>
  <si>
    <t xml:space="preserve">Ladeira de Nanã</t>
  </si>
  <si>
    <t xml:space="preserve">Ailton Kleber</t>
  </si>
  <si>
    <t xml:space="preserve"> Indicação de INDEFERIMENTO. Pedido de tombamento está baseado em argumentos relacionados ao patrimônio imaterial.</t>
  </si>
  <si>
    <t xml:space="preserve">INDEFERIDO em 14/1/2022</t>
  </si>
  <si>
    <t>01502.000675/2020-12</t>
  </si>
  <si>
    <t xml:space="preserve">Formosa do Rio Preto</t>
  </si>
  <si>
    <t xml:space="preserve">Ponte de madeira</t>
  </si>
  <si>
    <t xml:space="preserve">Gabriela Fernandes Ribeiro</t>
  </si>
  <si>
    <t xml:space="preserve">Indicação de INDEFERIMENTO. Ponte em questão foi destruída por um incêndio no dia 3 de outubro de 2020, tendo sido reconstruída em alvenaria em curto prazo de tempo; diante da destruição da antiga ponte, tal recomendação [de tombamento estadual] não faz mais sentido.</t>
  </si>
  <si>
    <t xml:space="preserve">Encaminhado para instrução em 14/1/2022</t>
  </si>
  <si>
    <t xml:space="preserve">01496.000677/2021-19 </t>
  </si>
  <si>
    <t xml:space="preserve">Base Aérea de Fortaleza - BAFZ</t>
  </si>
  <si>
    <t xml:space="preserve">Lúcio Gonçalo de Alcântara, cidadão, e outros</t>
  </si>
  <si>
    <t xml:space="preserve">Encaminhado para instrução em 18/1/2022</t>
  </si>
  <si>
    <t>01450.000220/2020-50</t>
  </si>
  <si>
    <t xml:space="preserve">Edifício Copan</t>
  </si>
  <si>
    <t xml:space="preserve">Conselho Consultivo do Iphan</t>
  </si>
  <si>
    <t xml:space="preserve">Encaminhado para instrução em 19/1/2022</t>
  </si>
  <si>
    <t>01450.000223/2020-93</t>
  </si>
  <si>
    <t xml:space="preserve"> Museu Oscar Niemeyer</t>
  </si>
  <si>
    <t xml:space="preserve">Conjunto Pavilhões de Serviços Gerais da UnB</t>
  </si>
  <si>
    <t xml:space="preserve">encaminhado para instrução em 4/2/2022</t>
  </si>
  <si>
    <t>01403.000094/2007-21</t>
  </si>
  <si>
    <t xml:space="preserve">Complexo do Angiquinho</t>
  </si>
  <si>
    <t xml:space="preserve">Superintendência do Iphan em Alagoas</t>
  </si>
  <si>
    <t>Deferimento</t>
  </si>
  <si>
    <t xml:space="preserve">Encaminhado para instrução em 21/02/2022</t>
  </si>
  <si>
    <t>01512.000021/2022-31</t>
  </si>
  <si>
    <t>Farroupilha</t>
  </si>
  <si>
    <t xml:space="preserve">Moinho Covolan</t>
  </si>
  <si>
    <t xml:space="preserve">Álvaro Wilson Covolan - cidadão</t>
  </si>
  <si>
    <t xml:space="preserve">Encaminhado para a instrução em 6/3/2022</t>
  </si>
  <si>
    <t>01496.000683/2021-76</t>
  </si>
  <si>
    <t xml:space="preserve">Conjunto Arquitetônico da Faculdade de Direito da Universidade Federal do Ceará</t>
  </si>
  <si>
    <t xml:space="preserve">Aderbal Aguiar Junior</t>
  </si>
  <si>
    <t xml:space="preserve">Encaminhado para instrução em 4/4/2022. </t>
  </si>
  <si>
    <t>01498.000084/2021-32</t>
  </si>
  <si>
    <t xml:space="preserve">Cruzeiro Carmelitano</t>
  </si>
  <si>
    <t xml:space="preserve">Marcos Paulo A. do Santos</t>
  </si>
  <si>
    <t xml:space="preserve">Parecer de indeferimento de 15/4/2022</t>
  </si>
  <si>
    <t>01425.000015/2022-63</t>
  </si>
  <si>
    <t xml:space="preserve">Igreja Nossa Senhora de Auxiliadora</t>
  </si>
  <si>
    <t xml:space="preserve">João Machado Neto, Prefeito</t>
  </si>
  <si>
    <t>indeferimento</t>
  </si>
  <si>
    <t xml:space="preserve">Indicação de INDEFERIMENTO. Não há no processo nenhuma documentação relacionando diretamente o imóvel com os eventos que se propõe prestigiar com o tombamento federal.</t>
  </si>
  <si>
    <t>01425.000016/2022-16</t>
  </si>
  <si>
    <t xml:space="preserve">Fachada da Casa do Senhor Venâncio</t>
  </si>
  <si>
    <t xml:space="preserve">Indicação de INDEFERIMENTO. Não se enquadra nos critérios de excepcionalidade ou de representatividade exigidos para a inscrição de uma coisa nos livros.</t>
  </si>
  <si>
    <t>01425.000013/2022-74</t>
  </si>
  <si>
    <t xml:space="preserve">Casa dos Irmãos Villas Boas</t>
  </si>
  <si>
    <t xml:space="preserve">Indicação de INDEFERIMENTO. Apontam para um valor mais local; edifício tem problemas de conservação e se encontra abandonado.</t>
  </si>
  <si>
    <t>01425.000014/2022-19</t>
  </si>
  <si>
    <t xml:space="preserve">Teatro Municipal Heitor Villa Lobos</t>
  </si>
  <si>
    <t xml:space="preserve">Indicação de INDEFERIMENTO. Valor estritamente local para o bem proposto para tombamento</t>
  </si>
  <si>
    <t>01425.000012/2022-20</t>
  </si>
  <si>
    <t xml:space="preserve">Casa do Coronel Vanique</t>
  </si>
  <si>
    <t xml:space="preserve">Indicação de INDEFERIMENTO. Nos tombamentos de casas associadas a personagens históricos, se passou a exigir a presença de um acervo que permita contextualizar o bem.</t>
  </si>
  <si>
    <t xml:space="preserve">Encaminhado para instrução em 26/3/2022</t>
  </si>
  <si>
    <t>01514.000243/2022-34</t>
  </si>
  <si>
    <t>Alfenas</t>
  </si>
  <si>
    <t xml:space="preserve">Ponte das Amoras</t>
  </si>
  <si>
    <t xml:space="preserve">GUILHERME ABRAÃO SILVA</t>
  </si>
  <si>
    <t xml:space="preserve">Parecer de tombamento de 20/02/2023. solicitada vistoria em 4/5/2022</t>
  </si>
  <si>
    <t>01450.001274/2022-02</t>
  </si>
  <si>
    <t>Pirassununga</t>
  </si>
  <si>
    <t xml:space="preserve">Aeronave North American T-6, matrícula PT-TRB, da Esquadrilha da Fumaça,</t>
  </si>
  <si>
    <t xml:space="preserve">Rafael Rodrigues Filho, diretor do Incaer</t>
  </si>
  <si>
    <t xml:space="preserve">Solicitada instrução em 21/05/22</t>
  </si>
  <si>
    <t>01506.000573/2022-29</t>
  </si>
  <si>
    <t xml:space="preserve">Parque Dr. Fernando Costa - Água Branca - São Paulo/SP</t>
  </si>
  <si>
    <t xml:space="preserve">Catherine Otondo, presidente CAU/SP</t>
  </si>
  <si>
    <t xml:space="preserve">Parecer de indeferimento de 17/5/22</t>
  </si>
  <si>
    <t xml:space="preserve">01502.001030/2020-05 </t>
  </si>
  <si>
    <t xml:space="preserve">Terreiro Ilê Àse Olo T'Ògun</t>
  </si>
  <si>
    <t xml:space="preserve">Márgio Luís Régis de Souza</t>
  </si>
  <si>
    <t>Indeferimento</t>
  </si>
  <si>
    <t xml:space="preserve">Indicação de INDEFERIMENTO. Do nosso ponto de vista, não vemos como recomendar a inscrição do bem nos livros do tombo, considerando que se trata, segundo consta nos autos, de uma obra incompleta, de arquitetura vernacular, de um tipo que já há vários outros exemplares tombados, sendo ainda de construção recente. Vale ainda apontar que o motivador do pedido do tombamento, a preservação da tradição, não é um objetivo que possa ser alcançado pelo tombamento, pois este instrumento, como é bem sabido, não preserva usos, somente o suporte material de um bem.</t>
  </si>
  <si>
    <t xml:space="preserve">Solicitada instrução em 31/05/22. Parecer de indeferimento de 15/12/2022</t>
  </si>
  <si>
    <t>01450.001709/2022-19</t>
  </si>
  <si>
    <t xml:space="preserve">Casa junto à Barragem do Cobre</t>
  </si>
  <si>
    <t xml:space="preserve">Glauber Machado, presidente do instituto Popular Trilas das Flores</t>
  </si>
  <si>
    <t xml:space="preserve">Indicação de INDEFERIMENTO. Não ficou demonstrada a adequação do bem imóvel denominado “Casa junto à Barragem do Cobre” aos critérios de tombamento deste IPHAN</t>
  </si>
  <si>
    <t xml:space="preserve">parecer de indeferimento de 10/06/22. Houve recurso do requerente e o processo voltou à SE-BA em 23/5/2023.</t>
  </si>
  <si>
    <t>01502.001434/2021-71</t>
  </si>
  <si>
    <t>Amargosa</t>
  </si>
  <si>
    <t xml:space="preserve">Parque de Exposições Jorge Sales</t>
  </si>
  <si>
    <t xml:space="preserve">Lenito de Oliveira Soares vice-presidente da COAMAR</t>
  </si>
  <si>
    <t xml:space="preserve">Indicação de INDEFERIMENTO. Não se destaca de forma alguma em termos de uma arquitetura erudita ou vernacular</t>
  </si>
  <si>
    <t xml:space="preserve">Solicitada a instrução em 10/06/2022</t>
  </si>
  <si>
    <t>01502.002065/2008-67</t>
  </si>
  <si>
    <t xml:space="preserve">Euclides da Cunha</t>
  </si>
  <si>
    <t xml:space="preserve">Igreja da Santíssima Trindade de Massacará</t>
  </si>
  <si>
    <t xml:space="preserve">João Paulo Bittencourt</t>
  </si>
  <si>
    <t xml:space="preserve">solicitada a instrução em 28/06/2022. PARECER TÉCNICO nº 27/2023/DIVTEC IPHAN-ES/IPHAN-ES</t>
  </si>
  <si>
    <t>01502.000286/2022-59</t>
  </si>
  <si>
    <t>Pojuca</t>
  </si>
  <si>
    <t xml:space="preserve">Igreja Matriz de Pojuca</t>
  </si>
  <si>
    <t xml:space="preserve">Padre Claudio Antônio dos Santos</t>
  </si>
  <si>
    <t xml:space="preserve">Solicitada a instrução em 14/07/2022</t>
  </si>
  <si>
    <t>01409.000279/2022-15</t>
  </si>
  <si>
    <t xml:space="preserve">Forte de São Francisco Xavier da Barra</t>
  </si>
  <si>
    <t xml:space="preserve">Luciene Pessotti de Souza, cidadã</t>
  </si>
  <si>
    <t xml:space="preserve">Solicitada a instrução em 12/07/2022</t>
  </si>
  <si>
    <t>01496.000402/2022-66</t>
  </si>
  <si>
    <t xml:space="preserve">Conjunto de estruturas históricas do antigo porto de Fortaleza</t>
  </si>
  <si>
    <t xml:space="preserve">Danilo Lopes, vereador</t>
  </si>
  <si>
    <t xml:space="preserve">parecer de indeferimento de 16/01/2023. solicitada a instrução em 20/07/2022</t>
  </si>
  <si>
    <t>01492.000200/2022-54</t>
  </si>
  <si>
    <t xml:space="preserve">Cidade de Cametá</t>
  </si>
  <si>
    <t xml:space="preserve">José Sarney, presidente da Republica</t>
  </si>
  <si>
    <t xml:space="preserve">Indicação de INDEFERIMENTO. Identificados descaracterizações nos atributos relacionados aos valores arquitetônicos do conjunto</t>
  </si>
  <si>
    <t xml:space="preserve">Parecer de indeferimento de 20/07/2022</t>
  </si>
  <si>
    <t>01450.002487/2022-43</t>
  </si>
  <si>
    <t xml:space="preserve">Cruzeiro nas dunas</t>
  </si>
  <si>
    <t xml:space="preserve">Ana Maria Mandim, CMMAC</t>
  </si>
  <si>
    <t xml:space="preserve">Indicação de INDEFERIMENTO. O impacto do bem na sociedade nacional é nulo e, mesmo a nível local, não é dos maiores. Consideramos que isso impede qualquer ação de proteção visando ao tombamento federal</t>
  </si>
  <si>
    <t>01450.002455/2022-48</t>
  </si>
  <si>
    <t xml:space="preserve">Dunas de abrantes e Jauá</t>
  </si>
  <si>
    <t xml:space="preserve">Indicação de INDEFERIMENTO. Faltavam informações ao pedido, especificamente os elementos mínimos para se definir os bens a estudar, em especial o cruzeiro e as dunas, que não estavam delimitadas </t>
  </si>
  <si>
    <t>01502.001013/2020-60</t>
  </si>
  <si>
    <t xml:space="preserve">Fonte do Buraquinho</t>
  </si>
  <si>
    <t xml:space="preserve">Indicação de INDEFERIMENTO. O bem não está entre os monumentos naturais da Bahia que são de pleno conhecimento a nivel nacional e que a reforma feita, apesar de ter aformoseado a fonte, a descaracterizou nos termos do próprio pedido de tombamento.</t>
  </si>
  <si>
    <t xml:space="preserve">solicitada a instrução em 19/07/2022</t>
  </si>
  <si>
    <t>00533.005741/2020-11</t>
  </si>
  <si>
    <t xml:space="preserve">Clube Farroupilha</t>
  </si>
  <si>
    <t xml:space="preserve">Jeferson Thiago Sbalqueiro Lopes, procurador federal</t>
  </si>
  <si>
    <t xml:space="preserve">Parecer de indeferimento de 21/07/2022</t>
  </si>
  <si>
    <t>01502.000986/2022-43</t>
  </si>
  <si>
    <t xml:space="preserve">Lagoa dos Patos</t>
  </si>
  <si>
    <t xml:space="preserve">Estela Oliveira, cidadã</t>
  </si>
  <si>
    <t xml:space="preserve">Indicação de INDEFERIMENTO. Aponta que o pedido de tombamento só apresenta valores locais.</t>
  </si>
  <si>
    <t>01502.000782/2022-11</t>
  </si>
  <si>
    <t xml:space="preserve">Rio Antônio</t>
  </si>
  <si>
    <t xml:space="preserve">Casarão conhecido como Casa dos Escravos</t>
  </si>
  <si>
    <t xml:space="preserve">Eloísa Cecília Dias Martins, cidadã</t>
  </si>
  <si>
    <t xml:space="preserve">INDEFERIDO EM 26/08/2022. Parecer de indeferimento de 21/08/2022</t>
  </si>
  <si>
    <t>01502.002173/2009-11</t>
  </si>
  <si>
    <t>Cairú</t>
  </si>
  <si>
    <t xml:space="preserve">Casa de Farinha na Ilha de Boipeba</t>
  </si>
  <si>
    <t xml:space="preserve">Missmária de Jesus Costa, cidadã</t>
  </si>
  <si>
    <t xml:space="preserve">Indicação de INDEFERIMENTO. O bem NÃO PREENCHE os requisitos estabelecidos no Decreto-Lei nº 25/1937. Por um lado, não ficou demonstrada, ao longo do processo, nenhuma vinculação a fatos memoráveis da história nacional. Toda a justificativa que pautou o pedido de tombamento estava calcada apenas em valores locais,</t>
  </si>
  <si>
    <t xml:space="preserve">Processo anexado ao 1226-T-87</t>
  </si>
  <si>
    <t xml:space="preserve">01450.001789/2022-02 </t>
  </si>
  <si>
    <t xml:space="preserve"> Alojamento de funcionários em trânsito da Fundação Brasil Central/Nova Xavantina</t>
  </si>
  <si>
    <t xml:space="preserve">Joao Fernandes de Oliveira Fernandes</t>
  </si>
  <si>
    <t xml:space="preserve">Indicação de INDEFERIMENTO. O bem em questão já havia sido objeto de pedido de tombamento em 1987: processo 1226-T-87</t>
  </si>
  <si>
    <t xml:space="preserve">Solicitada a instrução em 31/10/2022</t>
  </si>
  <si>
    <t>72031.012834/2022-25</t>
  </si>
  <si>
    <t xml:space="preserve">Porto velho</t>
  </si>
  <si>
    <t xml:space="preserve">Casarão dos ingleses</t>
  </si>
  <si>
    <t xml:space="preserve">Associaç!ao dos funcionários da EFMM.</t>
  </si>
  <si>
    <t>25/20/20233</t>
  </si>
  <si>
    <t xml:space="preserve">Solicitada a instrução em 17/01/2023. PARECER TÉCNICO nº 27/2023/DIVTEC IPHAN-ES/IPHAN-ES indicando indeferimento do tombamento e  valoração conforme disposto na Lei nº 11.483/2007 e na Portaria Iphan n° 17/2022. </t>
  </si>
  <si>
    <t>01409.000437/2022-37</t>
  </si>
  <si>
    <t xml:space="preserve">Trecho da linha férrea e estações entre Mimoso do Sul e Atílio Vivácqua</t>
  </si>
  <si>
    <t xml:space="preserve">Fábio Batista de Souza, procurador do ministério público federal</t>
  </si>
  <si>
    <t xml:space="preserve">Solicitada a instrução em 12/01/2023</t>
  </si>
  <si>
    <t>01500.000419/2022-15</t>
  </si>
  <si>
    <t xml:space="preserve">Prédio que abriga a Escola de Música da UFRJ</t>
  </si>
  <si>
    <t xml:space="preserve">cidadão Júlio Longo</t>
  </si>
  <si>
    <t xml:space="preserve">Solicitada a instrução em 2/02/2023</t>
  </si>
  <si>
    <t>01508.000287/2020-81</t>
  </si>
  <si>
    <t>Rolândia</t>
  </si>
  <si>
    <t xml:space="preserve">Casas na Avenida dos Expedicionários 570 e 604</t>
  </si>
  <si>
    <t xml:space="preserve">Luiz Francisconi Neto, Prefeito</t>
  </si>
  <si>
    <t xml:space="preserve">Solicitada a instrução em 13/02/2023</t>
  </si>
  <si>
    <t>01508.000058/2021-48</t>
  </si>
  <si>
    <t>Maringá</t>
  </si>
  <si>
    <t xml:space="preserve">Prédio do Hotel Bandeirantes</t>
  </si>
  <si>
    <t xml:space="preserve">Edson Luiz Pereira, Sec. Municipal de cultura</t>
  </si>
  <si>
    <t>01508.000793/2021-51</t>
  </si>
  <si>
    <t xml:space="preserve">Palacete Leão Jr</t>
  </si>
  <si>
    <t xml:space="preserve">Paulo Cesar Starke Junior, superintendente da agência do Paraná.</t>
  </si>
  <si>
    <t xml:space="preserve">Solicitada instrução em 17/04/2023</t>
  </si>
  <si>
    <t>01450.001867/2023-41</t>
  </si>
  <si>
    <t>Bambuí</t>
  </si>
  <si>
    <t xml:space="preserve">Edificação que abriga o Posto Avançado de Pesquisas Emmanuel Dias</t>
  </si>
  <si>
    <t xml:space="preserve">Instituto René Racho - Fiocruz Minas</t>
  </si>
  <si>
    <t xml:space="preserve">Encaminhado para instrução em 25/05/2023.</t>
  </si>
  <si>
    <t>01450.003054/2023-96</t>
  </si>
  <si>
    <t xml:space="preserve">Metalúrgica Abramo Eberle S.A. - MAESA</t>
  </si>
  <si>
    <t xml:space="preserve">Denise Pessôa, deputada federal</t>
  </si>
  <si>
    <t xml:space="preserve">INDEFERIDO EM 24/06/2024</t>
  </si>
  <si>
    <t>01450.002389/2023-97</t>
  </si>
  <si>
    <t xml:space="preserve">Praça das Aroeiras</t>
  </si>
  <si>
    <t xml:space="preserve">Hamilton Luiz Serighelli, cidadão</t>
  </si>
  <si>
    <t xml:space="preserve">INDEFERIDO EM 12/04/2024</t>
  </si>
  <si>
    <t>01450.002745/2023-72</t>
  </si>
  <si>
    <t xml:space="preserve">Rio Negrinho</t>
  </si>
  <si>
    <t xml:space="preserve">Estrada Imperial Dona Francisca</t>
  </si>
  <si>
    <t xml:space="preserve">Cleverson José Vellasques, cidadão</t>
  </si>
  <si>
    <t xml:space="preserve">Solicitada instrução em 25/5/2023</t>
  </si>
  <si>
    <t>01502.001018/2012-82</t>
  </si>
  <si>
    <t xml:space="preserve">Gentio do Ouro</t>
  </si>
  <si>
    <t xml:space="preserve">Imóveis na Vila de Santo Inácio</t>
  </si>
  <si>
    <t xml:space="preserve">Oscar Armando de Miranda Guedes Jr., em nome da Associação de Desenvolvimento Unidos por Santo Inácio</t>
  </si>
  <si>
    <t xml:space="preserve"> Ofício Nº 632/2023/CGID/DEPAM-IPHAN orienta  consulta à comunidade a respeito do interesse do prosseguimento do processo de tombamentopela Portaria 135/2023. Solicitada instrução em 29/05/2023.</t>
  </si>
  <si>
    <t>01450.002173/2018-64</t>
  </si>
  <si>
    <t xml:space="preserve">Serra do Salitre</t>
  </si>
  <si>
    <t xml:space="preserve">Fazenda Serrinha</t>
  </si>
  <si>
    <t xml:space="preserve">José Antônio Ventura, presidente da ARQTOV</t>
  </si>
  <si>
    <t xml:space="preserve">Solicitada instrução em 7/6/2023</t>
  </si>
  <si>
    <t>01506.000665/2023-90</t>
  </si>
  <si>
    <t xml:space="preserve">Sítio Arqueológico das ruínas das fundações da antiga Igreja do Rosário e Cemitério do Rosário</t>
  </si>
  <si>
    <t xml:space="preserve">Margarida da Silva Calixto, vereadora et alli</t>
  </si>
  <si>
    <t xml:space="preserve">Solicitada instrução em 19/07/2023</t>
  </si>
  <si>
    <t>01450.003274/2023-10</t>
  </si>
  <si>
    <t xml:space="preserve">Sede do Diretório Central dos Estudantes da Universidade Federal - DCE-UNIFEI</t>
  </si>
  <si>
    <t xml:space="preserve">Ana Carolina de Almeida Sousa, presidente do Diretório Central dos Estudantes da Unifei</t>
  </si>
  <si>
    <t xml:space="preserve">Solicitada instrução em 31/07/2023</t>
  </si>
  <si>
    <t>01500.001205/2023-39</t>
  </si>
  <si>
    <t xml:space="preserve">Imóvel situado na Barra de Guaratiba - Rio de Janeiro/RJ: antigo entreposto de produtos e pessoas escravizadas</t>
  </si>
  <si>
    <t xml:space="preserve">Flávio José de Moraes Junior, Coletivo Guaratibando</t>
  </si>
  <si>
    <t xml:space="preserve">Solicitada instrução em 04/08/2023</t>
  </si>
  <si>
    <t>01450.002092/2023-21</t>
  </si>
  <si>
    <t xml:space="preserve">Chave da Cidade do Rio de Janeiro</t>
  </si>
  <si>
    <t xml:space="preserve">Eduarda Georgia Coelho de Jesus</t>
  </si>
  <si>
    <t xml:space="preserve"> 09/08/2023</t>
  </si>
  <si>
    <t xml:space="preserve">DESPACHO Nº 883/2023 IPHAN-BA (atemporal) Falta o encaminhamento da CGID para o DEPAM com orientação es de instrução</t>
  </si>
  <si>
    <t xml:space="preserve">01502.000950/2005-69 </t>
  </si>
  <si>
    <t>Cipó</t>
  </si>
  <si>
    <t xml:space="preserve">Conjunto Urbano e Arquitetônico da Estância Hidromineral de Cipó/BA</t>
  </si>
  <si>
    <t xml:space="preserve">Jailton Ferreira de Macedo, Prefeito Municipal</t>
  </si>
  <si>
    <t xml:space="preserve">Solicitada instrução em  29/08/2023</t>
  </si>
  <si>
    <t xml:space="preserve">01450.003024/2023-80 </t>
  </si>
  <si>
    <t xml:space="preserve">Três de Maio</t>
  </si>
  <si>
    <t xml:space="preserve">Vila Paula</t>
  </si>
  <si>
    <t xml:space="preserve">Laura Kunz </t>
  </si>
  <si>
    <t xml:space="preserve">Solicitada instrução em 20/09/2023  ( Campus da Praia Vermelha)</t>
  </si>
  <si>
    <t xml:space="preserve">01500.002203/2021-03 </t>
  </si>
  <si>
    <t xml:space="preserve">Pavilhão de Estatística da Exposição Nacional de 1922</t>
  </si>
  <si>
    <t xml:space="preserve">Alessandro Glauco dos Anjos de Vasconcelos, Secretário-Execuvo Adjunto do Ministério da Saúde</t>
  </si>
  <si>
    <t xml:space="preserve">Solicitada instrução em 20/09/2023 ( Campus da Praia Vermelha)</t>
  </si>
  <si>
    <t xml:space="preserve">01500.001288/2023-66 </t>
  </si>
  <si>
    <t xml:space="preserve">Pavilhão Mário de Almeida</t>
  </si>
  <si>
    <t xml:space="preserve">Marcio Portes de Albuquerque, Diretor do Centro Brasileiro de Pesquisas Físicas</t>
  </si>
  <si>
    <t xml:space="preserve">Ofício Nº 178/2024/DEPAM-IPHAN solicita complementação em 18/01/2024. Solicitada instrução em 02/10/2023. Solicitação de tombamento material da praça de olhos D'água e um outro requerendo o registro da feira do troca como patrimônio imaterial</t>
  </si>
  <si>
    <t xml:space="preserve">01450.006455/2023-06 </t>
  </si>
  <si>
    <t>Alexânia</t>
  </si>
  <si>
    <t xml:space="preserve">Praça Olhos D'água</t>
  </si>
  <si>
    <t xml:space="preserve">Djalma Vallois Filho, Presidente da Associação dos Artesãos Ceramistas de Olhos D´água</t>
  </si>
  <si>
    <t xml:space="preserve">Solicitada instrução em 25/10/2023</t>
  </si>
  <si>
    <t xml:space="preserve">01498.000630/2023-05 </t>
  </si>
  <si>
    <t xml:space="preserve">Sinagoga Kahal Zur Israel</t>
  </si>
  <si>
    <t xml:space="preserve">Federação Israelita de Pernambuco</t>
  </si>
  <si>
    <t xml:space="preserve">01450.006600/2023-41 </t>
  </si>
  <si>
    <t xml:space="preserve">Terreiro Àse Olorokê - llé Ògún Anaeji Ìgbele Ni Oman - Lokiti-Efon</t>
  </si>
  <si>
    <t xml:space="preserve">Maria José Lopes dos Anjos, Mãe Maria de Sangò</t>
  </si>
  <si>
    <t xml:space="preserve">Solicitada instrução em 08/11/2023</t>
  </si>
  <si>
    <t xml:space="preserve">01506.000643/2022-49 </t>
  </si>
  <si>
    <t xml:space="preserve">Centro Histórico de Itu</t>
  </si>
  <si>
    <t xml:space="preserve">Guilherme Gazzola, Prefeito Municipal da Estância Turística de Itu</t>
  </si>
  <si>
    <t>01450.006950/2023-15</t>
  </si>
  <si>
    <t xml:space="preserve">Mirante da Caixa D´Água do Portal das Colinas, Bosque da CODASP, Área Verde do Portal das Colinas e Áreas de Preservação Permanente Adjacentes</t>
  </si>
  <si>
    <t xml:space="preserve">Rogerio Rabelo da Encarnação</t>
  </si>
  <si>
    <t xml:space="preserve">Solicitada instrução em 10/11/2023</t>
  </si>
  <si>
    <t xml:space="preserve">01506.000302/2022-73 </t>
  </si>
  <si>
    <t xml:space="preserve">Clube Paulista de Corridas de Cavalo</t>
  </si>
  <si>
    <t xml:space="preserve">Mileny Milesi, declarando-se representando Comunidade do bairro da Moca</t>
  </si>
  <si>
    <t xml:space="preserve">Solicitada instrução em 28/11/2023</t>
  </si>
  <si>
    <t xml:space="preserve">01512.000595/2023-91 </t>
  </si>
  <si>
    <t xml:space="preserve">Parque Farroupilha</t>
  </si>
  <si>
    <t xml:space="preserve">Ana Maria Dalla Zen, Coletivo Preserva Redenção</t>
  </si>
  <si>
    <t xml:space="preserve">01450.007804/2023-07 </t>
  </si>
  <si>
    <t xml:space="preserve">Comunidade Religiosa Abassá de Oxum e Oxóssi de Cangaíba</t>
  </si>
  <si>
    <t xml:space="preserve">Jussara Basso dos Santos, vereadora  da Câmara Municipal de São Paulo</t>
  </si>
  <si>
    <t xml:space="preserve">Solicitada instrução em 07/12/2023</t>
  </si>
  <si>
    <t xml:space="preserve">01450.005121/2023-15 </t>
  </si>
  <si>
    <t xml:space="preserve">Edifício do Noviciado Nossa Senhora das Graças Irmãs Salesianas</t>
  </si>
  <si>
    <t xml:space="preserve">Mauricio Marques Mendes</t>
  </si>
  <si>
    <t xml:space="preserve">Solicitada instrução em 14/12/2023</t>
  </si>
  <si>
    <t xml:space="preserve">01506.000963/2023-80 </t>
  </si>
  <si>
    <t xml:space="preserve">Teatro Aliança Francesa</t>
  </si>
  <si>
    <t xml:space="preserve">Lívia Stefano Carmona</t>
  </si>
  <si>
    <t xml:space="preserve">Solicitada instrução em 15/12/2023</t>
  </si>
  <si>
    <t xml:space="preserve">01516.000257/2022-38 </t>
  </si>
  <si>
    <t xml:space="preserve">Urutaí e Pires do Rio</t>
  </si>
  <si>
    <t xml:space="preserve">Ponte Ferroviária sobre o Rio Corumbá - Pires do Rio e Urutaí/GO</t>
  </si>
  <si>
    <t xml:space="preserve">Jales Guedes Coelho Mendonça,  do Instituto Histórico e Geográfico de Goiás </t>
  </si>
  <si>
    <t>01496.000105/2022-11</t>
  </si>
  <si>
    <t xml:space="preserve">Ilè Ibá Asè Possun Aziri</t>
  </si>
  <si>
    <t xml:space="preserve">Desisval Silva dos Santos Babalorixá; José Soares de Sousa Neto </t>
  </si>
  <si>
    <t xml:space="preserve">INDEFERIDO EM 11/04/2024</t>
  </si>
  <si>
    <t xml:space="preserve">01510.000437/2023-51 </t>
  </si>
  <si>
    <t xml:space="preserve">Cocal do Sul</t>
  </si>
  <si>
    <t xml:space="preserve">Antiga Casa Paroquial</t>
  </si>
  <si>
    <t xml:space="preserve">Associação de Difusão Comunitária de Cocal do Sul</t>
  </si>
  <si>
    <t xml:space="preserve">Encaminha Inventário de Tombamento. Solicitada instrução em 15/01/2024</t>
  </si>
  <si>
    <t>01500.002980/2023-10</t>
  </si>
  <si>
    <t xml:space="preserve">Terreiro Egbè Ilè Ìyá Omidayè Aṣé Obálayó</t>
  </si>
  <si>
    <t xml:space="preserve">Mãe Márcia D’Oxum</t>
  </si>
  <si>
    <t xml:space="preserve">Solicitada instrução em 17/01/2024</t>
  </si>
  <si>
    <t>01506.001136/2023-11</t>
  </si>
  <si>
    <t xml:space="preserve">Tenda Espírita de Caridade Cabocla Jurema</t>
  </si>
  <si>
    <t xml:space="preserve">Márcia Renata Barbosa Ferreira Gonella  (herdeira)</t>
  </si>
  <si>
    <t xml:space="preserve">Solicitada emissão de Parecer Técnico da Superintendência em 22/01/2024. Processo encerrado sem instrução e reaberto para instrução em 08/12/2017. </t>
  </si>
  <si>
    <t>01502.001219/2012-80</t>
  </si>
  <si>
    <t xml:space="preserve">Tanque Novo</t>
  </si>
  <si>
    <t xml:space="preserve">Painel Histórico Cultural de Tanque Novo</t>
  </si>
  <si>
    <t xml:space="preserve">Prefeito Elson Neves de Oliveira, Prefeitura Municipal</t>
  </si>
  <si>
    <t xml:space="preserve">Solicitada instrução em  24/01/2024</t>
  </si>
  <si>
    <t>01502.001253/2023-15</t>
  </si>
  <si>
    <t xml:space="preserve">Terreiro Tuntun Olukotu</t>
  </si>
  <si>
    <t xml:space="preserve">Miguel Roque Filho, SobáLojú Tuntun</t>
  </si>
  <si>
    <t xml:space="preserve">Solicitada instrução em 24/01/2024. Tombado pelo IPAC Decreto n 9.495/2005</t>
  </si>
  <si>
    <t>01502.001045/2023-16</t>
  </si>
  <si>
    <t xml:space="preserve">Terreiro Ilê Axé Opô Aganju</t>
  </si>
  <si>
    <t xml:space="preserve">Henrique Julio vieira Gonçalves do Santos, Diretor de Cultura, Educação e Memória da Associação Beneficente Ilê Axé Opô Aganju</t>
  </si>
  <si>
    <t xml:space="preserve">Solicitado novo Parecer Tecnico, em 24/01/2024, conclusivo sobre a proteção . Processo encerrado sem instrução e reaberto para instrução em 12/12/2017. </t>
  </si>
  <si>
    <t>01502.001934/2005-93</t>
  </si>
  <si>
    <t xml:space="preserve">Casarão de Joaquim Pinto</t>
  </si>
  <si>
    <t xml:space="preserve">Nadia Mendes de Moura, Chefe do escritório técnico - cita interesse comunidade e Sr. Elzito Guimarães</t>
  </si>
  <si>
    <t>01502.000323/2019-23</t>
  </si>
  <si>
    <t xml:space="preserve">Terreiro Ilê Axé Babá Omiguian</t>
  </si>
  <si>
    <t xml:space="preserve">Ermeval Bonfim Ferreira da Hora Presidente da Sociedade Afro Religiosa Ilê Axé Babá Omiguian</t>
  </si>
  <si>
    <t xml:space="preserve">Solicitada emissão de Parecer Técnico atualizando os dados  de instrução  em  25/01/2024.</t>
  </si>
  <si>
    <t>01502.001194/2013-03</t>
  </si>
  <si>
    <t>Chorrochó</t>
  </si>
  <si>
    <t xml:space="preserve">Conjunto Histórico e Arquitetônico da Igreja do Senhor do Bonfim, Cruzeiro e Cemitério</t>
  </si>
  <si>
    <t xml:space="preserve">Maria Ivone Carvalho</t>
  </si>
  <si>
    <t xml:space="preserve"> 23/01/2024</t>
  </si>
  <si>
    <t xml:space="preserve">Solicitada emissão de Parecer Técnico complementando dados de instrução  em  25/01/2024</t>
  </si>
  <si>
    <t>01502.000147/2007-96</t>
  </si>
  <si>
    <t xml:space="preserve">Edifício-sede do Instituto de Cacau da Bahia</t>
  </si>
  <si>
    <t xml:space="preserve">Eugênio de Ávila Lins, Superintendente da 7 SR do IPHAN</t>
  </si>
  <si>
    <t xml:space="preserve">Solicitada instrução em  25/01/2024</t>
  </si>
  <si>
    <t xml:space="preserve">01450.006833/2023-43 </t>
  </si>
  <si>
    <t>Seabra</t>
  </si>
  <si>
    <t xml:space="preserve">Imóvel localizado à Rua João Esquivel</t>
  </si>
  <si>
    <t xml:space="preserve">Pablo Paiva Portela</t>
  </si>
  <si>
    <t xml:space="preserve">Solicitada instrução em  29/01/2024. Acompanha estudo preliminar do bem.</t>
  </si>
  <si>
    <t>01421.000366/2023-95</t>
  </si>
  <si>
    <t>Extremoz</t>
  </si>
  <si>
    <t xml:space="preserve">Ruínas da Antiga Igreja de São Miguel Arcanjo e Convento Jesuíta</t>
  </si>
  <si>
    <t xml:space="preserve">Ramon Bezerra Fernandes</t>
  </si>
  <si>
    <t xml:space="preserve"> 29/01/2024</t>
  </si>
  <si>
    <t xml:space="preserve">Solicitada instrução em  29/01/2024</t>
  </si>
  <si>
    <t>01502.000557/2016-28</t>
  </si>
  <si>
    <t xml:space="preserve">Templo Afro Religioso Hukpame Savalu Vodun Zo Kwe</t>
  </si>
  <si>
    <t xml:space="preserve">Leonel Monteiro, Presidente da Associação Brasileira de Preservação da Cultura Afro Ameríndia - AFA</t>
  </si>
  <si>
    <t>01502.002422/2015-16</t>
  </si>
  <si>
    <t xml:space="preserve">Avenida Getúlio Vargas</t>
  </si>
  <si>
    <t xml:space="preserve">Leonardo Pedreira de Oliveira, Clovis Hamilton de Jesus Pedreira, Rogério Gutemberg Conceição, Carlos Mello</t>
  </si>
  <si>
    <t xml:space="preserve">Ofício Nº 73/2024/CDP/DAFE-IPHAN solicita continuidade do tramite em 21/02/2024</t>
  </si>
  <si>
    <t>01502.000551/2023-80</t>
  </si>
  <si>
    <t xml:space="preserve">Santo Antonio de Jesus</t>
  </si>
  <si>
    <t xml:space="preserve">Sobrado-sede da Sociedade Filarmônica Amantes da Lyra</t>
  </si>
  <si>
    <t xml:space="preserve">Bruno Macedo Cardoso, Presidente da   Sociedade Filarmônica Amantes da Lyra</t>
  </si>
  <si>
    <t xml:space="preserve">Solicitada instrução em 25/03/2024. Com produção de subsídios.</t>
  </si>
  <si>
    <t>01516.000926/2023-52</t>
  </si>
  <si>
    <t xml:space="preserve">Traçado Urbano do Setor Sul</t>
  </si>
  <si>
    <t>25/102023</t>
  </si>
  <si>
    <t xml:space="preserve">Associação Pró Setor Sul - Aprosul. Presidente Edmilson Moura de Oliveira e Diretora para Assuntos Jurídicos e Legislativos Anna Raquel Gomes e Pereira</t>
  </si>
  <si>
    <t xml:space="preserve">Solicitada instrução em 25/03/2024</t>
  </si>
  <si>
    <t>01492.000558/2023-68</t>
  </si>
  <si>
    <t xml:space="preserve">Chalé Tavares Cardoso</t>
  </si>
  <si>
    <t xml:space="preserve">Fundação Cultural Belém, Chefe de Gabinete Gabriela Ferreira</t>
  </si>
  <si>
    <t xml:space="preserve">Solicitada instrução em 09/04/2024</t>
  </si>
  <si>
    <t>01506.000338/2024-19</t>
  </si>
  <si>
    <t xml:space="preserve">Complexo Beira-Rio</t>
  </si>
  <si>
    <t xml:space="preserve">Associação dos Amigso da Cidadania e do Meio Ambiente de Piracicaba - Instituto Piracicabano de Estudos e Defesa da Democracia - Sociedade para Defesa do Meio Ambiente de Piracicaba - União Porto Futebol Clube</t>
  </si>
  <si>
    <t xml:space="preserve">Solicitada instrução em 22/04/2024</t>
  </si>
  <si>
    <t>01506.000183/2024-11</t>
  </si>
  <si>
    <t>Osasco</t>
  </si>
  <si>
    <t xml:space="preserve">Chalé Brícola - Museu Municipal de Osasco</t>
  </si>
  <si>
    <t xml:space="preserve">Roque Aparecido da Silva</t>
  </si>
  <si>
    <t>01500.002214/2022-66</t>
  </si>
  <si>
    <t xml:space="preserve">Marco de 1826 da antiga Fazenda de Santa Cruz</t>
  </si>
  <si>
    <t xml:space="preserve">Claudio Silva Rangel</t>
  </si>
  <si>
    <t xml:space="preserve">Solicitada instrução em 29/04/2024</t>
  </si>
  <si>
    <t>01450.003616/2024-82</t>
  </si>
  <si>
    <t xml:space="preserve">São Miguel dos Campos</t>
  </si>
  <si>
    <t xml:space="preserve">Casa da Cultura de São Miguel dos Campos - AL: Antigo Sobrado da Baronesa</t>
  </si>
  <si>
    <t xml:space="preserve">Solicitada instrução em 15/05/2022</t>
  </si>
  <si>
    <t>01450.003621/2024-95</t>
  </si>
  <si>
    <t xml:space="preserve">Imóvel do antigo Incinerador Vergueiro</t>
  </si>
  <si>
    <t xml:space="preserve">GUSTAVO ALVES GUSMAO DA SILVA</t>
  </si>
  <si>
    <t xml:space="preserve">Solicitada instrução em 28/05/2023</t>
  </si>
  <si>
    <t>01502.000407/2024-24</t>
  </si>
  <si>
    <t xml:space="preserve">Residência Universitária Masculina da UFBA</t>
  </si>
  <si>
    <t xml:space="preserve">UFBA - Universidade Federal da Bahia</t>
  </si>
  <si>
    <t xml:space="preserve">Solicitada instrução em 03/06/2024</t>
  </si>
  <si>
    <t>01496.000276/2024-10</t>
  </si>
  <si>
    <t xml:space="preserve">Capela de Nossa Senhora da Soledade da Mata Fresca</t>
  </si>
  <si>
    <t xml:space="preserve">Gerson Amaral Lima</t>
  </si>
  <si>
    <t xml:space="preserve">Solicitada instrução em 10/06/2024</t>
  </si>
  <si>
    <t>01506.000652/2024-00</t>
  </si>
  <si>
    <t xml:space="preserve">Santa Bárbara  d`Oeste</t>
  </si>
  <si>
    <t xml:space="preserve">Estádio do União Agrícola Barbarense</t>
  </si>
  <si>
    <t xml:space="preserve">Carlos Fontes; Câmara Municipal de Santa Bárbara d'Oeste</t>
  </si>
  <si>
    <t xml:space="preserve">Solicitada instrução em 02/07/2024</t>
  </si>
  <si>
    <t>01450.005569/2024-10</t>
  </si>
  <si>
    <t xml:space="preserve">Monumento Mãe Stella de Oxóssi</t>
  </si>
  <si>
    <t xml:space="preserve">Gabriela Leite da Silva</t>
  </si>
  <si>
    <t xml:space="preserve">Solicitada instrução em 09/07/2024</t>
  </si>
  <si>
    <t>01498.001488/2018-48</t>
  </si>
  <si>
    <t xml:space="preserve">Conjunto histórico e arquitetônico da Estação Central do Recife-PE</t>
  </si>
  <si>
    <t xml:space="preserve">Solicitada instrução em 26/07/2024</t>
  </si>
  <si>
    <t>01496.000229/2024-68</t>
  </si>
  <si>
    <t xml:space="preserve">ESCRITÓRIO DE DIREITOS HUMANOS E ASSESSORIA JURÍDICA POPULAR FREI TITO DE ALENCAR</t>
  </si>
  <si>
    <t xml:space="preserve">Solicitada instrução em 29/07/2024</t>
  </si>
  <si>
    <t>01514.004519/2010-10</t>
  </si>
  <si>
    <t xml:space="preserve">Santa Rita de Jacutinga</t>
  </si>
  <si>
    <t xml:space="preserve">Fazenda Santa Clara</t>
  </si>
  <si>
    <t xml:space="preserve">osé Mendes Honório Jr</t>
  </si>
  <si>
    <t xml:space="preserve">Solicitada instrução em 08/08/2024</t>
  </si>
  <si>
    <t>01450.006561/2024-62</t>
  </si>
  <si>
    <t xml:space="preserve">Imóvel da atual Gerência Executiva do Instituto Nacional do Seguro Social</t>
  </si>
  <si>
    <t>1907/2024</t>
  </si>
  <si>
    <t xml:space="preserve">Gustavo Alves Gusmão da Silva</t>
  </si>
  <si>
    <t xml:space="preserve">Solicitada instrução em 14/08/2024</t>
  </si>
  <si>
    <t>01504.000250/2024-17</t>
  </si>
  <si>
    <t xml:space="preserve">Antigo Trapiche do Porto da Areia em Estância/SE</t>
  </si>
  <si>
    <t xml:space="preserve">Flávio Emidio Brasil Santos</t>
  </si>
  <si>
    <t xml:space="preserve">Solicitada instrução em 28/08/2024</t>
  </si>
  <si>
    <t>01450.007371/2024-62</t>
  </si>
  <si>
    <t xml:space="preserve">Trens do subúrbio de Salvador</t>
  </si>
  <si>
    <t xml:space="preserve">Alê Okan - Eng. Civil - Coletivo Ativista</t>
  </si>
  <si>
    <t xml:space="preserve">Solicitada instrução em 27/08/2024</t>
  </si>
  <si>
    <t>01450.007185/2024-23</t>
  </si>
  <si>
    <t xml:space="preserve">Lagoa do Pituaçu</t>
  </si>
  <si>
    <t xml:space="preserve">Solicitada instrução em 30/08/2024</t>
  </si>
  <si>
    <t>01510.000510/2023-94</t>
  </si>
  <si>
    <t xml:space="preserve">Lauro Muller</t>
  </si>
  <si>
    <t xml:space="preserve"> Campo de futebol do Esporte Clube Guatá</t>
  </si>
  <si>
    <t xml:space="preserve">Gilmar Coan Miranda</t>
  </si>
  <si>
    <t xml:space="preserve">Solicitada instrução em 02/09/2024</t>
  </si>
  <si>
    <t>01450.007744/2024-03</t>
  </si>
  <si>
    <t xml:space="preserve">Bom Lugar</t>
  </si>
  <si>
    <t xml:space="preserve">Casa da rua Manoel Severo nº 330</t>
  </si>
  <si>
    <t xml:space="preserve">Ana Luzia Pinto e Reis e Sebastiana Clara Pinto</t>
  </si>
  <si>
    <t xml:space="preserve">Solicitada instrução em 16/09/2024</t>
  </si>
  <si>
    <t>01409.000305/2024-77</t>
  </si>
  <si>
    <t xml:space="preserve">São Mateus</t>
  </si>
  <si>
    <t xml:space="preserve">Sítio Histórico Porto de São Mateus</t>
  </si>
  <si>
    <t xml:space="preserve">Lauredir de Oliveira</t>
  </si>
  <si>
    <t>12/092024</t>
  </si>
  <si>
    <t>01450.007063/2024-37</t>
  </si>
  <si>
    <t xml:space="preserve">Praça Carlos Bastos</t>
  </si>
  <si>
    <t xml:space="preserve">Solicitada instrução em 18/09/2024</t>
  </si>
  <si>
    <t>01510.000052/2024-74</t>
  </si>
  <si>
    <t xml:space="preserve">Lagoa Iate Clube</t>
  </si>
  <si>
    <t xml:space="preserve">Prof. Dr. Gilberto Sarkis Yunes, Prof. Dr. Luiz Eduardo Fontoura Teixeira, Dpto de Arquitetura e Urbanismo UFSC</t>
  </si>
  <si>
    <t xml:space="preserve">Solicitada instrução em 27/09/2024</t>
  </si>
  <si>
    <t>01496.000368/2023-19</t>
  </si>
  <si>
    <t>Uruburetama</t>
  </si>
  <si>
    <t xml:space="preserve">Museu Casa de Câmara e Cadeia</t>
  </si>
  <si>
    <t xml:space="preserve">George Freitas</t>
  </si>
  <si>
    <t>01508.000840/2024-18</t>
  </si>
  <si>
    <t xml:space="preserve">Quatro Barras e Morretes</t>
  </si>
  <si>
    <t xml:space="preserve">Caminho Colonial do Itupava</t>
  </si>
  <si>
    <t xml:space="preserve">Deputado Estadual Goura (Jorge Gomes de Oliveira Brand)</t>
  </si>
  <si>
    <t xml:space="preserve">O Processo 0439-T-50A foi ANEXADO ao Processo 1023-T-80 (Conjunto arquitetônico dos bairros da Cidade Velha e Campina)  em 21/10/2010, que por sua vez foi anexado ao 1071-T-82. Neste último, corresponde às folhas 115 a 123 do volume I.</t>
  </si>
  <si>
    <t xml:space="preserve">Convento e Igreja Santo Antônio, no município de Belém</t>
  </si>
  <si>
    <t>439-A</t>
  </si>
  <si>
    <t xml:space="preserve">PA-1501402-BI-ED-00030	</t>
  </si>
  <si>
    <t xml:space="preserve">Igreja de Nossa Senhora do Rosário, com todo o seu recheio</t>
  </si>
  <si>
    <t>553-A</t>
  </si>
  <si>
    <t xml:space="preserve">Inserida no conjunto tombado. O tombamento abrange todo o recheio da Igreja de N.Sra. do rosário, inclusive retábulos, imaginária, alfaias e o que resta do mobiliário antigo."; </t>
  </si>
  <si>
    <t xml:space="preserve">Igreja Matriz de Nossa Senhora da Conceição do Piranga</t>
  </si>
  <si>
    <t>601-A</t>
  </si>
  <si>
    <t>01458.000656/2013-40</t>
  </si>
  <si>
    <t xml:space="preserve">Igreja: São Jorge dos Ilhéus (Catedral)</t>
  </si>
  <si>
    <t>687-A</t>
  </si>
  <si>
    <t>01458.000655/2013-03</t>
  </si>
  <si>
    <t xml:space="preserve">Igreja: Escada (Nossa Senhora da), Olivença </t>
  </si>
  <si>
    <t>687-B</t>
  </si>
  <si>
    <t xml:space="preserve">Capela de Nossa Senhora de Santana</t>
  </si>
  <si>
    <t>687-C</t>
  </si>
  <si>
    <t xml:space="preserve">REFERÊNCIAS - NÃO APAGAR!!</t>
  </si>
  <si>
    <t xml:space="preserve">Situação processo</t>
  </si>
  <si>
    <t xml:space="preserve">Total de bens</t>
  </si>
  <si>
    <t xml:space="preserve">Situação do Bem</t>
  </si>
  <si>
    <t xml:space="preserve">Total de processos T</t>
  </si>
  <si>
    <t xml:space="preserve">Indicação da Superintendência</t>
  </si>
  <si>
    <t xml:space="preserve">Bens tombados por décadas</t>
  </si>
  <si>
    <t xml:space="preserve">Processos arquivados, encaminhados para arquivamento ou bens destombados (inscrição cancelada)</t>
  </si>
  <si>
    <t>??</t>
  </si>
  <si>
    <t xml:space="preserve">Delimitação estabelecida no processo de tombamento</t>
  </si>
  <si>
    <t xml:space="preserve">Processos abertos, em instrução ou rerratificação, tramitado para as Superintendências</t>
  </si>
  <si>
    <t xml:space="preserve">Delimitação estabelecida por portaria da Presidência do IPHAN</t>
  </si>
  <si>
    <t xml:space="preserve">Processos no DEPAM</t>
  </si>
  <si>
    <t xml:space="preserve">Delimitação estabelecida por portaria da Superintendência do IPHAN</t>
  </si>
  <si>
    <t xml:space="preserve">Marcação em laranja: prevista rerratificação pela CGN para 2020.</t>
  </si>
  <si>
    <t>PRESI</t>
  </si>
  <si>
    <t xml:space="preserve">Presidência </t>
  </si>
  <si>
    <t xml:space="preserve">bem isolado, coleções e acervos, bem móvel ou integrado, bem contido em outra poligonal de tombamento</t>
  </si>
  <si>
    <t xml:space="preserve">Processos no CONSELHO CONSULTIVO aguardando apreciação</t>
  </si>
  <si>
    <t xml:space="preserve">Sem Delimitação</t>
  </si>
  <si>
    <t>PEND</t>
  </si>
  <si>
    <t xml:space="preserve">Pendentes/parados (estavam no Depam/RJ)</t>
  </si>
  <si>
    <t xml:space="preserve">Processos localização desconhecida</t>
  </si>
  <si>
    <t xml:space="preserve">Tombamento em mapa</t>
  </si>
  <si>
    <t xml:space="preserve">Número do processo vago</t>
  </si>
  <si>
    <t xml:space="preserve">Procuradoria Federal</t>
  </si>
  <si>
    <t xml:space="preserve">Linha férrea</t>
  </si>
  <si>
    <t>MinC</t>
  </si>
  <si>
    <t xml:space="preserve">Ministério da Cultura</t>
  </si>
  <si>
    <t>Ponte/Viaduto</t>
  </si>
  <si>
    <t xml:space="preserve">Total Geral</t>
  </si>
  <si>
    <t>Túnel</t>
  </si>
  <si>
    <t>????</t>
  </si>
  <si>
    <t xml:space="preserve">Caixa d’água</t>
  </si>
  <si>
    <t>Total</t>
  </si>
  <si>
    <t xml:space="preserve">Circulação de processos</t>
  </si>
  <si>
    <t>Aqueduto</t>
  </si>
  <si>
    <t xml:space="preserve">Área Central</t>
  </si>
  <si>
    <t xml:space="preserve">Trapiche/Píer </t>
  </si>
  <si>
    <t xml:space="preserve">Em instrução nas Superintendências</t>
  </si>
  <si>
    <t>Quebra-mar/molhe</t>
  </si>
  <si>
    <t>Perdidos</t>
  </si>
  <si>
    <t xml:space="preserve">Barragem/represa </t>
  </si>
  <si>
    <t>Açude</t>
  </si>
  <si>
    <t xml:space="preserve">Restos fósseis</t>
  </si>
  <si>
    <t xml:space="preserve">Restosem processo de fossilização</t>
  </si>
  <si>
    <t>Moldes</t>
  </si>
  <si>
    <t>Rastros</t>
  </si>
  <si>
    <t>Pegadas</t>
  </si>
  <si>
    <t>Comunicação</t>
  </si>
  <si>
    <t xml:space="preserve">Castigo/ Penitência</t>
  </si>
  <si>
    <t xml:space="preserve">Medição/ Registro/ Observação/ Processamento</t>
  </si>
  <si>
    <t xml:space="preserve">Embalagens/ Recipientes</t>
  </si>
  <si>
    <t xml:space="preserve">Amostras/ Fragmentos</t>
  </si>
  <si>
    <t xml:space="preserve">Pré Colonial</t>
  </si>
  <si>
    <t xml:space="preserve">De contato</t>
  </si>
  <si>
    <t>Histórico</t>
  </si>
  <si>
    <t xml:space="preserve">Restos em processo de fossilização</t>
  </si>
  <si>
    <t xml:space="preserve">Nome do bem</t>
  </si>
  <si>
    <t xml:space="preserve">Nº do processo</t>
  </si>
  <si>
    <t xml:space="preserve">Nº processo "T"</t>
  </si>
  <si>
    <t xml:space="preserve">Ano de abertura processo "T"</t>
  </si>
  <si>
    <t xml:space="preserve">Anos na CGID/ DEPAM</t>
  </si>
  <si>
    <t xml:space="preserve">Anos desde a abertura processo T</t>
  </si>
  <si>
    <t xml:space="preserve">Parecer fav.</t>
  </si>
  <si>
    <t xml:space="preserve">Escore de priorização</t>
  </si>
  <si>
    <t xml:space="preserve">Tomb. emerg.?</t>
  </si>
  <si>
    <t xml:space="preserve">Nº processso "T"</t>
  </si>
  <si>
    <t xml:space="preserve">Anos desde a notificação</t>
  </si>
  <si>
    <t xml:space="preserve">Anos desde a abertura do processo T</t>
  </si>
  <si>
    <t xml:space="preserve">Tempo na CGID/ DEPAM</t>
  </si>
  <si>
    <t xml:space="preserve">Anos desde o tombamento</t>
  </si>
  <si>
    <t xml:space="preserve">Escore priorização</t>
  </si>
  <si>
    <t xml:space="preserve">Anos na CGID</t>
  </si>
  <si>
    <t xml:space="preserve">Parecer favorável</t>
  </si>
  <si>
    <t xml:space="preserve">Escore final</t>
  </si>
  <si>
    <t xml:space="preserve">Tomb. Emerg.</t>
  </si>
  <si>
    <t xml:space="preserve">Contagem de Ano de abertura</t>
  </si>
  <si>
    <t xml:space="preserve">Contagem de Ano tombamento (inscrição)</t>
  </si>
  <si>
    <t xml:space="preserve">Coluna H</t>
  </si>
  <si>
    <t xml:space="preserve">Soma de Nº de processos pendentes no período</t>
  </si>
  <si>
    <t xml:space="preserve">Média de Taxa de congestionamento</t>
  </si>
  <si>
    <t>(vazio)</t>
  </si>
  <si>
    <t xml:space="preserve">Total Resultado</t>
  </si>
  <si>
    <t xml:space="preserve">BENS TOMBADOS - TOTAL GERAL</t>
  </si>
  <si>
    <t xml:space="preserve">Contagem de Contagem processos T</t>
  </si>
  <si>
    <t xml:space="preserve">BENS TOMBADOS POR REGIÃO</t>
  </si>
  <si>
    <t xml:space="preserve">Contagem de Contagem de bens</t>
  </si>
  <si>
    <t xml:space="preserve">BENS TOMBADOS POR ESTADO</t>
  </si>
  <si>
    <t xml:space="preserve">CONCLUSÃO DE PROCESSOS</t>
  </si>
  <si>
    <t xml:space="preserve">Soma de Contagem processos T</t>
  </si>
  <si>
    <t xml:space="preserve">PROCESSOS INCONCLUSOS, POR DÉCADAS</t>
  </si>
  <si>
    <t xml:space="preserve">PROCESSOS INCONCLUSOS, POR SUPERINTENDÊNCIA</t>
  </si>
  <si>
    <t xml:space="preserve">BENS TOMBADOS, POR DÉCADA</t>
  </si>
  <si>
    <t>DADOS</t>
  </si>
  <si>
    <t>PREENCHIMENTO</t>
  </si>
  <si>
    <t>Nº</t>
  </si>
  <si>
    <t xml:space="preserve">Controle do número de cidades</t>
  </si>
  <si>
    <t xml:space="preserve">Código IBGE</t>
  </si>
  <si>
    <t>http://www.ibge.gov.br/home/geociencias/areaterritorial/area.shtm</t>
  </si>
  <si>
    <t>Estados</t>
  </si>
  <si>
    <t>Municípios</t>
  </si>
  <si>
    <t xml:space="preserve">Municípios PACH + municípios com algum bem tombado ou em processo</t>
  </si>
  <si>
    <t xml:space="preserve">TOMBAMENTO E NORMA</t>
  </si>
  <si>
    <t xml:space="preserve">bens paleontológicos; bens móveis e integrados; coleções e acervos, arqueológicos ou não; conjuntos rurais e urbanos; edificações; equipamentos e infra-estrutura urbana; jardins e parques; paisagens naturais; ruínas; sítios arqueológicos; terreiros</t>
  </si>
  <si>
    <t xml:space="preserve">Processo CPROD</t>
  </si>
  <si>
    <t xml:space="preserve">Número do processo administrativo</t>
  </si>
  <si>
    <t xml:space="preserve">Número "T"</t>
  </si>
  <si>
    <t xml:space="preserve">Número do processo de tombamento - Preencher sem o T e sem o ano</t>
  </si>
  <si>
    <t xml:space="preserve">no número "T", depois do T; ano com 4 digítos</t>
  </si>
  <si>
    <t xml:space="preserve">Cópias processo DEPAM BSB</t>
  </si>
  <si>
    <t xml:space="preserve">Controle pela equipe das cópias existentes no Depam Brasília</t>
  </si>
  <si>
    <t xml:space="preserve">nome inscrito no livro do tombo, em sua ausência, na sequencia: (i) nome constante na ata da ssessão do CCPC que aprovou o tombamento, (ii) nome constante do relato do conselheiro; (iii) nome onstante do parecer do Depam; ou, em última hipótese, (iv) nome constante na capa do processo de tombamento.</t>
  </si>
  <si>
    <t>Arqueo.</t>
  </si>
  <si>
    <t xml:space="preserve">mês - ano de inscrição em cada livro do tombo</t>
  </si>
  <si>
    <t xml:space="preserve">Belas </t>
  </si>
  <si>
    <t>abertos</t>
  </si>
  <si>
    <t xml:space="preserve">número de bens no processo em questão</t>
  </si>
  <si>
    <t>tombados</t>
  </si>
  <si>
    <t>arquivados</t>
  </si>
  <si>
    <t xml:space="preserve">Ano tombamento</t>
  </si>
  <si>
    <t xml:space="preserve">ano de inscrição no livro do tombo pela primeira vez; com 4 digítos</t>
  </si>
  <si>
    <t xml:space="preserve">se houver; com 4 digítos</t>
  </si>
  <si>
    <t xml:space="preserve">Pareceres técnicos</t>
  </si>
  <si>
    <t xml:space="preserve">ano com 4 digítos; constando no processo de tombamento</t>
  </si>
  <si>
    <t xml:space="preserve">Pareceres conselheiros</t>
  </si>
  <si>
    <t xml:space="preserve">Situação do processo</t>
  </si>
  <si>
    <t xml:space="preserve">informações sobre o encaminhamento do processo</t>
  </si>
  <si>
    <t xml:space="preserve">Existe delimitação de poligonal de tombamento?</t>
  </si>
  <si>
    <t xml:space="preserve">sim / não; constando no processo de tombamento, ou outro instrumento oficial, desde que mencionado (ex. portaria Iphan)</t>
  </si>
  <si>
    <t xml:space="preserve">Existe delimitação de poligonal de entorno?</t>
  </si>
  <si>
    <t xml:space="preserve">Existe norma em vigor?</t>
  </si>
  <si>
    <t xml:space="preserve">De acordo com as atividades desenvolvidas no Depam e nas Superintendências</t>
  </si>
  <si>
    <t xml:space="preserve">Necessita revisão/ complementação?</t>
  </si>
  <si>
    <t xml:space="preserve">Existe estudo encaminhado ou diretrizes elaboradas?</t>
  </si>
  <si>
    <t xml:space="preserve">De acordo com as atividades desenvolvidas no Depam e nas Superintendências; ou constando no processo de tombamento</t>
  </si>
  <si>
    <t xml:space="preserve">Ano da norma ou dos estudos</t>
  </si>
  <si>
    <t xml:space="preserve">com 4 digítos</t>
  </si>
  <si>
    <t>Observações</t>
  </si>
  <si>
    <t xml:space="preserve">informações diversas; dúvidas</t>
  </si>
  <si>
    <t>Legenda</t>
  </si>
  <si>
    <t xml:space="preserve">T - Bens Tombados (inscritos em um ou mais Livros do Tombo)</t>
  </si>
  <si>
    <t xml:space="preserve">TA - Tombamentos aprovados pelo Conselho Consultivo do Patrimônio Cultural</t>
  </si>
  <si>
    <t xml:space="preserve">TP - Bens Tombados provisoriamente (ainda não apreciados pelo Conselho Consultivo do Patrimônio Cultural;</t>
  </si>
  <si>
    <t xml:space="preserve">(Vários itens)</t>
  </si>
  <si>
    <t xml:space="preserve">BENS TOMBADOS POR ESTADO - RIO DE JANEIRO</t>
  </si>
  <si>
    <t xml:space="preserve">Soma de Contagem de bens</t>
  </si>
  <si>
    <t xml:space="preserve">PROCESSOS INCONCLUSOS - RIO DE JANEIRO</t>
  </si>
  <si>
    <t xml:space="preserve">BENS TOMBADOS POR ESTADO - ACRE</t>
  </si>
  <si>
    <t xml:space="preserve">PROCESSOS INCONCLUSOS - ACRE</t>
  </si>
  <si>
    <t xml:space="preserve">BENS TOMBADOS POR ESTADO - ALAGOAS</t>
  </si>
  <si>
    <t xml:space="preserve">PROCESSOS INCONCLUSOS - ALAGOAS</t>
  </si>
  <si>
    <t xml:space="preserve">BENS TOMBADOS POR ESTADO - AMAZONAS</t>
  </si>
  <si>
    <t xml:space="preserve">PROCESSOS INCONCLUSOS - AMAZONAS</t>
  </si>
  <si>
    <t xml:space="preserve">BENS TOMBADOS POR ESTADO - AMAPÁ</t>
  </si>
  <si>
    <t xml:space="preserve">PROCESSOS INCONCLUSOS - AMAPÁ</t>
  </si>
  <si>
    <t xml:space="preserve">BENS TOMBADOS POR ESTADO - BAHIA</t>
  </si>
  <si>
    <t xml:space="preserve">PROCESSOS INCONCLUSOS - BAHIA</t>
  </si>
  <si>
    <t xml:space="preserve">BENS TOMBADOS POR ESTADO - CEARÁ</t>
  </si>
  <si>
    <t xml:space="preserve">PROCESSOS INCONCLUSOS - CEARÁ</t>
  </si>
  <si>
    <t xml:space="preserve">BENS TOMBADOS POR ESTADO - DISTRITO FEDERAL</t>
  </si>
  <si>
    <t xml:space="preserve">PROCESSOS INCONCLUSOS - DISTRITO FEDERAL</t>
  </si>
  <si>
    <t xml:space="preserve">BENS TOMBADOS POR ESTADO - ESPÍRITO SANTO</t>
  </si>
  <si>
    <t xml:space="preserve">PROCESSOS INCONCLUSOS - ESPÍRITO SANTO</t>
  </si>
  <si>
    <t xml:space="preserve">BENS TOMBADOS POR ESTADO - GOIÁS</t>
  </si>
  <si>
    <t xml:space="preserve">PROCESSOS INCONCLUSOS - GOIÁS</t>
  </si>
  <si>
    <t xml:space="preserve">BENS TOMBADOS POR ESTADO - MARANHÃO</t>
  </si>
  <si>
    <t xml:space="preserve">PROCESSOS INCONCLUSOS - MARANHÃO</t>
  </si>
  <si>
    <t xml:space="preserve">BENS TOMBADOS POR ESTADO - MINAS GERAIS</t>
  </si>
  <si>
    <t xml:space="preserve">PROCESSOS INCONCLUSOS - MINAS GERAIS</t>
  </si>
  <si>
    <t xml:space="preserve">BENS TOMBADOS POR ESTADO - MATO GROSSO DO SUL</t>
  </si>
  <si>
    <t xml:space="preserve">PROCESSOS INCONCLUSOS - MATO GROSSO DO SUL</t>
  </si>
  <si>
    <t xml:space="preserve">BENS TOMBADOS POR ESTADO - MATO GROSSO</t>
  </si>
  <si>
    <t xml:space="preserve">PROCESSOS INCONCLUSOS - MATO GROSSO</t>
  </si>
  <si>
    <t xml:space="preserve">BENS TOMBADOS POR ESTADO - PARÁ</t>
  </si>
  <si>
    <t xml:space="preserve">PROCESSOS INCONCLUSOS - PARÁ</t>
  </si>
  <si>
    <t xml:space="preserve">BENS TOMBADOS POR ESTADO - PARAÍBA</t>
  </si>
  <si>
    <t xml:space="preserve">PROCESSOS INCONCLUSOS - PARAÍBA</t>
  </si>
  <si>
    <t xml:space="preserve">BENS TOMBADOS POR ESTADO - PERNAMBUCO</t>
  </si>
  <si>
    <t xml:space="preserve">PROCESSOS INCONCLUSOS - PERNAMBUCO</t>
  </si>
  <si>
    <t xml:space="preserve">BENS TOMBADOS POR ESTADO - PIAUÍ</t>
  </si>
  <si>
    <t xml:space="preserve">PROCESSOS INCONCLUSOS - PIAUÍ</t>
  </si>
  <si>
    <t xml:space="preserve">BENS TOMBADOS POR ESTADO - PARANÁ</t>
  </si>
  <si>
    <t xml:space="preserve">PROCESSOS INCONCLUSOS - PARANÁ</t>
  </si>
  <si>
    <t xml:space="preserve">BENS TOMBADOS POR ESTADO - RIO GRANDE DO NORTE</t>
  </si>
  <si>
    <t xml:space="preserve">PROCESSOS INCONCLUSOS - RIO GRANDE DO NORTE</t>
  </si>
  <si>
    <t xml:space="preserve">BENS TOMBADOS POR ESTADO - RONDÔNIA</t>
  </si>
  <si>
    <t xml:space="preserve">PROCESSOS INCONCLUSOS - RONDÔNIA</t>
  </si>
  <si>
    <t xml:space="preserve">BENS TOMBADOS POR ESTADO - RORAIMA</t>
  </si>
  <si>
    <t xml:space="preserve">PROCESSOS INCONCLUSOS - RORAIMA</t>
  </si>
  <si>
    <t xml:space="preserve">BENS TOMBADOS POR ESTADO - RIO GRANDE DO SUL</t>
  </si>
  <si>
    <t xml:space="preserve">PROCESSOS INCONCLUSOS - RIO GRANDE DO SUL</t>
  </si>
  <si>
    <t xml:space="preserve">BENS TOMBADOS POR ESTADO - SANTA CATARINA</t>
  </si>
  <si>
    <t xml:space="preserve">PROCESSOS INCONCLUSOS - SANTA CATARINA</t>
  </si>
  <si>
    <t xml:space="preserve">BENS TOMBADOS POR ESTADO - SERGIPE</t>
  </si>
  <si>
    <t xml:space="preserve">PROCESSOS INCONCLUSOS - SERGIPE</t>
  </si>
  <si>
    <t xml:space="preserve">BENS TOMBADOS POR ESTADO - SÃO PAULO</t>
  </si>
  <si>
    <t xml:space="preserve">PROCESSOS INCONCLUSOS - SÃO PAULO</t>
  </si>
  <si>
    <t xml:space="preserve">BENS TOMBADOS POR ESTADO - TOCANTINS</t>
  </si>
  <si>
    <t xml:space="preserve">PROCESSOS INCONCLUSOS - TOCANTINS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</si>
</sst>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6">
    <numFmt numFmtId="164" formatCode="[$-416]mmm\-yy;@"/>
    <numFmt numFmtId="165" formatCode="d/m/yyyy"/>
    <numFmt numFmtId="166" formatCode="[$-416]d\-mmm;@"/>
    <numFmt numFmtId="167" formatCode="dd/mm/yy;@"/>
    <numFmt numFmtId="168" formatCode="mmm/yy"/>
    <numFmt numFmtId="169" formatCode="0.0%"/>
  </numFmts>
  <fonts count="24">
    <font>
      <sz val="10.000000"/>
      <color theme="1"/>
      <name val="Arial"/>
    </font>
    <font>
      <sz val="10.000000"/>
      <name val="Arial"/>
    </font>
    <font>
      <b/>
      <sz val="10.000000"/>
      <name val="Arial"/>
    </font>
    <font>
      <u/>
      <sz val="10.000000"/>
      <color indexed="4"/>
      <name val="Arial"/>
    </font>
    <font>
      <sz val="8.000000"/>
      <name val="Arial Narrow"/>
    </font>
    <font>
      <sz val="8.000000"/>
      <name val="Arial"/>
    </font>
    <font>
      <sz val="8.000000"/>
      <color indexed="2"/>
      <name val="Arial Narrow"/>
    </font>
    <font>
      <sz val="10.000000"/>
      <color indexed="2"/>
      <name val="Arial"/>
    </font>
    <font>
      <sz val="10.000000"/>
      <color rgb="FF666666"/>
      <name val="Arial"/>
    </font>
    <font>
      <sz val="8.000000"/>
      <color indexed="2"/>
      <name val="Arial"/>
    </font>
    <font>
      <sz val="10.000000"/>
      <color indexed="64"/>
      <name val="Arial"/>
    </font>
    <font>
      <b/>
      <sz val="10.000000"/>
      <color indexed="64"/>
      <name val="Arial"/>
    </font>
    <font>
      <sz val="8.000000"/>
      <color indexed="64"/>
      <name val="Arial"/>
    </font>
    <font>
      <sz val="8.000000"/>
      <color indexed="64"/>
      <name val="Arial Narrow"/>
    </font>
    <font>
      <b/>
      <sz val="10.000000"/>
      <color indexed="2"/>
      <name val="Arial"/>
    </font>
    <font>
      <sz val="10.000000"/>
      <color rgb="FF201F1E"/>
      <name val="Arial"/>
    </font>
    <font>
      <b/>
      <sz val="8.000000"/>
      <name val="Arial Narrow"/>
    </font>
    <font>
      <b/>
      <sz val="8.000000"/>
      <name val="Arial"/>
    </font>
    <font>
      <sz val="10.000000"/>
      <color indexed="65"/>
      <name val="Arial"/>
    </font>
    <font>
      <b/>
      <sz val="10.000000"/>
      <color indexed="65"/>
      <name val="Arial"/>
    </font>
    <font>
      <sz val="10.000000"/>
      <name val="Arial Narrow"/>
    </font>
    <font>
      <b/>
      <sz val="10.000000"/>
      <name val="Arial Narrow"/>
    </font>
    <font>
      <sz val="10.000000"/>
      <color indexed="4"/>
      <name val="Arial Narrow"/>
    </font>
    <font>
      <sz val="10.000000"/>
      <color indexed="2"/>
      <name val="Arial Narrow"/>
    </font>
  </fonts>
  <fills count="29">
    <fill>
      <patternFill patternType="none"/>
    </fill>
    <fill>
      <patternFill patternType="gray125"/>
    </fill>
    <fill>
      <patternFill patternType="solid">
        <fgColor indexed="65"/>
        <bgColor rgb="FFF2F2F2"/>
      </patternFill>
    </fill>
    <fill>
      <patternFill patternType="solid">
        <fgColor rgb="FFDDD9C3"/>
        <bgColor rgb="FFD9D9D9"/>
      </patternFill>
    </fill>
    <fill>
      <patternFill patternType="solid">
        <fgColor rgb="FFE6B9B8"/>
        <bgColor rgb="FFFAC090"/>
      </patternFill>
    </fill>
    <fill>
      <patternFill patternType="solid">
        <fgColor rgb="FFDCE6F2"/>
        <bgColor rgb="FFDBEEF4"/>
      </patternFill>
    </fill>
    <fill>
      <patternFill patternType="solid">
        <fgColor rgb="FFC6D9F1"/>
        <bgColor rgb="FFD9D9D9"/>
      </patternFill>
    </fill>
    <fill>
      <patternFill patternType="solid">
        <fgColor rgb="FFB3A2C7"/>
        <bgColor rgb="FFA99BBD"/>
      </patternFill>
    </fill>
    <fill>
      <patternFill patternType="solid">
        <fgColor rgb="FFCCC1DA"/>
        <bgColor indexed="22"/>
      </patternFill>
    </fill>
    <fill>
      <patternFill patternType="solid">
        <fgColor rgb="FFDBEEF4"/>
        <bgColor rgb="FFDCE6F2"/>
      </patternFill>
    </fill>
    <fill>
      <patternFill patternType="solid">
        <fgColor rgb="FFE6E0EC"/>
        <bgColor rgb="FFDDDDDD"/>
      </patternFill>
    </fill>
    <fill>
      <patternFill patternType="solid">
        <fgColor rgb="FFFDEADA"/>
        <bgColor rgb="FFF2F2F2"/>
      </patternFill>
    </fill>
    <fill>
      <patternFill patternType="solid">
        <fgColor rgb="FF92D050"/>
        <bgColor rgb="FF9BBB59"/>
      </patternFill>
    </fill>
    <fill>
      <patternFill patternType="solid">
        <fgColor rgb="FFF79646"/>
        <bgColor rgb="FFDC853E"/>
      </patternFill>
    </fill>
    <fill>
      <patternFill patternType="solid">
        <fgColor indexed="5"/>
        <bgColor rgb="FFFAC090"/>
      </patternFill>
    </fill>
    <fill>
      <patternFill patternType="solid">
        <fgColor rgb="FFD9D9D9"/>
        <bgColor rgb="FFDDDDDD"/>
      </patternFill>
    </fill>
    <fill>
      <patternFill patternType="solid">
        <fgColor rgb="FFFAC090"/>
        <bgColor rgb="FFE6B9B8"/>
      </patternFill>
    </fill>
    <fill>
      <patternFill patternType="solid">
        <fgColor indexed="2"/>
        <bgColor rgb="FF9C0006"/>
      </patternFill>
    </fill>
    <fill>
      <patternFill patternType="solid">
        <fgColor rgb="FFC3D69B"/>
        <bgColor rgb="FFB8CD97"/>
      </patternFill>
    </fill>
    <fill>
      <patternFill patternType="solid">
        <fgColor rgb="FFC6E0B4"/>
        <bgColor rgb="FFC3D69B"/>
      </patternFill>
    </fill>
    <fill>
      <patternFill patternType="solid">
        <fgColor rgb="FFDDDDDD"/>
        <bgColor rgb="FFD9D9D9"/>
      </patternFill>
    </fill>
    <fill>
      <patternFill patternType="solid">
        <fgColor rgb="FFF2F2F2"/>
        <bgColor rgb="FFFDEADA"/>
      </patternFill>
    </fill>
    <fill>
      <patternFill patternType="solid">
        <fgColor indexed="23"/>
        <bgColor rgb="FF878787"/>
      </patternFill>
    </fill>
    <fill>
      <patternFill patternType="solid">
        <fgColor rgb="FF376092"/>
        <bgColor rgb="FF4672A8"/>
      </patternFill>
    </fill>
    <fill>
      <patternFill patternType="solid">
        <fgColor rgb="FF953735"/>
        <bgColor rgb="FFAB4744"/>
      </patternFill>
    </fill>
    <fill>
      <patternFill patternType="solid">
        <fgColor rgb="FFBFBFBF"/>
        <bgColor indexed="22"/>
      </patternFill>
    </fill>
    <fill>
      <patternFill patternType="solid">
        <fgColor rgb="FF948A54"/>
        <bgColor rgb="FF878787"/>
      </patternFill>
    </fill>
    <fill>
      <patternFill patternType="solid">
        <fgColor indexed="22"/>
        <bgColor rgb="FFBFBFBF"/>
      </patternFill>
    </fill>
    <fill>
      <patternFill patternType="solid">
        <fgColor rgb="FF77933C"/>
        <bgColor rgb="FF8AA64F"/>
      </patternFill>
    </fill>
  </fills>
  <borders count="62">
    <border>
      <left style="none"/>
      <right style="none"/>
      <top style="none"/>
      <bottom style="none"/>
      <diagonal style="none"/>
    </border>
    <border>
      <left style="hair">
        <color theme="1"/>
      </left>
      <right style="hair">
        <color theme="1"/>
      </right>
      <top style="hair">
        <color theme="1"/>
      </top>
      <bottom style="hair">
        <color theme="1"/>
      </bottom>
      <diagonal style="none"/>
    </border>
    <border>
      <left style="thin">
        <color theme="1"/>
      </left>
      <right style="hair">
        <color theme="1"/>
      </right>
      <top style="hair">
        <color theme="1"/>
      </top>
      <bottom style="hair">
        <color theme="1"/>
      </bottom>
      <diagonal style="none"/>
    </border>
    <border>
      <left style="hair">
        <color theme="1"/>
      </left>
      <right style="thin">
        <color theme="1"/>
      </right>
      <top style="hair">
        <color theme="1"/>
      </top>
      <bottom style="hair">
        <color theme="1"/>
      </bottom>
      <diagonal style="none"/>
    </border>
    <border>
      <left style="hair">
        <color theme="1"/>
      </left>
      <right style="none"/>
      <top style="hair">
        <color theme="1"/>
      </top>
      <bottom style="hair">
        <color theme="1"/>
      </bottom>
      <diagonal style="none"/>
    </border>
    <border>
      <left style="thin">
        <color theme="1"/>
      </left>
      <right style="thin">
        <color theme="1"/>
      </right>
      <top style="medium">
        <color theme="1"/>
      </top>
      <bottom style="medium">
        <color theme="1"/>
      </bottom>
      <diagonal style="none"/>
    </border>
    <border>
      <left style="medium">
        <color theme="1"/>
      </left>
      <right style="thin">
        <color theme="1"/>
      </right>
      <top style="medium">
        <color theme="1"/>
      </top>
      <bottom style="medium">
        <color theme="1"/>
      </bottom>
      <diagonal style="none"/>
    </border>
    <border>
      <left style="thin">
        <color theme="1"/>
      </left>
      <right style="medium">
        <color theme="1"/>
      </right>
      <top style="medium">
        <color theme="1"/>
      </top>
      <bottom style="medium">
        <color theme="1"/>
      </bottom>
      <diagonal style="none"/>
    </border>
    <border>
      <left style="none"/>
      <right style="thin">
        <color theme="1"/>
      </right>
      <top style="medium">
        <color theme="1"/>
      </top>
      <bottom style="medium">
        <color theme="1"/>
      </bottom>
      <diagonal style="none"/>
    </border>
    <border>
      <left style="hair">
        <color theme="1"/>
      </left>
      <right style="hair">
        <color theme="1"/>
      </right>
      <top style="none"/>
      <bottom style="hair">
        <color theme="1"/>
      </bottom>
      <diagonal style="none"/>
    </border>
    <border>
      <left style="thin">
        <color theme="1"/>
      </left>
      <right style="hair">
        <color theme="1"/>
      </right>
      <top style="none"/>
      <bottom style="hair">
        <color theme="1"/>
      </bottom>
      <diagonal style="none"/>
    </border>
    <border>
      <left style="hair">
        <color theme="1"/>
      </left>
      <right style="thin">
        <color theme="1"/>
      </right>
      <top style="none"/>
      <bottom style="hair">
        <color theme="1"/>
      </bottom>
      <diagonal style="none"/>
    </border>
    <border>
      <left style="hair">
        <color theme="1"/>
      </left>
      <right style="none"/>
      <top style="none"/>
      <bottom style="hair">
        <color theme="1"/>
      </bottom>
      <diagonal style="none"/>
    </border>
    <border>
      <left style="none"/>
      <right style="none"/>
      <top style="none"/>
      <bottom style="thin">
        <color theme="1"/>
      </bottom>
      <diagonal style="none"/>
    </border>
    <border>
      <left style="none"/>
      <right style="none"/>
      <top style="thin">
        <color theme="1"/>
      </top>
      <bottom style="none"/>
      <diagonal style="none"/>
    </border>
    <border>
      <left style="none"/>
      <right style="none"/>
      <top style="thin">
        <color theme="1"/>
      </top>
      <bottom style="thin">
        <color theme="1"/>
      </bottom>
      <diagonal style="none"/>
    </border>
    <border>
      <left style="thin">
        <color rgb="FFC3D69B"/>
      </left>
      <right style="none"/>
      <top style="thin">
        <color rgb="FFC3D69B"/>
      </top>
      <bottom style="thin">
        <color rgb="FFC3D69B"/>
      </bottom>
      <diagonal style="none"/>
    </border>
    <border>
      <left style="none"/>
      <right style="none"/>
      <top style="thin">
        <color rgb="FFC3D69B"/>
      </top>
      <bottom style="thin">
        <color rgb="FFC3D69B"/>
      </bottom>
      <diagonal style="none"/>
    </border>
    <border>
      <left style="thin">
        <color rgb="FF999999"/>
      </left>
      <right style="none"/>
      <top style="thin">
        <color rgb="FF999999"/>
      </top>
      <bottom style="none"/>
      <diagonal style="none"/>
    </border>
    <border>
      <left style="thin">
        <color rgb="FF999999"/>
      </left>
      <right style="thin">
        <color rgb="FF999999"/>
      </right>
      <top style="thin">
        <color rgb="FF999999"/>
      </top>
      <bottom style="none"/>
      <diagonal style="none"/>
    </border>
    <border>
      <left style="thin">
        <color indexed="65"/>
      </left>
      <right style="none"/>
      <top style="thin">
        <color rgb="FF999999"/>
      </top>
      <bottom style="none"/>
      <diagonal style="none"/>
    </border>
    <border>
      <left style="thin">
        <color indexed="65"/>
      </left>
      <right style="thin">
        <color rgb="FF999999"/>
      </right>
      <top style="thin">
        <color rgb="FF999999"/>
      </top>
      <bottom style="none"/>
      <diagonal style="none"/>
    </border>
    <border>
      <left style="thin">
        <color rgb="FF999999"/>
      </left>
      <right style="none"/>
      <top style="thin">
        <color indexed="65"/>
      </top>
      <bottom style="none"/>
      <diagonal style="none"/>
    </border>
    <border>
      <left style="thin">
        <color indexed="65"/>
      </left>
      <right style="none"/>
      <top style="thin">
        <color indexed="65"/>
      </top>
      <bottom style="none"/>
      <diagonal style="none"/>
    </border>
    <border>
      <left style="thin">
        <color indexed="65"/>
      </left>
      <right style="thin">
        <color rgb="FF999999"/>
      </right>
      <top style="thin">
        <color indexed="65"/>
      </top>
      <bottom style="none"/>
      <diagonal style="none"/>
    </border>
    <border>
      <left style="thin">
        <color rgb="FF999999"/>
      </left>
      <right style="none"/>
      <top style="none"/>
      <bottom style="none"/>
      <diagonal style="none"/>
    </border>
    <border>
      <left style="thin">
        <color rgb="FF999999"/>
      </left>
      <right style="thin">
        <color rgb="FF999999"/>
      </right>
      <top style="none"/>
      <bottom style="none"/>
      <diagonal style="none"/>
    </border>
    <border>
      <left style="medium">
        <color theme="1"/>
      </left>
      <right style="thin">
        <color theme="1"/>
      </right>
      <top style="medium">
        <color theme="1"/>
      </top>
      <bottom style="thin">
        <color theme="1"/>
      </bottom>
      <diagonal style="none"/>
    </border>
    <border>
      <left style="thin">
        <color theme="1"/>
      </left>
      <right style="medium">
        <color theme="1"/>
      </right>
      <top style="medium">
        <color theme="1"/>
      </top>
      <bottom style="thin">
        <color theme="1"/>
      </bottom>
      <diagonal style="none"/>
    </border>
    <border>
      <left style="medium">
        <color theme="1"/>
      </left>
      <right style="thin">
        <color theme="1"/>
      </right>
      <top style="thin">
        <color theme="1"/>
      </top>
      <bottom style="none"/>
      <diagonal style="none"/>
    </border>
    <border>
      <left style="thin">
        <color theme="1"/>
      </left>
      <right style="medium">
        <color theme="1"/>
      </right>
      <top style="thin">
        <color theme="1"/>
      </top>
      <bottom style="none"/>
      <diagonal style="none"/>
    </border>
    <border>
      <left style="medium">
        <color theme="1"/>
      </left>
      <right style="thin">
        <color theme="1"/>
      </right>
      <top style="none"/>
      <bottom style="none"/>
      <diagonal style="none"/>
    </border>
    <border>
      <left style="thin">
        <color theme="1"/>
      </left>
      <right style="medium">
        <color theme="1"/>
      </right>
      <top style="none"/>
      <bottom style="none"/>
      <diagonal style="none"/>
    </border>
    <border>
      <left style="thin">
        <color rgb="FF999999"/>
      </left>
      <right style="none"/>
      <top style="thin">
        <color indexed="65"/>
      </top>
      <bottom style="thin">
        <color rgb="FF999999"/>
      </bottom>
      <diagonal style="none"/>
    </border>
    <border>
      <left style="thin">
        <color indexed="65"/>
      </left>
      <right style="none"/>
      <top style="thin">
        <color indexed="65"/>
      </top>
      <bottom style="thin">
        <color rgb="FF999999"/>
      </bottom>
      <diagonal style="none"/>
    </border>
    <border>
      <left style="thin">
        <color indexed="65"/>
      </left>
      <right style="thin">
        <color rgb="FF999999"/>
      </right>
      <top style="thin">
        <color indexed="65"/>
      </top>
      <bottom style="thin">
        <color rgb="FF999999"/>
      </bottom>
      <diagonal style="none"/>
    </border>
    <border>
      <left style="thin">
        <color theme="1"/>
      </left>
      <right style="medium">
        <color theme="1"/>
      </right>
      <top style="none"/>
      <bottom style="thin">
        <color theme="1"/>
      </bottom>
      <diagonal style="none"/>
    </border>
    <border>
      <left style="medium">
        <color theme="1"/>
      </left>
      <right style="thin">
        <color theme="1"/>
      </right>
      <top style="thin">
        <color theme="1"/>
      </top>
      <bottom style="medium">
        <color theme="1"/>
      </bottom>
      <diagonal style="none"/>
    </border>
    <border>
      <left style="thin">
        <color theme="1"/>
      </left>
      <right style="medium">
        <color theme="1"/>
      </right>
      <top style="thin">
        <color theme="1"/>
      </top>
      <bottom style="medium">
        <color theme="1"/>
      </bottom>
      <diagonal style="none"/>
    </border>
    <border>
      <left style="thin">
        <color rgb="FF999999"/>
      </left>
      <right style="none"/>
      <top style="thin">
        <color rgb="FF999999"/>
      </top>
      <bottom style="thin">
        <color rgb="FF999999"/>
      </bottom>
      <diagonal style="none"/>
    </border>
    <border>
      <left style="thin">
        <color rgb="FF999999"/>
      </left>
      <right style="thin">
        <color rgb="FF999999"/>
      </right>
      <top style="thin">
        <color rgb="FF999999"/>
      </top>
      <bottom style="thin">
        <color rgb="FF999999"/>
      </bottom>
      <diagonal style="none"/>
    </border>
    <border>
      <left style="thin">
        <color theme="1"/>
      </left>
      <right style="none"/>
      <top style="thin">
        <color theme="1"/>
      </top>
      <bottom style="none"/>
      <diagonal style="none"/>
    </border>
    <border>
      <left style="none"/>
      <right style="none"/>
      <top style="thin">
        <color rgb="FF999999"/>
      </top>
      <bottom style="none"/>
      <diagonal style="none"/>
    </border>
    <border>
      <left style="thin">
        <color theme="1"/>
      </left>
      <right style="thin">
        <color theme="1"/>
      </right>
      <top style="thin">
        <color theme="1"/>
      </top>
      <bottom style="thin">
        <color theme="1"/>
      </bottom>
      <diagonal style="none"/>
    </border>
    <border>
      <left style="thin">
        <color rgb="FF999999"/>
      </left>
      <right style="thin">
        <color theme="1"/>
      </right>
      <top style="thin">
        <color theme="1"/>
      </top>
      <bottom style="none"/>
      <diagonal style="none"/>
    </border>
    <border>
      <left style="thin">
        <color theme="1"/>
      </left>
      <right style="none"/>
      <top style="none"/>
      <bottom style="none"/>
      <diagonal style="none"/>
    </border>
    <border>
      <left style="thin">
        <color rgb="FF999999"/>
      </left>
      <right style="thin">
        <color theme="1"/>
      </right>
      <top style="none"/>
      <bottom style="none"/>
      <diagonal style="none"/>
    </border>
    <border>
      <left style="thin">
        <color theme="1"/>
      </left>
      <right style="none"/>
      <top style="thin">
        <color theme="1"/>
      </top>
      <bottom style="thin">
        <color theme="1"/>
      </bottom>
      <diagonal style="none"/>
    </border>
    <border>
      <left style="thin">
        <color theme="1"/>
      </left>
      <right style="none"/>
      <top style="thin">
        <color rgb="FF999999"/>
      </top>
      <bottom style="thin">
        <color theme="1"/>
      </bottom>
      <diagonal style="none"/>
    </border>
    <border>
      <left style="none"/>
      <right style="none"/>
      <top style="thin">
        <color rgb="FF999999"/>
      </top>
      <bottom style="thin">
        <color theme="1"/>
      </bottom>
      <diagonal style="none"/>
    </border>
    <border>
      <left style="thin">
        <color rgb="FF999999"/>
      </left>
      <right style="thin">
        <color theme="1"/>
      </right>
      <top style="thin">
        <color rgb="FF999999"/>
      </top>
      <bottom style="thin">
        <color theme="1"/>
      </bottom>
      <diagonal style="none"/>
    </border>
    <border>
      <left style="thin">
        <color theme="1"/>
      </left>
      <right style="none"/>
      <top style="none"/>
      <bottom style="thin">
        <color theme="1"/>
      </bottom>
      <diagonal style="none"/>
    </border>
    <border>
      <left style="thin">
        <color theme="1"/>
      </left>
      <right style="none"/>
      <top style="thin">
        <color rgb="FF999999"/>
      </top>
      <bottom style="none"/>
      <diagonal style="none"/>
    </border>
    <border>
      <left style="none"/>
      <right style="thin">
        <color theme="1"/>
      </right>
      <top style="thin">
        <color theme="1"/>
      </top>
      <bottom style="thin">
        <color theme="1"/>
      </bottom>
      <diagonal style="none"/>
    </border>
    <border>
      <left style="thin">
        <color theme="1"/>
      </left>
      <right style="thin">
        <color theme="1"/>
      </right>
      <top style="thin">
        <color theme="1"/>
      </top>
      <bottom style="none"/>
      <diagonal style="none"/>
    </border>
    <border>
      <left style="thin">
        <color theme="1"/>
      </left>
      <right style="thin">
        <color theme="1"/>
      </right>
      <top style="none"/>
      <bottom style="none"/>
      <diagonal style="none"/>
    </border>
    <border>
      <left style="thin">
        <color theme="1"/>
      </left>
      <right style="thin">
        <color theme="1"/>
      </right>
      <top style="thin">
        <color rgb="FF999999"/>
      </top>
      <bottom style="thin">
        <color theme="1"/>
      </bottom>
      <diagonal style="none"/>
    </border>
    <border>
      <left style="thin">
        <color theme="1"/>
      </left>
      <right style="thin">
        <color rgb="FF999999"/>
      </right>
      <top style="thin">
        <color theme="1"/>
      </top>
      <bottom style="thin">
        <color theme="1"/>
      </bottom>
      <diagonal style="none"/>
    </border>
    <border>
      <left style="thin">
        <color rgb="FF999999"/>
      </left>
      <right style="thin">
        <color theme="1"/>
      </right>
      <top style="thin">
        <color theme="1"/>
      </top>
      <bottom style="thin">
        <color theme="1"/>
      </bottom>
      <diagonal style="none"/>
    </border>
    <border>
      <left style="thin">
        <color rgb="FF999999"/>
      </left>
      <right style="none"/>
      <top style="thin">
        <color theme="1"/>
      </top>
      <bottom style="none"/>
      <diagonal style="none"/>
    </border>
    <border>
      <left style="thin">
        <color indexed="65"/>
      </left>
      <right style="none"/>
      <top style="thin">
        <color theme="1"/>
      </top>
      <bottom style="none"/>
      <diagonal style="none"/>
    </border>
    <border>
      <left style="thin">
        <color indexed="65"/>
      </left>
      <right style="thin">
        <color theme="1"/>
      </right>
      <top style="thin">
        <color theme="1"/>
      </top>
      <bottom style="none"/>
      <diagonal style="none"/>
    </border>
  </borders>
  <cellStyleXfs count="13">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0" fillId="0" borderId="0" numFmtId="9" applyNumberFormat="1" applyFont="1" applyFill="1" applyBorder="0" applyProtection="0"/>
    <xf fontId="0" fillId="0" borderId="0" numFmtId="0" applyNumberFormat="1" applyFont="1" applyFill="1" applyBorder="0" applyProtection="0"/>
    <xf fontId="0" fillId="0" borderId="0" numFmtId="0" applyNumberFormat="1" applyFont="1" applyFill="1" applyBorder="0" applyProtection="0"/>
    <xf fontId="0" fillId="0" borderId="0" numFmtId="0" applyNumberFormat="1" applyFont="1" applyFill="1" applyBorder="0" applyProtection="0"/>
    <xf fontId="0" fillId="0" borderId="0" numFmtId="0" applyNumberFormat="1" applyFont="1" applyFill="1" applyBorder="0" applyProtection="0">
      <alignment horizontal="left"/>
    </xf>
    <xf fontId="2" fillId="0" borderId="0" numFmtId="0" applyNumberFormat="1" applyFont="1" applyFill="1" applyBorder="0" applyProtection="0">
      <alignment horizontal="left"/>
    </xf>
    <xf fontId="2" fillId="0" borderId="0" numFmtId="0" applyNumberFormat="1" applyFont="1" applyFill="1" applyBorder="0" applyProtection="0"/>
    <xf fontId="3" fillId="0" borderId="0" numFmtId="0" applyNumberFormat="1" applyFont="1" applyFill="1" applyBorder="0" applyProtection="0"/>
  </cellStyleXfs>
  <cellXfs count="416">
    <xf fontId="0" fillId="0" borderId="0" numFmtId="0" xfId="0" applyProtection="0">
      <protection hidden="0" locked="1"/>
    </xf>
    <xf fontId="4" fillId="2" borderId="1" numFmtId="0" xfId="0" applyFont="1" applyFill="1" applyBorder="1" applyAlignment="1" applyProtection="0">
      <alignment horizontal="center" vertical="center" wrapText="1"/>
      <protection hidden="0" locked="1"/>
    </xf>
    <xf fontId="1" fillId="2" borderId="2" numFmtId="0" xfId="0" applyFont="1" applyFill="1" applyBorder="1" applyAlignment="1" applyProtection="0">
      <alignment horizontal="center" vertical="center" wrapText="1"/>
      <protection hidden="0" locked="1"/>
    </xf>
    <xf fontId="2" fillId="2" borderId="1" numFmtId="0" xfId="0" applyFont="1" applyFill="1" applyBorder="1" applyAlignment="1" applyProtection="0">
      <alignment horizontal="center" vertical="center" wrapText="1"/>
      <protection hidden="0" locked="1"/>
    </xf>
    <xf fontId="5" fillId="2" borderId="1" numFmtId="0" xfId="0" applyFont="1" applyFill="1" applyBorder="1" applyAlignment="1" applyProtection="0">
      <alignment horizontal="left" vertical="center" wrapText="1"/>
      <protection hidden="0" locked="1"/>
    </xf>
    <xf fontId="1" fillId="2" borderId="3" numFmtId="0" xfId="0" applyFont="1" applyFill="1" applyBorder="1" applyAlignment="1" applyProtection="0">
      <alignment horizontal="center" vertical="center" wrapText="1"/>
      <protection hidden="0" locked="1"/>
    </xf>
    <xf fontId="1" fillId="2" borderId="1" numFmtId="0" xfId="0" applyFont="1" applyFill="1" applyBorder="1" applyAlignment="1" applyProtection="0">
      <alignment horizontal="center" vertical="center" wrapText="1"/>
      <protection hidden="0" locked="1"/>
    </xf>
    <xf fontId="1" fillId="2" borderId="1" numFmtId="1" xfId="0" applyNumberFormat="1" applyFont="1" applyFill="1" applyBorder="1" applyAlignment="1" applyProtection="0">
      <alignment horizontal="center" vertical="center" wrapText="1"/>
      <protection hidden="0" locked="1"/>
    </xf>
    <xf fontId="2" fillId="2" borderId="3" numFmtId="164" xfId="0" applyNumberFormat="1" applyFont="1" applyFill="1" applyBorder="1" applyAlignment="1" applyProtection="0">
      <alignment horizontal="center" vertical="center" wrapText="1"/>
      <protection hidden="0" locked="1"/>
    </xf>
    <xf fontId="1" fillId="2" borderId="2" numFmtId="1" xfId="0" applyNumberFormat="1" applyFont="1" applyFill="1" applyBorder="1" applyAlignment="1" applyProtection="0">
      <alignment horizontal="center" vertical="center" wrapText="1"/>
      <protection hidden="0" locked="1"/>
    </xf>
    <xf fontId="1" fillId="2" borderId="1" numFmtId="165" xfId="0" applyNumberFormat="1" applyFont="1" applyFill="1" applyBorder="1" applyAlignment="1" applyProtection="0">
      <alignment horizontal="center" vertical="center" wrapText="1"/>
      <protection hidden="0" locked="1"/>
    </xf>
    <xf fontId="1" fillId="2" borderId="1" numFmtId="1" xfId="0" applyNumberFormat="1" applyFont="1" applyFill="1" applyBorder="1" applyAlignment="1" applyProtection="0">
      <alignment horizontal="left" vertical="center" wrapText="1"/>
      <protection hidden="0" locked="1"/>
    </xf>
    <xf fontId="4" fillId="2" borderId="3" numFmtId="166" xfId="0" applyNumberFormat="1" applyFont="1" applyFill="1" applyBorder="1" applyAlignment="1" applyProtection="0">
      <alignment horizontal="center" vertical="center" wrapText="1"/>
      <protection hidden="0" locked="1"/>
    </xf>
    <xf fontId="1" fillId="2" borderId="2" numFmtId="164" xfId="0" applyNumberFormat="1" applyFont="1" applyFill="1" applyBorder="1" applyAlignment="1" applyProtection="0">
      <alignment horizontal="center" vertical="center" wrapText="1"/>
      <protection hidden="0" locked="1"/>
    </xf>
    <xf fontId="1" fillId="2" borderId="1" numFmtId="164" xfId="0" applyNumberFormat="1" applyFont="1" applyFill="1" applyBorder="1" applyAlignment="1" applyProtection="0">
      <alignment horizontal="center" vertical="center" wrapText="1"/>
      <protection hidden="0" locked="1"/>
    </xf>
    <xf fontId="1" fillId="2" borderId="3" numFmtId="0" xfId="0" applyFont="1" applyFill="1" applyBorder="1" applyAlignment="1" applyProtection="0">
      <alignment horizontal="left" vertical="center"/>
      <protection hidden="0" locked="1"/>
    </xf>
    <xf fontId="1" fillId="2" borderId="3" numFmtId="0" xfId="0" applyFont="1" applyFill="1" applyBorder="1" applyAlignment="1" applyProtection="0">
      <alignment horizontal="left" vertical="center" wrapText="1"/>
      <protection hidden="0" locked="1"/>
    </xf>
    <xf fontId="1" fillId="2" borderId="4" numFmtId="0" xfId="0" applyFont="1" applyFill="1" applyBorder="1" applyAlignment="1" applyProtection="0">
      <alignment horizontal="left" vertical="center" wrapText="1"/>
      <protection hidden="0" locked="1"/>
    </xf>
    <xf fontId="2" fillId="2" borderId="5" numFmtId="0" xfId="0" applyFont="1" applyFill="1" applyBorder="1" applyAlignment="1" applyProtection="0">
      <alignment horizontal="center" vertical="center" wrapText="1"/>
      <protection hidden="0" locked="1"/>
    </xf>
    <xf fontId="2" fillId="3" borderId="6" numFmtId="0" xfId="0" applyFont="1" applyFill="1" applyBorder="1" applyAlignment="1" applyProtection="0">
      <alignment horizontal="center" vertical="center" wrapText="1"/>
      <protection hidden="0" locked="1"/>
    </xf>
    <xf fontId="2" fillId="3" borderId="5" numFmtId="0" xfId="0" applyFont="1" applyFill="1" applyBorder="1" applyAlignment="1" applyProtection="0">
      <alignment horizontal="center" vertical="center" wrapText="1"/>
      <protection hidden="0" locked="1"/>
    </xf>
    <xf fontId="2" fillId="3" borderId="7" numFmtId="0" xfId="0" applyFont="1" applyFill="1" applyBorder="1" applyAlignment="1" applyProtection="0">
      <alignment horizontal="center" vertical="center" wrapText="1"/>
      <protection hidden="0" locked="1"/>
    </xf>
    <xf fontId="2" fillId="4" borderId="6" numFmtId="0" xfId="0" applyFont="1" applyFill="1" applyBorder="1" applyAlignment="1" applyProtection="0">
      <alignment horizontal="center" vertical="center" wrapText="1"/>
      <protection hidden="0" locked="1"/>
    </xf>
    <xf fontId="2" fillId="4" borderId="5" numFmtId="0" xfId="0" applyFont="1" applyFill="1" applyBorder="1" applyAlignment="1" applyProtection="0">
      <alignment horizontal="center" vertical="center" wrapText="1"/>
      <protection hidden="0" locked="1"/>
    </xf>
    <xf fontId="2" fillId="4" borderId="7" numFmtId="0" xfId="0" applyFont="1" applyFill="1" applyBorder="1" applyAlignment="1" applyProtection="0">
      <alignment horizontal="center" vertical="center" wrapText="1"/>
      <protection hidden="0" locked="1"/>
    </xf>
    <xf fontId="2" fillId="5" borderId="6" numFmtId="0" xfId="0" applyFont="1" applyFill="1" applyBorder="1" applyAlignment="1" applyProtection="0">
      <alignment horizontal="center" vertical="center" wrapText="1"/>
      <protection hidden="0" locked="1"/>
    </xf>
    <xf fontId="2" fillId="5" borderId="5" numFmtId="0" xfId="0" applyFont="1" applyFill="1" applyBorder="1" applyAlignment="1" applyProtection="0">
      <alignment horizontal="center" vertical="center" wrapText="1"/>
      <protection hidden="0" locked="1"/>
    </xf>
    <xf fontId="2" fillId="5" borderId="5" numFmtId="1" xfId="0" applyNumberFormat="1" applyFont="1" applyFill="1" applyBorder="1" applyAlignment="1" applyProtection="0">
      <alignment horizontal="center" vertical="center" wrapText="1"/>
      <protection hidden="0" locked="1"/>
    </xf>
    <xf fontId="2" fillId="5" borderId="7" numFmtId="164" xfId="0" applyNumberFormat="1" applyFont="1" applyFill="1" applyBorder="1" applyAlignment="1" applyProtection="0">
      <alignment horizontal="center" vertical="center" wrapText="1"/>
      <protection hidden="0" locked="1"/>
    </xf>
    <xf fontId="2" fillId="6" borderId="6" numFmtId="1" xfId="0" applyNumberFormat="1" applyFont="1" applyFill="1" applyBorder="1" applyAlignment="1" applyProtection="0">
      <alignment horizontal="center" vertical="center" wrapText="1"/>
      <protection hidden="0" locked="1"/>
    </xf>
    <xf fontId="2" fillId="6" borderId="5" numFmtId="0" xfId="0" applyFont="1" applyFill="1" applyBorder="1" applyAlignment="1" applyProtection="0">
      <alignment horizontal="center" vertical="center" wrapText="1"/>
      <protection hidden="0" locked="1"/>
    </xf>
    <xf fontId="2" fillId="6" borderId="5" numFmtId="165" xfId="0" applyNumberFormat="1" applyFont="1" applyFill="1" applyBorder="1" applyAlignment="1" applyProtection="0">
      <alignment horizontal="center" vertical="center" wrapText="1"/>
      <protection hidden="0" locked="1"/>
    </xf>
    <xf fontId="2" fillId="6" borderId="5" numFmtId="1" xfId="0" applyNumberFormat="1" applyFont="1" applyFill="1" applyBorder="1" applyAlignment="1" applyProtection="0">
      <alignment horizontal="center" vertical="center" wrapText="1"/>
      <protection hidden="0" locked="1"/>
    </xf>
    <xf fontId="2" fillId="6" borderId="7" numFmtId="166" xfId="0" applyNumberFormat="1" applyFont="1" applyFill="1" applyBorder="1" applyAlignment="1" applyProtection="0">
      <alignment horizontal="center" vertical="center" wrapText="1"/>
      <protection hidden="0" locked="1"/>
    </xf>
    <xf fontId="2" fillId="7" borderId="6" numFmtId="0" xfId="0" applyFont="1" applyFill="1" applyBorder="1" applyAlignment="1" applyProtection="0">
      <alignment horizontal="center" vertical="center" wrapText="1"/>
      <protection hidden="0" locked="1"/>
    </xf>
    <xf fontId="2" fillId="8" borderId="5" numFmtId="0" xfId="0" applyFont="1" applyFill="1" applyBorder="1" applyAlignment="1" applyProtection="0">
      <alignment horizontal="center" vertical="center" wrapText="1"/>
      <protection hidden="0" locked="1"/>
    </xf>
    <xf fontId="2" fillId="8" borderId="7" numFmtId="0" xfId="0" applyFont="1" applyFill="1" applyBorder="1" applyAlignment="1" applyProtection="0">
      <alignment horizontal="center" vertical="center" wrapText="1"/>
      <protection hidden="0" locked="1"/>
    </xf>
    <xf fontId="2" fillId="9" borderId="6" numFmtId="164" xfId="0" applyNumberFormat="1" applyFont="1" applyFill="1" applyBorder="1" applyAlignment="1" applyProtection="0">
      <alignment horizontal="center" vertical="center" wrapText="1"/>
      <protection hidden="0" locked="1"/>
    </xf>
    <xf fontId="2" fillId="9" borderId="5" numFmtId="164" xfId="0" applyNumberFormat="1" applyFont="1" applyFill="1" applyBorder="1" applyAlignment="1" applyProtection="0">
      <alignment horizontal="center" vertical="center" wrapText="1"/>
      <protection hidden="0" locked="1"/>
    </xf>
    <xf fontId="2" fillId="9" borderId="5" numFmtId="1" xfId="0" applyNumberFormat="1" applyFont="1" applyFill="1" applyBorder="1" applyAlignment="1" applyProtection="0">
      <alignment horizontal="center" vertical="center" wrapText="1"/>
      <protection hidden="0" locked="1"/>
    </xf>
    <xf fontId="2" fillId="9" borderId="5" numFmtId="0" xfId="0" applyFont="1" applyFill="1" applyBorder="1" applyAlignment="1" applyProtection="0">
      <alignment horizontal="center" vertical="center" wrapText="1"/>
      <protection hidden="0" locked="1"/>
    </xf>
    <xf fontId="2" fillId="9" borderId="5" numFmtId="165" xfId="0" applyNumberFormat="1" applyFont="1" applyFill="1" applyBorder="1" applyAlignment="1" applyProtection="0">
      <alignment horizontal="center" vertical="center" wrapText="1"/>
      <protection hidden="0" locked="1"/>
    </xf>
    <xf fontId="2" fillId="9" borderId="7" numFmtId="0" xfId="0" applyFont="1" applyFill="1" applyBorder="1" applyAlignment="1" applyProtection="0">
      <alignment horizontal="center" vertical="center" wrapText="1"/>
      <protection hidden="0" locked="1"/>
    </xf>
    <xf fontId="2" fillId="10" borderId="6" numFmtId="0" xfId="0" applyFont="1" applyFill="1" applyBorder="1" applyAlignment="1" applyProtection="0">
      <alignment horizontal="center" vertical="center" wrapText="1"/>
      <protection hidden="0" locked="1"/>
    </xf>
    <xf fontId="2" fillId="10" borderId="5" numFmtId="0" xfId="0" applyFont="1" applyFill="1" applyBorder="1" applyAlignment="1" applyProtection="0">
      <alignment horizontal="center" vertical="center" wrapText="1"/>
      <protection hidden="0" locked="1"/>
    </xf>
    <xf fontId="2" fillId="10" borderId="7" numFmtId="0" xfId="0" applyFont="1" applyFill="1" applyBorder="1" applyAlignment="1" applyProtection="0">
      <alignment horizontal="center" vertical="center" wrapText="1"/>
      <protection hidden="0" locked="1"/>
    </xf>
    <xf fontId="2" fillId="11" borderId="8" numFmtId="0" xfId="0" applyFont="1" applyFill="1" applyBorder="1" applyAlignment="1" applyProtection="0">
      <alignment horizontal="center" vertical="center" wrapText="1"/>
      <protection hidden="0" locked="1"/>
    </xf>
    <xf fontId="2" fillId="11" borderId="5" numFmtId="0" xfId="0" applyFont="1" applyFill="1" applyBorder="1" applyAlignment="1" applyProtection="0">
      <alignment horizontal="center" vertical="center" wrapText="1"/>
      <protection hidden="0" locked="1"/>
    </xf>
    <xf fontId="1" fillId="2" borderId="5" numFmtId="0" xfId="0" applyFont="1" applyFill="1" applyBorder="1" applyAlignment="1" applyProtection="0">
      <alignment horizontal="center" vertical="center" wrapText="1"/>
      <protection hidden="0" locked="1"/>
    </xf>
    <xf fontId="4" fillId="2" borderId="9" numFmtId="0" xfId="0" applyFont="1" applyFill="1" applyBorder="1" applyAlignment="1" applyProtection="0">
      <alignment horizontal="center" vertical="center" wrapText="1"/>
      <protection hidden="0" locked="1"/>
    </xf>
    <xf fontId="1" fillId="2" borderId="10" numFmtId="165" xfId="0" applyNumberFormat="1" applyFont="1" applyFill="1" applyBorder="1" applyAlignment="1" applyProtection="0">
      <alignment horizontal="center" vertical="center" wrapText="1"/>
      <protection hidden="0" locked="1"/>
    </xf>
    <xf fontId="2" fillId="2" borderId="9" numFmtId="0" xfId="0" applyFont="1" applyFill="1" applyBorder="1" applyAlignment="1" applyProtection="0">
      <alignment horizontal="center" vertical="center" wrapText="1"/>
      <protection hidden="0" locked="1"/>
    </xf>
    <xf fontId="5" fillId="2" borderId="9" numFmtId="0" xfId="0" applyFont="1" applyFill="1" applyBorder="1" applyAlignment="1" applyProtection="0">
      <alignment horizontal="left" vertical="center" wrapText="1"/>
      <protection hidden="0" locked="1"/>
    </xf>
    <xf fontId="1" fillId="2" borderId="11" numFmtId="0" xfId="0" applyFont="1" applyFill="1" applyBorder="1" applyAlignment="1" applyProtection="0">
      <alignment horizontal="center" vertical="center" wrapText="1"/>
      <protection hidden="0" locked="1"/>
    </xf>
    <xf fontId="1" fillId="2" borderId="10" numFmtId="0" xfId="0" applyFont="1" applyFill="1" applyBorder="1" applyAlignment="1" applyProtection="0">
      <alignment horizontal="center" vertical="center" wrapText="1"/>
      <protection hidden="0" locked="1"/>
    </xf>
    <xf fontId="1" fillId="2" borderId="9" numFmtId="0" xfId="0" applyFont="1" applyFill="1" applyBorder="1" applyAlignment="1" applyProtection="0">
      <alignment horizontal="center" vertical="center" wrapText="1"/>
      <protection hidden="0" locked="1"/>
    </xf>
    <xf fontId="1" fillId="2" borderId="9" numFmtId="1" xfId="0" applyNumberFormat="1" applyFont="1" applyFill="1" applyBorder="1" applyAlignment="1" applyProtection="0">
      <alignment horizontal="center" vertical="center" wrapText="1"/>
      <protection hidden="0" locked="1"/>
    </xf>
    <xf fontId="2" fillId="2" borderId="11" numFmtId="165" xfId="0" applyNumberFormat="1" applyFont="1" applyFill="1" applyBorder="1" applyAlignment="1" applyProtection="0">
      <alignment horizontal="center" vertical="center" wrapText="1"/>
      <protection hidden="0" locked="1"/>
    </xf>
    <xf fontId="1" fillId="2" borderId="10" numFmtId="1" xfId="0" applyNumberFormat="1" applyFont="1" applyFill="1" applyBorder="1" applyAlignment="1" applyProtection="0">
      <alignment horizontal="center" vertical="center" wrapText="1"/>
      <protection hidden="0" locked="1"/>
    </xf>
    <xf fontId="1" fillId="2" borderId="9" numFmtId="165" xfId="0" applyNumberFormat="1" applyFont="1" applyFill="1" applyBorder="1" applyAlignment="1" applyProtection="0">
      <alignment horizontal="center" vertical="center" wrapText="1"/>
      <protection hidden="0" locked="1"/>
    </xf>
    <xf fontId="1" fillId="2" borderId="9" numFmtId="167" xfId="0" applyNumberFormat="1" applyFont="1" applyFill="1" applyBorder="1" applyAlignment="1" applyProtection="0">
      <alignment horizontal="left" vertical="center" wrapText="1"/>
      <protection hidden="0" locked="1"/>
    </xf>
    <xf fontId="2" fillId="0" borderId="9" numFmtId="0" xfId="0" applyFont="1" applyBorder="1" applyAlignment="1" applyProtection="0">
      <alignment horizontal="center" vertical="center"/>
      <protection hidden="0" locked="1"/>
    </xf>
    <xf fontId="1" fillId="2" borderId="9" numFmtId="166" xfId="0" applyNumberFormat="1" applyFont="1" applyFill="1" applyBorder="1" applyAlignment="1" applyProtection="0">
      <alignment horizontal="center" vertical="center" wrapText="1"/>
      <protection hidden="0" locked="1"/>
    </xf>
    <xf fontId="4" fillId="2" borderId="11" numFmtId="166" xfId="0" applyNumberFormat="1" applyFont="1" applyFill="1" applyBorder="1" applyAlignment="1" applyProtection="0">
      <alignment horizontal="center" vertical="center" wrapText="1"/>
      <protection hidden="0" locked="1"/>
    </xf>
    <xf fontId="1" fillId="2" borderId="11" numFmtId="165" xfId="0" applyNumberFormat="1" applyFont="1" applyFill="1" applyBorder="1" applyAlignment="1" applyProtection="0">
      <alignment horizontal="center" vertical="center" wrapText="1"/>
      <protection hidden="0" locked="1"/>
    </xf>
    <xf fontId="1" fillId="2" borderId="10" numFmtId="168" xfId="0" applyNumberFormat="1" applyFont="1" applyFill="1" applyBorder="1" applyAlignment="1" applyProtection="0">
      <alignment horizontal="center" vertical="center" wrapText="1"/>
      <protection hidden="0" locked="1"/>
    </xf>
    <xf fontId="1" fillId="2" borderId="9" numFmtId="168" xfId="0" applyNumberFormat="1" applyFont="1" applyFill="1" applyBorder="1" applyAlignment="1" applyProtection="0">
      <alignment horizontal="center" vertical="center" wrapText="1"/>
      <protection hidden="0" locked="1"/>
    </xf>
    <xf fontId="1" fillId="2" borderId="11" numFmtId="0" xfId="0" applyFont="1" applyFill="1" applyBorder="1" applyAlignment="1" applyProtection="0">
      <alignment horizontal="left" vertical="center" wrapText="1"/>
      <protection hidden="0" locked="1"/>
    </xf>
    <xf fontId="1" fillId="2" borderId="12" numFmtId="0" xfId="0" applyFont="1" applyFill="1" applyBorder="1" applyAlignment="1" applyProtection="0">
      <alignment horizontal="left" vertical="center" wrapText="1"/>
      <protection hidden="0" locked="1"/>
    </xf>
    <xf fontId="1" fillId="2" borderId="2" numFmtId="165" xfId="0" applyNumberFormat="1" applyFont="1" applyFill="1" applyBorder="1" applyAlignment="1" applyProtection="0">
      <alignment horizontal="center" vertical="center" wrapText="1"/>
      <protection hidden="0" locked="1"/>
    </xf>
    <xf fontId="2" fillId="2" borderId="3" numFmtId="165" xfId="0" applyNumberFormat="1" applyFont="1" applyFill="1" applyBorder="1" applyAlignment="1" applyProtection="0">
      <alignment horizontal="center" vertical="center" wrapText="1"/>
      <protection hidden="0" locked="1"/>
    </xf>
    <xf fontId="1" fillId="2" borderId="1" numFmtId="167" xfId="0" applyNumberFormat="1" applyFont="1" applyFill="1" applyBorder="1" applyAlignment="1" applyProtection="0">
      <alignment horizontal="left" vertical="center" wrapText="1"/>
      <protection hidden="0" locked="1"/>
    </xf>
    <xf fontId="2" fillId="0" borderId="1" numFmtId="0" xfId="0" applyFont="1" applyBorder="1" applyAlignment="1" applyProtection="0">
      <alignment horizontal="center" vertical="center"/>
      <protection hidden="0" locked="1"/>
    </xf>
    <xf fontId="1" fillId="2" borderId="1" numFmtId="166" xfId="0" applyNumberFormat="1" applyFont="1" applyFill="1" applyBorder="1" applyAlignment="1" applyProtection="0">
      <alignment horizontal="center" vertical="center" wrapText="1"/>
      <protection hidden="0" locked="1"/>
    </xf>
    <xf fontId="1" fillId="2" borderId="2" numFmtId="0" xfId="0" applyFont="1" applyFill="1" applyBorder="1" applyAlignment="1" applyProtection="0">
      <alignment wrapText="1"/>
      <protection hidden="0" locked="1"/>
    </xf>
    <xf fontId="1" fillId="2" borderId="3" numFmtId="165" xfId="0" applyNumberFormat="1" applyFont="1" applyFill="1" applyBorder="1" applyAlignment="1" applyProtection="0">
      <alignment horizontal="center" vertical="center" wrapText="1"/>
      <protection hidden="0" locked="1"/>
    </xf>
    <xf fontId="1" fillId="2" borderId="2" numFmtId="168" xfId="0" applyNumberFormat="1" applyFont="1" applyFill="1" applyBorder="1" applyAlignment="1" applyProtection="0">
      <alignment horizontal="center" vertical="center" wrapText="1"/>
      <protection hidden="0" locked="1"/>
    </xf>
    <xf fontId="1" fillId="2" borderId="1" numFmtId="168" xfId="0" applyNumberFormat="1" applyFont="1" applyFill="1" applyBorder="1" applyAlignment="1" applyProtection="0">
      <alignment horizontal="center" vertical="center" wrapText="1"/>
      <protection hidden="0" locked="1"/>
    </xf>
    <xf fontId="1" fillId="12" borderId="2" numFmtId="0" xfId="0" applyFont="1" applyFill="1" applyBorder="1" applyAlignment="1" applyProtection="0">
      <alignment horizontal="center" vertical="center" wrapText="1"/>
      <protection hidden="0" locked="1"/>
    </xf>
    <xf fontId="1" fillId="12" borderId="1" numFmtId="0" xfId="0" applyFont="1" applyFill="1" applyBorder="1" applyAlignment="1" applyProtection="0">
      <alignment horizontal="center" vertical="center" wrapText="1"/>
      <protection hidden="0" locked="1"/>
    </xf>
    <xf fontId="1" fillId="12" borderId="3" numFmtId="0" xfId="0" applyFont="1" applyFill="1" applyBorder="1" applyAlignment="1" applyProtection="0">
      <alignment horizontal="center" vertical="center" wrapText="1"/>
      <protection hidden="0" locked="1"/>
    </xf>
    <xf fontId="2" fillId="12" borderId="1" numFmtId="0" xfId="0" applyFont="1" applyFill="1" applyBorder="1" applyAlignment="1" applyProtection="0">
      <alignment horizontal="center" vertical="center" wrapText="1"/>
      <protection hidden="0" locked="1"/>
    </xf>
    <xf fontId="1" fillId="12" borderId="1" numFmtId="165" xfId="0" applyNumberFormat="1" applyFont="1" applyFill="1" applyBorder="1" applyAlignment="1" applyProtection="0">
      <alignment horizontal="center" vertical="center" wrapText="1"/>
      <protection hidden="0" locked="1"/>
    </xf>
    <xf fontId="1" fillId="12" borderId="3" numFmtId="165" xfId="0" applyNumberFormat="1" applyFont="1" applyFill="1" applyBorder="1" applyAlignment="1" applyProtection="0">
      <alignment horizontal="center" vertical="center" wrapText="1"/>
      <protection hidden="0" locked="1"/>
    </xf>
    <xf fontId="1" fillId="2" borderId="1" numFmtId="0" xfId="0" applyFont="1" applyFill="1" applyBorder="1" applyAlignment="1" applyProtection="0">
      <alignment horizontal="left" vertical="center" wrapText="1"/>
      <protection hidden="0" locked="1"/>
    </xf>
    <xf fontId="1" fillId="0" borderId="3" numFmtId="0" xfId="0" applyFont="1" applyBorder="1" applyAlignment="1" applyProtection="0">
      <alignment horizontal="center" vertical="center"/>
      <protection hidden="0" locked="1"/>
    </xf>
    <xf fontId="6" fillId="2" borderId="1" numFmtId="0" xfId="0" applyFont="1" applyFill="1" applyBorder="1" applyAlignment="1" applyProtection="0">
      <alignment horizontal="center" vertical="center" wrapText="1"/>
      <protection hidden="0" locked="1"/>
    </xf>
    <xf fontId="1" fillId="13" borderId="2" numFmtId="0" xfId="0" applyFont="1" applyFill="1" applyBorder="1" applyAlignment="1" applyProtection="0">
      <alignment horizontal="center" vertical="center" wrapText="1"/>
      <protection hidden="0" locked="1"/>
    </xf>
    <xf fontId="1" fillId="13" borderId="1" numFmtId="0" xfId="0" applyFont="1" applyFill="1" applyBorder="1" applyAlignment="1" applyProtection="0">
      <alignment horizontal="center" vertical="center" wrapText="1"/>
      <protection hidden="0" locked="1"/>
    </xf>
    <xf fontId="1" fillId="13" borderId="3" numFmtId="0" xfId="0" applyFont="1" applyFill="1" applyBorder="1" applyAlignment="1" applyProtection="0">
      <alignment horizontal="left" vertical="center" wrapText="1"/>
      <protection hidden="0" locked="1"/>
    </xf>
    <xf fontId="1" fillId="13" borderId="4" numFmtId="0" xfId="0" applyFont="1" applyFill="1" applyBorder="1" applyAlignment="1" applyProtection="0">
      <alignment horizontal="left" vertical="center" wrapText="1"/>
      <protection hidden="0" locked="1"/>
    </xf>
    <xf fontId="7" fillId="2" borderId="2" numFmtId="168" xfId="0" applyNumberFormat="1" applyFont="1" applyFill="1" applyBorder="1" applyAlignment="1" applyProtection="0">
      <alignment horizontal="center" vertical="center" wrapText="1"/>
      <protection hidden="0" locked="1"/>
    </xf>
    <xf fontId="7" fillId="2" borderId="1" numFmtId="165" xfId="0" applyNumberFormat="1" applyFont="1" applyFill="1" applyBorder="1" applyAlignment="1" applyProtection="0">
      <alignment horizontal="center" vertical="center" wrapText="1"/>
      <protection hidden="0" locked="1"/>
    </xf>
    <xf fontId="7" fillId="2" borderId="1" numFmtId="1" xfId="0" applyNumberFormat="1" applyFont="1" applyFill="1" applyBorder="1" applyAlignment="1" applyProtection="0">
      <alignment horizontal="center" vertical="center" wrapText="1"/>
      <protection hidden="0" locked="1"/>
    </xf>
    <xf fontId="2" fillId="0" borderId="1" numFmtId="0" xfId="0" applyFont="1" applyBorder="1" applyAlignment="1" applyProtection="0">
      <alignment horizontal="center" vertical="center" wrapText="1"/>
      <protection hidden="0" locked="1"/>
    </xf>
    <xf fontId="1" fillId="14" borderId="1" numFmtId="165" xfId="0" applyNumberFormat="1" applyFont="1" applyFill="1" applyBorder="1" applyAlignment="1" applyProtection="0">
      <alignment horizontal="center" vertical="center" wrapText="1"/>
      <protection hidden="0" locked="1"/>
    </xf>
    <xf fontId="2" fillId="14" borderId="1" numFmtId="0" xfId="0" applyFont="1" applyFill="1" applyBorder="1" applyAlignment="1" applyProtection="0">
      <alignment horizontal="center" vertical="center" wrapText="1"/>
      <protection hidden="0" locked="1"/>
    </xf>
    <xf fontId="5" fillId="14" borderId="1" numFmtId="0" xfId="0" applyFont="1" applyFill="1" applyBorder="1" applyAlignment="1" applyProtection="0">
      <alignment horizontal="left" vertical="center" wrapText="1"/>
      <protection hidden="0" locked="1"/>
    </xf>
    <xf fontId="1" fillId="15" borderId="2" numFmtId="0" xfId="0" applyFont="1" applyFill="1" applyBorder="1" applyAlignment="1" applyProtection="0">
      <alignment horizontal="center" vertical="center" wrapText="1"/>
      <protection hidden="0" locked="1"/>
    </xf>
    <xf fontId="7" fillId="2" borderId="3" numFmtId="0" xfId="0" applyFont="1" applyFill="1" applyBorder="1" applyAlignment="1" applyProtection="0">
      <alignment horizontal="left" vertical="center" wrapText="1"/>
      <protection hidden="0" locked="1"/>
    </xf>
    <xf fontId="8" fillId="2" borderId="2" numFmtId="0" xfId="0" applyFont="1" applyFill="1" applyBorder="1" applyAlignment="1" applyProtection="0">
      <alignment horizontal="center" vertical="center" wrapText="1"/>
      <protection hidden="0" locked="1"/>
    </xf>
    <xf fontId="1" fillId="14" borderId="3" numFmtId="0" xfId="0" applyFont="1" applyFill="1" applyBorder="1" applyAlignment="1" applyProtection="0">
      <alignment horizontal="left" vertical="center" wrapText="1"/>
      <protection hidden="0" locked="1"/>
    </xf>
    <xf fontId="1" fillId="2" borderId="3" numFmtId="165" xfId="0" applyNumberFormat="1" applyFont="1" applyFill="1" applyBorder="1" applyAlignment="1" applyProtection="0">
      <alignment horizontal="left" vertical="center" wrapText="1"/>
      <protection hidden="0" locked="1"/>
    </xf>
    <xf fontId="1" fillId="2" borderId="4" numFmtId="165" xfId="0" applyNumberFormat="1" applyFont="1" applyFill="1" applyBorder="1" applyAlignment="1" applyProtection="0">
      <alignment horizontal="left" vertical="center" wrapText="1"/>
      <protection hidden="0" locked="1"/>
    </xf>
    <xf fontId="2" fillId="2" borderId="3" numFmtId="0" xfId="0" applyFont="1" applyFill="1" applyBorder="1" applyAlignment="1" applyProtection="0">
      <alignment horizontal="center" vertical="center" wrapText="1"/>
      <protection hidden="0" locked="1"/>
    </xf>
    <xf fontId="1" fillId="0" borderId="2" numFmtId="0" xfId="0" applyFont="1" applyBorder="1" applyAlignment="1" applyProtection="0">
      <alignment horizontal="center" vertical="center"/>
      <protection hidden="0" locked="1"/>
    </xf>
    <xf fontId="9" fillId="2" borderId="1" numFmtId="0" xfId="0" applyFont="1" applyFill="1" applyBorder="1" applyAlignment="1" applyProtection="0">
      <alignment horizontal="left" vertical="center" wrapText="1"/>
      <protection hidden="0" locked="1"/>
    </xf>
    <xf fontId="2" fillId="16" borderId="3" numFmtId="165" xfId="0" applyNumberFormat="1" applyFont="1" applyFill="1" applyBorder="1" applyAlignment="1" applyProtection="0">
      <alignment horizontal="center" vertical="center" wrapText="1"/>
      <protection hidden="0" locked="1"/>
    </xf>
    <xf fontId="7" fillId="14" borderId="1" numFmtId="168" xfId="0" applyNumberFormat="1" applyFont="1" applyFill="1" applyBorder="1" applyAlignment="1" applyProtection="0">
      <alignment horizontal="center" vertical="center" wrapText="1"/>
      <protection hidden="0" locked="1"/>
    </xf>
    <xf fontId="1" fillId="17" borderId="2" numFmtId="0" xfId="0" applyFont="1" applyFill="1" applyBorder="1" applyAlignment="1" applyProtection="0">
      <alignment horizontal="center" vertical="center" wrapText="1"/>
      <protection hidden="0" locked="1"/>
    </xf>
    <xf fontId="1" fillId="0" borderId="2" numFmtId="0" xfId="0" applyFont="1" applyBorder="1" applyAlignment="1" applyProtection="0">
      <alignment horizontal="center" vertical="center" wrapText="1"/>
      <protection hidden="0" locked="1"/>
    </xf>
    <xf fontId="1" fillId="2" borderId="4" numFmtId="0" xfId="0" applyFont="1" applyFill="1" applyBorder="1" applyAlignment="1" applyProtection="0">
      <alignment horizontal="center" vertical="center" wrapText="1"/>
      <protection hidden="0" locked="1"/>
    </xf>
    <xf fontId="1" fillId="0" borderId="1" numFmtId="165" xfId="0" applyNumberFormat="1" applyFont="1" applyBorder="1" applyAlignment="1" applyProtection="0">
      <alignment horizontal="center" vertical="center" wrapText="1"/>
      <protection hidden="0" locked="1"/>
    </xf>
    <xf fontId="1" fillId="0" borderId="3" numFmtId="165" xfId="0" applyNumberFormat="1" applyFont="1" applyBorder="1" applyAlignment="1" applyProtection="0">
      <alignment horizontal="center" vertical="center" wrapText="1"/>
      <protection hidden="0" locked="1"/>
    </xf>
    <xf fontId="1" fillId="14" borderId="1" numFmtId="1" xfId="0" applyNumberFormat="1" applyFont="1" applyFill="1" applyBorder="1" applyAlignment="1" applyProtection="0">
      <alignment horizontal="center" vertical="center" wrapText="1"/>
      <protection hidden="0" locked="1"/>
    </xf>
    <xf fontId="1" fillId="0" borderId="3" numFmtId="0" xfId="0" applyFont="1" applyBorder="1" applyAlignment="1" applyProtection="0">
      <alignment horizontal="left" vertical="center" wrapText="1"/>
      <protection hidden="0" locked="1"/>
    </xf>
    <xf fontId="5" fillId="0" borderId="1" numFmtId="0" xfId="0" applyFont="1" applyBorder="1" applyAlignment="1" applyProtection="0">
      <alignment horizontal="left" vertical="center" wrapText="1"/>
      <protection hidden="0" locked="1"/>
    </xf>
    <xf fontId="10" fillId="2" borderId="3" numFmtId="0" xfId="0" applyFont="1" applyFill="1" applyBorder="1" applyAlignment="1" applyProtection="0">
      <alignment horizontal="center" vertical="center" wrapText="1"/>
      <protection hidden="0" locked="1"/>
    </xf>
    <xf fontId="4" fillId="0" borderId="1" numFmtId="0" xfId="0" applyFont="1" applyBorder="1" applyAlignment="1" applyProtection="0">
      <alignment horizontal="center" vertical="center" wrapText="1"/>
      <protection hidden="0" locked="1"/>
    </xf>
    <xf fontId="1" fillId="0" borderId="2" numFmtId="165" xfId="0" applyNumberFormat="1" applyFont="1" applyBorder="1" applyAlignment="1" applyProtection="0">
      <alignment horizontal="center" vertical="center" wrapText="1"/>
      <protection hidden="0" locked="1"/>
    </xf>
    <xf fontId="1" fillId="0" borderId="3" numFmtId="0" xfId="0" applyFont="1" applyBorder="1" applyAlignment="1" applyProtection="0">
      <alignment horizontal="center" vertical="center" wrapText="1"/>
      <protection hidden="0" locked="1"/>
    </xf>
    <xf fontId="1" fillId="0" borderId="1" numFmtId="0" xfId="0" applyFont="1" applyBorder="1" applyAlignment="1" applyProtection="0">
      <alignment horizontal="center" vertical="center" wrapText="1"/>
      <protection hidden="0" locked="1"/>
    </xf>
    <xf fontId="1" fillId="0" borderId="1" numFmtId="1" xfId="0" applyNumberFormat="1" applyFont="1" applyBorder="1" applyAlignment="1" applyProtection="0">
      <alignment horizontal="center" vertical="center" wrapText="1"/>
      <protection hidden="0" locked="1"/>
    </xf>
    <xf fontId="2" fillId="0" borderId="3" numFmtId="165" xfId="0" applyNumberFormat="1" applyFont="1" applyBorder="1" applyAlignment="1" applyProtection="0">
      <alignment horizontal="center" vertical="center" wrapText="1"/>
      <protection hidden="0" locked="1"/>
    </xf>
    <xf fontId="1" fillId="0" borderId="2" numFmtId="1" xfId="0" applyNumberFormat="1" applyFont="1" applyBorder="1" applyAlignment="1" applyProtection="0">
      <alignment horizontal="center" vertical="center" wrapText="1"/>
      <protection hidden="0" locked="1"/>
    </xf>
    <xf fontId="1" fillId="0" borderId="1" numFmtId="167" xfId="0" applyNumberFormat="1" applyFont="1" applyBorder="1" applyAlignment="1" applyProtection="0">
      <alignment horizontal="left" vertical="center" wrapText="1"/>
      <protection hidden="0" locked="1"/>
    </xf>
    <xf fontId="1" fillId="0" borderId="1" numFmtId="166" xfId="0" applyNumberFormat="1" applyFont="1" applyBorder="1" applyAlignment="1" applyProtection="0">
      <alignment horizontal="center" vertical="center" wrapText="1"/>
      <protection hidden="0" locked="1"/>
    </xf>
    <xf fontId="4" fillId="0" borderId="3" numFmtId="166" xfId="0" applyNumberFormat="1" applyFont="1" applyBorder="1" applyAlignment="1" applyProtection="0">
      <alignment horizontal="center" vertical="center" wrapText="1"/>
      <protection hidden="0" locked="1"/>
    </xf>
    <xf fontId="1" fillId="0" borderId="2" numFmtId="168" xfId="0" applyNumberFormat="1" applyFont="1" applyBorder="1" applyAlignment="1" applyProtection="0">
      <alignment horizontal="center" vertical="center" wrapText="1"/>
      <protection hidden="0" locked="1"/>
    </xf>
    <xf fontId="1" fillId="0" borderId="1" numFmtId="168" xfId="0" applyNumberFormat="1" applyFont="1" applyBorder="1" applyAlignment="1" applyProtection="0">
      <alignment horizontal="center" vertical="center" wrapText="1"/>
      <protection hidden="0" locked="1"/>
    </xf>
    <xf fontId="1" fillId="0" borderId="4" numFmtId="0" xfId="0" applyFont="1" applyBorder="1" applyAlignment="1" applyProtection="0">
      <alignment horizontal="left" vertical="center" wrapText="1"/>
      <protection hidden="0" locked="1"/>
    </xf>
    <xf fontId="11" fillId="18" borderId="1" numFmtId="0" xfId="0" applyFont="1" applyFill="1" applyBorder="1" applyAlignment="1" applyProtection="0">
      <alignment horizontal="center" vertical="center" wrapText="1"/>
      <protection hidden="0" locked="1"/>
    </xf>
    <xf fontId="10" fillId="2" borderId="2" numFmtId="165" xfId="0" applyNumberFormat="1" applyFont="1" applyFill="1" applyBorder="1" applyAlignment="1" applyProtection="0">
      <alignment horizontal="center" vertical="center" wrapText="1"/>
      <protection hidden="0" locked="1"/>
    </xf>
    <xf fontId="11" fillId="2" borderId="3" numFmtId="165" xfId="0" applyNumberFormat="1" applyFont="1" applyFill="1" applyBorder="1" applyAlignment="1" applyProtection="0">
      <alignment horizontal="center" vertical="center" wrapText="1"/>
      <protection hidden="0" locked="1"/>
    </xf>
    <xf fontId="10" fillId="2" borderId="2" numFmtId="1" xfId="0" applyNumberFormat="1" applyFont="1" applyFill="1" applyBorder="1" applyAlignment="1" applyProtection="0">
      <alignment horizontal="center" vertical="center" wrapText="1"/>
      <protection hidden="0" locked="1"/>
    </xf>
    <xf fontId="10" fillId="2" borderId="1" numFmtId="167" xfId="0" applyNumberFormat="1" applyFont="1" applyFill="1" applyBorder="1" applyAlignment="1" applyProtection="0">
      <alignment horizontal="left" vertical="center" wrapText="1"/>
      <protection hidden="0" locked="1"/>
    </xf>
    <xf fontId="10" fillId="2" borderId="1" numFmtId="165" xfId="0" applyNumberFormat="1" applyFont="1" applyFill="1" applyBorder="1" applyAlignment="1" applyProtection="0">
      <alignment horizontal="center" vertical="center" wrapText="1"/>
      <protection hidden="0" locked="1"/>
    </xf>
    <xf fontId="10" fillId="2" borderId="2" numFmtId="168" xfId="0" applyNumberFormat="1" applyFont="1" applyFill="1" applyBorder="1" applyAlignment="1" applyProtection="0">
      <alignment horizontal="center" vertical="center" wrapText="1"/>
      <protection hidden="0" locked="1"/>
    </xf>
    <xf fontId="10" fillId="2" borderId="1" numFmtId="168" xfId="0" applyNumberFormat="1" applyFont="1" applyFill="1" applyBorder="1" applyAlignment="1" applyProtection="0">
      <alignment horizontal="center" vertical="center" wrapText="1"/>
      <protection hidden="0" locked="1"/>
    </xf>
    <xf fontId="10" fillId="2" borderId="1" numFmtId="1" xfId="0" applyNumberFormat="1" applyFont="1" applyFill="1" applyBorder="1" applyAlignment="1" applyProtection="0">
      <alignment horizontal="center" vertical="center" wrapText="1"/>
      <protection hidden="0" locked="1"/>
    </xf>
    <xf fontId="10" fillId="2" borderId="3" numFmtId="0" xfId="0" applyFont="1" applyFill="1" applyBorder="1" applyAlignment="1" applyProtection="0">
      <alignment horizontal="left" vertical="center" wrapText="1"/>
      <protection hidden="0" locked="1"/>
    </xf>
    <xf fontId="10" fillId="2" borderId="1" numFmtId="0" xfId="0" applyFont="1" applyFill="1" applyBorder="1" applyAlignment="1" applyProtection="0">
      <alignment horizontal="center" vertical="center" wrapText="1"/>
      <protection hidden="0" locked="1"/>
    </xf>
    <xf fontId="10" fillId="2" borderId="2" numFmtId="0" xfId="0" applyFont="1" applyFill="1" applyBorder="1" applyAlignment="1" applyProtection="0">
      <alignment horizontal="center" vertical="center" wrapText="1"/>
      <protection hidden="0" locked="1"/>
    </xf>
    <xf fontId="10" fillId="2" borderId="4" numFmtId="0" xfId="0" applyFont="1" applyFill="1" applyBorder="1" applyAlignment="1" applyProtection="0">
      <alignment horizontal="left" vertical="center" wrapText="1"/>
      <protection hidden="0" locked="1"/>
    </xf>
    <xf fontId="12" fillId="2" borderId="1" numFmtId="0" xfId="0" applyFont="1" applyFill="1" applyBorder="1" applyAlignment="1" applyProtection="0">
      <alignment horizontal="left" vertical="center" wrapText="1"/>
      <protection hidden="0" locked="1"/>
    </xf>
    <xf fontId="11" fillId="2" borderId="3" numFmtId="0" xfId="0" applyFont="1" applyFill="1" applyBorder="1" applyAlignment="1" applyProtection="0">
      <alignment horizontal="center" vertical="center" wrapText="1"/>
      <protection hidden="0" locked="1"/>
    </xf>
    <xf fontId="1" fillId="2" borderId="2" numFmtId="0" xfId="0" applyFont="1" applyFill="1" applyBorder="1" applyAlignment="1" applyProtection="0">
      <alignment horizontal="left" vertical="center" wrapText="1"/>
      <protection hidden="0" locked="1"/>
    </xf>
    <xf fontId="13" fillId="2" borderId="1" numFmtId="0" xfId="0" applyFont="1" applyFill="1" applyBorder="1" applyAlignment="1" applyProtection="0">
      <alignment horizontal="center" vertical="center" wrapText="1"/>
      <protection hidden="0" locked="1"/>
    </xf>
    <xf fontId="2" fillId="18" borderId="1" numFmtId="0" xfId="0" applyFont="1" applyFill="1" applyBorder="1" applyAlignment="1" applyProtection="0">
      <alignment horizontal="center" vertical="center" wrapText="1"/>
      <protection hidden="0" locked="1"/>
    </xf>
    <xf fontId="5" fillId="18" borderId="1" numFmtId="0" xfId="0" applyFont="1" applyFill="1" applyBorder="1" applyAlignment="1" applyProtection="0">
      <alignment horizontal="left" vertical="center" wrapText="1"/>
      <protection hidden="0" locked="1"/>
    </xf>
    <xf fontId="1" fillId="18" borderId="3" numFmtId="0" xfId="0" applyFont="1" applyFill="1" applyBorder="1" applyAlignment="1" applyProtection="0">
      <alignment horizontal="center" vertical="center" wrapText="1"/>
      <protection hidden="0" locked="1"/>
    </xf>
    <xf fontId="1" fillId="18" borderId="2" numFmtId="0" xfId="0" applyFont="1" applyFill="1" applyBorder="1" applyAlignment="1" applyProtection="0">
      <alignment horizontal="center" vertical="center" wrapText="1"/>
      <protection hidden="0" locked="1"/>
    </xf>
    <xf fontId="1" fillId="18" borderId="1" numFmtId="0" xfId="0" applyFont="1" applyFill="1" applyBorder="1" applyAlignment="1" applyProtection="0">
      <alignment horizontal="center" vertical="center" wrapText="1"/>
      <protection hidden="0" locked="1"/>
    </xf>
    <xf fontId="1" fillId="18" borderId="1" numFmtId="166" xfId="0" applyNumberFormat="1" applyFont="1" applyFill="1" applyBorder="1" applyAlignment="1" applyProtection="0">
      <alignment horizontal="center" vertical="center" wrapText="1"/>
      <protection hidden="0" locked="1"/>
    </xf>
    <xf fontId="1" fillId="18" borderId="1" numFmtId="1" xfId="0" applyNumberFormat="1" applyFont="1" applyFill="1" applyBorder="1" applyAlignment="1" applyProtection="0">
      <alignment horizontal="center" vertical="center" wrapText="1"/>
      <protection hidden="0" locked="1"/>
    </xf>
    <xf fontId="1" fillId="18" borderId="3" numFmtId="0" xfId="0" applyFont="1" applyFill="1" applyBorder="1" applyAlignment="1" applyProtection="0">
      <alignment horizontal="left" vertical="center" wrapText="1"/>
      <protection hidden="0" locked="1"/>
    </xf>
    <xf fontId="1" fillId="18" borderId="4" numFmtId="0" xfId="0" applyFont="1" applyFill="1" applyBorder="1" applyAlignment="1" applyProtection="0">
      <alignment horizontal="left" vertical="center" wrapText="1"/>
      <protection hidden="0" locked="1"/>
    </xf>
    <xf fontId="7" fillId="2" borderId="4" numFmtId="0" xfId="0" applyFont="1" applyFill="1" applyBorder="1" applyAlignment="1" applyProtection="0">
      <alignment horizontal="left" vertical="center" wrapText="1"/>
      <protection hidden="0" locked="1"/>
    </xf>
    <xf fontId="1" fillId="2" borderId="2" numFmtId="0" xfId="0" applyFont="1" applyFill="1" applyBorder="1" applyAlignment="1" applyProtection="0">
      <alignment vertical="center" wrapText="1"/>
      <protection hidden="0" locked="1"/>
    </xf>
    <xf fontId="12" fillId="14" borderId="1" numFmtId="0" xfId="0" applyFont="1" applyFill="1" applyBorder="1" applyAlignment="1" applyProtection="0">
      <alignment horizontal="left" vertical="center" wrapText="1"/>
      <protection hidden="0" locked="1"/>
    </xf>
    <xf fontId="10" fillId="2" borderId="1" numFmtId="166" xfId="0" applyNumberFormat="1" applyFont="1" applyFill="1" applyBorder="1" applyAlignment="1" applyProtection="0">
      <alignment horizontal="center" vertical="center" wrapText="1"/>
      <protection hidden="0" locked="1"/>
    </xf>
    <xf fontId="2" fillId="19" borderId="1" numFmtId="0" xfId="0" applyFont="1" applyFill="1" applyBorder="1" applyAlignment="1" applyProtection="0">
      <alignment horizontal="center" vertical="center" wrapText="1"/>
      <protection hidden="0" locked="1"/>
    </xf>
    <xf fontId="5" fillId="2" borderId="1" numFmtId="0" xfId="0" applyFont="1" applyFill="1" applyBorder="1" applyAlignment="1" applyProtection="0">
      <alignment horizontal="center" vertical="center" wrapText="1"/>
      <protection hidden="0" locked="1"/>
    </xf>
    <xf fontId="11" fillId="2" borderId="3" numFmtId="164" xfId="0" applyNumberFormat="1" applyFont="1" applyFill="1" applyBorder="1" applyAlignment="1" applyProtection="0">
      <alignment horizontal="center" vertical="center" wrapText="1"/>
      <protection hidden="0" locked="1"/>
    </xf>
    <xf fontId="10" fillId="2" borderId="2" numFmtId="164" xfId="0" applyNumberFormat="1" applyFont="1" applyFill="1" applyBorder="1" applyAlignment="1" applyProtection="0">
      <alignment horizontal="center" vertical="center" wrapText="1"/>
      <protection hidden="0" locked="1"/>
    </xf>
    <xf fontId="10" fillId="2" borderId="1" numFmtId="164" xfId="0" applyNumberFormat="1" applyFont="1" applyFill="1" applyBorder="1" applyAlignment="1" applyProtection="0">
      <alignment horizontal="center" vertical="center" wrapText="1"/>
      <protection hidden="0" locked="1"/>
    </xf>
    <xf fontId="4" fillId="2" borderId="1" numFmtId="0" xfId="0" applyFont="1" applyFill="1" applyBorder="1" applyAlignment="1" applyProtection="0">
      <alignment horizontal="left" vertical="center" wrapText="1"/>
      <protection hidden="0" locked="1"/>
    </xf>
    <xf fontId="10" fillId="0" borderId="3" numFmtId="0" xfId="0" applyFont="1" applyBorder="1" applyAlignment="1" applyProtection="0">
      <alignment wrapText="1"/>
      <protection hidden="0" locked="1"/>
    </xf>
    <xf fontId="10" fillId="0" borderId="4" numFmtId="0" xfId="0" applyFont="1" applyBorder="1" applyAlignment="1" applyProtection="0">
      <alignment wrapText="1"/>
      <protection hidden="0" locked="1"/>
    </xf>
    <xf fontId="7" fillId="2" borderId="2" numFmtId="165" xfId="0" applyNumberFormat="1" applyFont="1" applyFill="1" applyBorder="1" applyAlignment="1" applyProtection="0">
      <alignment horizontal="center" vertical="center" wrapText="1"/>
      <protection hidden="0" locked="1"/>
    </xf>
    <xf fontId="14" fillId="2" borderId="3" numFmtId="0" xfId="0" applyFont="1" applyFill="1" applyBorder="1" applyAlignment="1" applyProtection="0">
      <alignment horizontal="center" vertical="center" wrapText="1"/>
      <protection hidden="0" locked="1"/>
    </xf>
    <xf fontId="7" fillId="2" borderId="1" numFmtId="168" xfId="0" applyNumberFormat="1" applyFont="1" applyFill="1" applyBorder="1" applyAlignment="1" applyProtection="0">
      <alignment horizontal="center" vertical="center" wrapText="1"/>
      <protection hidden="0" locked="1"/>
    </xf>
    <xf fontId="7" fillId="2" borderId="1" numFmtId="0" xfId="0" applyFont="1" applyFill="1" applyBorder="1" applyAlignment="1" applyProtection="0">
      <alignment horizontal="center" vertical="center" wrapText="1"/>
      <protection hidden="0" locked="1"/>
    </xf>
    <xf fontId="7" fillId="2" borderId="1" numFmtId="166" xfId="0" applyNumberFormat="1" applyFont="1" applyFill="1" applyBorder="1" applyAlignment="1" applyProtection="0">
      <alignment horizontal="center" vertical="center" wrapText="1"/>
      <protection hidden="0" locked="1"/>
    </xf>
    <xf fontId="7" fillId="2" borderId="3" numFmtId="0" xfId="0" applyFont="1" applyFill="1" applyBorder="1" applyAlignment="1" applyProtection="0">
      <alignment horizontal="center" vertical="center" wrapText="1"/>
      <protection hidden="0" locked="1"/>
    </xf>
    <xf fontId="7" fillId="2" borderId="2" numFmtId="0" xfId="0" applyFont="1" applyFill="1" applyBorder="1" applyAlignment="1" applyProtection="0">
      <alignment horizontal="center" vertical="center" wrapText="1"/>
      <protection hidden="0" locked="1"/>
    </xf>
    <xf fontId="2" fillId="2" borderId="3" numFmtId="168" xfId="0" applyNumberFormat="1" applyFont="1" applyFill="1" applyBorder="1" applyAlignment="1" applyProtection="0">
      <alignment horizontal="center" vertical="center" wrapText="1"/>
      <protection hidden="0" locked="1"/>
    </xf>
    <xf fontId="5" fillId="2" borderId="1" numFmtId="165" xfId="0" applyNumberFormat="1" applyFont="1" applyFill="1" applyBorder="1" applyAlignment="1" applyProtection="0">
      <alignment horizontal="left" vertical="center" wrapText="1"/>
      <protection hidden="0" locked="1"/>
    </xf>
    <xf fontId="2" fillId="2" borderId="1" numFmtId="0" xfId="0" applyFont="1" applyFill="1" applyBorder="1" applyAlignment="1" applyProtection="0">
      <alignment horizontal="center" vertical="center"/>
      <protection hidden="0" locked="1"/>
    </xf>
    <xf fontId="10" fillId="0" borderId="1" numFmtId="166" xfId="0" applyNumberFormat="1" applyFont="1" applyBorder="1" applyProtection="0">
      <protection hidden="0" locked="1"/>
    </xf>
    <xf fontId="1" fillId="12" borderId="2" numFmtId="0" xfId="0" applyFont="1" applyFill="1" applyBorder="1" applyAlignment="1" applyProtection="0">
      <alignment wrapText="1"/>
      <protection hidden="0" locked="1"/>
    </xf>
    <xf fontId="2" fillId="2" borderId="1" numFmtId="49" xfId="0" applyNumberFormat="1" applyFont="1" applyFill="1" applyBorder="1" applyAlignment="1" applyProtection="0">
      <alignment horizontal="center" vertical="center" wrapText="1"/>
      <protection hidden="0" locked="1"/>
    </xf>
    <xf fontId="5" fillId="2" borderId="1" numFmtId="1" xfId="0" applyNumberFormat="1" applyFont="1" applyFill="1" applyBorder="1" applyAlignment="1" applyProtection="0">
      <alignment horizontal="left" vertical="center" wrapText="1"/>
      <protection hidden="0" locked="1"/>
    </xf>
    <xf fontId="5" fillId="2" borderId="1" numFmtId="167" xfId="0" applyNumberFormat="1" applyFont="1" applyFill="1" applyBorder="1" applyAlignment="1" applyProtection="0">
      <alignment horizontal="left" vertical="center" wrapText="1"/>
      <protection hidden="0" locked="1"/>
    </xf>
    <xf fontId="2" fillId="14" borderId="3" numFmtId="164" xfId="0" applyNumberFormat="1" applyFont="1" applyFill="1" applyBorder="1" applyAlignment="1" applyProtection="0">
      <alignment horizontal="center" vertical="center" wrapText="1"/>
      <protection hidden="0" locked="1"/>
    </xf>
    <xf fontId="8" fillId="0" borderId="2" numFmtId="0" xfId="0" applyFont="1" applyBorder="1" applyAlignment="1" applyProtection="0">
      <alignment horizontal="center" vertical="center"/>
      <protection hidden="0" locked="1"/>
    </xf>
    <xf fontId="10" fillId="0" borderId="3" numFmtId="0" xfId="0" applyFont="1" applyBorder="1" applyAlignment="1" applyProtection="0">
      <alignment horizontal="center" vertical="center" wrapText="1"/>
      <protection hidden="0" locked="1"/>
    </xf>
    <xf fontId="1" fillId="14" borderId="3" numFmtId="0" xfId="0" applyFont="1" applyFill="1" applyBorder="1" applyAlignment="1" applyProtection="0">
      <alignment horizontal="center" vertical="center" wrapText="1"/>
      <protection hidden="0" locked="1"/>
    </xf>
    <xf fontId="1" fillId="14" borderId="2" numFmtId="0" xfId="0" applyFont="1" applyFill="1" applyBorder="1" applyAlignment="1" applyProtection="0">
      <alignment horizontal="center" vertical="center" wrapText="1"/>
      <protection hidden="0" locked="1"/>
    </xf>
    <xf fontId="1" fillId="2" borderId="3" numFmtId="3" xfId="0" applyNumberFormat="1" applyFont="1" applyFill="1" applyBorder="1" applyAlignment="1" applyProtection="0">
      <alignment horizontal="center" vertical="center" wrapText="1"/>
      <protection hidden="0" locked="1"/>
    </xf>
    <xf fontId="15" fillId="0" borderId="3" numFmtId="0" xfId="0" applyFont="1" applyBorder="1" applyAlignment="1" applyProtection="0">
      <alignment horizontal="center" vertical="center"/>
      <protection hidden="0" locked="1"/>
    </xf>
    <xf fontId="2" fillId="2" borderId="1" numFmtId="164" xfId="0" applyNumberFormat="1" applyFont="1" applyFill="1" applyBorder="1" applyAlignment="1" applyProtection="0">
      <alignment horizontal="center" vertical="center" wrapText="1"/>
      <protection hidden="0" locked="1"/>
    </xf>
    <xf fontId="1" fillId="14" borderId="1" numFmtId="166" xfId="0" applyNumberFormat="1" applyFont="1" applyFill="1" applyBorder="1" applyAlignment="1" applyProtection="0">
      <alignment horizontal="center" vertical="center" wrapText="1"/>
      <protection hidden="0" locked="1"/>
    </xf>
    <xf fontId="8" fillId="2" borderId="2" numFmtId="0" xfId="0" applyFont="1" applyFill="1" applyBorder="1" applyAlignment="1" applyProtection="0">
      <alignment wrapText="1"/>
      <protection hidden="0" locked="1"/>
    </xf>
    <xf fontId="11" fillId="2" borderId="1" numFmtId="0" xfId="0" applyFont="1" applyFill="1" applyBorder="1" applyAlignment="1" applyProtection="0">
      <alignment horizontal="center" vertical="center" wrapText="1"/>
      <protection hidden="0" locked="1"/>
    </xf>
    <xf fontId="2" fillId="2" borderId="1" numFmtId="49" xfId="12" applyNumberFormat="1" applyFont="1" applyFill="1" applyBorder="1" applyAlignment="1" applyProtection="1">
      <alignment horizontal="center" vertical="center" wrapText="1"/>
      <protection hidden="0" locked="1"/>
    </xf>
    <xf fontId="6" fillId="2" borderId="3" numFmtId="166" xfId="0" applyNumberFormat="1" applyFont="1" applyFill="1" applyBorder="1" applyAlignment="1" applyProtection="0">
      <alignment horizontal="center" vertical="center" wrapText="1"/>
      <protection hidden="0" locked="1"/>
    </xf>
    <xf fontId="1" fillId="14" borderId="4" numFmtId="0" xfId="0" applyFont="1" applyFill="1" applyBorder="1" applyAlignment="1" applyProtection="0">
      <alignment horizontal="left" vertical="center" wrapText="1"/>
      <protection hidden="0" locked="1"/>
    </xf>
    <xf fontId="1" fillId="2" borderId="3" numFmtId="165" xfId="0" applyNumberFormat="1" applyFont="1" applyFill="1" applyBorder="1" applyAlignment="1" applyProtection="0">
      <alignment horizontal="center" vertical="center"/>
      <protection hidden="0" locked="1"/>
    </xf>
    <xf fontId="10" fillId="14" borderId="3" numFmtId="0" xfId="0" applyFont="1" applyFill="1" applyBorder="1" applyAlignment="1" applyProtection="0">
      <alignment horizontal="center" vertical="center" wrapText="1"/>
      <protection hidden="0" locked="1"/>
    </xf>
    <xf fontId="1" fillId="14" borderId="2" numFmtId="0" xfId="0" applyFont="1" applyFill="1" applyBorder="1" applyAlignment="1" applyProtection="0">
      <alignment wrapText="1"/>
      <protection hidden="0" locked="1"/>
    </xf>
    <xf fontId="1" fillId="2" borderId="1" numFmtId="165" xfId="0" applyNumberFormat="1" applyFont="1" applyFill="1" applyBorder="1" applyAlignment="1" applyProtection="0">
      <alignment horizontal="left" vertical="center" wrapText="1"/>
      <protection hidden="0" locked="1"/>
    </xf>
    <xf fontId="0" fillId="0" borderId="3" numFmtId="0" xfId="0" applyBorder="1" applyAlignment="1" applyProtection="0">
      <alignment vertical="center" wrapText="1"/>
      <protection hidden="0" locked="1"/>
    </xf>
    <xf fontId="1" fillId="0" borderId="2" numFmtId="0" xfId="0" applyFont="1" applyBorder="1" applyAlignment="1" applyProtection="0">
      <alignment vertical="center" wrapText="1"/>
      <protection hidden="0" locked="1"/>
    </xf>
    <xf fontId="5" fillId="2" borderId="1" numFmtId="3" xfId="0" applyNumberFormat="1" applyFont="1" applyFill="1" applyBorder="1" applyAlignment="1" applyProtection="0">
      <alignment horizontal="left" vertical="center" wrapText="1"/>
      <protection hidden="0" locked="1"/>
    </xf>
    <xf fontId="12" fillId="0" borderId="1" numFmtId="0" xfId="0" applyFont="1" applyBorder="1" applyAlignment="1" applyProtection="0">
      <alignment vertical="center" wrapText="1"/>
      <protection hidden="0" locked="1"/>
    </xf>
    <xf fontId="12" fillId="0" borderId="1" numFmtId="0" xfId="0" applyFont="1" applyBorder="1" applyAlignment="1" applyProtection="0">
      <alignment vertical="center"/>
      <protection hidden="0" locked="1"/>
    </xf>
    <xf fontId="1" fillId="2" borderId="3" numFmtId="49" xfId="12" applyNumberFormat="1" applyFont="1" applyFill="1" applyBorder="1" applyAlignment="1" applyProtection="1">
      <alignment horizontal="left" vertical="center" wrapText="1"/>
      <protection hidden="0" locked="1"/>
    </xf>
    <xf fontId="1" fillId="20" borderId="2" numFmtId="165" xfId="0" applyNumberFormat="1" applyFont="1" applyFill="1" applyBorder="1" applyAlignment="1" applyProtection="0">
      <alignment horizontal="center" vertical="center" wrapText="1"/>
      <protection hidden="0" locked="1"/>
    </xf>
    <xf fontId="10" fillId="2" borderId="1" numFmtId="49" xfId="0" applyNumberFormat="1" applyFont="1" applyFill="1" applyBorder="1" applyAlignment="1" applyProtection="0">
      <alignment horizontal="center" vertical="center" wrapText="1"/>
      <protection hidden="0" locked="1"/>
    </xf>
    <xf fontId="10" fillId="2" borderId="1" numFmtId="0" xfId="0" applyFont="1" applyFill="1" applyBorder="1" applyAlignment="1" applyProtection="0">
      <alignment horizontal="left" vertical="center" wrapText="1"/>
      <protection hidden="0" locked="1"/>
    </xf>
    <xf fontId="1" fillId="2" borderId="1" numFmtId="49" xfId="0" applyNumberFormat="1" applyFont="1" applyFill="1" applyBorder="1" applyAlignment="1" applyProtection="0">
      <alignment horizontal="center" vertical="center" wrapText="1"/>
      <protection hidden="0" locked="1"/>
    </xf>
    <xf fontId="1" fillId="14" borderId="1" numFmtId="168" xfId="0" applyNumberFormat="1" applyFont="1" applyFill="1" applyBorder="1" applyAlignment="1" applyProtection="0">
      <alignment horizontal="center" vertical="center" wrapText="1"/>
      <protection hidden="0" locked="1"/>
    </xf>
    <xf fontId="2" fillId="14" borderId="1" numFmtId="49" xfId="12" applyNumberFormat="1" applyFont="1" applyFill="1" applyBorder="1" applyAlignment="1" applyProtection="1">
      <alignment horizontal="center" vertical="center" wrapText="1"/>
      <protection hidden="0" locked="1"/>
    </xf>
    <xf fontId="1" fillId="14" borderId="3" numFmtId="165" xfId="0" applyNumberFormat="1" applyFont="1" applyFill="1" applyBorder="1" applyAlignment="1" applyProtection="0">
      <alignment horizontal="center" vertical="center" wrapText="1"/>
      <protection hidden="0" locked="1"/>
    </xf>
    <xf fontId="1" fillId="20" borderId="1" numFmtId="165" xfId="0" applyNumberFormat="1" applyFont="1" applyFill="1" applyBorder="1" applyAlignment="1" applyProtection="0">
      <alignment horizontal="center" vertical="center" wrapText="1"/>
      <protection hidden="0" locked="1"/>
    </xf>
    <xf fontId="1" fillId="12" borderId="2" numFmtId="168" xfId="0" applyNumberFormat="1" applyFont="1" applyFill="1" applyBorder="1" applyAlignment="1" applyProtection="0">
      <alignment horizontal="center" vertical="center" wrapText="1"/>
      <protection hidden="0" locked="1"/>
    </xf>
    <xf fontId="7" fillId="2" borderId="3" numFmtId="0" xfId="0" applyFont="1" applyFill="1" applyBorder="1" applyAlignment="1" applyProtection="0">
      <alignment horizontal="left" vertical="center"/>
      <protection hidden="0" locked="1"/>
    </xf>
    <xf fontId="10" fillId="2" borderId="3" numFmtId="0" xfId="0" applyFont="1" applyFill="1" applyBorder="1" applyAlignment="1" applyProtection="0">
      <alignment horizontal="left" vertical="center"/>
      <protection hidden="0" locked="1"/>
    </xf>
    <xf fontId="1" fillId="2" borderId="3" numFmtId="1" xfId="0" applyNumberFormat="1" applyFont="1" applyFill="1" applyBorder="1" applyAlignment="1" applyProtection="0">
      <alignment horizontal="center" vertical="center" wrapText="1"/>
      <protection hidden="0" locked="1"/>
    </xf>
    <xf fontId="10" fillId="2" borderId="3" numFmtId="0" xfId="0" applyFont="1" applyFill="1" applyBorder="1" applyAlignment="1" applyProtection="0">
      <alignment vertical="center"/>
      <protection hidden="0" locked="1"/>
    </xf>
    <xf fontId="1" fillId="2" borderId="1" numFmtId="0" xfId="0" applyFont="1" applyFill="1" applyBorder="1" applyAlignment="1" applyProtection="0">
      <alignment vertical="center" wrapText="1"/>
      <protection hidden="0" locked="1"/>
    </xf>
    <xf fontId="1" fillId="2" borderId="1" numFmtId="1" xfId="0" applyNumberFormat="1" applyFont="1" applyFill="1" applyBorder="1" applyAlignment="1" applyProtection="0">
      <alignment vertical="center" wrapText="1"/>
      <protection hidden="0" locked="1"/>
    </xf>
    <xf fontId="4" fillId="2" borderId="3" numFmtId="166" xfId="0" applyNumberFormat="1" applyFont="1" applyFill="1" applyBorder="1" applyAlignment="1" applyProtection="0">
      <alignment horizontal="left" vertical="center" wrapText="1"/>
      <protection hidden="0" locked="1"/>
    </xf>
    <xf fontId="1" fillId="14" borderId="1" numFmtId="0" xfId="0" applyFont="1" applyFill="1" applyBorder="1" applyAlignment="1" applyProtection="0">
      <alignment horizontal="center" vertical="center" wrapText="1"/>
      <protection hidden="0" locked="1"/>
    </xf>
    <xf fontId="14" fillId="2" borderId="3" numFmtId="165" xfId="0" applyNumberFormat="1" applyFont="1" applyFill="1" applyBorder="1" applyAlignment="1" applyProtection="0">
      <alignment horizontal="center" vertical="center" wrapText="1"/>
      <protection hidden="0" locked="1"/>
    </xf>
    <xf fontId="1" fillId="2" borderId="1" numFmtId="166" xfId="0" applyNumberFormat="1" applyFont="1" applyFill="1" applyBorder="1" applyAlignment="1" applyProtection="0">
      <alignment horizontal="left" vertical="center" wrapText="1"/>
      <protection hidden="0" locked="1"/>
    </xf>
    <xf fontId="14" fillId="2" borderId="3" numFmtId="164" xfId="0" applyNumberFormat="1" applyFont="1" applyFill="1" applyBorder="1" applyAlignment="1" applyProtection="0">
      <alignment horizontal="center" vertical="center" wrapText="1"/>
      <protection hidden="0" locked="1"/>
    </xf>
    <xf fontId="7" fillId="2" borderId="2" numFmtId="164" xfId="0" applyNumberFormat="1" applyFont="1" applyFill="1" applyBorder="1" applyAlignment="1" applyProtection="0">
      <alignment horizontal="center" vertical="center" wrapText="1"/>
      <protection hidden="0" locked="1"/>
    </xf>
    <xf fontId="7" fillId="2" borderId="1" numFmtId="164" xfId="0" applyNumberFormat="1" applyFont="1" applyFill="1" applyBorder="1" applyAlignment="1" applyProtection="0">
      <alignment horizontal="center" vertical="center" wrapText="1"/>
      <protection hidden="0" locked="1"/>
    </xf>
    <xf fontId="8" fillId="0" borderId="2" numFmtId="0" xfId="0" applyFont="1" applyBorder="1" applyAlignment="1" applyProtection="0">
      <alignment horizontal="center" vertical="center" wrapText="1"/>
      <protection hidden="0" locked="1"/>
    </xf>
    <xf fontId="16" fillId="2" borderId="3" numFmtId="166" xfId="0" applyNumberFormat="1" applyFont="1" applyFill="1" applyBorder="1" applyAlignment="1" applyProtection="0">
      <alignment horizontal="center" vertical="center" wrapText="1"/>
      <protection hidden="0" locked="1"/>
    </xf>
    <xf fontId="2" fillId="2" borderId="2" numFmtId="0" xfId="0" applyFont="1" applyFill="1" applyBorder="1" applyAlignment="1" applyProtection="0">
      <alignment horizontal="center" vertical="center" wrapText="1"/>
      <protection hidden="0" locked="1"/>
    </xf>
    <xf fontId="2" fillId="2" borderId="2" numFmtId="164" xfId="0" applyNumberFormat="1" applyFont="1" applyFill="1" applyBorder="1" applyAlignment="1" applyProtection="0">
      <alignment horizontal="center" vertical="center" wrapText="1"/>
      <protection hidden="0" locked="1"/>
    </xf>
    <xf fontId="2" fillId="2" borderId="1" numFmtId="1" xfId="0" applyNumberFormat="1" applyFont="1" applyFill="1" applyBorder="1" applyAlignment="1" applyProtection="0">
      <alignment horizontal="center" vertical="center" wrapText="1"/>
      <protection hidden="0" locked="1"/>
    </xf>
    <xf fontId="2" fillId="2" borderId="4" numFmtId="0" xfId="0" applyFont="1" applyFill="1" applyBorder="1" applyAlignment="1" applyProtection="0">
      <alignment horizontal="center" vertical="center" wrapText="1"/>
      <protection hidden="0" locked="1"/>
    </xf>
    <xf fontId="5" fillId="0" borderId="1" numFmtId="165" xfId="0" applyNumberFormat="1" applyFont="1" applyBorder="1" applyAlignment="1" applyProtection="0">
      <alignment horizontal="left" vertical="center" wrapText="1"/>
      <protection hidden="0" locked="1"/>
    </xf>
    <xf fontId="7" fillId="0" borderId="2" numFmtId="0" xfId="0" applyFont="1" applyBorder="1" applyAlignment="1" applyProtection="0">
      <alignment horizontal="center" vertical="center" wrapText="1"/>
      <protection hidden="0" locked="1"/>
    </xf>
    <xf fontId="1" fillId="14" borderId="2" numFmtId="165" xfId="0" applyNumberFormat="1" applyFont="1" applyFill="1" applyBorder="1" applyAlignment="1" applyProtection="0">
      <alignment horizontal="center" vertical="center" wrapText="1"/>
      <protection hidden="0" locked="1"/>
    </xf>
    <xf fontId="1" fillId="2" borderId="1" numFmtId="167" xfId="0" applyNumberFormat="1" applyFont="1" applyFill="1" applyBorder="1" applyAlignment="1" applyProtection="0">
      <alignment horizontal="center" vertical="center" wrapText="1"/>
      <protection hidden="0" locked="1"/>
    </xf>
    <xf fontId="1" fillId="2" borderId="3" numFmtId="0" xfId="0" applyFont="1" applyFill="1" applyBorder="1" applyAlignment="1" applyProtection="0">
      <alignment horizontal="center" vertical="center"/>
      <protection hidden="0" locked="1"/>
    </xf>
    <xf fontId="10" fillId="0" borderId="2" numFmtId="165" xfId="0" applyNumberFormat="1" applyFont="1" applyBorder="1" applyAlignment="1" applyProtection="0">
      <alignment horizontal="center" vertical="center"/>
      <protection hidden="0" locked="1"/>
    </xf>
    <xf fontId="1" fillId="0" borderId="1" numFmtId="0" xfId="0" applyFont="1" applyBorder="1" applyProtection="0">
      <protection hidden="0" locked="1"/>
    </xf>
    <xf fontId="1" fillId="0" borderId="3" numFmtId="165" xfId="0" applyNumberFormat="1" applyFont="1" applyBorder="1" applyAlignment="1" applyProtection="0">
      <alignment horizontal="center" vertical="center"/>
      <protection hidden="0" locked="1"/>
    </xf>
    <xf fontId="10" fillId="0" borderId="3" numFmtId="0" xfId="0" applyFont="1" applyBorder="1" applyAlignment="1" applyProtection="0">
      <alignment horizontal="center" vertical="center"/>
      <protection hidden="0" locked="1"/>
    </xf>
    <xf fontId="1" fillId="0" borderId="1" numFmtId="0" xfId="0" applyFont="1" applyBorder="1" applyAlignment="1" applyProtection="0">
      <alignment horizontal="justify" vertical="center"/>
      <protection hidden="0" locked="1"/>
    </xf>
    <xf fontId="1" fillId="0" borderId="1" numFmtId="165" xfId="0" applyNumberFormat="1" applyFont="1" applyBorder="1" applyAlignment="1" applyProtection="0">
      <alignment horizontal="justify" vertical="center"/>
      <protection hidden="0" locked="1"/>
    </xf>
    <xf fontId="1" fillId="2" borderId="2" numFmtId="165" xfId="0" applyNumberFormat="1" applyFont="1" applyFill="1" applyBorder="1" applyAlignment="1" applyProtection="0">
      <alignment horizontal="center" wrapText="1"/>
      <protection hidden="0" locked="1"/>
    </xf>
    <xf fontId="5" fillId="2" borderId="1" numFmtId="0" xfId="0" applyFont="1" applyFill="1" applyBorder="1" applyAlignment="1" applyProtection="0">
      <alignment wrapText="1"/>
      <protection hidden="0" locked="1"/>
    </xf>
    <xf fontId="1" fillId="2" borderId="1" numFmtId="0" xfId="0" applyFont="1" applyFill="1" applyBorder="1" applyAlignment="1" applyProtection="0">
      <alignment wrapText="1"/>
      <protection hidden="0" locked="1"/>
    </xf>
    <xf fontId="1" fillId="2" borderId="1" numFmtId="165" xfId="0" applyNumberFormat="1" applyFont="1" applyFill="1" applyBorder="1" applyAlignment="1" applyProtection="0">
      <alignment wrapText="1"/>
      <protection hidden="0" locked="1"/>
    </xf>
    <xf fontId="2" fillId="2" borderId="1" numFmtId="0" xfId="0" applyFont="1" applyFill="1" applyBorder="1" applyAlignment="1" applyProtection="0">
      <alignment wrapText="1"/>
      <protection hidden="0" locked="1"/>
    </xf>
    <xf fontId="1" fillId="2" borderId="3" numFmtId="0" xfId="0" applyFont="1" applyFill="1" applyBorder="1" applyAlignment="1" applyProtection="0">
      <alignment wrapText="1"/>
      <protection hidden="0" locked="1"/>
    </xf>
    <xf fontId="1" fillId="2" borderId="1" numFmtId="166" xfId="0" applyNumberFormat="1" applyFont="1" applyFill="1" applyBorder="1" applyAlignment="1" applyProtection="0">
      <alignment wrapText="1"/>
      <protection hidden="0" locked="1"/>
    </xf>
    <xf fontId="2" fillId="15" borderId="2" numFmtId="0" xfId="0" applyFont="1" applyFill="1" applyBorder="1" applyAlignment="1" applyProtection="0">
      <alignment horizontal="center" vertical="center" wrapText="1"/>
      <protection hidden="0" locked="1"/>
    </xf>
    <xf fontId="2" fillId="15" borderId="1" numFmtId="0" xfId="0" applyFont="1" applyFill="1" applyBorder="1" applyAlignment="1" applyProtection="0">
      <alignment horizontal="center" vertical="center" wrapText="1"/>
      <protection hidden="0" locked="1"/>
    </xf>
    <xf fontId="17" fillId="15" borderId="1" numFmtId="0" xfId="0" applyFont="1" applyFill="1" applyBorder="1" applyAlignment="1" applyProtection="0">
      <alignment horizontal="center" vertical="center" wrapText="1"/>
      <protection hidden="0" locked="1"/>
    </xf>
    <xf fontId="2" fillId="15" borderId="3" numFmtId="0" xfId="0" applyFont="1" applyFill="1" applyBorder="1" applyAlignment="1" applyProtection="0">
      <alignment horizontal="center" vertical="center" wrapText="1"/>
      <protection hidden="0" locked="1"/>
    </xf>
    <xf fontId="2" fillId="15" borderId="1" numFmtId="165" xfId="0" applyNumberFormat="1" applyFont="1" applyFill="1" applyBorder="1" applyAlignment="1" applyProtection="0">
      <alignment horizontal="center" vertical="center" wrapText="1"/>
      <protection hidden="0" locked="1"/>
    </xf>
    <xf fontId="2" fillId="15" borderId="1" numFmtId="166" xfId="0" applyNumberFormat="1" applyFont="1" applyFill="1" applyBorder="1" applyAlignment="1" applyProtection="0">
      <alignment horizontal="center" vertical="center" wrapText="1"/>
      <protection hidden="0" locked="1"/>
    </xf>
    <xf fontId="16" fillId="15" borderId="3" numFmtId="166" xfId="0" applyNumberFormat="1" applyFont="1" applyFill="1" applyBorder="1" applyAlignment="1" applyProtection="0">
      <alignment horizontal="center" vertical="center" wrapText="1"/>
      <protection hidden="0" locked="1"/>
    </xf>
    <xf fontId="2" fillId="15" borderId="1" numFmtId="1" xfId="0" applyNumberFormat="1" applyFont="1" applyFill="1" applyBorder="1" applyAlignment="1" applyProtection="0">
      <alignment horizontal="center" vertical="center" wrapText="1"/>
      <protection hidden="0" locked="1"/>
    </xf>
    <xf fontId="2" fillId="15" borderId="4" numFmtId="0" xfId="0" applyFont="1" applyFill="1" applyBorder="1" applyAlignment="1" applyProtection="0">
      <alignment horizontal="center" vertical="center" wrapText="1"/>
      <protection hidden="0" locked="1"/>
    </xf>
    <xf fontId="0" fillId="0" borderId="1" numFmtId="0" xfId="0" applyBorder="1" applyProtection="0">
      <protection hidden="0" locked="1"/>
    </xf>
    <xf fontId="2" fillId="21" borderId="2" numFmtId="0" xfId="0" applyFont="1" applyFill="1" applyBorder="1" applyAlignment="1" applyProtection="0">
      <alignment horizontal="center" vertical="center" wrapText="1"/>
      <protection hidden="0" locked="1"/>
    </xf>
    <xf fontId="1" fillId="2" borderId="3" numFmtId="164" xfId="0" applyNumberFormat="1" applyFont="1" applyFill="1" applyBorder="1" applyAlignment="1" applyProtection="0">
      <alignment horizontal="center" vertical="center" wrapText="1"/>
      <protection hidden="0" locked="1"/>
    </xf>
    <xf fontId="2" fillId="21" borderId="2" numFmtId="0" xfId="0" applyFont="1" applyFill="1" applyBorder="1" applyAlignment="1" applyProtection="0">
      <alignment horizontal="center" vertical="center"/>
      <protection hidden="0" locked="1"/>
    </xf>
    <xf fontId="2" fillId="21" borderId="1" numFmtId="0" xfId="0" applyFont="1" applyFill="1" applyBorder="1" applyAlignment="1" applyProtection="0">
      <alignment horizontal="center" vertical="center"/>
      <protection hidden="0" locked="1"/>
    </xf>
    <xf fontId="2" fillId="21" borderId="1" numFmtId="0" xfId="0" applyFont="1" applyFill="1" applyBorder="1" applyAlignment="1" applyProtection="0">
      <alignment horizontal="center" vertical="center" wrapText="1"/>
      <protection hidden="0" locked="1"/>
    </xf>
    <xf fontId="2" fillId="21" borderId="3" numFmtId="0" xfId="0" applyFont="1" applyFill="1" applyBorder="1" applyAlignment="1" applyProtection="0">
      <alignment horizontal="center" vertical="center" wrapText="1"/>
      <protection hidden="0" locked="1"/>
    </xf>
    <xf fontId="2" fillId="2" borderId="1" numFmtId="165" xfId="0" applyNumberFormat="1" applyFont="1" applyFill="1" applyBorder="1" applyAlignment="1" applyProtection="0">
      <alignment horizontal="center" vertical="center" wrapText="1"/>
      <protection hidden="0" locked="1"/>
    </xf>
    <xf fontId="1" fillId="2" borderId="1" numFmtId="164" xfId="0" applyNumberFormat="1" applyFont="1" applyFill="1" applyBorder="1" applyAlignment="1" applyProtection="0">
      <alignment horizontal="left" vertical="center" wrapText="1"/>
      <protection hidden="0" locked="1"/>
    </xf>
    <xf fontId="1" fillId="21" borderId="1" numFmtId="166" xfId="0" applyNumberFormat="1" applyFont="1" applyFill="1" applyBorder="1" applyAlignment="1" applyProtection="0">
      <alignment horizontal="center" vertical="center" wrapText="1"/>
      <protection hidden="0" locked="1"/>
    </xf>
    <xf fontId="4" fillId="21" borderId="3" numFmtId="166" xfId="0" applyNumberFormat="1" applyFont="1" applyFill="1" applyBorder="1" applyAlignment="1" applyProtection="0">
      <alignment horizontal="center" vertical="center" wrapText="1"/>
      <protection hidden="0" locked="1"/>
    </xf>
    <xf fontId="2" fillId="21" borderId="1" numFmtId="166" xfId="0" applyNumberFormat="1" applyFont="1" applyFill="1" applyBorder="1" applyAlignment="1" applyProtection="0">
      <alignment horizontal="center" vertical="center" wrapText="1"/>
      <protection hidden="0" locked="1"/>
    </xf>
    <xf fontId="1" fillId="0" borderId="3" numFmtId="0" xfId="0" applyFont="1" applyBorder="1" applyProtection="0">
      <protection hidden="0" locked="1"/>
    </xf>
    <xf fontId="1" fillId="0" borderId="4" numFmtId="0" xfId="0" applyFont="1" applyBorder="1" applyProtection="0">
      <protection hidden="0" locked="1"/>
    </xf>
    <xf fontId="2" fillId="2" borderId="1" numFmtId="166" xfId="0" applyNumberFormat="1" applyFont="1" applyFill="1" applyBorder="1" applyAlignment="1" applyProtection="0">
      <alignment horizontal="center" vertical="center"/>
      <protection hidden="0" locked="1"/>
    </xf>
    <xf fontId="1" fillId="2" borderId="1" numFmtId="0" xfId="0" applyFont="1" applyFill="1" applyBorder="1" applyAlignment="1" applyProtection="0">
      <alignment horizontal="center" vertical="center"/>
      <protection hidden="0" locked="1"/>
    </xf>
    <xf fontId="1" fillId="2" borderId="1" numFmtId="166" xfId="0" applyNumberFormat="1" applyFont="1" applyFill="1" applyBorder="1" applyAlignment="1" applyProtection="0">
      <alignment horizontal="center" vertical="center"/>
      <protection hidden="0" locked="1"/>
    </xf>
    <xf fontId="1" fillId="13" borderId="1" numFmtId="0" xfId="0" applyFont="1" applyFill="1" applyBorder="1" applyProtection="0">
      <protection hidden="0" locked="1"/>
    </xf>
    <xf fontId="1" fillId="13" borderId="3" numFmtId="0" xfId="0" applyFont="1" applyFill="1" applyBorder="1" applyProtection="0">
      <protection hidden="0" locked="1"/>
    </xf>
    <xf fontId="1" fillId="13" borderId="4" numFmtId="0" xfId="0" applyFont="1" applyFill="1" applyBorder="1" applyProtection="0">
      <protection hidden="0" locked="1"/>
    </xf>
    <xf fontId="1" fillId="0" borderId="2" numFmtId="0" xfId="0" applyFont="1" applyBorder="1" applyProtection="0">
      <protection hidden="0" locked="1"/>
    </xf>
    <xf fontId="1" fillId="2" borderId="1" numFmtId="165" xfId="0" applyNumberFormat="1" applyFont="1" applyFill="1" applyBorder="1" applyAlignment="1" applyProtection="0">
      <alignment horizontal="center" vertical="center"/>
      <protection hidden="0" locked="1"/>
    </xf>
    <xf fontId="11" fillId="15" borderId="1" numFmtId="0" xfId="0" applyFont="1" applyFill="1" applyBorder="1" applyAlignment="1" applyProtection="0">
      <alignment horizontal="left" vertical="center" wrapText="1"/>
      <protection hidden="0" locked="1"/>
    </xf>
    <xf fontId="17" fillId="2" borderId="1" numFmtId="164" xfId="0" applyNumberFormat="1" applyFont="1" applyFill="1" applyBorder="1" applyAlignment="1" applyProtection="0">
      <alignment horizontal="center" vertical="center" wrapText="1"/>
      <protection hidden="0" locked="1"/>
    </xf>
    <xf fontId="2" fillId="21" borderId="1" numFmtId="0" xfId="0" applyFont="1" applyFill="1" applyBorder="1" applyAlignment="1" applyProtection="0">
      <alignment horizontal="center"/>
      <protection hidden="0" locked="1"/>
    </xf>
    <xf fontId="2" fillId="21" borderId="1" numFmtId="166" xfId="0" applyNumberFormat="1" applyFont="1" applyFill="1" applyBorder="1" applyAlignment="1" applyProtection="0">
      <alignment horizontal="center"/>
      <protection hidden="0" locked="1"/>
    </xf>
    <xf fontId="5" fillId="2" borderId="1" numFmtId="164" xfId="0" applyNumberFormat="1" applyFont="1" applyFill="1" applyBorder="1" applyAlignment="1" applyProtection="0">
      <alignment horizontal="left" vertical="center" wrapText="1"/>
      <protection hidden="0" locked="1"/>
    </xf>
    <xf fontId="1" fillId="0" borderId="0" numFmtId="0" xfId="0" applyFont="1" applyProtection="0">
      <protection hidden="0" locked="1"/>
    </xf>
    <xf fontId="0" fillId="0" borderId="0" numFmtId="2" xfId="0" applyNumberFormat="1" applyProtection="0">
      <protection hidden="0" locked="1"/>
    </xf>
    <xf fontId="18" fillId="0" borderId="13" numFmtId="0" xfId="0" applyFont="1" applyBorder="1" applyProtection="0">
      <protection hidden="0" locked="1"/>
    </xf>
    <xf fontId="19" fillId="0" borderId="13" numFmtId="0" xfId="0" applyFont="1" applyBorder="1" applyProtection="0">
      <protection hidden="0" locked="1"/>
    </xf>
    <xf fontId="19" fillId="0" borderId="13" numFmtId="2" xfId="0" applyNumberFormat="1" applyFont="1" applyBorder="1" applyProtection="0">
      <protection hidden="0" locked="1"/>
    </xf>
    <xf fontId="0" fillId="0" borderId="0" numFmtId="1" xfId="0" applyNumberFormat="1" applyProtection="0">
      <protection hidden="0" locked="1"/>
    </xf>
    <xf fontId="7" fillId="0" borderId="0" numFmtId="0" xfId="0" applyFont="1" applyProtection="0">
      <protection hidden="0" locked="1"/>
    </xf>
    <xf fontId="10" fillId="0" borderId="14" numFmtId="0" xfId="0" applyFont="1" applyBorder="1" applyProtection="0">
      <protection hidden="0" locked="1"/>
    </xf>
    <xf fontId="10" fillId="0" borderId="14" numFmtId="2" xfId="0" applyNumberFormat="1" applyFont="1" applyBorder="1" applyProtection="0">
      <protection hidden="0" locked="1"/>
    </xf>
    <xf fontId="1" fillId="0" borderId="14" numFmtId="2" xfId="0" applyNumberFormat="1" applyFont="1" applyBorder="1" applyProtection="0">
      <protection hidden="0" locked="1"/>
    </xf>
    <xf fontId="10" fillId="0" borderId="15" numFmtId="2" xfId="0" applyNumberFormat="1" applyFont="1" applyBorder="1" applyProtection="0">
      <protection hidden="0" locked="1"/>
    </xf>
    <xf fontId="0" fillId="0" borderId="0" numFmtId="0" xfId="0" applyProtection="0">
      <protection hidden="0" locked="1"/>
    </xf>
    <xf fontId="1" fillId="0" borderId="0" numFmtId="2" xfId="0" applyNumberFormat="1" applyFont="1" applyProtection="0">
      <protection hidden="0" locked="1"/>
    </xf>
    <xf fontId="19" fillId="22" borderId="16" numFmtId="0" xfId="0" applyFont="1" applyFill="1" applyBorder="1" applyProtection="0">
      <protection hidden="0" locked="1"/>
    </xf>
    <xf fontId="19" fillId="22" borderId="17" numFmtId="0" xfId="0" applyFont="1" applyFill="1" applyBorder="1" applyProtection="0">
      <protection hidden="0" locked="1"/>
    </xf>
    <xf fontId="19" fillId="22" borderId="0" numFmtId="0" xfId="0" applyFont="1" applyFill="1" applyProtection="0">
      <protection hidden="0" locked="1"/>
    </xf>
    <xf fontId="0" fillId="0" borderId="18" numFmtId="0" xfId="0" applyBorder="1" applyProtection="0">
      <protection hidden="0" locked="1"/>
    </xf>
    <xf fontId="0" fillId="0" borderId="19" numFmtId="0" xfId="0" applyBorder="1" applyProtection="0">
      <protection hidden="0" locked="1"/>
    </xf>
    <xf fontId="0" fillId="0" borderId="20" numFmtId="0" xfId="0" applyBorder="1" applyProtection="0">
      <protection hidden="0" locked="1"/>
    </xf>
    <xf fontId="0" fillId="0" borderId="21" numFmtId="0" xfId="0" applyBorder="1" applyProtection="0">
      <protection hidden="0" locked="1"/>
    </xf>
    <xf fontId="0" fillId="0" borderId="22" numFmtId="0" xfId="0" applyBorder="1" applyProtection="0">
      <protection hidden="0" locked="1"/>
    </xf>
    <xf fontId="0" fillId="0" borderId="23" numFmtId="0" xfId="0" applyBorder="1" applyProtection="0">
      <protection hidden="0" locked="1"/>
    </xf>
    <xf fontId="0" fillId="0" borderId="24" numFmtId="0" xfId="0" applyBorder="1" applyProtection="0">
      <protection hidden="0" locked="1"/>
    </xf>
    <xf fontId="0" fillId="0" borderId="25" numFmtId="0" xfId="0" applyBorder="1" applyProtection="0">
      <protection hidden="0" locked="1"/>
    </xf>
    <xf fontId="0" fillId="0" borderId="26" numFmtId="0" xfId="0" applyBorder="1" applyProtection="0">
      <protection hidden="0" locked="1"/>
    </xf>
    <xf fontId="0" fillId="0" borderId="27" numFmtId="0" xfId="8" applyBorder="1" applyProtection="0">
      <protection hidden="0" locked="1"/>
    </xf>
    <xf fontId="0" fillId="0" borderId="28" numFmtId="0" xfId="6" applyBorder="1" applyProtection="0">
      <protection hidden="0" locked="1"/>
    </xf>
    <xf fontId="0" fillId="0" borderId="29" numFmtId="0" xfId="9" applyBorder="1" applyAlignment="1" applyProtection="0">
      <alignment horizontal="left"/>
      <protection hidden="0" locked="1"/>
    </xf>
    <xf fontId="0" fillId="0" borderId="30" numFmtId="0" xfId="7" applyBorder="1" applyProtection="0">
      <protection hidden="0" locked="1"/>
    </xf>
    <xf fontId="0" fillId="0" borderId="31" numFmtId="0" xfId="9" applyBorder="1" applyAlignment="1" applyProtection="0">
      <alignment horizontal="left"/>
      <protection hidden="0" locked="1"/>
    </xf>
    <xf fontId="0" fillId="0" borderId="32" numFmtId="0" xfId="7" applyBorder="1" applyProtection="0">
      <protection hidden="0" locked="1"/>
    </xf>
    <xf fontId="0" fillId="0" borderId="33" numFmtId="0" xfId="0" applyBorder="1" applyProtection="0">
      <protection hidden="0" locked="1"/>
    </xf>
    <xf fontId="0" fillId="0" borderId="34" numFmtId="0" xfId="0" applyBorder="1" applyProtection="0">
      <protection hidden="0" locked="1"/>
    </xf>
    <xf fontId="0" fillId="0" borderId="35" numFmtId="0" xfId="0" applyBorder="1" applyProtection="0">
      <protection hidden="0" locked="1"/>
    </xf>
    <xf fontId="0" fillId="0" borderId="0" numFmtId="169" xfId="5" applyNumberFormat="1" applyProtection="1">
      <protection hidden="0" locked="1"/>
    </xf>
    <xf fontId="0" fillId="0" borderId="32" numFmtId="169" xfId="7" applyNumberFormat="1" applyBorder="1" applyProtection="0">
      <protection hidden="0" locked="1"/>
    </xf>
    <xf fontId="1" fillId="0" borderId="0" numFmtId="169" xfId="5" applyNumberFormat="1" applyFont="1" applyProtection="1">
      <protection hidden="0" locked="1"/>
    </xf>
    <xf fontId="0" fillId="0" borderId="36" numFmtId="0" xfId="7" applyBorder="1" applyProtection="0">
      <protection hidden="0" locked="1"/>
    </xf>
    <xf fontId="2" fillId="0" borderId="37" numFmtId="0" xfId="10" applyFont="1" applyBorder="1" applyAlignment="1" applyProtection="0">
      <alignment horizontal="left"/>
      <protection hidden="0" locked="1"/>
    </xf>
    <xf fontId="2" fillId="0" borderId="38" numFmtId="0" xfId="11" applyFont="1" applyBorder="1" applyProtection="0">
      <protection hidden="0" locked="1"/>
    </xf>
    <xf fontId="0" fillId="0" borderId="39" numFmtId="0" xfId="0" applyBorder="1" applyProtection="0">
      <protection hidden="0" locked="1"/>
    </xf>
    <xf fontId="0" fillId="0" borderId="40" numFmtId="0" xfId="0" applyBorder="1" applyProtection="0">
      <protection hidden="0" locked="1"/>
    </xf>
    <xf fontId="19" fillId="23" borderId="13" numFmtId="0" xfId="0" applyFont="1" applyFill="1" applyBorder="1" applyAlignment="1" applyProtection="0">
      <alignment horizontal="center"/>
      <protection hidden="0" locked="1"/>
    </xf>
    <xf fontId="2" fillId="0" borderId="0" numFmtId="0" xfId="0" applyFont="1" applyAlignment="1" applyProtection="0">
      <alignment horizontal="center"/>
      <protection hidden="0" locked="1"/>
    </xf>
    <xf fontId="2" fillId="0" borderId="41" numFmtId="0" xfId="0" applyFont="1" applyBorder="1" applyAlignment="1" applyProtection="0">
      <alignment horizontal="center"/>
      <protection hidden="0" locked="1"/>
    </xf>
    <xf fontId="2" fillId="0" borderId="18" numFmtId="0" xfId="0" applyFont="1" applyBorder="1" applyAlignment="1" applyProtection="0">
      <alignment horizontal="center"/>
      <protection hidden="0" locked="1"/>
    </xf>
    <xf fontId="2" fillId="0" borderId="42" numFmtId="0" xfId="0" applyFont="1" applyBorder="1" applyAlignment="1" applyProtection="0">
      <alignment horizontal="center"/>
      <protection hidden="0" locked="1"/>
    </xf>
    <xf fontId="2" fillId="15" borderId="43" numFmtId="0" xfId="0" applyFont="1" applyFill="1" applyBorder="1" applyAlignment="1" applyProtection="0">
      <alignment horizontal="center"/>
      <protection hidden="0" locked="1"/>
    </xf>
    <xf fontId="0" fillId="0" borderId="41" numFmtId="0" xfId="0" applyBorder="1" applyProtection="0">
      <protection hidden="0" locked="1"/>
    </xf>
    <xf fontId="0" fillId="0" borderId="41" numFmtId="0" xfId="0" applyBorder="1" applyAlignment="1" applyProtection="0">
      <alignment horizontal="center"/>
      <protection hidden="0" locked="1"/>
    </xf>
    <xf fontId="0" fillId="0" borderId="14" numFmtId="0" xfId="0" applyBorder="1" applyAlignment="1" applyProtection="0">
      <alignment horizontal="center"/>
      <protection hidden="0" locked="1"/>
    </xf>
    <xf fontId="0" fillId="0" borderId="44" numFmtId="0" xfId="0" applyBorder="1" applyAlignment="1" applyProtection="0">
      <alignment horizontal="center"/>
      <protection hidden="0" locked="1"/>
    </xf>
    <xf fontId="0" fillId="0" borderId="45" numFmtId="0" xfId="0" applyBorder="1" applyProtection="0">
      <protection hidden="0" locked="1"/>
    </xf>
    <xf fontId="0" fillId="0" borderId="45" numFmtId="0" xfId="0" applyBorder="1" applyAlignment="1" applyProtection="0">
      <alignment horizontal="center"/>
      <protection hidden="0" locked="1"/>
    </xf>
    <xf fontId="0" fillId="0" borderId="0" numFmtId="0" xfId="0" applyAlignment="1" applyProtection="0">
      <alignment horizontal="center"/>
      <protection hidden="0" locked="1"/>
    </xf>
    <xf fontId="0" fillId="0" borderId="46" numFmtId="0" xfId="0" applyBorder="1" applyAlignment="1" applyProtection="0">
      <alignment horizontal="center"/>
      <protection hidden="0" locked="1"/>
    </xf>
    <xf fontId="2" fillId="15" borderId="47" numFmtId="0" xfId="0" applyFont="1" applyFill="1" applyBorder="1" applyProtection="0">
      <protection hidden="0" locked="1"/>
    </xf>
    <xf fontId="2" fillId="15" borderId="48" numFmtId="0" xfId="0" applyFont="1" applyFill="1" applyBorder="1" applyAlignment="1" applyProtection="0">
      <alignment horizontal="center"/>
      <protection hidden="0" locked="1"/>
    </xf>
    <xf fontId="2" fillId="15" borderId="49" numFmtId="0" xfId="0" applyFont="1" applyFill="1" applyBorder="1" applyAlignment="1" applyProtection="0">
      <alignment horizontal="center"/>
      <protection hidden="0" locked="1"/>
    </xf>
    <xf fontId="2" fillId="15" borderId="50" numFmtId="0" xfId="0" applyFont="1" applyFill="1" applyBorder="1" applyAlignment="1" applyProtection="0">
      <alignment horizontal="center"/>
      <protection hidden="0" locked="1"/>
    </xf>
    <xf fontId="19" fillId="24" borderId="13" numFmtId="0" xfId="0" applyFont="1" applyFill="1" applyBorder="1" applyAlignment="1" applyProtection="0">
      <alignment horizontal="center"/>
      <protection hidden="0" locked="1"/>
    </xf>
    <xf fontId="2" fillId="25" borderId="47" numFmtId="0" xfId="0" applyFont="1" applyFill="1" applyBorder="1" applyAlignment="1" applyProtection="0">
      <alignment horizontal="center"/>
      <protection hidden="0" locked="1"/>
    </xf>
    <xf fontId="2" fillId="25" borderId="15" numFmtId="0" xfId="0" applyFont="1" applyFill="1" applyBorder="1" applyAlignment="1" applyProtection="0">
      <alignment horizontal="center"/>
      <protection hidden="0" locked="1"/>
    </xf>
    <xf fontId="2" fillId="25" borderId="43" numFmtId="0" xfId="0" applyFont="1" applyFill="1" applyBorder="1" applyAlignment="1" applyProtection="0">
      <alignment horizontal="center"/>
      <protection hidden="0" locked="1"/>
    </xf>
    <xf fontId="2" fillId="0" borderId="45" numFmtId="0" xfId="0" applyFont="1" applyBorder="1" applyAlignment="1" applyProtection="0">
      <alignment horizontal="center"/>
      <protection hidden="0" locked="1"/>
    </xf>
    <xf fontId="2" fillId="0" borderId="51" numFmtId="0" xfId="0" applyFont="1" applyBorder="1" applyAlignment="1" applyProtection="0">
      <alignment horizontal="center"/>
      <protection hidden="0" locked="1"/>
    </xf>
    <xf fontId="2" fillId="0" borderId="52" numFmtId="0" xfId="0" applyFont="1" applyBorder="1" applyAlignment="1" applyProtection="0">
      <alignment horizontal="center"/>
      <protection hidden="0" locked="1"/>
    </xf>
    <xf fontId="19" fillId="26" borderId="13" numFmtId="0" xfId="0" applyFont="1" applyFill="1" applyBorder="1" applyAlignment="1" applyProtection="0">
      <alignment horizontal="center"/>
      <protection hidden="0" locked="1"/>
    </xf>
    <xf fontId="19" fillId="26" borderId="13" numFmtId="0" xfId="0" applyFont="1" applyFill="1" applyBorder="1" applyProtection="0">
      <protection hidden="0" locked="1"/>
    </xf>
    <xf fontId="0" fillId="2" borderId="18" numFmtId="0" xfId="0" applyFill="1" applyBorder="1" applyProtection="0">
      <protection hidden="0" locked="1"/>
    </xf>
    <xf fontId="2" fillId="2" borderId="41" numFmtId="0" xfId="0" applyFont="1" applyFill="1" applyBorder="1" applyAlignment="1" applyProtection="0">
      <alignment horizontal="center"/>
      <protection hidden="0" locked="1"/>
    </xf>
    <xf fontId="0" fillId="0" borderId="41" numFmtId="1" xfId="0" applyNumberFormat="1" applyBorder="1" applyAlignment="1" applyProtection="0">
      <alignment horizontal="center"/>
      <protection hidden="0" locked="1"/>
    </xf>
    <xf fontId="0" fillId="0" borderId="14" numFmtId="1" xfId="0" applyNumberFormat="1" applyBorder="1" applyAlignment="1" applyProtection="0">
      <alignment horizontal="center"/>
      <protection hidden="0" locked="1"/>
    </xf>
    <xf fontId="0" fillId="0" borderId="44" numFmtId="1" xfId="0" applyNumberFormat="1" applyBorder="1" applyAlignment="1" applyProtection="0">
      <alignment horizontal="center"/>
      <protection hidden="0" locked="1"/>
    </xf>
    <xf fontId="2" fillId="2" borderId="45" numFmtId="0" xfId="0" applyFont="1" applyFill="1" applyBorder="1" applyAlignment="1" applyProtection="0">
      <alignment horizontal="center"/>
      <protection hidden="0" locked="1"/>
    </xf>
    <xf fontId="0" fillId="0" borderId="45" numFmtId="1" xfId="0" applyNumberFormat="1" applyBorder="1" applyAlignment="1" applyProtection="0">
      <alignment horizontal="center"/>
      <protection hidden="0" locked="1"/>
    </xf>
    <xf fontId="0" fillId="0" borderId="0" numFmtId="1" xfId="0" applyNumberFormat="1" applyAlignment="1" applyProtection="0">
      <alignment horizontal="center"/>
      <protection hidden="0" locked="1"/>
    </xf>
    <xf fontId="2" fillId="0" borderId="46" numFmtId="1" xfId="0" applyNumberFormat="1" applyFont="1" applyBorder="1" applyAlignment="1" applyProtection="0">
      <alignment horizontal="center"/>
      <protection hidden="0" locked="1"/>
    </xf>
    <xf fontId="2" fillId="2" borderId="51" numFmtId="0" xfId="0" applyFont="1" applyFill="1" applyBorder="1" applyAlignment="1" applyProtection="0">
      <alignment horizontal="center"/>
      <protection hidden="0" locked="1"/>
    </xf>
    <xf fontId="2" fillId="15" borderId="47" numFmtId="0" xfId="0" applyFont="1" applyFill="1" applyBorder="1" applyAlignment="1" applyProtection="0">
      <alignment horizontal="center"/>
      <protection hidden="0" locked="1"/>
    </xf>
    <xf fontId="2" fillId="15" borderId="48" numFmtId="1" xfId="0" applyNumberFormat="1" applyFont="1" applyFill="1" applyBorder="1" applyAlignment="1" applyProtection="0">
      <alignment horizontal="center"/>
      <protection hidden="0" locked="1"/>
    </xf>
    <xf fontId="2" fillId="15" borderId="49" numFmtId="1" xfId="0" applyNumberFormat="1" applyFont="1" applyFill="1" applyBorder="1" applyAlignment="1" applyProtection="0">
      <alignment horizontal="center"/>
      <protection hidden="0" locked="1"/>
    </xf>
    <xf fontId="2" fillId="15" borderId="50" numFmtId="1" xfId="0" applyNumberFormat="1" applyFont="1" applyFill="1" applyBorder="1" applyAlignment="1" applyProtection="0">
      <alignment horizontal="center"/>
      <protection hidden="0" locked="1"/>
    </xf>
    <xf fontId="0" fillId="2" borderId="18" numFmtId="0" xfId="0" applyFill="1" applyBorder="1" applyAlignment="1" applyProtection="0">
      <alignment horizontal="center" wrapText="1"/>
      <protection hidden="0" locked="1"/>
    </xf>
    <xf fontId="2" fillId="25" borderId="47" numFmtId="0" xfId="0" applyFont="1" applyFill="1" applyBorder="1" applyAlignment="1" applyProtection="0">
      <alignment horizontal="center" vertical="center" wrapText="1"/>
      <protection hidden="0" locked="1"/>
    </xf>
    <xf fontId="2" fillId="25" borderId="15" numFmtId="0" xfId="0" applyFont="1" applyFill="1" applyBorder="1" applyAlignment="1" applyProtection="0">
      <alignment horizontal="center" vertical="center" wrapText="1"/>
      <protection hidden="0" locked="1"/>
    </xf>
    <xf fontId="2" fillId="25" borderId="43" numFmtId="0" xfId="0" applyFont="1" applyFill="1" applyBorder="1" applyAlignment="1" applyProtection="0">
      <alignment horizontal="center" vertical="center" wrapText="1"/>
      <protection hidden="0" locked="1"/>
    </xf>
    <xf fontId="0" fillId="0" borderId="18" numFmtId="0" xfId="0" applyBorder="1" applyAlignment="1" applyProtection="0">
      <alignment horizontal="center"/>
      <protection hidden="0" locked="1"/>
    </xf>
    <xf fontId="0" fillId="0" borderId="25" numFmtId="0" xfId="0" applyBorder="1" applyAlignment="1" applyProtection="0">
      <alignment horizontal="center"/>
      <protection hidden="0" locked="1"/>
    </xf>
    <xf fontId="0" fillId="0" borderId="46" numFmtId="1" xfId="0" applyNumberFormat="1" applyBorder="1" applyAlignment="1" applyProtection="0">
      <alignment horizontal="center"/>
      <protection hidden="0" locked="1"/>
    </xf>
    <xf fontId="2" fillId="15" borderId="47" numFmtId="1" xfId="0" applyNumberFormat="1" applyFont="1" applyFill="1" applyBorder="1" applyAlignment="1" applyProtection="0">
      <alignment horizontal="center"/>
      <protection hidden="0" locked="1"/>
    </xf>
    <xf fontId="2" fillId="15" borderId="15" numFmtId="1" xfId="0" applyNumberFormat="1" applyFont="1" applyFill="1" applyBorder="1" applyAlignment="1" applyProtection="0">
      <alignment horizontal="center"/>
      <protection hidden="0" locked="1"/>
    </xf>
    <xf fontId="2" fillId="15" borderId="53" numFmtId="1" xfId="0" applyNumberFormat="1" applyFont="1" applyFill="1" applyBorder="1" applyAlignment="1" applyProtection="0">
      <alignment horizontal="center"/>
      <protection hidden="0" locked="1"/>
    </xf>
    <xf fontId="2" fillId="25" borderId="18" numFmtId="0" xfId="0" applyFont="1" applyFill="1" applyBorder="1" applyAlignment="1" applyProtection="0">
      <alignment horizontal="center"/>
      <protection hidden="0" locked="1"/>
    </xf>
    <xf fontId="2" fillId="25" borderId="42" numFmtId="0" xfId="0" applyFont="1" applyFill="1" applyBorder="1" applyAlignment="1" applyProtection="0">
      <alignment horizontal="center"/>
      <protection hidden="0" locked="1"/>
    </xf>
    <xf fontId="2" fillId="0" borderId="25" numFmtId="0" xfId="0" applyFont="1" applyBorder="1" applyAlignment="1" applyProtection="0">
      <alignment horizontal="center"/>
      <protection hidden="0" locked="1"/>
    </xf>
    <xf fontId="2" fillId="25" borderId="18" numFmtId="0" xfId="0" applyFont="1" applyFill="1" applyBorder="1" applyAlignment="1" applyProtection="0">
      <alignment horizontal="center" vertical="center" wrapText="1"/>
      <protection hidden="0" locked="1"/>
    </xf>
    <xf fontId="0" fillId="0" borderId="54" numFmtId="1" xfId="0" applyNumberFormat="1" applyBorder="1" applyAlignment="1" applyProtection="0">
      <alignment horizontal="center"/>
      <protection hidden="0" locked="1"/>
    </xf>
    <xf fontId="0" fillId="0" borderId="55" numFmtId="1" xfId="0" applyNumberFormat="1" applyBorder="1" applyAlignment="1" applyProtection="0">
      <alignment horizontal="center"/>
      <protection hidden="0" locked="1"/>
    </xf>
    <xf fontId="2" fillId="15" borderId="56" numFmtId="1" xfId="0" applyNumberFormat="1" applyFont="1" applyFill="1" applyBorder="1" applyAlignment="1" applyProtection="0">
      <alignment horizontal="center"/>
      <protection hidden="0" locked="1"/>
    </xf>
    <xf fontId="0" fillId="0" borderId="54" numFmtId="0" xfId="0" applyBorder="1" applyAlignment="1" applyProtection="0">
      <alignment horizontal="center"/>
      <protection hidden="0" locked="1"/>
    </xf>
    <xf fontId="0" fillId="0" borderId="55" numFmtId="0" xfId="0" applyBorder="1" applyAlignment="1" applyProtection="0">
      <alignment horizontal="center"/>
      <protection hidden="0" locked="1"/>
    </xf>
    <xf fontId="2" fillId="15" borderId="56" numFmtId="0" xfId="0" applyFont="1" applyFill="1" applyBorder="1" applyAlignment="1" applyProtection="0">
      <alignment horizontal="center"/>
      <protection hidden="0" locked="1"/>
    </xf>
    <xf fontId="20" fillId="0" borderId="0" numFmtId="49" xfId="0" applyNumberFormat="1" applyFont="1" applyAlignment="1" applyProtection="0">
      <alignment horizontal="left" vertical="center" wrapText="1"/>
      <protection hidden="0" locked="1"/>
    </xf>
    <xf fontId="20" fillId="0" borderId="0" numFmtId="49" xfId="0" applyNumberFormat="1" applyFont="1" applyAlignment="1" applyProtection="0">
      <alignment vertical="center" wrapText="1"/>
      <protection hidden="0" locked="1"/>
    </xf>
    <xf fontId="20" fillId="0" borderId="0" numFmtId="0" xfId="0" applyFont="1" applyAlignment="1" applyProtection="0">
      <alignment horizontal="left" vertical="center" wrapText="1"/>
      <protection hidden="0" locked="1"/>
    </xf>
    <xf fontId="21" fillId="27" borderId="0" numFmtId="49" xfId="0" applyNumberFormat="1" applyFont="1" applyFill="1" applyAlignment="1" applyProtection="0">
      <alignment horizontal="left" vertical="center" wrapText="1"/>
      <protection hidden="0" locked="1"/>
    </xf>
    <xf fontId="21" fillId="27" borderId="0" numFmtId="49" xfId="0" applyNumberFormat="1" applyFont="1" applyFill="1" applyAlignment="1" applyProtection="0">
      <alignment vertical="center" wrapText="1"/>
      <protection hidden="0" locked="1"/>
    </xf>
    <xf fontId="21" fillId="27" borderId="0" numFmtId="0" xfId="0" applyFont="1" applyFill="1" applyAlignment="1" applyProtection="0">
      <alignment horizontal="left" vertical="center" wrapText="1"/>
      <protection hidden="0" locked="1"/>
    </xf>
    <xf fontId="22" fillId="0" borderId="0" numFmtId="0" xfId="0" applyFont="1" applyAlignment="1" applyProtection="0">
      <alignment horizontal="left" vertical="center" wrapText="1"/>
      <protection hidden="0" locked="1"/>
    </xf>
    <xf fontId="23" fillId="0" borderId="0" numFmtId="0" xfId="0" applyFont="1" applyAlignment="1" applyProtection="0">
      <alignment horizontal="left" vertical="center" wrapText="1"/>
      <protection hidden="0" locked="1"/>
    </xf>
    <xf fontId="0" fillId="0" borderId="0" numFmtId="0" xfId="0" applyAlignment="1" applyProtection="0">
      <alignment horizontal="left"/>
      <protection hidden="0" locked="1"/>
    </xf>
    <xf fontId="0" fillId="0" borderId="57" numFmtId="0" xfId="0" applyBorder="1" applyProtection="0">
      <protection hidden="0" locked="1"/>
    </xf>
    <xf fontId="0" fillId="0" borderId="58" numFmtId="0" xfId="0" applyBorder="1" applyProtection="0">
      <protection hidden="0" locked="1"/>
    </xf>
    <xf fontId="19" fillId="23" borderId="0" numFmtId="0" xfId="0" applyFont="1" applyFill="1" applyAlignment="1" applyProtection="0">
      <alignment horizontal="center"/>
      <protection hidden="0" locked="1"/>
    </xf>
    <xf fontId="0" fillId="0" borderId="59" numFmtId="0" xfId="0" applyBorder="1" applyProtection="0">
      <protection hidden="0" locked="1"/>
    </xf>
    <xf fontId="0" fillId="0" borderId="60" numFmtId="0" xfId="0" applyBorder="1" applyProtection="0">
      <protection hidden="0" locked="1"/>
    </xf>
    <xf fontId="0" fillId="0" borderId="61" numFmtId="0" xfId="0" applyBorder="1" applyProtection="0">
      <protection hidden="0" locked="1"/>
    </xf>
    <xf fontId="0" fillId="0" borderId="52" numFmtId="0" xfId="0" applyBorder="1" applyProtection="0">
      <protection hidden="0" locked="1"/>
    </xf>
    <xf fontId="2" fillId="15" borderId="15" numFmtId="0" xfId="0" applyFont="1" applyFill="1" applyBorder="1" applyAlignment="1" applyProtection="0">
      <alignment horizontal="center"/>
      <protection hidden="0" locked="1"/>
    </xf>
    <xf fontId="2" fillId="15" borderId="53" numFmtId="0" xfId="0" applyFont="1" applyFill="1" applyBorder="1" applyAlignment="1" applyProtection="0">
      <alignment horizontal="center"/>
      <protection hidden="0" locked="1"/>
    </xf>
    <xf fontId="2" fillId="15" borderId="48" numFmtId="0" xfId="0" applyFont="1" applyFill="1" applyBorder="1" applyProtection="0">
      <protection hidden="0" locked="1"/>
    </xf>
    <xf fontId="19" fillId="28" borderId="13" numFmtId="0" xfId="0" applyFont="1" applyFill="1" applyBorder="1" applyAlignment="1" applyProtection="0">
      <alignment horizontal="center"/>
      <protection hidden="0" locked="1"/>
    </xf>
    <xf fontId="2" fillId="15" borderId="39" numFmtId="0" xfId="0" applyFont="1" applyFill="1" applyBorder="1" applyProtection="0">
      <protection hidden="0" locked="1"/>
    </xf>
    <xf fontId="0" fillId="0" borderId="42" numFmtId="0" xfId="0" applyBorder="1" applyProtection="0">
      <protection hidden="0" locked="1"/>
    </xf>
    <xf fontId="19" fillId="23" borderId="43" numFmtId="0" xfId="0" applyFont="1" applyFill="1" applyBorder="1" applyAlignment="1" applyProtection="0">
      <alignment horizontal="center"/>
      <protection hidden="0" locked="1"/>
    </xf>
  </cellXfs>
  <cellStyles count="13">
    <cellStyle name="Normal" xfId="0" builtinId="0"/>
    <cellStyle name="Comma" xfId="1" builtinId="3"/>
    <cellStyle name="Comma [0]" xfId="2" builtinId="6"/>
    <cellStyle name="Currency" xfId="3" builtinId="4"/>
    <cellStyle name="Currency [0]" xfId="4" builtinId="7"/>
    <cellStyle name="Percent" xfId="5" builtinId="5"/>
    <cellStyle name="Canto da tabela dinâmica" xfId="6"/>
    <cellStyle name="Valor da tabela dinâmica" xfId="7"/>
    <cellStyle name="Campo da tabela dinâmica" xfId="8"/>
    <cellStyle name="Categoria da tabela dinâmica" xfId="9"/>
    <cellStyle name="Título da tabela dinâmica" xfId="10"/>
    <cellStyle name="Resultado da tabela dinâmica" xfId="11"/>
    <cellStyle name="*unknown*" xfId="1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pivotCacheDefinition" Target="pivotCache/pivotCacheDefinition1.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 Type="http://schemas.openxmlformats.org/officeDocument/2006/relationships/worksheet" Target="worksheets/sheet1.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 Type="http://schemas.openxmlformats.org/officeDocument/2006/relationships/worksheet" Target="worksheets/sheet2.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worksheet" Target="worksheets/sheet34.xml"/><Relationship  Id="rId36" Type="http://schemas.openxmlformats.org/officeDocument/2006/relationships/worksheet" Target="worksheets/sheet35.xml"/><Relationship  Id="rId37" Type="http://schemas.openxmlformats.org/officeDocument/2006/relationships/worksheet" Target="worksheets/sheet36.xml"/><Relationship  Id="rId38" Type="http://schemas.openxmlformats.org/officeDocument/2006/relationships/theme" Target="theme/theme1.xml"/><Relationship  Id="rId39" Type="http://schemas.openxmlformats.org/officeDocument/2006/relationships/sharedStrings" Target="sharedStrings.xml"/><Relationship  Id="rId4" Type="http://schemas.openxmlformats.org/officeDocument/2006/relationships/worksheet" Target="worksheets/sheet3.xml"/><Relationship  Id="rId40" Type="http://schemas.openxmlformats.org/officeDocument/2006/relationships/styles" Target="styles.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s>
</file>

<file path=xl/charts/_rels/chart1.xml.rels><?xml version="1.0" encoding="UTF-8" standalone="yes"?><Relationships xmlns="http://schemas.openxmlformats.org/package/2006/relationships"></Relationships>
</file>

<file path=xl/charts/_rels/chart2.xml.rels><?xml version="1.0" encoding="UTF-8" standalone="yes"?><Relationships xmlns="http://schemas.openxmlformats.org/package/2006/relationships"></Relationships>
</file>

<file path=xl/charts/_rels/chart3.xml.rels><?xml version="1.0" encoding="UTF-8" standalone="yes"?><Relationships xmlns="http://schemas.openxmlformats.org/package/2006/relationships"></Relationships>
</file>

<file path=xl/charts/_rels/chart4.xml.rels><?xml version="1.0" encoding="UTF-8" standalone="yes"?><Relationships xmlns="http://schemas.openxmlformats.org/package/2006/relationships"></Relationships>
</file>

<file path=xl/charts/_rels/chart5.xml.rels><?xml version="1.0" encoding="UTF-8" standalone="yes"?><Relationships xmlns="http://schemas.openxmlformats.org/package/2006/relationships"></Relationships>
</file>

<file path=xl/charts/_rels/chart6.xml.rels><?xml version="1.0" encoding="UTF-8" standalone="yes"?><Relationships xmlns="http://schemas.openxmlformats.org/package/2006/relationships"></Relationships>
</file>

<file path=xl/charts/_rels/chart7.xml.rels><?xml version="1.0" encoding="UTF-8" standalone="yes"?><Relationships xmlns="http://schemas.openxmlformats.org/package/2006/relationships"></Relationships>
</file>

<file path=xl/charts/_rels/chart8.xml.rels><?xml version="1.0" encoding="UTF-8" standalone="yes"?><Relationships xmlns="http://schemas.openxmlformats.org/package/2006/relationships"></Relationships>
</file>

<file path=xl/charts/_rels/chart9.xml.rels><?xml version="1.0" encoding="UTF-8" standalone="yes"?><Relationships xmlns="http://schemas.openxmlformats.org/package/2006/relationships"></Relationships>
</file>

<file path=xl/charts/_rels/chart10.xml.rels><?xml version="1.0" encoding="UTF-8" standalone="yes"?><Relationships xmlns="http://schemas.openxmlformats.org/package/2006/relationships"></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tx>
        <c:rich>
          <a:bodyPr rot="0"/>
          <a:lstStyle/>
          <a:p>
            <a:pPr>
              <a:defRPr lang="en-US" sz="1400" b="0" strike="noStrike" spc="-1">
                <a:solidFill>
                  <a:srgbClr val="333333"/>
                </a:solidFill>
                <a:latin typeface="Calibri"/>
                <a:ea typeface="Calibri"/>
              </a:defRPr>
            </a:pPr>
            <a:r>
              <a:rPr lang="en-US" sz="1400" b="0" strike="noStrike" spc="-1">
                <a:solidFill>
                  <a:srgbClr val="333333"/>
                </a:solidFill>
                <a:latin typeface="Calibri"/>
                <a:ea typeface="Calibri"/>
              </a:rPr>
              <a:t>Nº de processos pendentes por ano</a:t>
            </a:r>
            <a:endParaRPr/>
          </a:p>
        </c:rich>
      </c:tx>
      <c:layout/>
      <c:overlay val="0"/>
      <c:spPr bwMode="auto">
        <a:prstGeom prst="rect">
          <a:avLst/>
        </a:prstGeom>
        <a:noFill/>
        <a:ln w="25560">
          <a:noFill/>
        </a:ln>
      </c:spPr>
    </c:title>
    <c:autoTitleDeleted val="0"/>
    <c:plotArea>
      <c:layout/>
      <c:lineChart>
        <c:grouping val="standard"/>
        <c:varyColors val="0"/>
        <c:ser>
          <c:idx val="0"/>
          <c:order val="0"/>
          <c:tx>
            <c:strRef>
              <c:f>label 0</c:f>
              <c:strCache>
                <c:ptCount val="1"/>
                <c:pt idx="0">
                  <c:v>Total</c:v>
                </c:pt>
              </c:strCache>
            </c:strRef>
          </c:tx>
          <c:spPr bwMode="auto">
            <a:prstGeom prst="rect">
              <a:avLst/>
            </a:prstGeom>
            <a:solidFill>
              <a:srgbClr val="4F81BD"/>
            </a:solidFill>
            <a:ln w="28440" cap="rnd">
              <a:solidFill>
                <a:srgbClr val="4F81BD"/>
              </a:solidFill>
              <a:round/>
            </a:ln>
          </c:spPr>
          <c:marker>
            <c:symbol val="none"/>
          </c:marker>
          <c:dLbls>
            <c:dLblPos val="r"/>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categories</c:f>
              <c:strCache>
                <c:ptCount val="83"/>
                <c:pt idx="0">
                  <c:v>1938</c:v>
                </c:pt>
                <c:pt idx="1">
                  <c:v>1939</c:v>
                </c:pt>
                <c:pt idx="2">
                  <c:v>1940</c:v>
                </c:pt>
                <c:pt idx="3">
                  <c:v>1941</c:v>
                </c:pt>
                <c:pt idx="4">
                  <c:v>1942</c:v>
                </c:pt>
                <c:pt idx="5">
                  <c:v>1943</c:v>
                </c:pt>
                <c:pt idx="6">
                  <c:v>1944</c:v>
                </c:pt>
                <c:pt idx="7">
                  <c:v>1945</c:v>
                </c:pt>
                <c:pt idx="8">
                  <c:v>1946</c:v>
                </c:pt>
                <c:pt idx="9">
                  <c:v>1947</c:v>
                </c:pt>
                <c:pt idx="10">
                  <c:v>1948</c:v>
                </c:pt>
                <c:pt idx="11">
                  <c:v>1949</c:v>
                </c:pt>
                <c:pt idx="12">
                  <c:v>1950</c:v>
                </c:pt>
                <c:pt idx="13">
                  <c:v>1951</c:v>
                </c:pt>
                <c:pt idx="14">
                  <c:v>1952</c:v>
                </c:pt>
                <c:pt idx="15">
                  <c:v>1953</c:v>
                </c:pt>
                <c:pt idx="16">
                  <c:v>1954</c:v>
                </c:pt>
                <c:pt idx="17">
                  <c:v>1955</c:v>
                </c:pt>
                <c:pt idx="18">
                  <c:v>1956</c:v>
                </c:pt>
                <c:pt idx="19">
                  <c:v>1957</c:v>
                </c:pt>
                <c:pt idx="20">
                  <c:v>1958</c:v>
                </c:pt>
                <c:pt idx="21">
                  <c:v>1959</c:v>
                </c:pt>
                <c:pt idx="22">
                  <c:v>1960</c:v>
                </c:pt>
                <c:pt idx="23">
                  <c:v>1961</c:v>
                </c:pt>
                <c:pt idx="24">
                  <c:v>1962</c:v>
                </c:pt>
                <c:pt idx="25">
                  <c:v>1963</c:v>
                </c:pt>
                <c:pt idx="26">
                  <c:v>1964</c:v>
                </c:pt>
                <c:pt idx="27">
                  <c:v>1965</c:v>
                </c:pt>
                <c:pt idx="28">
                  <c:v>1966</c:v>
                </c:pt>
                <c:pt idx="29">
                  <c:v>1967</c:v>
                </c:pt>
                <c:pt idx="30">
                  <c:v>1968</c:v>
                </c:pt>
                <c:pt idx="31">
                  <c:v>1969</c:v>
                </c:pt>
                <c:pt idx="32">
                  <c:v>1970</c:v>
                </c:pt>
                <c:pt idx="33">
                  <c:v>1971</c:v>
                </c:pt>
                <c:pt idx="34">
                  <c:v>1972</c:v>
                </c:pt>
                <c:pt idx="35">
                  <c:v>1973</c:v>
                </c:pt>
                <c:pt idx="36">
                  <c:v>1974</c:v>
                </c:pt>
                <c:pt idx="37">
                  <c:v>1975</c:v>
                </c:pt>
                <c:pt idx="38">
                  <c:v>1976</c:v>
                </c:pt>
                <c:pt idx="39">
                  <c:v>1977</c:v>
                </c:pt>
                <c:pt idx="40">
                  <c:v>1978</c:v>
                </c:pt>
                <c:pt idx="41">
                  <c:v>1979</c:v>
                </c:pt>
                <c:pt idx="42">
                  <c:v>1980</c:v>
                </c:pt>
                <c:pt idx="43">
                  <c:v>1981</c:v>
                </c:pt>
                <c:pt idx="44">
                  <c:v>1982</c:v>
                </c:pt>
                <c:pt idx="45">
                  <c:v>1983</c:v>
                </c:pt>
                <c:pt idx="46">
                  <c:v>1984</c:v>
                </c:pt>
                <c:pt idx="47">
                  <c:v>1985</c:v>
                </c:pt>
                <c:pt idx="48">
                  <c:v>1986</c:v>
                </c:pt>
                <c:pt idx="49">
                  <c:v>1987</c:v>
                </c:pt>
                <c:pt idx="50">
                  <c:v>1988</c:v>
                </c:pt>
                <c:pt idx="51">
                  <c:v>1989</c:v>
                </c:pt>
                <c:pt idx="52">
                  <c:v>1990</c:v>
                </c:pt>
                <c:pt idx="53">
                  <c:v>1991</c:v>
                </c:pt>
                <c:pt idx="54">
                  <c:v>1992</c:v>
                </c:pt>
                <c:pt idx="55">
                  <c:v>1993</c:v>
                </c:pt>
                <c:pt idx="56">
                  <c:v>1994</c:v>
                </c:pt>
                <c:pt idx="57">
                  <c:v>1995</c:v>
                </c:pt>
                <c:pt idx="58">
                  <c:v>1996</c:v>
                </c:pt>
                <c:pt idx="59">
                  <c:v>1997</c:v>
                </c:pt>
                <c:pt idx="60">
                  <c:v>1998</c:v>
                </c:pt>
                <c:pt idx="61">
                  <c:v>1999</c:v>
                </c:pt>
                <c:pt idx="62">
                  <c:v>2000</c:v>
                </c:pt>
                <c:pt idx="63">
                  <c:v>2001</c:v>
                </c:pt>
                <c:pt idx="64">
                  <c:v>2002</c:v>
                </c:pt>
                <c:pt idx="65">
                  <c:v>2003</c:v>
                </c:pt>
                <c:pt idx="66">
                  <c:v>2004</c:v>
                </c:pt>
                <c:pt idx="67">
                  <c:v>2005</c:v>
                </c:pt>
                <c:pt idx="68">
                  <c:v>2006</c:v>
                </c:pt>
                <c:pt idx="69">
                  <c:v>2007</c:v>
                </c:pt>
                <c:pt idx="70">
                  <c:v>2008</c:v>
                </c:pt>
                <c:pt idx="71">
                  <c:v>2009</c:v>
                </c:pt>
                <c:pt idx="72">
                  <c:v>2010</c:v>
                </c:pt>
                <c:pt idx="73">
                  <c:v>2011</c:v>
                </c:pt>
                <c:pt idx="74">
                  <c:v>2012</c:v>
                </c:pt>
                <c:pt idx="75">
                  <c:v>2013</c:v>
                </c:pt>
                <c:pt idx="76">
                  <c:v>2014</c:v>
                </c:pt>
                <c:pt idx="77">
                  <c:v>2015</c:v>
                </c:pt>
                <c:pt idx="78">
                  <c:v>2016</c:v>
                </c:pt>
                <c:pt idx="79">
                  <c:v>2017</c:v>
                </c:pt>
                <c:pt idx="80">
                  <c:v>2018</c:v>
                </c:pt>
                <c:pt idx="81">
                  <c:v>2019</c:v>
                </c:pt>
                <c:pt idx="82">
                  <c:v>2020</c:v>
                </c:pt>
              </c:strCache>
            </c:strRef>
          </c:cat>
          <c:val>
            <c:numRef>
              <c:f>0</c:f>
              <c:numCache>
                <c:formatCode>General</c:formatCode>
                <c:ptCount val="83"/>
                <c:pt idx="0">
                  <c:v>325</c:v>
                </c:pt>
                <c:pt idx="1">
                  <c:v>116</c:v>
                </c:pt>
                <c:pt idx="2">
                  <c:v>84</c:v>
                </c:pt>
                <c:pt idx="3">
                  <c:v>137</c:v>
                </c:pt>
                <c:pt idx="4">
                  <c:v>112</c:v>
                </c:pt>
                <c:pt idx="5">
                  <c:v>114</c:v>
                </c:pt>
                <c:pt idx="6">
                  <c:v>74</c:v>
                </c:pt>
                <c:pt idx="7">
                  <c:v>72</c:v>
                </c:pt>
                <c:pt idx="8">
                  <c:v>78</c:v>
                </c:pt>
                <c:pt idx="9">
                  <c:v>76</c:v>
                </c:pt>
                <c:pt idx="10">
                  <c:v>93</c:v>
                </c:pt>
                <c:pt idx="11">
                  <c:v>113</c:v>
                </c:pt>
                <c:pt idx="12">
                  <c:v>108</c:v>
                </c:pt>
                <c:pt idx="13">
                  <c:v>65</c:v>
                </c:pt>
                <c:pt idx="14">
                  <c:v>67</c:v>
                </c:pt>
                <c:pt idx="15">
                  <c:v>69</c:v>
                </c:pt>
                <c:pt idx="16">
                  <c:v>78</c:v>
                </c:pt>
                <c:pt idx="17">
                  <c:v>70</c:v>
                </c:pt>
                <c:pt idx="18">
                  <c:v>69</c:v>
                </c:pt>
                <c:pt idx="19">
                  <c:v>79</c:v>
                </c:pt>
                <c:pt idx="20">
                  <c:v>85</c:v>
                </c:pt>
                <c:pt idx="21">
                  <c:v>82</c:v>
                </c:pt>
                <c:pt idx="22">
                  <c:v>82</c:v>
                </c:pt>
                <c:pt idx="23">
                  <c:v>104</c:v>
                </c:pt>
                <c:pt idx="24">
                  <c:v>146</c:v>
                </c:pt>
                <c:pt idx="25">
                  <c:v>133</c:v>
                </c:pt>
                <c:pt idx="26">
                  <c:v>151</c:v>
                </c:pt>
                <c:pt idx="27">
                  <c:v>132</c:v>
                </c:pt>
                <c:pt idx="28">
                  <c:v>139</c:v>
                </c:pt>
                <c:pt idx="29">
                  <c:v>150</c:v>
                </c:pt>
                <c:pt idx="30">
                  <c:v>135</c:v>
                </c:pt>
                <c:pt idx="31">
                  <c:v>143</c:v>
                </c:pt>
                <c:pt idx="32">
                  <c:v>133</c:v>
                </c:pt>
                <c:pt idx="33">
                  <c:v>137</c:v>
                </c:pt>
                <c:pt idx="34">
                  <c:v>146</c:v>
                </c:pt>
                <c:pt idx="35">
                  <c:v>167</c:v>
                </c:pt>
                <c:pt idx="36">
                  <c:v>184</c:v>
                </c:pt>
                <c:pt idx="37">
                  <c:v>186</c:v>
                </c:pt>
                <c:pt idx="38">
                  <c:v>195</c:v>
                </c:pt>
                <c:pt idx="39">
                  <c:v>211</c:v>
                </c:pt>
                <c:pt idx="40">
                  <c:v>236</c:v>
                </c:pt>
                <c:pt idx="41">
                  <c:v>248</c:v>
                </c:pt>
                <c:pt idx="42">
                  <c:v>267</c:v>
                </c:pt>
                <c:pt idx="43">
                  <c:v>262</c:v>
                </c:pt>
                <c:pt idx="44">
                  <c:v>268</c:v>
                </c:pt>
                <c:pt idx="45">
                  <c:v>303</c:v>
                </c:pt>
                <c:pt idx="46">
                  <c:v>323</c:v>
                </c:pt>
                <c:pt idx="47">
                  <c:v>364</c:v>
                </c:pt>
                <c:pt idx="48">
                  <c:v>377</c:v>
                </c:pt>
                <c:pt idx="49">
                  <c:v>397</c:v>
                </c:pt>
                <c:pt idx="50">
                  <c:v>411</c:v>
                </c:pt>
                <c:pt idx="51">
                  <c:v>414</c:v>
                </c:pt>
                <c:pt idx="52">
                  <c:v>420</c:v>
                </c:pt>
                <c:pt idx="53">
                  <c:v>412</c:v>
                </c:pt>
                <c:pt idx="54">
                  <c:v>416</c:v>
                </c:pt>
                <c:pt idx="55">
                  <c:v>423</c:v>
                </c:pt>
                <c:pt idx="56">
                  <c:v>426</c:v>
                </c:pt>
                <c:pt idx="57">
                  <c:v>446</c:v>
                </c:pt>
                <c:pt idx="58">
                  <c:v>458</c:v>
                </c:pt>
                <c:pt idx="59">
                  <c:v>482</c:v>
                </c:pt>
                <c:pt idx="60">
                  <c:v>499</c:v>
                </c:pt>
                <c:pt idx="61">
                  <c:v>508</c:v>
                </c:pt>
                <c:pt idx="62">
                  <c:v>488</c:v>
                </c:pt>
                <c:pt idx="63">
                  <c:v>496</c:v>
                </c:pt>
                <c:pt idx="64">
                  <c:v>511</c:v>
                </c:pt>
                <c:pt idx="65">
                  <c:v>518</c:v>
                </c:pt>
                <c:pt idx="66">
                  <c:v>518</c:v>
                </c:pt>
                <c:pt idx="67">
                  <c:v>455</c:v>
                </c:pt>
                <c:pt idx="68">
                  <c:v>457</c:v>
                </c:pt>
                <c:pt idx="69">
                  <c:v>562</c:v>
                </c:pt>
                <c:pt idx="70">
                  <c:v>592</c:v>
                </c:pt>
                <c:pt idx="71">
                  <c:v>588</c:v>
                </c:pt>
                <c:pt idx="72">
                  <c:v>624</c:v>
                </c:pt>
                <c:pt idx="73">
                  <c:v>632</c:v>
                </c:pt>
                <c:pt idx="74">
                  <c:v>629</c:v>
                </c:pt>
                <c:pt idx="75">
                  <c:v>616</c:v>
                </c:pt>
                <c:pt idx="76">
                  <c:v>611</c:v>
                </c:pt>
                <c:pt idx="77">
                  <c:v>582</c:v>
                </c:pt>
                <c:pt idx="78">
                  <c:v>503</c:v>
                </c:pt>
                <c:pt idx="79">
                  <c:v>474</c:v>
                </c:pt>
                <c:pt idx="80">
                  <c:v>501</c:v>
                </c:pt>
                <c:pt idx="81">
                  <c:v>518</c:v>
                </c:pt>
                <c:pt idx="82">
                  <c:v>496</c:v>
                </c:pt>
              </c:numCache>
            </c:numRef>
          </c:val>
          <c:smooth val="0"/>
        </c:ser>
        <c:dLbls>
          <c:showBubbleSize val="0"/>
          <c:showCatName val="0"/>
          <c:showLegendKey val="0"/>
          <c:showPercent val="0"/>
          <c:showSerName val="0"/>
          <c:showVal val="0"/>
        </c:dLbls>
        <c:hiLowLines>
          <c:spPr bwMode="auto">
            <a:prstGeom prst="rect">
              <a:avLst/>
            </a:prstGeom>
            <a:ln w="0">
              <a:noFill/>
            </a:ln>
          </c:spPr>
        </c:hiLowLines>
        <c:marker val="0"/>
        <c:smooth val="0"/>
        <c:axId val="25530844"/>
        <c:axId val="74140436"/>
      </c:lineChart>
      <c:catAx>
        <c:axId val="25530844"/>
        <c:scaling>
          <c:orientation val="minMax"/>
        </c:scaling>
        <c:delete val="0"/>
        <c:axPos val="b"/>
        <c:numFmt formatCode="General" sourceLinked="0"/>
        <c:majorTickMark val="none"/>
        <c:minorTickMark val="none"/>
        <c:tickLblPos val="nextTo"/>
        <c:spPr bwMode="auto">
          <a:prstGeom prst="rect">
            <a:avLst/>
          </a:prstGeom>
          <a:ln w="9360">
            <a:solidFill>
              <a:srgbClr val="D9D9D9"/>
            </a:solidFill>
            <a:round/>
          </a:ln>
        </c:spPr>
        <c:txPr>
          <a:bodyPr rot="-5400000"/>
          <a:lstStyle/>
          <a:p>
            <a:pPr>
              <a:defRPr sz="900" b="0" strike="noStrike" spc="-1">
                <a:solidFill>
                  <a:srgbClr val="333333"/>
                </a:solidFill>
                <a:latin typeface="Calibri"/>
                <a:ea typeface="Calibri"/>
              </a:defRPr>
            </a:pPr>
            <a:endParaRPr/>
          </a:p>
        </c:txPr>
        <c:crossAx val="74140436"/>
        <c:crosses val="autoZero"/>
        <c:auto val="1"/>
        <c:lblAlgn val="ctr"/>
        <c:lblOffset val="100"/>
        <c:noMultiLvlLbl val="0"/>
      </c:catAx>
      <c:valAx>
        <c:axId val="74140436"/>
        <c:scaling>
          <c:orientation val="minMax"/>
        </c:scaling>
        <c:delete val="0"/>
        <c:axPos val="l"/>
        <c:majorGridlines>
          <c:spPr bwMode="auto">
            <a:prstGeom prst="rect">
              <a:avLst/>
            </a:prstGeom>
            <a:ln w="9360">
              <a:solidFill>
                <a:srgbClr val="D9D9D9"/>
              </a:solidFill>
              <a:round/>
            </a:ln>
          </c:spPr>
        </c:majorGridlines>
        <c:numFmt formatCode="General" sourceLinked="0"/>
        <c:majorTickMark val="none"/>
        <c:minorTickMark val="none"/>
        <c:tickLblPos val="nextTo"/>
        <c:spPr bwMode="auto">
          <a:prstGeom prst="rect">
            <a:avLst/>
          </a:prstGeom>
          <a:ln w="9360">
            <a:noFill/>
          </a:ln>
        </c:spPr>
        <c:txPr>
          <a:bodyPr/>
          <a:lstStyle/>
          <a:p>
            <a:pPr>
              <a:defRPr sz="900" b="0" strike="noStrike" spc="-1">
                <a:solidFill>
                  <a:srgbClr val="333333"/>
                </a:solidFill>
                <a:latin typeface="Calibri"/>
                <a:ea typeface="Calibri"/>
              </a:defRPr>
            </a:pPr>
            <a:endParaRPr/>
          </a:p>
        </c:txPr>
        <c:crossAx val="25530844"/>
        <c:crosses val="autoZero"/>
        <c:crossBetween val="between"/>
      </c:valAx>
      <c:spPr bwMode="auto">
        <a:prstGeom prst="rect">
          <a:avLst/>
        </a:prstGeom>
        <a:noFill/>
        <a:ln w="25560">
          <a:noFill/>
        </a:ln>
      </c:spPr>
    </c:plotArea>
    <c:legend>
      <c:legendPos val="r"/>
      <c:layout/>
      <c:overlay val="0"/>
      <c:spPr bwMode="auto">
        <a:prstGeom prst="rect">
          <a:avLst/>
        </a:prstGeom>
        <a:noFill/>
        <a:ln w="25560">
          <a:noFill/>
        </a:ln>
      </c:spPr>
      <c:txPr>
        <a:bodyPr/>
        <a:lstStyle/>
        <a:p>
          <a:pPr>
            <a:defRPr sz="850" b="0" strike="noStrike" spc="-1">
              <a:solidFill>
                <a:srgbClr val="333333"/>
              </a:solidFill>
              <a:latin typeface="Calibri"/>
              <a:ea typeface="Calibri"/>
            </a:defRPr>
          </a:pPr>
          <a:endParaRPr/>
        </a:p>
      </c:txPr>
    </c:legend>
    <c:plotVisOnly val="1"/>
    <c:dispBlanksAs val="gap"/>
    <c:showDLblsOverMax val="0"/>
  </c:chart>
  <c:spPr bwMode="auto">
    <a:xfrm rot="0">
      <a:off x="13721760" y="495000"/>
      <a:ext cx="9396360" cy="2743200"/>
    </a:xfrm>
    <a:prstGeom prst="rect">
      <a:avLst/>
    </a:prstGeom>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tx>
        <c:rich>
          <a:bodyPr rot="0"/>
          <a:lstStyle/>
          <a:p>
            <a:pPr>
              <a:defRPr lang="en-US" sz="1400" b="0" strike="noStrike" spc="-1">
                <a:solidFill>
                  <a:srgbClr val="333333"/>
                </a:solidFill>
                <a:latin typeface="Calibri"/>
                <a:ea typeface="Calibri"/>
              </a:defRPr>
            </a:pPr>
            <a:r>
              <a:rPr lang="en-US" sz="1400" b="0" strike="noStrike" spc="-1">
                <a:solidFill>
                  <a:srgbClr val="333333"/>
                </a:solidFill>
                <a:latin typeface="Calibri"/>
                <a:ea typeface="Calibri"/>
              </a:rPr>
              <a:t>Taxa de congestionamento por ano</a:t>
            </a:r>
            <a:endParaRPr/>
          </a:p>
        </c:rich>
      </c:tx>
      <c:layout/>
      <c:overlay val="0"/>
      <c:spPr bwMode="auto">
        <a:prstGeom prst="rect">
          <a:avLst/>
        </a:prstGeom>
        <a:noFill/>
        <a:ln w="25560">
          <a:noFill/>
        </a:ln>
      </c:spPr>
    </c:title>
    <c:autoTitleDeleted val="0"/>
    <c:plotArea>
      <c:layout/>
      <c:lineChart>
        <c:grouping val="standard"/>
        <c:varyColors val="0"/>
        <c:ser>
          <c:idx val="0"/>
          <c:order val="0"/>
          <c:tx>
            <c:strRef>
              <c:f>label 0</c:f>
              <c:strCache>
                <c:ptCount val="1"/>
                <c:pt idx="0">
                  <c:v>Total</c:v>
                </c:pt>
              </c:strCache>
            </c:strRef>
          </c:tx>
          <c:spPr bwMode="auto">
            <a:prstGeom prst="rect">
              <a:avLst/>
            </a:prstGeom>
            <a:solidFill>
              <a:srgbClr val="4F81BD"/>
            </a:solidFill>
            <a:ln w="28440" cap="rnd">
              <a:solidFill>
                <a:srgbClr val="4F81BD"/>
              </a:solidFill>
              <a:round/>
            </a:ln>
          </c:spPr>
          <c:marker>
            <c:symbol val="none"/>
          </c:marker>
          <c:dLbls>
            <c:dLblPos val="r"/>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categories</c:f>
              <c:strCache>
                <c:ptCount val="83"/>
                <c:pt idx="0">
                  <c:v>1938</c:v>
                </c:pt>
                <c:pt idx="1">
                  <c:v>1939</c:v>
                </c:pt>
                <c:pt idx="2">
                  <c:v>1940</c:v>
                </c:pt>
                <c:pt idx="3">
                  <c:v>1941</c:v>
                </c:pt>
                <c:pt idx="4">
                  <c:v>1942</c:v>
                </c:pt>
                <c:pt idx="5">
                  <c:v>1943</c:v>
                </c:pt>
                <c:pt idx="6">
                  <c:v>1944</c:v>
                </c:pt>
                <c:pt idx="7">
                  <c:v>1945</c:v>
                </c:pt>
                <c:pt idx="8">
                  <c:v>1946</c:v>
                </c:pt>
                <c:pt idx="9">
                  <c:v>1947</c:v>
                </c:pt>
                <c:pt idx="10">
                  <c:v>1948</c:v>
                </c:pt>
                <c:pt idx="11">
                  <c:v>1949</c:v>
                </c:pt>
                <c:pt idx="12">
                  <c:v>1950</c:v>
                </c:pt>
                <c:pt idx="13">
                  <c:v>1951</c:v>
                </c:pt>
                <c:pt idx="14">
                  <c:v>1952</c:v>
                </c:pt>
                <c:pt idx="15">
                  <c:v>1953</c:v>
                </c:pt>
                <c:pt idx="16">
                  <c:v>1954</c:v>
                </c:pt>
                <c:pt idx="17">
                  <c:v>1955</c:v>
                </c:pt>
                <c:pt idx="18">
                  <c:v>1956</c:v>
                </c:pt>
                <c:pt idx="19">
                  <c:v>1957</c:v>
                </c:pt>
                <c:pt idx="20">
                  <c:v>1958</c:v>
                </c:pt>
                <c:pt idx="21">
                  <c:v>1959</c:v>
                </c:pt>
                <c:pt idx="22">
                  <c:v>1960</c:v>
                </c:pt>
                <c:pt idx="23">
                  <c:v>1961</c:v>
                </c:pt>
                <c:pt idx="24">
                  <c:v>1962</c:v>
                </c:pt>
                <c:pt idx="25">
                  <c:v>1963</c:v>
                </c:pt>
                <c:pt idx="26">
                  <c:v>1964</c:v>
                </c:pt>
                <c:pt idx="27">
                  <c:v>1965</c:v>
                </c:pt>
                <c:pt idx="28">
                  <c:v>1966</c:v>
                </c:pt>
                <c:pt idx="29">
                  <c:v>1967</c:v>
                </c:pt>
                <c:pt idx="30">
                  <c:v>1968</c:v>
                </c:pt>
                <c:pt idx="31">
                  <c:v>1969</c:v>
                </c:pt>
                <c:pt idx="32">
                  <c:v>1970</c:v>
                </c:pt>
                <c:pt idx="33">
                  <c:v>1971</c:v>
                </c:pt>
                <c:pt idx="34">
                  <c:v>1972</c:v>
                </c:pt>
                <c:pt idx="35">
                  <c:v>1973</c:v>
                </c:pt>
                <c:pt idx="36">
                  <c:v>1974</c:v>
                </c:pt>
                <c:pt idx="37">
                  <c:v>1975</c:v>
                </c:pt>
                <c:pt idx="38">
                  <c:v>1976</c:v>
                </c:pt>
                <c:pt idx="39">
                  <c:v>1977</c:v>
                </c:pt>
                <c:pt idx="40">
                  <c:v>1978</c:v>
                </c:pt>
                <c:pt idx="41">
                  <c:v>1979</c:v>
                </c:pt>
                <c:pt idx="42">
                  <c:v>1980</c:v>
                </c:pt>
                <c:pt idx="43">
                  <c:v>1981</c:v>
                </c:pt>
                <c:pt idx="44">
                  <c:v>1982</c:v>
                </c:pt>
                <c:pt idx="45">
                  <c:v>1983</c:v>
                </c:pt>
                <c:pt idx="46">
                  <c:v>1984</c:v>
                </c:pt>
                <c:pt idx="47">
                  <c:v>1985</c:v>
                </c:pt>
                <c:pt idx="48">
                  <c:v>1986</c:v>
                </c:pt>
                <c:pt idx="49">
                  <c:v>1987</c:v>
                </c:pt>
                <c:pt idx="50">
                  <c:v>1988</c:v>
                </c:pt>
                <c:pt idx="51">
                  <c:v>1989</c:v>
                </c:pt>
                <c:pt idx="52">
                  <c:v>1990</c:v>
                </c:pt>
                <c:pt idx="53">
                  <c:v>1991</c:v>
                </c:pt>
                <c:pt idx="54">
                  <c:v>1992</c:v>
                </c:pt>
                <c:pt idx="55">
                  <c:v>1993</c:v>
                </c:pt>
                <c:pt idx="56">
                  <c:v>1994</c:v>
                </c:pt>
                <c:pt idx="57">
                  <c:v>1995</c:v>
                </c:pt>
                <c:pt idx="58">
                  <c:v>1996</c:v>
                </c:pt>
                <c:pt idx="59">
                  <c:v>1997</c:v>
                </c:pt>
                <c:pt idx="60">
                  <c:v>1998</c:v>
                </c:pt>
                <c:pt idx="61">
                  <c:v>1999</c:v>
                </c:pt>
                <c:pt idx="62">
                  <c:v>2000</c:v>
                </c:pt>
                <c:pt idx="63">
                  <c:v>2001</c:v>
                </c:pt>
                <c:pt idx="64">
                  <c:v>2002</c:v>
                </c:pt>
                <c:pt idx="65">
                  <c:v>2003</c:v>
                </c:pt>
                <c:pt idx="66">
                  <c:v>2004</c:v>
                </c:pt>
                <c:pt idx="67">
                  <c:v>2005</c:v>
                </c:pt>
                <c:pt idx="68">
                  <c:v>2006</c:v>
                </c:pt>
                <c:pt idx="69">
                  <c:v>2007</c:v>
                </c:pt>
                <c:pt idx="70">
                  <c:v>2008</c:v>
                </c:pt>
                <c:pt idx="71">
                  <c:v>2009</c:v>
                </c:pt>
                <c:pt idx="72">
                  <c:v>2010</c:v>
                </c:pt>
                <c:pt idx="73">
                  <c:v>2011</c:v>
                </c:pt>
                <c:pt idx="74">
                  <c:v>2012</c:v>
                </c:pt>
                <c:pt idx="75">
                  <c:v>2013</c:v>
                </c:pt>
                <c:pt idx="76">
                  <c:v>2014</c:v>
                </c:pt>
                <c:pt idx="77">
                  <c:v>2015</c:v>
                </c:pt>
                <c:pt idx="78">
                  <c:v>2016</c:v>
                </c:pt>
                <c:pt idx="79">
                  <c:v>2017</c:v>
                </c:pt>
                <c:pt idx="80">
                  <c:v>2018</c:v>
                </c:pt>
                <c:pt idx="81">
                  <c:v>2019</c:v>
                </c:pt>
                <c:pt idx="82">
                  <c:v>2020</c:v>
                </c:pt>
              </c:strCache>
            </c:strRef>
          </c:cat>
          <c:val>
            <c:numRef>
              <c:f>0</c:f>
              <c:numCache>
                <c:formatCode>General</c:formatCode>
                <c:ptCount val="83"/>
                <c:pt idx="1">
                  <c:v>0.586206896551724</c:v>
                </c:pt>
                <c:pt idx="2">
                  <c:v>0.785714285714286</c:v>
                </c:pt>
                <c:pt idx="3">
                  <c:v>0.613138686131387</c:v>
                </c:pt>
                <c:pt idx="4">
                  <c:v>0.9375</c:v>
                </c:pt>
                <c:pt idx="5">
                  <c:v>0.570175438596491</c:v>
                </c:pt>
                <c:pt idx="6">
                  <c:v>0.851351351351351</c:v>
                </c:pt>
                <c:pt idx="7">
                  <c:v>0.972222222222222</c:v>
                </c:pt>
                <c:pt idx="8">
                  <c:v>0.935897435897436</c:v>
                </c:pt>
                <c:pt idx="9">
                  <c:v>0.960526315789474</c:v>
                </c:pt>
                <c:pt idx="10">
                  <c:v>0.860215053763441</c:v>
                </c:pt>
                <c:pt idx="11">
                  <c:v>0.68141592920354</c:v>
                </c:pt>
                <c:pt idx="12">
                  <c:v>0.462962962962963</c:v>
                </c:pt>
                <c:pt idx="13">
                  <c:v>0.738461538461539</c:v>
                </c:pt>
                <c:pt idx="14">
                  <c:v>0.865671641791045</c:v>
                </c:pt>
                <c:pt idx="15">
                  <c:v>0.927536231884058</c:v>
                </c:pt>
                <c:pt idx="16">
                  <c:v>0.730769230769231</c:v>
                </c:pt>
                <c:pt idx="17">
                  <c:v>0.728571428571429</c:v>
                </c:pt>
                <c:pt idx="18">
                  <c:v>0.942028985507246</c:v>
                </c:pt>
                <c:pt idx="19">
                  <c:v>0.835443037974684</c:v>
                </c:pt>
                <c:pt idx="20">
                  <c:v>0.835294117647059</c:v>
                </c:pt>
                <c:pt idx="21">
                  <c:v>0.817073170731707</c:v>
                </c:pt>
                <c:pt idx="22">
                  <c:v>0.902439024390244</c:v>
                </c:pt>
                <c:pt idx="23">
                  <c:v>0.951923076923077</c:v>
                </c:pt>
                <c:pt idx="24">
                  <c:v>0.643835616438356</c:v>
                </c:pt>
                <c:pt idx="25">
                  <c:v>0.917293233082707</c:v>
                </c:pt>
                <c:pt idx="26">
                  <c:v>0.788079470198676</c:v>
                </c:pt>
                <c:pt idx="27">
                  <c:v>0.909090909090909</c:v>
                </c:pt>
                <c:pt idx="28">
                  <c:v>0.935251798561151</c:v>
                </c:pt>
                <c:pt idx="29">
                  <c:v>0.826666666666667</c:v>
                </c:pt>
                <c:pt idx="30">
                  <c:v>0.933333333333333</c:v>
                </c:pt>
                <c:pt idx="31">
                  <c:v>0.881118881118881</c:v>
                </c:pt>
                <c:pt idx="32">
                  <c:v>0.902255639097744</c:v>
                </c:pt>
                <c:pt idx="33">
                  <c:v>0.934306569343066</c:v>
                </c:pt>
                <c:pt idx="34">
                  <c:v>0.924657534246575</c:v>
                </c:pt>
                <c:pt idx="35">
                  <c:v>0.88622754491018</c:v>
                </c:pt>
                <c:pt idx="36">
                  <c:v>0.91304347826087</c:v>
                </c:pt>
                <c:pt idx="37">
                  <c:v>0.967741935483871</c:v>
                </c:pt>
                <c:pt idx="38">
                  <c:v>0.98974358974359</c:v>
                </c:pt>
                <c:pt idx="39">
                  <c:v>0.985781990521327</c:v>
                </c:pt>
                <c:pt idx="40">
                  <c:v>0.966101694915254</c:v>
                </c:pt>
                <c:pt idx="41">
                  <c:v>0.959677419354839</c:v>
                </c:pt>
                <c:pt idx="42">
                  <c:v>0.928838951310862</c:v>
                </c:pt>
                <c:pt idx="43">
                  <c:v>0.946564885496183</c:v>
                </c:pt>
                <c:pt idx="44">
                  <c:v>1</c:v>
                </c:pt>
                <c:pt idx="45">
                  <c:v>0.976897689768977</c:v>
                </c:pt>
                <c:pt idx="46">
                  <c:v>0.956656346749226</c:v>
                </c:pt>
                <c:pt idx="47">
                  <c:v>0.958791208791209</c:v>
                </c:pt>
                <c:pt idx="48">
                  <c:v>0.93368700265252</c:v>
                </c:pt>
                <c:pt idx="49">
                  <c:v>0.969773299748111</c:v>
                </c:pt>
                <c:pt idx="50">
                  <c:v>0.963503649635037</c:v>
                </c:pt>
                <c:pt idx="51">
                  <c:v>0.973429951690821</c:v>
                </c:pt>
                <c:pt idx="52">
                  <c:v>0.973809523809524</c:v>
                </c:pt>
                <c:pt idx="53">
                  <c:v>1</c:v>
                </c:pt>
                <c:pt idx="54">
                  <c:v>1</c:v>
                </c:pt>
                <c:pt idx="55">
                  <c:v>0.985815602836879</c:v>
                </c:pt>
                <c:pt idx="56">
                  <c:v>0.995305164319249</c:v>
                </c:pt>
                <c:pt idx="57">
                  <c:v>0.997757847533632</c:v>
                </c:pt>
                <c:pt idx="58">
                  <c:v>0.986899563318777</c:v>
                </c:pt>
                <c:pt idx="59">
                  <c:v>0.970954356846473</c:v>
                </c:pt>
                <c:pt idx="60">
                  <c:v>0.979959919839679</c:v>
                </c:pt>
                <c:pt idx="61">
                  <c:v>0.933070866141732</c:v>
                </c:pt>
                <c:pt idx="62">
                  <c:v>0.983606557377049</c:v>
                </c:pt>
                <c:pt idx="63">
                  <c:v>0.993951612903226</c:v>
                </c:pt>
                <c:pt idx="64">
                  <c:v>0.996086105675147</c:v>
                </c:pt>
                <c:pt idx="65">
                  <c:v>0.986486486486487</c:v>
                </c:pt>
                <c:pt idx="66">
                  <c:v>0.864864864864865</c:v>
                </c:pt>
                <c:pt idx="67">
                  <c:v>0.982417582417582</c:v>
                </c:pt>
                <c:pt idx="68">
                  <c:v>0.99562363238512</c:v>
                </c:pt>
                <c:pt idx="69">
                  <c:v>0.99644128113879</c:v>
                </c:pt>
                <c:pt idx="70">
                  <c:v>0.964527027027027</c:v>
                </c:pt>
                <c:pt idx="71">
                  <c:v>0.988095238095238</c:v>
                </c:pt>
                <c:pt idx="72">
                  <c:v>0.977564102564103</c:v>
                </c:pt>
                <c:pt idx="73">
                  <c:v>0.957278481012658</c:v>
                </c:pt>
                <c:pt idx="74">
                  <c:v>0.952305246422894</c:v>
                </c:pt>
                <c:pt idx="75">
                  <c:v>0.920454545454545</c:v>
                </c:pt>
                <c:pt idx="76">
                  <c:v>0.878887070376432</c:v>
                </c:pt>
                <c:pt idx="77">
                  <c:v>0.798969072164949</c:v>
                </c:pt>
                <c:pt idx="78">
                  <c:v>0.898608349900597</c:v>
                </c:pt>
                <c:pt idx="79">
                  <c:v>0.991561181434599</c:v>
                </c:pt>
                <c:pt idx="80">
                  <c:v>0.99001996007984</c:v>
                </c:pt>
                <c:pt idx="81">
                  <c:v>0.951737451737452</c:v>
                </c:pt>
                <c:pt idx="82">
                  <c:v>0.949596774193548</c:v>
                </c:pt>
              </c:numCache>
            </c:numRef>
          </c:val>
          <c:smooth val="0"/>
        </c:ser>
        <c:dLbls>
          <c:showBubbleSize val="0"/>
          <c:showCatName val="0"/>
          <c:showLegendKey val="0"/>
          <c:showPercent val="0"/>
          <c:showSerName val="0"/>
          <c:showVal val="0"/>
        </c:dLbls>
        <c:hiLowLines>
          <c:spPr bwMode="auto">
            <a:prstGeom prst="rect">
              <a:avLst/>
            </a:prstGeom>
            <a:ln w="0">
              <a:noFill/>
            </a:ln>
          </c:spPr>
        </c:hiLowLines>
        <c:marker val="0"/>
        <c:smooth val="0"/>
        <c:axId val="7856112"/>
        <c:axId val="77594823"/>
      </c:lineChart>
      <c:catAx>
        <c:axId val="7856112"/>
        <c:scaling>
          <c:orientation val="minMax"/>
        </c:scaling>
        <c:delete val="0"/>
        <c:axPos val="b"/>
        <c:numFmt formatCode="General" sourceLinked="0"/>
        <c:majorTickMark val="none"/>
        <c:minorTickMark val="none"/>
        <c:tickLblPos val="nextTo"/>
        <c:spPr bwMode="auto">
          <a:prstGeom prst="rect">
            <a:avLst/>
          </a:prstGeom>
          <a:ln w="9360">
            <a:solidFill>
              <a:srgbClr val="D9D9D9"/>
            </a:solidFill>
            <a:round/>
          </a:ln>
        </c:spPr>
        <c:txPr>
          <a:bodyPr rot="-5400000"/>
          <a:lstStyle/>
          <a:p>
            <a:pPr>
              <a:defRPr sz="900" b="0" strike="noStrike" spc="-1">
                <a:solidFill>
                  <a:srgbClr val="333333"/>
                </a:solidFill>
                <a:latin typeface="Calibri"/>
                <a:ea typeface="Calibri"/>
              </a:defRPr>
            </a:pPr>
            <a:endParaRPr/>
          </a:p>
        </c:txPr>
        <c:crossAx val="77594823"/>
        <c:crosses val="autoZero"/>
        <c:auto val="1"/>
        <c:lblAlgn val="ctr"/>
        <c:lblOffset val="100"/>
        <c:noMultiLvlLbl val="0"/>
      </c:catAx>
      <c:valAx>
        <c:axId val="77594823"/>
        <c:scaling>
          <c:orientation val="minMax"/>
        </c:scaling>
        <c:delete val="0"/>
        <c:axPos val="l"/>
        <c:majorGridlines>
          <c:spPr bwMode="auto">
            <a:prstGeom prst="rect">
              <a:avLst/>
            </a:prstGeom>
            <a:ln w="9360">
              <a:solidFill>
                <a:srgbClr val="D9D9D9"/>
              </a:solidFill>
              <a:round/>
            </a:ln>
          </c:spPr>
        </c:majorGridlines>
        <c:numFmt formatCode="0.00%" sourceLinked="0"/>
        <c:majorTickMark val="none"/>
        <c:minorTickMark val="none"/>
        <c:tickLblPos val="nextTo"/>
        <c:spPr bwMode="auto">
          <a:prstGeom prst="rect">
            <a:avLst/>
          </a:prstGeom>
          <a:ln w="9360">
            <a:noFill/>
          </a:ln>
        </c:spPr>
        <c:txPr>
          <a:bodyPr/>
          <a:lstStyle/>
          <a:p>
            <a:pPr>
              <a:defRPr sz="900" b="0" strike="noStrike" spc="-1">
                <a:solidFill>
                  <a:srgbClr val="333333"/>
                </a:solidFill>
                <a:latin typeface="Calibri"/>
                <a:ea typeface="Calibri"/>
              </a:defRPr>
            </a:pPr>
            <a:endParaRPr/>
          </a:p>
        </c:txPr>
        <c:crossAx val="7856112"/>
        <c:crosses val="autoZero"/>
        <c:crossBetween val="between"/>
      </c:valAx>
      <c:spPr bwMode="auto">
        <a:prstGeom prst="rect">
          <a:avLst/>
        </a:prstGeom>
        <a:noFill/>
        <a:ln w="25560">
          <a:noFill/>
        </a:ln>
      </c:spPr>
    </c:plotArea>
    <c:legend>
      <c:legendPos val="r"/>
      <c:layout/>
      <c:overlay val="0"/>
      <c:spPr bwMode="auto">
        <a:prstGeom prst="rect">
          <a:avLst/>
        </a:prstGeom>
        <a:noFill/>
        <a:ln w="25560">
          <a:noFill/>
        </a:ln>
      </c:spPr>
      <c:txPr>
        <a:bodyPr/>
        <a:lstStyle/>
        <a:p>
          <a:pPr>
            <a:defRPr sz="850" b="0" strike="noStrike" spc="-1">
              <a:solidFill>
                <a:srgbClr val="333333"/>
              </a:solidFill>
              <a:latin typeface="Calibri"/>
              <a:ea typeface="Calibri"/>
            </a:defRPr>
          </a:pPr>
          <a:endParaRPr/>
        </a:p>
      </c:txPr>
    </c:legend>
    <c:plotVisOnly val="1"/>
    <c:dispBlanksAs val="gap"/>
    <c:showDLblsOverMax val="0"/>
  </c:chart>
  <c:spPr bwMode="auto">
    <a:xfrm rot="0">
      <a:off x="13731120" y="3400560"/>
      <a:ext cx="9387000" cy="2742480"/>
    </a:xfrm>
    <a:prstGeom prst="rect">
      <a:avLst/>
    </a:prstGeom>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autoTitleDeleted val="1"/>
    <c:view3D>
      <c:rotX val="15"/>
      <c:rotY val="20"/>
      <c:rAngAx val="1"/>
      <c:perspective val="30"/>
    </c:view3D>
    <c:floor>
      <c:spPr bwMode="auto">
        <a:prstGeom prst="rect">
          <a:avLst/>
        </a:prstGeom>
        <a:noFill/>
        <a:ln w="9360">
          <a:solidFill>
            <a:srgbClr val="878787"/>
          </a:solidFill>
          <a:round/>
        </a:ln>
      </c:spPr>
    </c:floor>
    <c:sideWall>
      <c:spPr bwMode="auto">
        <a:prstGeom prst="rect">
          <a:avLst/>
        </a:prstGeom>
        <a:noFill/>
        <a:ln w="9360">
          <a:solidFill>
            <a:srgbClr val="878787"/>
          </a:solidFill>
          <a:round/>
        </a:ln>
      </c:spPr>
    </c:sideWall>
    <c:backWall>
      <c:spPr bwMode="auto">
        <a:prstGeom prst="rect">
          <a:avLst/>
        </a:prstGeom>
        <a:noFill/>
        <a:ln w="9360">
          <a:solidFill>
            <a:srgbClr val="878787"/>
          </a:solidFill>
          <a:round/>
        </a:ln>
      </c:spPr>
    </c:backWall>
    <c:plotArea>
      <c:layout/>
      <c:bar3DChart>
        <c:barDir val="col"/>
        <c:grouping val="stacked"/>
        <c:varyColors val="0"/>
        <c:ser>
          <c:idx val="0"/>
          <c:order val="0"/>
          <c:tx>
            <c:strRef>
              <c:f>'TABELAS DINAMICAS'!$B$31:$B$32</c:f>
              <c:strCache>
                <c:ptCount val="1"/>
                <c:pt idx="0">
                  <c:v>Situação legal do bem T</c:v>
                </c:pt>
              </c:strCache>
            </c:strRef>
          </c:tx>
          <c:spPr bwMode="auto">
            <a:prstGeom prst="rect">
              <a:avLst/>
            </a:prstGeom>
            <a:solidFill>
              <a:srgbClr val="4F81BD"/>
            </a:solidFill>
            <a:ln w="0">
              <a:noFill/>
            </a:ln>
          </c:spPr>
          <c:invertIfNegative val="0"/>
          <c:dLbls>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'TABELAS DINAMICAS'!$A$33:$A$39</c:f>
              <c:strCache>
                <c:ptCount val="7"/>
                <c:pt idx="0">
                  <c:v>CO</c:v>
                </c:pt>
                <c:pt idx="1">
                  <c:v>N</c:v>
                </c:pt>
                <c:pt idx="2">
                  <c:v>NE</c:v>
                </c:pt>
                <c:pt idx="3">
                  <c:v>S</c:v>
                </c:pt>
                <c:pt idx="4">
                  <c:v>SE</c:v>
                </c:pt>
                <c:pt idx="5">
                  <c:v>(vazio)</c:v>
                </c:pt>
                <c:pt idx="6">
                  <c:v>Total Geral</c:v>
                </c:pt>
              </c:strCache>
            </c:strRef>
          </c:cat>
          <c:val>
            <c:numRef>
              <c:f>'TABELAS DINAMICAS'!$B$33:$B$39</c:f>
              <c:numCache>
                <c:formatCode>General</c:formatCode>
                <c:ptCount val="7"/>
                <c:pt idx="0">
                  <c:v>67</c:v>
                </c:pt>
                <c:pt idx="1">
                  <c:v>39</c:v>
                </c:pt>
                <c:pt idx="2">
                  <c:v>413</c:v>
                </c:pt>
                <c:pt idx="3">
                  <c:v>146</c:v>
                </c:pt>
                <c:pt idx="4">
                  <c:v>561</c:v>
                </c:pt>
                <c:pt idx="6">
                  <c:v>1226</c:v>
                </c:pt>
              </c:numCache>
            </c:numRef>
          </c:val>
        </c:ser>
        <c:ser>
          <c:idx val="1"/>
          <c:order val="1"/>
          <c:tx>
            <c:strRef>
              <c:f>'TABELAS DINAMICAS'!$C$31:$C$32</c:f>
              <c:strCache>
                <c:ptCount val="1"/>
                <c:pt idx="0">
                  <c:v>TA</c:v>
                </c:pt>
              </c:strCache>
            </c:strRef>
          </c:tx>
          <c:spPr bwMode="auto">
            <a:prstGeom prst="rect">
              <a:avLst/>
            </a:prstGeom>
            <a:solidFill>
              <a:srgbClr val="C0504D"/>
            </a:solidFill>
            <a:ln w="0">
              <a:noFill/>
            </a:ln>
          </c:spPr>
          <c:invertIfNegative val="0"/>
          <c:dLbls>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'TABELAS DINAMICAS'!$A$33:$A$39</c:f>
              <c:strCache>
                <c:ptCount val="7"/>
                <c:pt idx="0">
                  <c:v>CO</c:v>
                </c:pt>
                <c:pt idx="1">
                  <c:v>N</c:v>
                </c:pt>
                <c:pt idx="2">
                  <c:v>NE</c:v>
                </c:pt>
                <c:pt idx="3">
                  <c:v>S</c:v>
                </c:pt>
                <c:pt idx="4">
                  <c:v>SE</c:v>
                </c:pt>
                <c:pt idx="5">
                  <c:v>(vazio)</c:v>
                </c:pt>
                <c:pt idx="6">
                  <c:v>Total Geral</c:v>
                </c:pt>
              </c:strCache>
            </c:strRef>
          </c:cat>
          <c:val>
            <c:numRef>
              <c:f>'TABELAS DINAMICAS'!$C$33:$C$39</c:f>
              <c:numCache>
                <c:formatCode>General</c:formatCode>
                <c:ptCount val="7"/>
                <c:pt idx="0">
                  <c:v>2</c:v>
                </c:pt>
                <c:pt idx="1">
                  <c:v>5</c:v>
                </c:pt>
                <c:pt idx="2">
                  <c:v>2</c:v>
                </c:pt>
                <c:pt idx="3">
                  <c:v>2</c:v>
                </c:pt>
                <c:pt idx="4">
                  <c:v>6</c:v>
                </c:pt>
                <c:pt idx="6">
                  <c:v>17</c:v>
                </c:pt>
              </c:numCache>
            </c:numRef>
          </c:val>
        </c:ser>
        <c:ser>
          <c:idx val="2"/>
          <c:order val="2"/>
          <c:tx>
            <c:strRef>
              <c:f>'TABELAS DINAMICAS'!$D$31:$D$32</c:f>
              <c:strCache>
                <c:ptCount val="1"/>
                <c:pt idx="0">
                  <c:v>TP</c:v>
                </c:pt>
              </c:strCache>
            </c:strRef>
          </c:tx>
          <c:spPr bwMode="auto">
            <a:prstGeom prst="rect">
              <a:avLst/>
            </a:prstGeom>
            <a:solidFill>
              <a:srgbClr val="9BBB59"/>
            </a:solidFill>
            <a:ln w="0">
              <a:noFill/>
            </a:ln>
          </c:spPr>
          <c:invertIfNegative val="0"/>
          <c:dLbls>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'TABELAS DINAMICAS'!$A$33:$A$39</c:f>
              <c:strCache>
                <c:ptCount val="7"/>
                <c:pt idx="0">
                  <c:v>CO</c:v>
                </c:pt>
                <c:pt idx="1">
                  <c:v>N</c:v>
                </c:pt>
                <c:pt idx="2">
                  <c:v>NE</c:v>
                </c:pt>
                <c:pt idx="3">
                  <c:v>S</c:v>
                </c:pt>
                <c:pt idx="4">
                  <c:v>SE</c:v>
                </c:pt>
                <c:pt idx="5">
                  <c:v>(vazio)</c:v>
                </c:pt>
                <c:pt idx="6">
                  <c:v>Total Geral</c:v>
                </c:pt>
              </c:strCache>
            </c:strRef>
          </c:cat>
          <c:val>
            <c:numRef>
              <c:f>'TABELAS DINAMICAS'!$D$33:$D$39</c:f>
              <c:numCache>
                <c:formatCode>General</c:formatCode>
                <c:ptCount val="7"/>
                <c:pt idx="0">
                  <c:v>1</c:v>
                </c:pt>
                <c:pt idx="1">
                  <c:v>2</c:v>
                </c:pt>
                <c:pt idx="2">
                  <c:v>8</c:v>
                </c:pt>
                <c:pt idx="3">
                  <c:v>7</c:v>
                </c:pt>
                <c:pt idx="4">
                  <c:v>5</c:v>
                </c:pt>
                <c:pt idx="5">
                  <c:v>1</c:v>
                </c:pt>
                <c:pt idx="6">
                  <c:v>24</c:v>
                </c:pt>
              </c:numCache>
            </c:numRef>
          </c:val>
        </c:ser>
        <c:dLbls>
          <c:showBubbleSize val="0"/>
          <c:showCatName val="0"/>
          <c:showLegendKey val="0"/>
          <c:showPercent val="0"/>
          <c:showSerName val="0"/>
          <c:showVal val="0"/>
        </c:dLbls>
        <c:gapWidth val="150"/>
        <c:shape val="box"/>
        <c:axId val="67586806"/>
        <c:axId val="38142236"/>
      </c:bar3DChart>
      <c:catAx>
        <c:axId val="67586806"/>
        <c:scaling>
          <c:orientation val="minMax"/>
        </c:scaling>
        <c:delete val="0"/>
        <c:axPos val="b"/>
        <c:numFmt formatCode="General" sourceLinked="0"/>
        <c:majorTickMark val="out"/>
        <c:minorTickMark val="none"/>
        <c:tickLblPos val="nextTo"/>
        <c:spPr bwMode="auto">
          <a:prstGeom prst="rect">
            <a:avLst/>
          </a:prstGeom>
          <a:ln w="9360">
            <a:solidFill>
              <a:srgbClr val="878787"/>
            </a:solidFill>
            <a:round/>
          </a:ln>
        </c:spPr>
        <c:txPr>
          <a:bodyPr/>
          <a:lstStyle/>
          <a:p>
            <a:pPr>
              <a:defRPr sz="1000" b="0" strike="noStrike" spc="-1">
                <a:solidFill>
                  <a:srgbClr val="000000"/>
                </a:solidFill>
                <a:latin typeface="Calibri"/>
                <a:ea typeface="Calibri"/>
              </a:defRPr>
            </a:pPr>
            <a:endParaRPr/>
          </a:p>
        </c:txPr>
        <c:crossAx val="38142236"/>
        <c:crosses val="autoZero"/>
        <c:auto val="1"/>
        <c:lblAlgn val="ctr"/>
        <c:lblOffset val="100"/>
        <c:noMultiLvlLbl val="0"/>
      </c:catAx>
      <c:valAx>
        <c:axId val="38142236"/>
        <c:scaling>
          <c:orientation val="minMax"/>
        </c:scaling>
        <c:delete val="0"/>
        <c:axPos val="l"/>
        <c:majorGridlines>
          <c:spPr bwMode="auto">
            <a:prstGeom prst="rect">
              <a:avLst/>
            </a:prstGeom>
            <a:ln w="9360">
              <a:solidFill>
                <a:srgbClr val="878787"/>
              </a:solidFill>
              <a:round/>
            </a:ln>
          </c:spPr>
        </c:majorGridlines>
        <c:numFmt formatCode="General" sourceLinked="0"/>
        <c:majorTickMark val="out"/>
        <c:minorTickMark val="none"/>
        <c:tickLblPos val="nextTo"/>
        <c:spPr bwMode="auto">
          <a:prstGeom prst="rect">
            <a:avLst/>
          </a:prstGeom>
          <a:ln w="9360">
            <a:solidFill>
              <a:srgbClr val="878787"/>
            </a:solidFill>
            <a:round/>
          </a:ln>
        </c:spPr>
        <c:txPr>
          <a:bodyPr/>
          <a:lstStyle/>
          <a:p>
            <a:pPr>
              <a:defRPr sz="1000" b="0" strike="noStrike" spc="-1">
                <a:solidFill>
                  <a:srgbClr val="000000"/>
                </a:solidFill>
                <a:latin typeface="Calibri"/>
                <a:ea typeface="Calibri"/>
              </a:defRPr>
            </a:pPr>
            <a:endParaRPr/>
          </a:p>
        </c:txPr>
        <c:crossAx val="67586806"/>
        <c:crosses val="autoZero"/>
        <c:crossBetween val="between"/>
      </c:valAx>
    </c:plotArea>
    <c:legend>
      <c:legendPos val="r"/>
      <c:layout/>
      <c:overlay val="0"/>
      <c:spPr bwMode="auto">
        <a:prstGeom prst="rect">
          <a:avLst/>
        </a:prstGeom>
        <a:noFill/>
        <a:ln w="0">
          <a:noFill/>
        </a:ln>
      </c:spPr>
      <c:txPr>
        <a:bodyPr/>
        <a:lstStyle/>
        <a:p>
          <a:pPr>
            <a:defRPr sz="500" b="0" strike="noStrike" spc="-1">
              <a:solidFill>
                <a:srgbClr val="000000"/>
              </a:solidFill>
              <a:latin typeface="Calibri"/>
              <a:ea typeface="Calibri"/>
            </a:defRPr>
          </a:pPr>
          <a:endParaRPr/>
        </a:p>
      </c:txPr>
    </c:legend>
    <c:plotVisOnly val="1"/>
    <c:dispBlanksAs val="gap"/>
    <c:showDLblsOverMax val="0"/>
  </c:chart>
  <c:spPr bwMode="auto">
    <a:xfrm rot="0">
      <a:off x="7709039" y="4267440"/>
      <a:ext cx="4388760" cy="2361960"/>
    </a:xfrm>
    <a:prstGeom prst="rect">
      <a:avLst/>
    </a:prstGeom>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autoTitleDeleted val="1"/>
    <c:view3D>
      <c:rotX val="15"/>
      <c:rotY val="20"/>
      <c:rAngAx val="1"/>
      <c:perspective val="30"/>
    </c:view3D>
    <c:floor>
      <c:spPr bwMode="auto">
        <a:prstGeom prst="rect">
          <a:avLst/>
        </a:prstGeom>
        <a:noFill/>
        <a:ln w="9360">
          <a:solidFill>
            <a:srgbClr val="878787"/>
          </a:solidFill>
          <a:round/>
        </a:ln>
      </c:spPr>
    </c:floor>
    <c:sideWall>
      <c:spPr bwMode="auto">
        <a:prstGeom prst="rect">
          <a:avLst/>
        </a:prstGeom>
        <a:noFill/>
        <a:ln w="9360">
          <a:solidFill>
            <a:srgbClr val="878787"/>
          </a:solidFill>
          <a:round/>
        </a:ln>
      </c:spPr>
    </c:sideWall>
    <c:backWall>
      <c:spPr bwMode="auto">
        <a:prstGeom prst="rect">
          <a:avLst/>
        </a:prstGeom>
        <a:noFill/>
        <a:ln w="9360">
          <a:solidFill>
            <a:srgbClr val="878787"/>
          </a:solidFill>
          <a:round/>
        </a:ln>
      </c:spPr>
    </c:backWall>
    <c:plotArea>
      <c:layout/>
      <c:bar3DChart>
        <c:barDir val="col"/>
        <c:grouping val="stacked"/>
        <c:varyColors val="0"/>
        <c:ser>
          <c:idx val="0"/>
          <c:order val="0"/>
          <c:tx>
            <c:strRef>
              <c:f>'TABELAS DINAMICAS'!$B$3:$B$4</c:f>
              <c:strCache>
                <c:ptCount val="1"/>
                <c:pt idx="0">
                  <c:v>Situação legal do bem T</c:v>
                </c:pt>
              </c:strCache>
            </c:strRef>
          </c:tx>
          <c:spPr bwMode="auto">
            <a:prstGeom prst="rect">
              <a:avLst/>
            </a:prstGeom>
            <a:solidFill>
              <a:srgbClr val="4F81BD"/>
            </a:solidFill>
            <a:ln w="0">
              <a:noFill/>
            </a:ln>
          </c:spPr>
          <c:invertIfNegative val="0"/>
          <c:dLbls>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'TABELAS DINAMICAS'!$A$5:$A$20</c:f>
              <c:strCache>
                <c:ptCount val="16"/>
                <c:pt idx="0">
                  <c:v>Bem paleontológico</c:v>
                </c:pt>
                <c:pt idx="1">
                  <c:v>Conjunto Arquitetônico</c:v>
                </c:pt>
                <c:pt idx="2">
                  <c:v>Conjunto Rural</c:v>
                </c:pt>
                <c:pt idx="3">
                  <c:v>Conjunto Urbano</c:v>
                </c:pt>
                <c:pt idx="4">
                  <c:v>Edificação</c:v>
                </c:pt>
                <c:pt idx="5">
                  <c:v>Edificação e Acervo</c:v>
                </c:pt>
                <c:pt idx="6">
                  <c:v>Jardim Histórico</c:v>
                </c:pt>
                <c:pt idx="7">
                  <c:v>Quilombo</c:v>
                </c:pt>
                <c:pt idx="8">
                  <c:v>Ruína</c:v>
                </c:pt>
                <c:pt idx="9">
                  <c:v>Sítio arqueológico</c:v>
                </c:pt>
                <c:pt idx="10">
                  <c:v>Terreiro</c:v>
                </c:pt>
                <c:pt idx="11">
                  <c:v>Patrimônio Natural</c:v>
                </c:pt>
                <c:pt idx="12">
                  <c:v>Coleção ou acervo</c:v>
                </c:pt>
                <c:pt idx="13">
                  <c:v>Bem móvel ou integrado</c:v>
                </c:pt>
                <c:pt idx="14">
                  <c:v>Infraestrutura ou equipamento urbano</c:v>
                </c:pt>
                <c:pt idx="15">
                  <c:v>Total Geral</c:v>
                </c:pt>
              </c:strCache>
            </c:strRef>
          </c:cat>
          <c:val>
            <c:numRef>
              <c:f>'TABELAS DINAMICAS'!$B$5:$B$20</c:f>
              <c:numCache>
                <c:formatCode>General</c:formatCode>
                <c:ptCount val="16"/>
                <c:pt idx="0">
                  <c:v>1</c:v>
                </c:pt>
                <c:pt idx="1">
                  <c:v>93</c:v>
                </c:pt>
                <c:pt idx="2">
                  <c:v>32</c:v>
                </c:pt>
                <c:pt idx="3">
                  <c:v>81</c:v>
                </c:pt>
                <c:pt idx="4">
                  <c:v>430</c:v>
                </c:pt>
                <c:pt idx="5">
                  <c:v>371</c:v>
                </c:pt>
                <c:pt idx="6">
                  <c:v>19</c:v>
                </c:pt>
                <c:pt idx="7">
                  <c:v>1</c:v>
                </c:pt>
                <c:pt idx="8">
                  <c:v>29</c:v>
                </c:pt>
                <c:pt idx="9">
                  <c:v>7</c:v>
                </c:pt>
                <c:pt idx="10">
                  <c:v>11</c:v>
                </c:pt>
                <c:pt idx="11">
                  <c:v>20</c:v>
                </c:pt>
                <c:pt idx="12">
                  <c:v>28</c:v>
                </c:pt>
                <c:pt idx="13">
                  <c:v>56</c:v>
                </c:pt>
                <c:pt idx="14">
                  <c:v>47</c:v>
                </c:pt>
                <c:pt idx="15">
                  <c:v>1226</c:v>
                </c:pt>
              </c:numCache>
            </c:numRef>
          </c:val>
        </c:ser>
        <c:ser>
          <c:idx val="1"/>
          <c:order val="1"/>
          <c:tx>
            <c:strRef>
              <c:f>'TABELAS DINAMICAS'!$C$3:$C$4</c:f>
              <c:strCache>
                <c:ptCount val="1"/>
                <c:pt idx="0">
                  <c:v>TA</c:v>
                </c:pt>
              </c:strCache>
            </c:strRef>
          </c:tx>
          <c:spPr bwMode="auto">
            <a:prstGeom prst="rect">
              <a:avLst/>
            </a:prstGeom>
            <a:solidFill>
              <a:srgbClr val="C0504D"/>
            </a:solidFill>
            <a:ln w="0">
              <a:noFill/>
            </a:ln>
          </c:spPr>
          <c:invertIfNegative val="0"/>
          <c:dLbls>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'TABELAS DINAMICAS'!$A$5:$A$20</c:f>
              <c:strCache>
                <c:ptCount val="16"/>
                <c:pt idx="0">
                  <c:v>Bem paleontológico</c:v>
                </c:pt>
                <c:pt idx="1">
                  <c:v>Conjunto Arquitetônico</c:v>
                </c:pt>
                <c:pt idx="2">
                  <c:v>Conjunto Rural</c:v>
                </c:pt>
                <c:pt idx="3">
                  <c:v>Conjunto Urbano</c:v>
                </c:pt>
                <c:pt idx="4">
                  <c:v>Edificação</c:v>
                </c:pt>
                <c:pt idx="5">
                  <c:v>Edificação e Acervo</c:v>
                </c:pt>
                <c:pt idx="6">
                  <c:v>Jardim Histórico</c:v>
                </c:pt>
                <c:pt idx="7">
                  <c:v>Quilombo</c:v>
                </c:pt>
                <c:pt idx="8">
                  <c:v>Ruína</c:v>
                </c:pt>
                <c:pt idx="9">
                  <c:v>Sítio arqueológico</c:v>
                </c:pt>
                <c:pt idx="10">
                  <c:v>Terreiro</c:v>
                </c:pt>
                <c:pt idx="11">
                  <c:v>Patrimônio Natural</c:v>
                </c:pt>
                <c:pt idx="12">
                  <c:v>Coleção ou acervo</c:v>
                </c:pt>
                <c:pt idx="13">
                  <c:v>Bem móvel ou integrado</c:v>
                </c:pt>
                <c:pt idx="14">
                  <c:v>Infraestrutura ou equipamento urbano</c:v>
                </c:pt>
                <c:pt idx="15">
                  <c:v>Total Geral</c:v>
                </c:pt>
              </c:strCache>
            </c:strRef>
          </c:cat>
          <c:val>
            <c:numRef>
              <c:f>'TABELAS DINAMICAS'!$C$5:$C$20</c:f>
              <c:numCache>
                <c:formatCode>General</c:formatCode>
                <c:ptCount val="16"/>
                <c:pt idx="1">
                  <c:v>2</c:v>
                </c:pt>
                <c:pt idx="3">
                  <c:v>2</c:v>
                </c:pt>
                <c:pt idx="4">
                  <c:v>2</c:v>
                </c:pt>
                <c:pt idx="5">
                  <c:v>4</c:v>
                </c:pt>
                <c:pt idx="8">
                  <c:v>4</c:v>
                </c:pt>
                <c:pt idx="11">
                  <c:v>1</c:v>
                </c:pt>
                <c:pt idx="12">
                  <c:v>2</c:v>
                </c:pt>
                <c:pt idx="15">
                  <c:v>17</c:v>
                </c:pt>
              </c:numCache>
            </c:numRef>
          </c:val>
        </c:ser>
        <c:ser>
          <c:idx val="2"/>
          <c:order val="2"/>
          <c:tx>
            <c:strRef>
              <c:f>'TABELAS DINAMICAS'!$D$3:$D$4</c:f>
              <c:strCache>
                <c:ptCount val="1"/>
                <c:pt idx="0">
                  <c:v>TP</c:v>
                </c:pt>
              </c:strCache>
            </c:strRef>
          </c:tx>
          <c:spPr bwMode="auto">
            <a:prstGeom prst="rect">
              <a:avLst/>
            </a:prstGeom>
            <a:solidFill>
              <a:srgbClr val="9BBB59"/>
            </a:solidFill>
            <a:ln w="0">
              <a:noFill/>
            </a:ln>
          </c:spPr>
          <c:invertIfNegative val="0"/>
          <c:dLbls>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'TABELAS DINAMICAS'!$A$5:$A$20</c:f>
              <c:strCache>
                <c:ptCount val="16"/>
                <c:pt idx="0">
                  <c:v>Bem paleontológico</c:v>
                </c:pt>
                <c:pt idx="1">
                  <c:v>Conjunto Arquitetônico</c:v>
                </c:pt>
                <c:pt idx="2">
                  <c:v>Conjunto Rural</c:v>
                </c:pt>
                <c:pt idx="3">
                  <c:v>Conjunto Urbano</c:v>
                </c:pt>
                <c:pt idx="4">
                  <c:v>Edificação</c:v>
                </c:pt>
                <c:pt idx="5">
                  <c:v>Edificação e Acervo</c:v>
                </c:pt>
                <c:pt idx="6">
                  <c:v>Jardim Histórico</c:v>
                </c:pt>
                <c:pt idx="7">
                  <c:v>Quilombo</c:v>
                </c:pt>
                <c:pt idx="8">
                  <c:v>Ruína</c:v>
                </c:pt>
                <c:pt idx="9">
                  <c:v>Sítio arqueológico</c:v>
                </c:pt>
                <c:pt idx="10">
                  <c:v>Terreiro</c:v>
                </c:pt>
                <c:pt idx="11">
                  <c:v>Patrimônio Natural</c:v>
                </c:pt>
                <c:pt idx="12">
                  <c:v>Coleção ou acervo</c:v>
                </c:pt>
                <c:pt idx="13">
                  <c:v>Bem móvel ou integrado</c:v>
                </c:pt>
                <c:pt idx="14">
                  <c:v>Infraestrutura ou equipamento urbano</c:v>
                </c:pt>
                <c:pt idx="15">
                  <c:v>Total Geral</c:v>
                </c:pt>
              </c:strCache>
            </c:strRef>
          </c:cat>
          <c:val>
            <c:numRef>
              <c:f>'TABELAS DINAMICAS'!$D$5:$D$20</c:f>
              <c:numCache>
                <c:formatCode>General</c:formatCode>
                <c:ptCount val="16"/>
                <c:pt idx="1">
                  <c:v>2</c:v>
                </c:pt>
                <c:pt idx="3">
                  <c:v>5</c:v>
                </c:pt>
                <c:pt idx="4">
                  <c:v>2</c:v>
                </c:pt>
                <c:pt idx="5">
                  <c:v>5</c:v>
                </c:pt>
                <c:pt idx="10">
                  <c:v>1</c:v>
                </c:pt>
                <c:pt idx="11">
                  <c:v>1</c:v>
                </c:pt>
                <c:pt idx="12">
                  <c:v>3</c:v>
                </c:pt>
                <c:pt idx="13">
                  <c:v>5</c:v>
                </c:pt>
                <c:pt idx="15">
                  <c:v>24</c:v>
                </c:pt>
              </c:numCache>
            </c:numRef>
          </c:val>
        </c:ser>
        <c:dLbls>
          <c:showBubbleSize val="0"/>
          <c:showCatName val="0"/>
          <c:showLegendKey val="0"/>
          <c:showPercent val="0"/>
          <c:showSerName val="0"/>
          <c:showVal val="0"/>
        </c:dLbls>
        <c:gapWidth val="150"/>
        <c:shape val="box"/>
        <c:axId val="51125234"/>
        <c:axId val="21262186"/>
      </c:bar3DChart>
      <c:catAx>
        <c:axId val="51125234"/>
        <c:scaling>
          <c:orientation val="minMax"/>
        </c:scaling>
        <c:delete val="0"/>
        <c:axPos val="b"/>
        <c:numFmt formatCode="General" sourceLinked="0"/>
        <c:majorTickMark val="out"/>
        <c:minorTickMark val="none"/>
        <c:tickLblPos val="nextTo"/>
        <c:spPr bwMode="auto">
          <a:prstGeom prst="rect">
            <a:avLst/>
          </a:prstGeom>
          <a:ln w="9360">
            <a:solidFill>
              <a:srgbClr val="878787"/>
            </a:solidFill>
            <a:round/>
          </a:ln>
        </c:spPr>
        <c:txPr>
          <a:bodyPr rot="-2700000"/>
          <a:lstStyle/>
          <a:p>
            <a:pPr>
              <a:defRPr sz="1000" b="0" strike="noStrike" spc="-1">
                <a:solidFill>
                  <a:srgbClr val="000000"/>
                </a:solidFill>
                <a:latin typeface="Calibri"/>
                <a:ea typeface="Calibri"/>
              </a:defRPr>
            </a:pPr>
            <a:endParaRPr/>
          </a:p>
        </c:txPr>
        <c:crossAx val="21262186"/>
        <c:crosses val="autoZero"/>
        <c:auto val="1"/>
        <c:lblAlgn val="ctr"/>
        <c:lblOffset val="100"/>
        <c:noMultiLvlLbl val="0"/>
      </c:catAx>
      <c:valAx>
        <c:axId val="21262186"/>
        <c:scaling>
          <c:orientation val="minMax"/>
        </c:scaling>
        <c:delete val="0"/>
        <c:axPos val="l"/>
        <c:majorGridlines>
          <c:spPr bwMode="auto">
            <a:prstGeom prst="rect">
              <a:avLst/>
            </a:prstGeom>
            <a:ln w="9360">
              <a:solidFill>
                <a:srgbClr val="878787"/>
              </a:solidFill>
              <a:round/>
            </a:ln>
          </c:spPr>
        </c:majorGridlines>
        <c:numFmt formatCode="General" sourceLinked="0"/>
        <c:majorTickMark val="out"/>
        <c:minorTickMark val="none"/>
        <c:tickLblPos val="nextTo"/>
        <c:spPr bwMode="auto">
          <a:prstGeom prst="rect">
            <a:avLst/>
          </a:prstGeom>
          <a:ln w="9360">
            <a:solidFill>
              <a:srgbClr val="878787"/>
            </a:solidFill>
            <a:round/>
          </a:ln>
        </c:spPr>
        <c:txPr>
          <a:bodyPr/>
          <a:lstStyle/>
          <a:p>
            <a:pPr>
              <a:defRPr sz="1000" b="0" strike="noStrike" spc="-1">
                <a:solidFill>
                  <a:srgbClr val="000000"/>
                </a:solidFill>
                <a:latin typeface="Calibri"/>
                <a:ea typeface="Calibri"/>
              </a:defRPr>
            </a:pPr>
            <a:endParaRPr/>
          </a:p>
        </c:txPr>
        <c:crossAx val="51125234"/>
        <c:crosses val="autoZero"/>
        <c:crossBetween val="between"/>
      </c:valAx>
    </c:plotArea>
    <c:legend>
      <c:legendPos val="r"/>
      <c:layout/>
      <c:overlay val="0"/>
      <c:spPr bwMode="auto">
        <a:prstGeom prst="rect">
          <a:avLst/>
        </a:prstGeom>
        <a:noFill/>
        <a:ln w="0">
          <a:noFill/>
        </a:ln>
      </c:spPr>
      <c:txPr>
        <a:bodyPr/>
        <a:lstStyle/>
        <a:p>
          <a:pPr>
            <a:defRPr sz="500" b="0" strike="noStrike" spc="-1">
              <a:solidFill>
                <a:srgbClr val="000000"/>
              </a:solidFill>
              <a:latin typeface="Calibri"/>
              <a:ea typeface="Calibri"/>
            </a:defRPr>
          </a:pPr>
          <a:endParaRPr/>
        </a:p>
      </c:txPr>
    </c:legend>
    <c:plotVisOnly val="1"/>
    <c:dispBlanksAs val="gap"/>
    <c:showDLblsOverMax val="0"/>
  </c:chart>
  <c:spPr bwMode="auto">
    <a:xfrm rot="0">
      <a:off x="12288600" y="714240"/>
      <a:ext cx="9019440" cy="2743200"/>
    </a:xfrm>
    <a:prstGeom prst="rect">
      <a:avLst/>
    </a:prstGeom>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autoTitleDeleted val="1"/>
    <c:view3D>
      <c:rotX val="15"/>
      <c:rotY val="20"/>
      <c:rAngAx val="1"/>
      <c:perspective val="30"/>
    </c:view3D>
    <c:floor>
      <c:spPr bwMode="auto">
        <a:prstGeom prst="rect">
          <a:avLst/>
        </a:prstGeom>
        <a:noFill/>
        <a:ln w="9360">
          <a:solidFill>
            <a:srgbClr val="878787"/>
          </a:solidFill>
          <a:round/>
        </a:ln>
      </c:spPr>
    </c:floor>
    <c:sideWall>
      <c:spPr bwMode="auto">
        <a:prstGeom prst="rect">
          <a:avLst/>
        </a:prstGeom>
        <a:noFill/>
        <a:ln w="9360">
          <a:solidFill>
            <a:srgbClr val="878787"/>
          </a:solidFill>
          <a:round/>
        </a:ln>
      </c:spPr>
    </c:sideWall>
    <c:backWall>
      <c:spPr bwMode="auto">
        <a:prstGeom prst="rect">
          <a:avLst/>
        </a:prstGeom>
        <a:noFill/>
        <a:ln w="9360">
          <a:solidFill>
            <a:srgbClr val="878787"/>
          </a:solidFill>
          <a:round/>
        </a:ln>
      </c:spPr>
    </c:backWall>
    <c:plotArea>
      <c:layout/>
      <c:bar3DChart>
        <c:barDir val="col"/>
        <c:grouping val="stacked"/>
        <c:varyColors val="0"/>
        <c:ser>
          <c:idx val="0"/>
          <c:order val="0"/>
          <c:tx>
            <c:strRef>
              <c:f>'TABELAS DINAMICAS'!$B$44:$B$45</c:f>
              <c:strCache>
                <c:ptCount val="1"/>
                <c:pt idx="0">
                  <c:v>Situação legal do bem T</c:v>
                </c:pt>
              </c:strCache>
            </c:strRef>
          </c:tx>
          <c:spPr bwMode="auto">
            <a:prstGeom prst="rect">
              <a:avLst/>
            </a:prstGeom>
            <a:solidFill>
              <a:srgbClr val="4F81BD"/>
            </a:solidFill>
            <a:ln w="0">
              <a:noFill/>
            </a:ln>
          </c:spPr>
          <c:invertIfNegative val="0"/>
          <c:dLbls>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'TABELAS DINAMICAS'!$A$46:$A$73</c:f>
              <c:strCache>
                <c:ptCount val="28"/>
                <c:pt idx="0">
                  <c:v>AC</c:v>
                </c:pt>
                <c:pt idx="1">
                  <c:v>AL</c:v>
                </c:pt>
                <c:pt idx="2">
                  <c:v>AM</c:v>
                </c:pt>
                <c:pt idx="3">
                  <c:v>AP</c:v>
                </c:pt>
                <c:pt idx="4">
                  <c:v>BA</c:v>
                </c:pt>
                <c:pt idx="5">
                  <c:v>CE</c:v>
                </c:pt>
                <c:pt idx="6">
                  <c:v>DF</c:v>
                </c:pt>
                <c:pt idx="7">
                  <c:v>ES</c:v>
                </c:pt>
                <c:pt idx="8">
                  <c:v>GO</c:v>
                </c:pt>
                <c:pt idx="9">
                  <c:v>MA</c:v>
                </c:pt>
                <c:pt idx="10">
                  <c:v>MG</c:v>
                </c:pt>
                <c:pt idx="11">
                  <c:v>MS</c:v>
                </c:pt>
                <c:pt idx="12">
                  <c:v>MT</c:v>
                </c:pt>
                <c:pt idx="13">
                  <c:v>PA</c:v>
                </c:pt>
                <c:pt idx="14">
                  <c:v>PB</c:v>
                </c:pt>
                <c:pt idx="15">
                  <c:v>PE</c:v>
                </c:pt>
                <c:pt idx="16">
                  <c:v>PI</c:v>
                </c:pt>
                <c:pt idx="17">
                  <c:v>PR</c:v>
                </c:pt>
                <c:pt idx="18">
                  <c:v>RJ</c:v>
                </c:pt>
                <c:pt idx="19">
                  <c:v>RN</c:v>
                </c:pt>
                <c:pt idx="20">
                  <c:v>RO</c:v>
                </c:pt>
                <c:pt idx="21">
                  <c:v>RR</c:v>
                </c:pt>
                <c:pt idx="22">
                  <c:v>RS</c:v>
                </c:pt>
                <c:pt idx="23">
                  <c:v>SC</c:v>
                </c:pt>
                <c:pt idx="24">
                  <c:v>SE</c:v>
                </c:pt>
                <c:pt idx="25">
                  <c:v>SP</c:v>
                </c:pt>
                <c:pt idx="26">
                  <c:v>TO</c:v>
                </c:pt>
                <c:pt idx="27">
                  <c:v>Total Geral</c:v>
                </c:pt>
              </c:strCache>
            </c:strRef>
          </c:cat>
          <c:val>
            <c:numRef>
              <c:f>'TABELAS DINAMICAS'!$B$46:$B$73</c:f>
              <c:numCache>
                <c:formatCode>General</c:formatCode>
                <c:ptCount val="28"/>
                <c:pt idx="0">
                  <c:v>1</c:v>
                </c:pt>
                <c:pt idx="1">
                  <c:v>11</c:v>
                </c:pt>
                <c:pt idx="2">
                  <c:v>4</c:v>
                </c:pt>
                <c:pt idx="3">
                  <c:v>2</c:v>
                </c:pt>
                <c:pt idx="4">
                  <c:v>190</c:v>
                </c:pt>
                <c:pt idx="5">
                  <c:v>22</c:v>
                </c:pt>
                <c:pt idx="6">
                  <c:v>28</c:v>
                </c:pt>
                <c:pt idx="7">
                  <c:v>14</c:v>
                </c:pt>
                <c:pt idx="8">
                  <c:v>26</c:v>
                </c:pt>
                <c:pt idx="9">
                  <c:v>21</c:v>
                </c:pt>
                <c:pt idx="10">
                  <c:v>206</c:v>
                </c:pt>
                <c:pt idx="11">
                  <c:v>6</c:v>
                </c:pt>
                <c:pt idx="12">
                  <c:v>7</c:v>
                </c:pt>
                <c:pt idx="13">
                  <c:v>26</c:v>
                </c:pt>
                <c:pt idx="14">
                  <c:v>23</c:v>
                </c:pt>
                <c:pt idx="15">
                  <c:v>90</c:v>
                </c:pt>
                <c:pt idx="16">
                  <c:v>15</c:v>
                </c:pt>
                <c:pt idx="17">
                  <c:v>18</c:v>
                </c:pt>
                <c:pt idx="18">
                  <c:v>240</c:v>
                </c:pt>
                <c:pt idx="19">
                  <c:v>15</c:v>
                </c:pt>
                <c:pt idx="20">
                  <c:v>4</c:v>
                </c:pt>
                <c:pt idx="22">
                  <c:v>42</c:v>
                </c:pt>
                <c:pt idx="23">
                  <c:v>86</c:v>
                </c:pt>
                <c:pt idx="24">
                  <c:v>26</c:v>
                </c:pt>
                <c:pt idx="25">
                  <c:v>101</c:v>
                </c:pt>
                <c:pt idx="26">
                  <c:v>2</c:v>
                </c:pt>
                <c:pt idx="27">
                  <c:v>1226</c:v>
                </c:pt>
              </c:numCache>
            </c:numRef>
          </c:val>
        </c:ser>
        <c:ser>
          <c:idx val="1"/>
          <c:order val="1"/>
          <c:tx>
            <c:strRef>
              <c:f>'TABELAS DINAMICAS'!$C$44:$C$45</c:f>
              <c:strCache>
                <c:ptCount val="1"/>
                <c:pt idx="0">
                  <c:v>TA</c:v>
                </c:pt>
              </c:strCache>
            </c:strRef>
          </c:tx>
          <c:spPr bwMode="auto">
            <a:prstGeom prst="rect">
              <a:avLst/>
            </a:prstGeom>
            <a:solidFill>
              <a:srgbClr val="C0504D"/>
            </a:solidFill>
            <a:ln w="0">
              <a:noFill/>
            </a:ln>
          </c:spPr>
          <c:invertIfNegative val="0"/>
          <c:dLbls>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'TABELAS DINAMICAS'!$A$46:$A$73</c:f>
              <c:strCache>
                <c:ptCount val="28"/>
                <c:pt idx="0">
                  <c:v>AC</c:v>
                </c:pt>
                <c:pt idx="1">
                  <c:v>AL</c:v>
                </c:pt>
                <c:pt idx="2">
                  <c:v>AM</c:v>
                </c:pt>
                <c:pt idx="3">
                  <c:v>AP</c:v>
                </c:pt>
                <c:pt idx="4">
                  <c:v>BA</c:v>
                </c:pt>
                <c:pt idx="5">
                  <c:v>CE</c:v>
                </c:pt>
                <c:pt idx="6">
                  <c:v>DF</c:v>
                </c:pt>
                <c:pt idx="7">
                  <c:v>ES</c:v>
                </c:pt>
                <c:pt idx="8">
                  <c:v>GO</c:v>
                </c:pt>
                <c:pt idx="9">
                  <c:v>MA</c:v>
                </c:pt>
                <c:pt idx="10">
                  <c:v>MG</c:v>
                </c:pt>
                <c:pt idx="11">
                  <c:v>MS</c:v>
                </c:pt>
                <c:pt idx="12">
                  <c:v>MT</c:v>
                </c:pt>
                <c:pt idx="13">
                  <c:v>PA</c:v>
                </c:pt>
                <c:pt idx="14">
                  <c:v>PB</c:v>
                </c:pt>
                <c:pt idx="15">
                  <c:v>PE</c:v>
                </c:pt>
                <c:pt idx="16">
                  <c:v>PI</c:v>
                </c:pt>
                <c:pt idx="17">
                  <c:v>PR</c:v>
                </c:pt>
                <c:pt idx="18">
                  <c:v>RJ</c:v>
                </c:pt>
                <c:pt idx="19">
                  <c:v>RN</c:v>
                </c:pt>
                <c:pt idx="20">
                  <c:v>RO</c:v>
                </c:pt>
                <c:pt idx="21">
                  <c:v>RR</c:v>
                </c:pt>
                <c:pt idx="22">
                  <c:v>RS</c:v>
                </c:pt>
                <c:pt idx="23">
                  <c:v>SC</c:v>
                </c:pt>
                <c:pt idx="24">
                  <c:v>SE</c:v>
                </c:pt>
                <c:pt idx="25">
                  <c:v>SP</c:v>
                </c:pt>
                <c:pt idx="26">
                  <c:v>TO</c:v>
                </c:pt>
                <c:pt idx="27">
                  <c:v>Total Geral</c:v>
                </c:pt>
              </c:strCache>
            </c:strRef>
          </c:cat>
          <c:val>
            <c:numRef>
              <c:f>'TABELAS DINAMICAS'!$C$46:$C$73</c:f>
              <c:numCache>
                <c:formatCode>General</c:formatCode>
                <c:ptCount val="28"/>
                <c:pt idx="2">
                  <c:v>2</c:v>
                </c:pt>
                <c:pt idx="9">
                  <c:v>1</c:v>
                </c:pt>
                <c:pt idx="10">
                  <c:v>1</c:v>
                </c:pt>
                <c:pt idx="11">
                  <c:v>2</c:v>
                </c:pt>
                <c:pt idx="13">
                  <c:v>2</c:v>
                </c:pt>
                <c:pt idx="15">
                  <c:v>1</c:v>
                </c:pt>
                <c:pt idx="18">
                  <c:v>4</c:v>
                </c:pt>
                <c:pt idx="21">
                  <c:v>1</c:v>
                </c:pt>
                <c:pt idx="22">
                  <c:v>1</c:v>
                </c:pt>
                <c:pt idx="23">
                  <c:v>1</c:v>
                </c:pt>
                <c:pt idx="25">
                  <c:v>1</c:v>
                </c:pt>
                <c:pt idx="27">
                  <c:v>17</c:v>
                </c:pt>
              </c:numCache>
            </c:numRef>
          </c:val>
        </c:ser>
        <c:ser>
          <c:idx val="2"/>
          <c:order val="2"/>
          <c:tx>
            <c:strRef>
              <c:f>'TABELAS DINAMICAS'!$D$44:$D$45</c:f>
              <c:strCache>
                <c:ptCount val="1"/>
                <c:pt idx="0">
                  <c:v>TP</c:v>
                </c:pt>
              </c:strCache>
            </c:strRef>
          </c:tx>
          <c:spPr bwMode="auto">
            <a:prstGeom prst="rect">
              <a:avLst/>
            </a:prstGeom>
            <a:solidFill>
              <a:srgbClr val="9BBB59"/>
            </a:solidFill>
            <a:ln w="0">
              <a:noFill/>
            </a:ln>
          </c:spPr>
          <c:invertIfNegative val="0"/>
          <c:dLbls>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'TABELAS DINAMICAS'!$A$46:$A$73</c:f>
              <c:strCache>
                <c:ptCount val="28"/>
                <c:pt idx="0">
                  <c:v>AC</c:v>
                </c:pt>
                <c:pt idx="1">
                  <c:v>AL</c:v>
                </c:pt>
                <c:pt idx="2">
                  <c:v>AM</c:v>
                </c:pt>
                <c:pt idx="3">
                  <c:v>AP</c:v>
                </c:pt>
                <c:pt idx="4">
                  <c:v>BA</c:v>
                </c:pt>
                <c:pt idx="5">
                  <c:v>CE</c:v>
                </c:pt>
                <c:pt idx="6">
                  <c:v>DF</c:v>
                </c:pt>
                <c:pt idx="7">
                  <c:v>ES</c:v>
                </c:pt>
                <c:pt idx="8">
                  <c:v>GO</c:v>
                </c:pt>
                <c:pt idx="9">
                  <c:v>MA</c:v>
                </c:pt>
                <c:pt idx="10">
                  <c:v>MG</c:v>
                </c:pt>
                <c:pt idx="11">
                  <c:v>MS</c:v>
                </c:pt>
                <c:pt idx="12">
                  <c:v>MT</c:v>
                </c:pt>
                <c:pt idx="13">
                  <c:v>PA</c:v>
                </c:pt>
                <c:pt idx="14">
                  <c:v>PB</c:v>
                </c:pt>
                <c:pt idx="15">
                  <c:v>PE</c:v>
                </c:pt>
                <c:pt idx="16">
                  <c:v>PI</c:v>
                </c:pt>
                <c:pt idx="17">
                  <c:v>PR</c:v>
                </c:pt>
                <c:pt idx="18">
                  <c:v>RJ</c:v>
                </c:pt>
                <c:pt idx="19">
                  <c:v>RN</c:v>
                </c:pt>
                <c:pt idx="20">
                  <c:v>RO</c:v>
                </c:pt>
                <c:pt idx="21">
                  <c:v>RR</c:v>
                </c:pt>
                <c:pt idx="22">
                  <c:v>RS</c:v>
                </c:pt>
                <c:pt idx="23">
                  <c:v>SC</c:v>
                </c:pt>
                <c:pt idx="24">
                  <c:v>SE</c:v>
                </c:pt>
                <c:pt idx="25">
                  <c:v>SP</c:v>
                </c:pt>
                <c:pt idx="26">
                  <c:v>TO</c:v>
                </c:pt>
                <c:pt idx="27">
                  <c:v>Total Geral</c:v>
                </c:pt>
              </c:strCache>
            </c:strRef>
          </c:cat>
          <c:val>
            <c:numRef>
              <c:f>'TABELAS DINAMICAS'!$D$46:$D$73</c:f>
              <c:numCache>
                <c:formatCode>General</c:formatCode>
                <c:ptCount val="28"/>
                <c:pt idx="1">
                  <c:v>1</c:v>
                </c:pt>
                <c:pt idx="4">
                  <c:v>2</c:v>
                </c:pt>
                <c:pt idx="9">
                  <c:v>1</c:v>
                </c:pt>
                <c:pt idx="12">
                  <c:v>1</c:v>
                </c:pt>
                <c:pt idx="13">
                  <c:v>2</c:v>
                </c:pt>
                <c:pt idx="14">
                  <c:v>1</c:v>
                </c:pt>
                <c:pt idx="15">
                  <c:v>1</c:v>
                </c:pt>
                <c:pt idx="16">
                  <c:v>1</c:v>
                </c:pt>
                <c:pt idx="17">
                  <c:v>2</c:v>
                </c:pt>
                <c:pt idx="18">
                  <c:v>4</c:v>
                </c:pt>
                <c:pt idx="22">
                  <c:v>3</c:v>
                </c:pt>
                <c:pt idx="23">
                  <c:v>3</c:v>
                </c:pt>
                <c:pt idx="24">
                  <c:v>1</c:v>
                </c:pt>
                <c:pt idx="25">
                  <c:v>1</c:v>
                </c:pt>
                <c:pt idx="27">
                  <c:v>24</c:v>
                </c:pt>
              </c:numCache>
            </c:numRef>
          </c:val>
        </c:ser>
        <c:dLbls>
          <c:showBubbleSize val="0"/>
          <c:showCatName val="0"/>
          <c:showLegendKey val="0"/>
          <c:showPercent val="0"/>
          <c:showSerName val="0"/>
          <c:showVal val="0"/>
        </c:dLbls>
        <c:gapWidth val="150"/>
        <c:shape val="box"/>
        <c:axId val="97036300"/>
        <c:axId val="78827450"/>
      </c:bar3DChart>
      <c:catAx>
        <c:axId val="97036300"/>
        <c:scaling>
          <c:orientation val="minMax"/>
        </c:scaling>
        <c:delete val="0"/>
        <c:axPos val="b"/>
        <c:numFmt formatCode="General" sourceLinked="0"/>
        <c:majorTickMark val="out"/>
        <c:minorTickMark val="none"/>
        <c:tickLblPos val="nextTo"/>
        <c:spPr bwMode="auto">
          <a:prstGeom prst="rect">
            <a:avLst/>
          </a:prstGeom>
          <a:ln w="9360">
            <a:solidFill>
              <a:srgbClr val="878787"/>
            </a:solidFill>
            <a:round/>
          </a:ln>
        </c:spPr>
        <c:txPr>
          <a:bodyPr/>
          <a:lstStyle/>
          <a:p>
            <a:pPr>
              <a:defRPr sz="1000" b="0" strike="noStrike" spc="-1">
                <a:solidFill>
                  <a:srgbClr val="000000"/>
                </a:solidFill>
                <a:latin typeface="Calibri"/>
                <a:ea typeface="Calibri"/>
              </a:defRPr>
            </a:pPr>
            <a:endParaRPr/>
          </a:p>
        </c:txPr>
        <c:crossAx val="78827450"/>
        <c:crosses val="autoZero"/>
        <c:auto val="1"/>
        <c:lblAlgn val="ctr"/>
        <c:lblOffset val="100"/>
        <c:noMultiLvlLbl val="0"/>
      </c:catAx>
      <c:valAx>
        <c:axId val="78827450"/>
        <c:scaling>
          <c:orientation val="minMax"/>
        </c:scaling>
        <c:delete val="0"/>
        <c:axPos val="l"/>
        <c:majorGridlines>
          <c:spPr bwMode="auto">
            <a:prstGeom prst="rect">
              <a:avLst/>
            </a:prstGeom>
            <a:ln w="9360">
              <a:solidFill>
                <a:srgbClr val="878787"/>
              </a:solidFill>
              <a:round/>
            </a:ln>
          </c:spPr>
        </c:majorGridlines>
        <c:numFmt formatCode="General" sourceLinked="0"/>
        <c:majorTickMark val="out"/>
        <c:minorTickMark val="none"/>
        <c:tickLblPos val="nextTo"/>
        <c:spPr bwMode="auto">
          <a:prstGeom prst="rect">
            <a:avLst/>
          </a:prstGeom>
          <a:ln w="9360">
            <a:solidFill>
              <a:srgbClr val="878787"/>
            </a:solidFill>
            <a:round/>
          </a:ln>
        </c:spPr>
        <c:txPr>
          <a:bodyPr/>
          <a:lstStyle/>
          <a:p>
            <a:pPr>
              <a:defRPr sz="1000" b="0" strike="noStrike" spc="-1">
                <a:solidFill>
                  <a:srgbClr val="000000"/>
                </a:solidFill>
                <a:latin typeface="Calibri"/>
                <a:ea typeface="Calibri"/>
              </a:defRPr>
            </a:pPr>
            <a:endParaRPr/>
          </a:p>
        </c:txPr>
        <c:crossAx val="97036300"/>
        <c:crosses val="autoZero"/>
        <c:crossBetween val="between"/>
      </c:valAx>
    </c:plotArea>
    <c:legend>
      <c:legendPos val="r"/>
      <c:layout/>
      <c:overlay val="0"/>
      <c:spPr bwMode="auto">
        <a:prstGeom prst="rect">
          <a:avLst/>
        </a:prstGeom>
        <a:noFill/>
        <a:ln w="0">
          <a:noFill/>
        </a:ln>
      </c:spPr>
      <c:txPr>
        <a:bodyPr/>
        <a:lstStyle/>
        <a:p>
          <a:pPr>
            <a:defRPr sz="500" b="0" strike="noStrike" spc="-1">
              <a:solidFill>
                <a:srgbClr val="000000"/>
              </a:solidFill>
              <a:latin typeface="Calibri"/>
              <a:ea typeface="Calibri"/>
            </a:defRPr>
          </a:pPr>
          <a:endParaRPr/>
        </a:p>
      </c:txPr>
    </c:legend>
    <c:plotVisOnly val="1"/>
    <c:dispBlanksAs val="gap"/>
    <c:showDLblsOverMax val="0"/>
  </c:chart>
  <c:spPr bwMode="auto">
    <a:xfrm rot="0">
      <a:off x="7661520" y="7391520"/>
      <a:ext cx="14173920" cy="3895200"/>
    </a:xfrm>
    <a:prstGeom prst="rect">
      <a:avLst/>
    </a:prstGeom>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autoTitleDeleted val="1"/>
    <c:view3D>
      <c:rotX val="15"/>
      <c:rotY val="20"/>
      <c:rAngAx val="1"/>
      <c:perspective val="30"/>
    </c:view3D>
    <c:floor>
      <c:spPr bwMode="auto">
        <a:prstGeom prst="rect">
          <a:avLst/>
        </a:prstGeom>
        <a:noFill/>
        <a:ln w="9360">
          <a:solidFill>
            <a:srgbClr val="878787"/>
          </a:solidFill>
          <a:round/>
        </a:ln>
      </c:spPr>
    </c:floor>
    <c:sideWall>
      <c:spPr bwMode="auto">
        <a:prstGeom prst="rect">
          <a:avLst/>
        </a:prstGeom>
        <a:noFill/>
        <a:ln w="9360">
          <a:solidFill>
            <a:srgbClr val="878787"/>
          </a:solidFill>
          <a:round/>
        </a:ln>
      </c:spPr>
    </c:sideWall>
    <c:backWall>
      <c:spPr bwMode="auto">
        <a:prstGeom prst="rect">
          <a:avLst/>
        </a:prstGeom>
        <a:noFill/>
        <a:ln w="9360">
          <a:solidFill>
            <a:srgbClr val="878787"/>
          </a:solidFill>
          <a:round/>
        </a:ln>
      </c:spPr>
    </c:backWall>
    <c:plotArea>
      <c:layout/>
      <c:bar3DChart>
        <c:barDir val="col"/>
        <c:grouping val="stacked"/>
        <c:varyColors val="0"/>
        <c:ser>
          <c:idx val="0"/>
          <c:order val="0"/>
          <c:tx>
            <c:strRef>
              <c:f>'TABELAS DINAMICAS'!$B$104:$B$105</c:f>
              <c:strCache>
                <c:ptCount val="1"/>
                <c:pt idx="0">
                  <c:v>Estágio da Instrução (Portaria 11/86) DESAPARECIDO</c:v>
                </c:pt>
              </c:strCache>
            </c:strRef>
          </c:tx>
          <c:spPr bwMode="auto">
            <a:prstGeom prst="rect">
              <a:avLst/>
            </a:prstGeom>
            <a:solidFill>
              <a:srgbClr val="4672A8"/>
            </a:solidFill>
            <a:ln w="0">
              <a:noFill/>
            </a:ln>
          </c:spPr>
          <c:invertIfNegative val="0"/>
          <c:dLbls>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'TABELAS DINAMICAS'!$A$106:$A$116</c:f>
              <c:strCache>
                <c:ptCount val="11"/>
                <c:pt idx="0">
                  <c:v>1930</c:v>
                </c:pt>
                <c:pt idx="1">
                  <c:v>1940</c:v>
                </c:pt>
                <c:pt idx="2">
                  <c:v>1950</c:v>
                </c:pt>
                <c:pt idx="3">
                  <c:v>1960</c:v>
                </c:pt>
                <c:pt idx="4">
                  <c:v>1970</c:v>
                </c:pt>
                <c:pt idx="5">
                  <c:v>1980</c:v>
                </c:pt>
                <c:pt idx="6">
                  <c:v>1990</c:v>
                </c:pt>
                <c:pt idx="7">
                  <c:v>2000</c:v>
                </c:pt>
                <c:pt idx="8">
                  <c:v>2010</c:v>
                </c:pt>
                <c:pt idx="9">
                  <c:v>2020</c:v>
                </c:pt>
                <c:pt idx="10">
                  <c:v>Total Geral</c:v>
                </c:pt>
              </c:strCache>
            </c:strRef>
          </c:cat>
          <c:val>
            <c:numRef>
              <c:f>'TABELAS DINAMICAS'!$B$106:$B$116</c:f>
              <c:numCache>
                <c:formatCode>General</c:formatCode>
                <c:ptCount val="11"/>
                <c:pt idx="1">
                  <c:v>1</c:v>
                </c:pt>
                <c:pt idx="4">
                  <c:v>2</c:v>
                </c:pt>
                <c:pt idx="5">
                  <c:v>2</c:v>
                </c:pt>
                <c:pt idx="6">
                  <c:v>1</c:v>
                </c:pt>
                <c:pt idx="10">
                  <c:v>6</c:v>
                </c:pt>
              </c:numCache>
            </c:numRef>
          </c:val>
        </c:ser>
        <c:ser>
          <c:idx val="1"/>
          <c:order val="1"/>
          <c:tx>
            <c:strRef>
              <c:f>'TABELAS DINAMICAS'!$C$104:$C$105</c:f>
              <c:strCache>
                <c:ptCount val="1"/>
                <c:pt idx="0">
                  <c:v>HOMOLOGADO</c:v>
                </c:pt>
              </c:strCache>
            </c:strRef>
          </c:tx>
          <c:spPr bwMode="auto">
            <a:prstGeom prst="rect">
              <a:avLst/>
            </a:prstGeom>
            <a:solidFill>
              <a:srgbClr val="AB4744"/>
            </a:solidFill>
            <a:ln w="0">
              <a:noFill/>
            </a:ln>
          </c:spPr>
          <c:invertIfNegative val="0"/>
          <c:dLbls>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'TABELAS DINAMICAS'!$A$106:$A$116</c:f>
              <c:strCache>
                <c:ptCount val="11"/>
                <c:pt idx="0">
                  <c:v>1930</c:v>
                </c:pt>
                <c:pt idx="1">
                  <c:v>1940</c:v>
                </c:pt>
                <c:pt idx="2">
                  <c:v>1950</c:v>
                </c:pt>
                <c:pt idx="3">
                  <c:v>1960</c:v>
                </c:pt>
                <c:pt idx="4">
                  <c:v>1970</c:v>
                </c:pt>
                <c:pt idx="5">
                  <c:v>1980</c:v>
                </c:pt>
                <c:pt idx="6">
                  <c:v>1990</c:v>
                </c:pt>
                <c:pt idx="7">
                  <c:v>2000</c:v>
                </c:pt>
                <c:pt idx="8">
                  <c:v>2010</c:v>
                </c:pt>
                <c:pt idx="9">
                  <c:v>2020</c:v>
                </c:pt>
                <c:pt idx="10">
                  <c:v>Total Geral</c:v>
                </c:pt>
              </c:strCache>
            </c:strRef>
          </c:cat>
          <c:val>
            <c:numRef>
              <c:f>'TABELAS DINAMICAS'!$C$106:$C$116</c:f>
              <c:numCache>
                <c:formatCode>General</c:formatCode>
                <c:ptCount val="11"/>
                <c:pt idx="6">
                  <c:v>2</c:v>
                </c:pt>
                <c:pt idx="8">
                  <c:v>2</c:v>
                </c:pt>
                <c:pt idx="10">
                  <c:v>4</c:v>
                </c:pt>
              </c:numCache>
            </c:numRef>
          </c:val>
        </c:ser>
        <c:ser>
          <c:idx val="2"/>
          <c:order val="2"/>
          <c:tx>
            <c:strRef>
              <c:f>'TABELAS DINAMICAS'!$D$104:$D$105</c:f>
              <c:strCache>
                <c:ptCount val="1"/>
                <c:pt idx="0">
                  <c:v>INSTRUÇÃO</c:v>
                </c:pt>
              </c:strCache>
            </c:strRef>
          </c:tx>
          <c:spPr bwMode="auto">
            <a:prstGeom prst="rect">
              <a:avLst/>
            </a:prstGeom>
            <a:solidFill>
              <a:srgbClr val="8AA64F"/>
            </a:solidFill>
            <a:ln w="0">
              <a:noFill/>
            </a:ln>
          </c:spPr>
          <c:invertIfNegative val="0"/>
          <c:dLbls>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'TABELAS DINAMICAS'!$A$106:$A$116</c:f>
              <c:strCache>
                <c:ptCount val="11"/>
                <c:pt idx="0">
                  <c:v>1930</c:v>
                </c:pt>
                <c:pt idx="1">
                  <c:v>1940</c:v>
                </c:pt>
                <c:pt idx="2">
                  <c:v>1950</c:v>
                </c:pt>
                <c:pt idx="3">
                  <c:v>1960</c:v>
                </c:pt>
                <c:pt idx="4">
                  <c:v>1970</c:v>
                </c:pt>
                <c:pt idx="5">
                  <c:v>1980</c:v>
                </c:pt>
                <c:pt idx="6">
                  <c:v>1990</c:v>
                </c:pt>
                <c:pt idx="7">
                  <c:v>2000</c:v>
                </c:pt>
                <c:pt idx="8">
                  <c:v>2010</c:v>
                </c:pt>
                <c:pt idx="9">
                  <c:v>2020</c:v>
                </c:pt>
                <c:pt idx="10">
                  <c:v>Total Geral</c:v>
                </c:pt>
              </c:strCache>
            </c:strRef>
          </c:cat>
          <c:val>
            <c:numRef>
              <c:f>'TABELAS DINAMICAS'!$D$106:$D$116</c:f>
              <c:numCache>
                <c:formatCode>General</c:formatCode>
                <c:ptCount val="11"/>
                <c:pt idx="1">
                  <c:v>6</c:v>
                </c:pt>
                <c:pt idx="2">
                  <c:v>13</c:v>
                </c:pt>
                <c:pt idx="3">
                  <c:v>23</c:v>
                </c:pt>
                <c:pt idx="4">
                  <c:v>29</c:v>
                </c:pt>
                <c:pt idx="5">
                  <c:v>55</c:v>
                </c:pt>
                <c:pt idx="6">
                  <c:v>49</c:v>
                </c:pt>
                <c:pt idx="7">
                  <c:v>31</c:v>
                </c:pt>
                <c:pt idx="8">
                  <c:v>143</c:v>
                </c:pt>
                <c:pt idx="9">
                  <c:v>50</c:v>
                </c:pt>
                <c:pt idx="10">
                  <c:v>399</c:v>
                </c:pt>
              </c:numCache>
            </c:numRef>
          </c:val>
        </c:ser>
        <c:ser>
          <c:idx val="3"/>
          <c:order val="3"/>
          <c:tx>
            <c:strRef>
              <c:f>'TABELAS DINAMICAS'!$E$104:$E$105</c:f>
              <c:strCache>
                <c:ptCount val="1"/>
                <c:pt idx="0">
                  <c:v>PENDÊNCIA</c:v>
                </c:pt>
              </c:strCache>
            </c:strRef>
          </c:tx>
          <c:spPr bwMode="auto">
            <a:prstGeom prst="rect">
              <a:avLst/>
            </a:prstGeom>
            <a:solidFill>
              <a:srgbClr val="725990"/>
            </a:solidFill>
            <a:ln w="0">
              <a:noFill/>
            </a:ln>
          </c:spPr>
          <c:invertIfNegative val="0"/>
          <c:dLbls>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'TABELAS DINAMICAS'!$A$106:$A$116</c:f>
              <c:strCache>
                <c:ptCount val="11"/>
                <c:pt idx="0">
                  <c:v>1930</c:v>
                </c:pt>
                <c:pt idx="1">
                  <c:v>1940</c:v>
                </c:pt>
                <c:pt idx="2">
                  <c:v>1950</c:v>
                </c:pt>
                <c:pt idx="3">
                  <c:v>1960</c:v>
                </c:pt>
                <c:pt idx="4">
                  <c:v>1970</c:v>
                </c:pt>
                <c:pt idx="5">
                  <c:v>1980</c:v>
                </c:pt>
                <c:pt idx="6">
                  <c:v>1990</c:v>
                </c:pt>
                <c:pt idx="7">
                  <c:v>2000</c:v>
                </c:pt>
                <c:pt idx="8">
                  <c:v>2010</c:v>
                </c:pt>
                <c:pt idx="9">
                  <c:v>2020</c:v>
                </c:pt>
                <c:pt idx="10">
                  <c:v>Total Geral</c:v>
                </c:pt>
              </c:strCache>
            </c:strRef>
          </c:cat>
          <c:val>
            <c:numRef>
              <c:f>'TABELAS DINAMICAS'!$E$106:$E$116</c:f>
              <c:numCache>
                <c:formatCode>General</c:formatCode>
                <c:ptCount val="11"/>
                <c:pt idx="0">
                  <c:v>0</c:v>
                </c:pt>
                <c:pt idx="2">
                  <c:v>0</c:v>
                </c:pt>
                <c:pt idx="6">
                  <c:v>1</c:v>
                </c:pt>
                <c:pt idx="8">
                  <c:v>2</c:v>
                </c:pt>
                <c:pt idx="10">
                  <c:v>3</c:v>
                </c:pt>
              </c:numCache>
            </c:numRef>
          </c:val>
        </c:ser>
        <c:ser>
          <c:idx val="4"/>
          <c:order val="4"/>
          <c:tx>
            <c:strRef>
              <c:f>'TABELAS DINAMICAS'!$F$104:$F$105</c:f>
              <c:strCache>
                <c:ptCount val="1"/>
                <c:pt idx="0">
                  <c:v>TOMB. APROV.</c:v>
                </c:pt>
              </c:strCache>
            </c:strRef>
          </c:tx>
          <c:spPr bwMode="auto">
            <a:prstGeom prst="rect">
              <a:avLst/>
            </a:prstGeom>
            <a:solidFill>
              <a:srgbClr val="4299B0"/>
            </a:solidFill>
            <a:ln w="0">
              <a:noFill/>
            </a:ln>
          </c:spPr>
          <c:invertIfNegative val="0"/>
          <c:dLbls>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'TABELAS DINAMICAS'!$A$106:$A$116</c:f>
              <c:strCache>
                <c:ptCount val="11"/>
                <c:pt idx="0">
                  <c:v>1930</c:v>
                </c:pt>
                <c:pt idx="1">
                  <c:v>1940</c:v>
                </c:pt>
                <c:pt idx="2">
                  <c:v>1950</c:v>
                </c:pt>
                <c:pt idx="3">
                  <c:v>1960</c:v>
                </c:pt>
                <c:pt idx="4">
                  <c:v>1970</c:v>
                </c:pt>
                <c:pt idx="5">
                  <c:v>1980</c:v>
                </c:pt>
                <c:pt idx="6">
                  <c:v>1990</c:v>
                </c:pt>
                <c:pt idx="7">
                  <c:v>2000</c:v>
                </c:pt>
                <c:pt idx="8">
                  <c:v>2010</c:v>
                </c:pt>
                <c:pt idx="9">
                  <c:v>2020</c:v>
                </c:pt>
                <c:pt idx="10">
                  <c:v>Total Geral</c:v>
                </c:pt>
              </c:strCache>
            </c:strRef>
          </c:cat>
          <c:val>
            <c:numRef>
              <c:f>'TABELAS DINAMICAS'!$F$106:$F$116</c:f>
              <c:numCache>
                <c:formatCode>General</c:formatCode>
                <c:ptCount val="11"/>
                <c:pt idx="5">
                  <c:v>1</c:v>
                </c:pt>
                <c:pt idx="7">
                  <c:v>3</c:v>
                </c:pt>
                <c:pt idx="8">
                  <c:v>2</c:v>
                </c:pt>
                <c:pt idx="10">
                  <c:v>6</c:v>
                </c:pt>
              </c:numCache>
            </c:numRef>
          </c:val>
        </c:ser>
        <c:ser>
          <c:idx val="5"/>
          <c:order val="5"/>
          <c:tx>
            <c:strRef>
              <c:f>'TABELAS DINAMICAS'!$G$104:$G$105</c:f>
              <c:strCache>
                <c:ptCount val="1"/>
                <c:pt idx="0">
                  <c:v>TOMB. EMERG.</c:v>
                </c:pt>
              </c:strCache>
            </c:strRef>
          </c:tx>
          <c:spPr bwMode="auto">
            <a:prstGeom prst="rect">
              <a:avLst/>
            </a:prstGeom>
            <a:solidFill>
              <a:srgbClr val="DC853E"/>
            </a:solidFill>
            <a:ln w="0">
              <a:noFill/>
            </a:ln>
          </c:spPr>
          <c:invertIfNegative val="0"/>
          <c:dLbls>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'TABELAS DINAMICAS'!$A$106:$A$116</c:f>
              <c:strCache>
                <c:ptCount val="11"/>
                <c:pt idx="0">
                  <c:v>1930</c:v>
                </c:pt>
                <c:pt idx="1">
                  <c:v>1940</c:v>
                </c:pt>
                <c:pt idx="2">
                  <c:v>1950</c:v>
                </c:pt>
                <c:pt idx="3">
                  <c:v>1960</c:v>
                </c:pt>
                <c:pt idx="4">
                  <c:v>1970</c:v>
                </c:pt>
                <c:pt idx="5">
                  <c:v>1980</c:v>
                </c:pt>
                <c:pt idx="6">
                  <c:v>1990</c:v>
                </c:pt>
                <c:pt idx="7">
                  <c:v>2000</c:v>
                </c:pt>
                <c:pt idx="8">
                  <c:v>2010</c:v>
                </c:pt>
                <c:pt idx="9">
                  <c:v>2020</c:v>
                </c:pt>
                <c:pt idx="10">
                  <c:v>Total Geral</c:v>
                </c:pt>
              </c:strCache>
            </c:strRef>
          </c:cat>
          <c:val>
            <c:numRef>
              <c:f>'TABELAS DINAMICAS'!$G$106:$G$116</c:f>
              <c:numCache>
                <c:formatCode>General</c:formatCode>
                <c:ptCount val="11"/>
                <c:pt idx="7">
                  <c:v>1</c:v>
                </c:pt>
                <c:pt idx="8">
                  <c:v>4</c:v>
                </c:pt>
                <c:pt idx="10">
                  <c:v>5</c:v>
                </c:pt>
              </c:numCache>
            </c:numRef>
          </c:val>
        </c:ser>
        <c:ser>
          <c:idx val="6"/>
          <c:order val="6"/>
          <c:tx>
            <c:strRef>
              <c:f>'TABELAS DINAMICAS'!$H$104:$H$105</c:f>
              <c:strCache>
                <c:ptCount val="1"/>
                <c:pt idx="0">
                  <c:v>TOMB. PROVIS.</c:v>
                </c:pt>
              </c:strCache>
            </c:strRef>
          </c:tx>
          <c:spPr bwMode="auto">
            <a:prstGeom prst="rect">
              <a:avLst/>
            </a:prstGeom>
            <a:solidFill>
              <a:srgbClr val="93A9CE"/>
            </a:solidFill>
            <a:ln w="0">
              <a:noFill/>
            </a:ln>
          </c:spPr>
          <c:invertIfNegative val="0"/>
          <c:dLbls>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'TABELAS DINAMICAS'!$A$106:$A$116</c:f>
              <c:strCache>
                <c:ptCount val="11"/>
                <c:pt idx="0">
                  <c:v>1930</c:v>
                </c:pt>
                <c:pt idx="1">
                  <c:v>1940</c:v>
                </c:pt>
                <c:pt idx="2">
                  <c:v>1950</c:v>
                </c:pt>
                <c:pt idx="3">
                  <c:v>1960</c:v>
                </c:pt>
                <c:pt idx="4">
                  <c:v>1970</c:v>
                </c:pt>
                <c:pt idx="5">
                  <c:v>1980</c:v>
                </c:pt>
                <c:pt idx="6">
                  <c:v>1990</c:v>
                </c:pt>
                <c:pt idx="7">
                  <c:v>2000</c:v>
                </c:pt>
                <c:pt idx="8">
                  <c:v>2010</c:v>
                </c:pt>
                <c:pt idx="9">
                  <c:v>2020</c:v>
                </c:pt>
                <c:pt idx="10">
                  <c:v>Total Geral</c:v>
                </c:pt>
              </c:strCache>
            </c:strRef>
          </c:cat>
          <c:val>
            <c:numRef>
              <c:f>'TABELAS DINAMICAS'!$H$106:$H$116</c:f>
              <c:numCache>
                <c:formatCode>General</c:formatCode>
                <c:ptCount val="11"/>
                <c:pt idx="2">
                  <c:v>3</c:v>
                </c:pt>
                <c:pt idx="5">
                  <c:v>2</c:v>
                </c:pt>
                <c:pt idx="6">
                  <c:v>3</c:v>
                </c:pt>
                <c:pt idx="7">
                  <c:v>4</c:v>
                </c:pt>
                <c:pt idx="8">
                  <c:v>4</c:v>
                </c:pt>
                <c:pt idx="10">
                  <c:v>16</c:v>
                </c:pt>
              </c:numCache>
            </c:numRef>
          </c:val>
        </c:ser>
        <c:dLbls>
          <c:showBubbleSize val="0"/>
          <c:showCatName val="0"/>
          <c:showLegendKey val="0"/>
          <c:showPercent val="0"/>
          <c:showSerName val="0"/>
          <c:showVal val="0"/>
        </c:dLbls>
        <c:gapWidth val="150"/>
        <c:shape val="box"/>
        <c:axId val="5437499"/>
        <c:axId val="14175336"/>
      </c:bar3DChart>
      <c:catAx>
        <c:axId val="5437499"/>
        <c:scaling>
          <c:orientation val="minMax"/>
        </c:scaling>
        <c:delete val="0"/>
        <c:axPos val="b"/>
        <c:numFmt formatCode="General" sourceLinked="0"/>
        <c:majorTickMark val="out"/>
        <c:minorTickMark val="none"/>
        <c:tickLblPos val="nextTo"/>
        <c:spPr bwMode="auto">
          <a:prstGeom prst="rect">
            <a:avLst/>
          </a:prstGeom>
          <a:ln w="9360">
            <a:solidFill>
              <a:srgbClr val="878787"/>
            </a:solidFill>
            <a:round/>
          </a:ln>
        </c:spPr>
        <c:txPr>
          <a:bodyPr/>
          <a:lstStyle/>
          <a:p>
            <a:pPr>
              <a:defRPr sz="1000" b="0" strike="noStrike" spc="-1">
                <a:solidFill>
                  <a:srgbClr val="000000"/>
                </a:solidFill>
                <a:latin typeface="Calibri"/>
                <a:ea typeface="Calibri"/>
              </a:defRPr>
            </a:pPr>
            <a:endParaRPr/>
          </a:p>
        </c:txPr>
        <c:crossAx val="14175336"/>
        <c:crosses val="autoZero"/>
        <c:auto val="1"/>
        <c:lblAlgn val="ctr"/>
        <c:lblOffset val="100"/>
        <c:noMultiLvlLbl val="0"/>
      </c:catAx>
      <c:valAx>
        <c:axId val="14175336"/>
        <c:scaling>
          <c:orientation val="minMax"/>
        </c:scaling>
        <c:delete val="0"/>
        <c:axPos val="l"/>
        <c:majorGridlines>
          <c:spPr bwMode="auto">
            <a:prstGeom prst="rect">
              <a:avLst/>
            </a:prstGeom>
            <a:ln w="9360">
              <a:solidFill>
                <a:srgbClr val="878787"/>
              </a:solidFill>
              <a:round/>
            </a:ln>
          </c:spPr>
        </c:majorGridlines>
        <c:numFmt formatCode="0" sourceLinked="0"/>
        <c:majorTickMark val="out"/>
        <c:minorTickMark val="none"/>
        <c:tickLblPos val="nextTo"/>
        <c:spPr bwMode="auto">
          <a:prstGeom prst="rect">
            <a:avLst/>
          </a:prstGeom>
          <a:ln w="9360">
            <a:solidFill>
              <a:srgbClr val="878787"/>
            </a:solidFill>
            <a:round/>
          </a:ln>
        </c:spPr>
        <c:txPr>
          <a:bodyPr/>
          <a:lstStyle/>
          <a:p>
            <a:pPr>
              <a:defRPr sz="1000" b="0" strike="noStrike" spc="-1">
                <a:solidFill>
                  <a:srgbClr val="000000"/>
                </a:solidFill>
                <a:latin typeface="Calibri"/>
                <a:ea typeface="Calibri"/>
              </a:defRPr>
            </a:pPr>
            <a:endParaRPr/>
          </a:p>
        </c:txPr>
        <c:crossAx val="5437499"/>
        <c:crosses val="autoZero"/>
        <c:crossBetween val="between"/>
      </c:valAx>
    </c:plotArea>
    <c:legend>
      <c:legendPos val="r"/>
      <c:layout/>
      <c:overlay val="0"/>
      <c:spPr bwMode="auto">
        <a:prstGeom prst="rect">
          <a:avLst/>
        </a:prstGeom>
        <a:noFill/>
        <a:ln w="0">
          <a:noFill/>
        </a:ln>
      </c:spPr>
      <c:txPr>
        <a:bodyPr/>
        <a:lstStyle/>
        <a:p>
          <a:pPr>
            <a:defRPr sz="1000" b="0" strike="noStrike" spc="-1">
              <a:solidFill>
                <a:srgbClr val="000000"/>
              </a:solidFill>
              <a:latin typeface="Calibri"/>
              <a:ea typeface="Calibri"/>
            </a:defRPr>
          </a:pPr>
          <a:endParaRPr/>
        </a:p>
      </c:txPr>
    </c:legend>
    <c:plotVisOnly val="1"/>
    <c:dispBlanksAs val="gap"/>
    <c:showDLblsOverMax val="0"/>
  </c:chart>
  <c:spPr bwMode="auto">
    <a:xfrm rot="0">
      <a:off x="15451560" y="16470000"/>
      <a:ext cx="10033200" cy="3576240"/>
    </a:xfrm>
    <a:prstGeom prst="rect">
      <a:avLst/>
    </a:prstGeom>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autoTitleDeleted val="1"/>
    <c:view3D>
      <c:rotX val="15"/>
      <c:rotY val="20"/>
      <c:rAngAx val="1"/>
      <c:perspective val="30"/>
    </c:view3D>
    <c:floor>
      <c:spPr bwMode="auto">
        <a:prstGeom prst="rect">
          <a:avLst/>
        </a:prstGeom>
        <a:noFill/>
        <a:ln w="9360">
          <a:solidFill>
            <a:srgbClr val="878787"/>
          </a:solidFill>
          <a:round/>
        </a:ln>
      </c:spPr>
    </c:floor>
    <c:sideWall>
      <c:spPr bwMode="auto">
        <a:prstGeom prst="rect">
          <a:avLst/>
        </a:prstGeom>
        <a:noFill/>
        <a:ln w="9360">
          <a:solidFill>
            <a:srgbClr val="878787"/>
          </a:solidFill>
          <a:round/>
        </a:ln>
      </c:spPr>
    </c:sideWall>
    <c:backWall>
      <c:spPr bwMode="auto">
        <a:prstGeom prst="rect">
          <a:avLst/>
        </a:prstGeom>
        <a:noFill/>
        <a:ln w="9360">
          <a:solidFill>
            <a:srgbClr val="878787"/>
          </a:solidFill>
          <a:round/>
        </a:ln>
      </c:spPr>
    </c:backWall>
    <c:plotArea>
      <c:layout/>
      <c:bar3DChart>
        <c:barDir val="col"/>
        <c:grouping val="stacked"/>
        <c:varyColors val="0"/>
        <c:ser>
          <c:idx val="0"/>
          <c:order val="0"/>
          <c:tx>
            <c:strRef>
              <c:f>'TABELAS DINAMICAS'!$B$124:$B$125</c:f>
              <c:strCache>
                <c:ptCount val="1"/>
                <c:pt idx="0">
                  <c:v>Estágio da Instrução (Portaria 11/86) DESAPARECIDO</c:v>
                </c:pt>
              </c:strCache>
            </c:strRef>
          </c:tx>
          <c:spPr bwMode="auto">
            <a:prstGeom prst="rect">
              <a:avLst/>
            </a:prstGeom>
            <a:solidFill>
              <a:srgbClr val="4672A8"/>
            </a:solidFill>
            <a:ln w="0">
              <a:noFill/>
            </a:ln>
          </c:spPr>
          <c:invertIfNegative val="0"/>
          <c:dLbls>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'TABELAS DINAMICAS'!$A$126:$A$153</c:f>
              <c:strCache>
                <c:ptCount val="28"/>
                <c:pt idx="0">
                  <c:v>AC</c:v>
                </c:pt>
                <c:pt idx="1">
                  <c:v>AL</c:v>
                </c:pt>
                <c:pt idx="2">
                  <c:v>AM</c:v>
                </c:pt>
                <c:pt idx="3">
                  <c:v>BA</c:v>
                </c:pt>
                <c:pt idx="4">
                  <c:v>CE</c:v>
                </c:pt>
                <c:pt idx="5">
                  <c:v>DF</c:v>
                </c:pt>
                <c:pt idx="6">
                  <c:v>ES</c:v>
                </c:pt>
                <c:pt idx="7">
                  <c:v>GO</c:v>
                </c:pt>
                <c:pt idx="8">
                  <c:v>MA</c:v>
                </c:pt>
                <c:pt idx="9">
                  <c:v>MG</c:v>
                </c:pt>
                <c:pt idx="10">
                  <c:v>MS</c:v>
                </c:pt>
                <c:pt idx="11">
                  <c:v>MT</c:v>
                </c:pt>
                <c:pt idx="12">
                  <c:v>PA</c:v>
                </c:pt>
                <c:pt idx="13">
                  <c:v>PB</c:v>
                </c:pt>
                <c:pt idx="14">
                  <c:v>PE</c:v>
                </c:pt>
                <c:pt idx="15">
                  <c:v xml:space="preserve">PE </c:v>
                </c:pt>
                <c:pt idx="16">
                  <c:v>PI</c:v>
                </c:pt>
                <c:pt idx="17">
                  <c:v>PR</c:v>
                </c:pt>
                <c:pt idx="18">
                  <c:v>RJ</c:v>
                </c:pt>
                <c:pt idx="19">
                  <c:v>RN</c:v>
                </c:pt>
                <c:pt idx="20">
                  <c:v>RO</c:v>
                </c:pt>
                <c:pt idx="21">
                  <c:v>RR</c:v>
                </c:pt>
                <c:pt idx="22">
                  <c:v>RS</c:v>
                </c:pt>
                <c:pt idx="23">
                  <c:v>SC</c:v>
                </c:pt>
                <c:pt idx="24">
                  <c:v>SE</c:v>
                </c:pt>
                <c:pt idx="25">
                  <c:v>SP</c:v>
                </c:pt>
                <c:pt idx="26">
                  <c:v>TO</c:v>
                </c:pt>
                <c:pt idx="27">
                  <c:v>Total Geral</c:v>
                </c:pt>
              </c:strCache>
            </c:strRef>
          </c:cat>
          <c:val>
            <c:numRef>
              <c:f>'TABELAS DINAMICAS'!$B$126:$B$153</c:f>
              <c:numCache>
                <c:formatCode>General</c:formatCode>
                <c:ptCount val="28"/>
                <c:pt idx="9">
                  <c:v>3</c:v>
                </c:pt>
                <c:pt idx="18">
                  <c:v>1</c:v>
                </c:pt>
                <c:pt idx="23">
                  <c:v>1</c:v>
                </c:pt>
                <c:pt idx="27">
                  <c:v>5</c:v>
                </c:pt>
              </c:numCache>
            </c:numRef>
          </c:val>
        </c:ser>
        <c:ser>
          <c:idx val="1"/>
          <c:order val="1"/>
          <c:tx>
            <c:strRef>
              <c:f>'TABELAS DINAMICAS'!$C$124:$C$125</c:f>
              <c:strCache>
                <c:ptCount val="1"/>
                <c:pt idx="0">
                  <c:v>HOMOLOGADO</c:v>
                </c:pt>
              </c:strCache>
            </c:strRef>
          </c:tx>
          <c:spPr bwMode="auto">
            <a:prstGeom prst="rect">
              <a:avLst/>
            </a:prstGeom>
            <a:solidFill>
              <a:srgbClr val="AB4744"/>
            </a:solidFill>
            <a:ln w="0">
              <a:noFill/>
            </a:ln>
          </c:spPr>
          <c:invertIfNegative val="0"/>
          <c:dLbls>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'TABELAS DINAMICAS'!$A$126:$A$153</c:f>
              <c:strCache>
                <c:ptCount val="28"/>
                <c:pt idx="0">
                  <c:v>AC</c:v>
                </c:pt>
                <c:pt idx="1">
                  <c:v>AL</c:v>
                </c:pt>
                <c:pt idx="2">
                  <c:v>AM</c:v>
                </c:pt>
                <c:pt idx="3">
                  <c:v>BA</c:v>
                </c:pt>
                <c:pt idx="4">
                  <c:v>CE</c:v>
                </c:pt>
                <c:pt idx="5">
                  <c:v>DF</c:v>
                </c:pt>
                <c:pt idx="6">
                  <c:v>ES</c:v>
                </c:pt>
                <c:pt idx="7">
                  <c:v>GO</c:v>
                </c:pt>
                <c:pt idx="8">
                  <c:v>MA</c:v>
                </c:pt>
                <c:pt idx="9">
                  <c:v>MG</c:v>
                </c:pt>
                <c:pt idx="10">
                  <c:v>MS</c:v>
                </c:pt>
                <c:pt idx="11">
                  <c:v>MT</c:v>
                </c:pt>
                <c:pt idx="12">
                  <c:v>PA</c:v>
                </c:pt>
                <c:pt idx="13">
                  <c:v>PB</c:v>
                </c:pt>
                <c:pt idx="14">
                  <c:v>PE</c:v>
                </c:pt>
                <c:pt idx="15">
                  <c:v xml:space="preserve">PE </c:v>
                </c:pt>
                <c:pt idx="16">
                  <c:v>PI</c:v>
                </c:pt>
                <c:pt idx="17">
                  <c:v>PR</c:v>
                </c:pt>
                <c:pt idx="18">
                  <c:v>RJ</c:v>
                </c:pt>
                <c:pt idx="19">
                  <c:v>RN</c:v>
                </c:pt>
                <c:pt idx="20">
                  <c:v>RO</c:v>
                </c:pt>
                <c:pt idx="21">
                  <c:v>RR</c:v>
                </c:pt>
                <c:pt idx="22">
                  <c:v>RS</c:v>
                </c:pt>
                <c:pt idx="23">
                  <c:v>SC</c:v>
                </c:pt>
                <c:pt idx="24">
                  <c:v>SE</c:v>
                </c:pt>
                <c:pt idx="25">
                  <c:v>SP</c:v>
                </c:pt>
                <c:pt idx="26">
                  <c:v>TO</c:v>
                </c:pt>
                <c:pt idx="27">
                  <c:v>Total Geral</c:v>
                </c:pt>
              </c:strCache>
            </c:strRef>
          </c:cat>
          <c:val>
            <c:numRef>
              <c:f>'TABELAS DINAMICAS'!$C$126:$C$153</c:f>
              <c:numCache>
                <c:formatCode>General</c:formatCode>
                <c:ptCount val="28"/>
                <c:pt idx="8">
                  <c:v>0</c:v>
                </c:pt>
                <c:pt idx="10">
                  <c:v>1</c:v>
                </c:pt>
                <c:pt idx="12">
                  <c:v>0</c:v>
                </c:pt>
                <c:pt idx="14">
                  <c:v>1</c:v>
                </c:pt>
                <c:pt idx="18">
                  <c:v>2</c:v>
                </c:pt>
                <c:pt idx="21">
                  <c:v>0</c:v>
                </c:pt>
                <c:pt idx="27">
                  <c:v>4</c:v>
                </c:pt>
              </c:numCache>
            </c:numRef>
          </c:val>
        </c:ser>
        <c:ser>
          <c:idx val="2"/>
          <c:order val="2"/>
          <c:tx>
            <c:strRef>
              <c:f>'TABELAS DINAMICAS'!$D$124:$D$125</c:f>
              <c:strCache>
                <c:ptCount val="1"/>
                <c:pt idx="0">
                  <c:v>INSTRUÇÃO</c:v>
                </c:pt>
              </c:strCache>
            </c:strRef>
          </c:tx>
          <c:spPr bwMode="auto">
            <a:prstGeom prst="rect">
              <a:avLst/>
            </a:prstGeom>
            <a:solidFill>
              <a:srgbClr val="8AA64F"/>
            </a:solidFill>
            <a:ln w="0">
              <a:noFill/>
            </a:ln>
          </c:spPr>
          <c:invertIfNegative val="0"/>
          <c:dLbls>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'TABELAS DINAMICAS'!$A$126:$A$153</c:f>
              <c:strCache>
                <c:ptCount val="28"/>
                <c:pt idx="0">
                  <c:v>AC</c:v>
                </c:pt>
                <c:pt idx="1">
                  <c:v>AL</c:v>
                </c:pt>
                <c:pt idx="2">
                  <c:v>AM</c:v>
                </c:pt>
                <c:pt idx="3">
                  <c:v>BA</c:v>
                </c:pt>
                <c:pt idx="4">
                  <c:v>CE</c:v>
                </c:pt>
                <c:pt idx="5">
                  <c:v>DF</c:v>
                </c:pt>
                <c:pt idx="6">
                  <c:v>ES</c:v>
                </c:pt>
                <c:pt idx="7">
                  <c:v>GO</c:v>
                </c:pt>
                <c:pt idx="8">
                  <c:v>MA</c:v>
                </c:pt>
                <c:pt idx="9">
                  <c:v>MG</c:v>
                </c:pt>
                <c:pt idx="10">
                  <c:v>MS</c:v>
                </c:pt>
                <c:pt idx="11">
                  <c:v>MT</c:v>
                </c:pt>
                <c:pt idx="12">
                  <c:v>PA</c:v>
                </c:pt>
                <c:pt idx="13">
                  <c:v>PB</c:v>
                </c:pt>
                <c:pt idx="14">
                  <c:v>PE</c:v>
                </c:pt>
                <c:pt idx="15">
                  <c:v xml:space="preserve">PE </c:v>
                </c:pt>
                <c:pt idx="16">
                  <c:v>PI</c:v>
                </c:pt>
                <c:pt idx="17">
                  <c:v>PR</c:v>
                </c:pt>
                <c:pt idx="18">
                  <c:v>RJ</c:v>
                </c:pt>
                <c:pt idx="19">
                  <c:v>RN</c:v>
                </c:pt>
                <c:pt idx="20">
                  <c:v>RO</c:v>
                </c:pt>
                <c:pt idx="21">
                  <c:v>RR</c:v>
                </c:pt>
                <c:pt idx="22">
                  <c:v>RS</c:v>
                </c:pt>
                <c:pt idx="23">
                  <c:v>SC</c:v>
                </c:pt>
                <c:pt idx="24">
                  <c:v>SE</c:v>
                </c:pt>
                <c:pt idx="25">
                  <c:v>SP</c:v>
                </c:pt>
                <c:pt idx="26">
                  <c:v>TO</c:v>
                </c:pt>
                <c:pt idx="27">
                  <c:v>Total Geral</c:v>
                </c:pt>
              </c:strCache>
            </c:strRef>
          </c:cat>
          <c:val>
            <c:numRef>
              <c:f>'TABELAS DINAMICAS'!$D$126:$D$153</c:f>
              <c:numCache>
                <c:formatCode>General</c:formatCode>
                <c:ptCount val="28"/>
                <c:pt idx="0">
                  <c:v>1</c:v>
                </c:pt>
                <c:pt idx="1">
                  <c:v>6</c:v>
                </c:pt>
                <c:pt idx="2">
                  <c:v>4</c:v>
                </c:pt>
                <c:pt idx="3">
                  <c:v>37</c:v>
                </c:pt>
                <c:pt idx="4">
                  <c:v>24</c:v>
                </c:pt>
                <c:pt idx="5">
                  <c:v>11</c:v>
                </c:pt>
                <c:pt idx="6">
                  <c:v>8</c:v>
                </c:pt>
                <c:pt idx="7">
                  <c:v>10</c:v>
                </c:pt>
                <c:pt idx="8">
                  <c:v>4</c:v>
                </c:pt>
                <c:pt idx="9">
                  <c:v>48</c:v>
                </c:pt>
                <c:pt idx="10">
                  <c:v>2</c:v>
                </c:pt>
                <c:pt idx="11">
                  <c:v>3</c:v>
                </c:pt>
                <c:pt idx="12">
                  <c:v>30</c:v>
                </c:pt>
                <c:pt idx="13">
                  <c:v>8</c:v>
                </c:pt>
                <c:pt idx="14">
                  <c:v>23</c:v>
                </c:pt>
                <c:pt idx="15">
                  <c:v>4</c:v>
                </c:pt>
                <c:pt idx="16">
                  <c:v>3</c:v>
                </c:pt>
                <c:pt idx="17">
                  <c:v>8</c:v>
                </c:pt>
                <c:pt idx="18">
                  <c:v>82</c:v>
                </c:pt>
                <c:pt idx="19">
                  <c:v>1</c:v>
                </c:pt>
                <c:pt idx="20">
                  <c:v>1</c:v>
                </c:pt>
                <c:pt idx="21">
                  <c:v>2</c:v>
                </c:pt>
                <c:pt idx="22">
                  <c:v>15</c:v>
                </c:pt>
                <c:pt idx="23">
                  <c:v>16</c:v>
                </c:pt>
                <c:pt idx="24">
                  <c:v>3</c:v>
                </c:pt>
                <c:pt idx="25">
                  <c:v>51</c:v>
                </c:pt>
                <c:pt idx="26">
                  <c:v>1</c:v>
                </c:pt>
                <c:pt idx="27">
                  <c:v>406</c:v>
                </c:pt>
              </c:numCache>
            </c:numRef>
          </c:val>
        </c:ser>
        <c:ser>
          <c:idx val="3"/>
          <c:order val="3"/>
          <c:tx>
            <c:strRef>
              <c:f>'TABELAS DINAMICAS'!$E$124:$E$125</c:f>
              <c:strCache>
                <c:ptCount val="1"/>
                <c:pt idx="0">
                  <c:v>PENDÊNCIA</c:v>
                </c:pt>
              </c:strCache>
            </c:strRef>
          </c:tx>
          <c:spPr bwMode="auto">
            <a:prstGeom prst="rect">
              <a:avLst/>
            </a:prstGeom>
            <a:solidFill>
              <a:srgbClr val="725990"/>
            </a:solidFill>
            <a:ln w="0">
              <a:noFill/>
            </a:ln>
          </c:spPr>
          <c:invertIfNegative val="0"/>
          <c:dLbls>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'TABELAS DINAMICAS'!$A$126:$A$153</c:f>
              <c:strCache>
                <c:ptCount val="28"/>
                <c:pt idx="0">
                  <c:v>AC</c:v>
                </c:pt>
                <c:pt idx="1">
                  <c:v>AL</c:v>
                </c:pt>
                <c:pt idx="2">
                  <c:v>AM</c:v>
                </c:pt>
                <c:pt idx="3">
                  <c:v>BA</c:v>
                </c:pt>
                <c:pt idx="4">
                  <c:v>CE</c:v>
                </c:pt>
                <c:pt idx="5">
                  <c:v>DF</c:v>
                </c:pt>
                <c:pt idx="6">
                  <c:v>ES</c:v>
                </c:pt>
                <c:pt idx="7">
                  <c:v>GO</c:v>
                </c:pt>
                <c:pt idx="8">
                  <c:v>MA</c:v>
                </c:pt>
                <c:pt idx="9">
                  <c:v>MG</c:v>
                </c:pt>
                <c:pt idx="10">
                  <c:v>MS</c:v>
                </c:pt>
                <c:pt idx="11">
                  <c:v>MT</c:v>
                </c:pt>
                <c:pt idx="12">
                  <c:v>PA</c:v>
                </c:pt>
                <c:pt idx="13">
                  <c:v>PB</c:v>
                </c:pt>
                <c:pt idx="14">
                  <c:v>PE</c:v>
                </c:pt>
                <c:pt idx="15">
                  <c:v xml:space="preserve">PE </c:v>
                </c:pt>
                <c:pt idx="16">
                  <c:v>PI</c:v>
                </c:pt>
                <c:pt idx="17">
                  <c:v>PR</c:v>
                </c:pt>
                <c:pt idx="18">
                  <c:v>RJ</c:v>
                </c:pt>
                <c:pt idx="19">
                  <c:v>RN</c:v>
                </c:pt>
                <c:pt idx="20">
                  <c:v>RO</c:v>
                </c:pt>
                <c:pt idx="21">
                  <c:v>RR</c:v>
                </c:pt>
                <c:pt idx="22">
                  <c:v>RS</c:v>
                </c:pt>
                <c:pt idx="23">
                  <c:v>SC</c:v>
                </c:pt>
                <c:pt idx="24">
                  <c:v>SE</c:v>
                </c:pt>
                <c:pt idx="25">
                  <c:v>SP</c:v>
                </c:pt>
                <c:pt idx="26">
                  <c:v>TO</c:v>
                </c:pt>
                <c:pt idx="27">
                  <c:v>Total Geral</c:v>
                </c:pt>
              </c:strCache>
            </c:strRef>
          </c:cat>
          <c:val>
            <c:numRef>
              <c:f>'TABELAS DINAMICAS'!$E$126:$E$153</c:f>
              <c:numCache>
                <c:formatCode>General</c:formatCode>
                <c:ptCount val="28"/>
                <c:pt idx="2">
                  <c:v>2</c:v>
                </c:pt>
                <c:pt idx="3">
                  <c:v>0</c:v>
                </c:pt>
                <c:pt idx="4">
                  <c:v>1</c:v>
                </c:pt>
                <c:pt idx="13">
                  <c:v>0</c:v>
                </c:pt>
                <c:pt idx="27">
                  <c:v>3</c:v>
                </c:pt>
              </c:numCache>
            </c:numRef>
          </c:val>
        </c:ser>
        <c:ser>
          <c:idx val="4"/>
          <c:order val="4"/>
          <c:tx>
            <c:strRef>
              <c:f>'TABELAS DINAMICAS'!$F$124:$F$125</c:f>
              <c:strCache>
                <c:ptCount val="1"/>
                <c:pt idx="0">
                  <c:v>TOMB. APROV.</c:v>
                </c:pt>
              </c:strCache>
            </c:strRef>
          </c:tx>
          <c:spPr bwMode="auto">
            <a:prstGeom prst="rect">
              <a:avLst/>
            </a:prstGeom>
            <a:solidFill>
              <a:srgbClr val="4299B0"/>
            </a:solidFill>
            <a:ln w="0">
              <a:noFill/>
            </a:ln>
          </c:spPr>
          <c:invertIfNegative val="0"/>
          <c:dLbls>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'TABELAS DINAMICAS'!$A$126:$A$153</c:f>
              <c:strCache>
                <c:ptCount val="28"/>
                <c:pt idx="0">
                  <c:v>AC</c:v>
                </c:pt>
                <c:pt idx="1">
                  <c:v>AL</c:v>
                </c:pt>
                <c:pt idx="2">
                  <c:v>AM</c:v>
                </c:pt>
                <c:pt idx="3">
                  <c:v>BA</c:v>
                </c:pt>
                <c:pt idx="4">
                  <c:v>CE</c:v>
                </c:pt>
                <c:pt idx="5">
                  <c:v>DF</c:v>
                </c:pt>
                <c:pt idx="6">
                  <c:v>ES</c:v>
                </c:pt>
                <c:pt idx="7">
                  <c:v>GO</c:v>
                </c:pt>
                <c:pt idx="8">
                  <c:v>MA</c:v>
                </c:pt>
                <c:pt idx="9">
                  <c:v>MG</c:v>
                </c:pt>
                <c:pt idx="10">
                  <c:v>MS</c:v>
                </c:pt>
                <c:pt idx="11">
                  <c:v>MT</c:v>
                </c:pt>
                <c:pt idx="12">
                  <c:v>PA</c:v>
                </c:pt>
                <c:pt idx="13">
                  <c:v>PB</c:v>
                </c:pt>
                <c:pt idx="14">
                  <c:v>PE</c:v>
                </c:pt>
                <c:pt idx="15">
                  <c:v xml:space="preserve">PE </c:v>
                </c:pt>
                <c:pt idx="16">
                  <c:v>PI</c:v>
                </c:pt>
                <c:pt idx="17">
                  <c:v>PR</c:v>
                </c:pt>
                <c:pt idx="18">
                  <c:v>RJ</c:v>
                </c:pt>
                <c:pt idx="19">
                  <c:v>RN</c:v>
                </c:pt>
                <c:pt idx="20">
                  <c:v>RO</c:v>
                </c:pt>
                <c:pt idx="21">
                  <c:v>RR</c:v>
                </c:pt>
                <c:pt idx="22">
                  <c:v>RS</c:v>
                </c:pt>
                <c:pt idx="23">
                  <c:v>SC</c:v>
                </c:pt>
                <c:pt idx="24">
                  <c:v>SE</c:v>
                </c:pt>
                <c:pt idx="25">
                  <c:v>SP</c:v>
                </c:pt>
                <c:pt idx="26">
                  <c:v>TO</c:v>
                </c:pt>
                <c:pt idx="27">
                  <c:v>Total Geral</c:v>
                </c:pt>
              </c:strCache>
            </c:strRef>
          </c:cat>
          <c:val>
            <c:numRef>
              <c:f>'TABELAS DINAMICAS'!$F$126:$F$153</c:f>
              <c:numCache>
                <c:formatCode>General</c:formatCode>
                <c:ptCount val="28"/>
                <c:pt idx="0">
                  <c:v>1</c:v>
                </c:pt>
                <c:pt idx="9">
                  <c:v>1</c:v>
                </c:pt>
                <c:pt idx="18">
                  <c:v>1</c:v>
                </c:pt>
                <c:pt idx="22">
                  <c:v>1</c:v>
                </c:pt>
                <c:pt idx="23">
                  <c:v>1</c:v>
                </c:pt>
                <c:pt idx="25">
                  <c:v>1</c:v>
                </c:pt>
                <c:pt idx="27">
                  <c:v>6</c:v>
                </c:pt>
              </c:numCache>
            </c:numRef>
          </c:val>
        </c:ser>
        <c:ser>
          <c:idx val="5"/>
          <c:order val="5"/>
          <c:tx>
            <c:strRef>
              <c:f>'TABELAS DINAMICAS'!$G$124:$G$125</c:f>
              <c:strCache>
                <c:ptCount val="1"/>
                <c:pt idx="0">
                  <c:v>TOMB. EMERG.</c:v>
                </c:pt>
              </c:strCache>
            </c:strRef>
          </c:tx>
          <c:spPr bwMode="auto">
            <a:prstGeom prst="rect">
              <a:avLst/>
            </a:prstGeom>
            <a:solidFill>
              <a:srgbClr val="DC853E"/>
            </a:solidFill>
            <a:ln w="0">
              <a:noFill/>
            </a:ln>
          </c:spPr>
          <c:invertIfNegative val="0"/>
          <c:dLbls>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'TABELAS DINAMICAS'!$A$126:$A$153</c:f>
              <c:strCache>
                <c:ptCount val="28"/>
                <c:pt idx="0">
                  <c:v>AC</c:v>
                </c:pt>
                <c:pt idx="1">
                  <c:v>AL</c:v>
                </c:pt>
                <c:pt idx="2">
                  <c:v>AM</c:v>
                </c:pt>
                <c:pt idx="3">
                  <c:v>BA</c:v>
                </c:pt>
                <c:pt idx="4">
                  <c:v>CE</c:v>
                </c:pt>
                <c:pt idx="5">
                  <c:v>DF</c:v>
                </c:pt>
                <c:pt idx="6">
                  <c:v>ES</c:v>
                </c:pt>
                <c:pt idx="7">
                  <c:v>GO</c:v>
                </c:pt>
                <c:pt idx="8">
                  <c:v>MA</c:v>
                </c:pt>
                <c:pt idx="9">
                  <c:v>MG</c:v>
                </c:pt>
                <c:pt idx="10">
                  <c:v>MS</c:v>
                </c:pt>
                <c:pt idx="11">
                  <c:v>MT</c:v>
                </c:pt>
                <c:pt idx="12">
                  <c:v>PA</c:v>
                </c:pt>
                <c:pt idx="13">
                  <c:v>PB</c:v>
                </c:pt>
                <c:pt idx="14">
                  <c:v>PE</c:v>
                </c:pt>
                <c:pt idx="15">
                  <c:v xml:space="preserve">PE </c:v>
                </c:pt>
                <c:pt idx="16">
                  <c:v>PI</c:v>
                </c:pt>
                <c:pt idx="17">
                  <c:v>PR</c:v>
                </c:pt>
                <c:pt idx="18">
                  <c:v>RJ</c:v>
                </c:pt>
                <c:pt idx="19">
                  <c:v>RN</c:v>
                </c:pt>
                <c:pt idx="20">
                  <c:v>RO</c:v>
                </c:pt>
                <c:pt idx="21">
                  <c:v>RR</c:v>
                </c:pt>
                <c:pt idx="22">
                  <c:v>RS</c:v>
                </c:pt>
                <c:pt idx="23">
                  <c:v>SC</c:v>
                </c:pt>
                <c:pt idx="24">
                  <c:v>SE</c:v>
                </c:pt>
                <c:pt idx="25">
                  <c:v>SP</c:v>
                </c:pt>
                <c:pt idx="26">
                  <c:v>TO</c:v>
                </c:pt>
                <c:pt idx="27">
                  <c:v>Total Geral</c:v>
                </c:pt>
              </c:strCache>
            </c:strRef>
          </c:cat>
          <c:val>
            <c:numRef>
              <c:f>'TABELAS DINAMICAS'!$G$126:$G$153</c:f>
              <c:numCache>
                <c:formatCode>General</c:formatCode>
                <c:ptCount val="28"/>
                <c:pt idx="3">
                  <c:v>2</c:v>
                </c:pt>
                <c:pt idx="18">
                  <c:v>1</c:v>
                </c:pt>
                <c:pt idx="22">
                  <c:v>2</c:v>
                </c:pt>
                <c:pt idx="27">
                  <c:v>5</c:v>
                </c:pt>
              </c:numCache>
            </c:numRef>
          </c:val>
        </c:ser>
        <c:ser>
          <c:idx val="6"/>
          <c:order val="6"/>
          <c:tx>
            <c:strRef>
              <c:f>'TABELAS DINAMICAS'!$H$124:$H$125</c:f>
              <c:strCache>
                <c:ptCount val="1"/>
                <c:pt idx="0">
                  <c:v>TOMB. PROVIS.</c:v>
                </c:pt>
              </c:strCache>
            </c:strRef>
          </c:tx>
          <c:spPr bwMode="auto">
            <a:prstGeom prst="rect">
              <a:avLst/>
            </a:prstGeom>
            <a:solidFill>
              <a:srgbClr val="93A9CE"/>
            </a:solidFill>
            <a:ln w="0">
              <a:noFill/>
            </a:ln>
          </c:spPr>
          <c:invertIfNegative val="0"/>
          <c:dLbls>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'TABELAS DINAMICAS'!$A$126:$A$153</c:f>
              <c:strCache>
                <c:ptCount val="28"/>
                <c:pt idx="0">
                  <c:v>AC</c:v>
                </c:pt>
                <c:pt idx="1">
                  <c:v>AL</c:v>
                </c:pt>
                <c:pt idx="2">
                  <c:v>AM</c:v>
                </c:pt>
                <c:pt idx="3">
                  <c:v>BA</c:v>
                </c:pt>
                <c:pt idx="4">
                  <c:v>CE</c:v>
                </c:pt>
                <c:pt idx="5">
                  <c:v>DF</c:v>
                </c:pt>
                <c:pt idx="6">
                  <c:v>ES</c:v>
                </c:pt>
                <c:pt idx="7">
                  <c:v>GO</c:v>
                </c:pt>
                <c:pt idx="8">
                  <c:v>MA</c:v>
                </c:pt>
                <c:pt idx="9">
                  <c:v>MG</c:v>
                </c:pt>
                <c:pt idx="10">
                  <c:v>MS</c:v>
                </c:pt>
                <c:pt idx="11">
                  <c:v>MT</c:v>
                </c:pt>
                <c:pt idx="12">
                  <c:v>PA</c:v>
                </c:pt>
                <c:pt idx="13">
                  <c:v>PB</c:v>
                </c:pt>
                <c:pt idx="14">
                  <c:v>PE</c:v>
                </c:pt>
                <c:pt idx="15">
                  <c:v xml:space="preserve">PE </c:v>
                </c:pt>
                <c:pt idx="16">
                  <c:v>PI</c:v>
                </c:pt>
                <c:pt idx="17">
                  <c:v>PR</c:v>
                </c:pt>
                <c:pt idx="18">
                  <c:v>RJ</c:v>
                </c:pt>
                <c:pt idx="19">
                  <c:v>RN</c:v>
                </c:pt>
                <c:pt idx="20">
                  <c:v>RO</c:v>
                </c:pt>
                <c:pt idx="21">
                  <c:v>RR</c:v>
                </c:pt>
                <c:pt idx="22">
                  <c:v>RS</c:v>
                </c:pt>
                <c:pt idx="23">
                  <c:v>SC</c:v>
                </c:pt>
                <c:pt idx="24">
                  <c:v>SE</c:v>
                </c:pt>
                <c:pt idx="25">
                  <c:v>SP</c:v>
                </c:pt>
                <c:pt idx="26">
                  <c:v>TO</c:v>
                </c:pt>
                <c:pt idx="27">
                  <c:v>Total Geral</c:v>
                </c:pt>
              </c:strCache>
            </c:strRef>
          </c:cat>
          <c:val>
            <c:numRef>
              <c:f>'TABELAS DINAMICAS'!$H$126:$H$153</c:f>
              <c:numCache>
                <c:formatCode>General</c:formatCode>
                <c:ptCount val="28"/>
                <c:pt idx="1">
                  <c:v>1</c:v>
                </c:pt>
                <c:pt idx="8">
                  <c:v>1</c:v>
                </c:pt>
                <c:pt idx="11">
                  <c:v>1</c:v>
                </c:pt>
                <c:pt idx="12">
                  <c:v>2</c:v>
                </c:pt>
                <c:pt idx="13">
                  <c:v>1</c:v>
                </c:pt>
                <c:pt idx="14">
                  <c:v>1</c:v>
                </c:pt>
                <c:pt idx="16">
                  <c:v>1</c:v>
                </c:pt>
                <c:pt idx="17">
                  <c:v>2</c:v>
                </c:pt>
                <c:pt idx="18">
                  <c:v>2</c:v>
                </c:pt>
                <c:pt idx="22">
                  <c:v>1</c:v>
                </c:pt>
                <c:pt idx="23">
                  <c:v>1</c:v>
                </c:pt>
                <c:pt idx="24">
                  <c:v>1</c:v>
                </c:pt>
                <c:pt idx="25">
                  <c:v>1</c:v>
                </c:pt>
                <c:pt idx="27">
                  <c:v>16</c:v>
                </c:pt>
              </c:numCache>
            </c:numRef>
          </c:val>
        </c:ser>
        <c:dLbls>
          <c:showBubbleSize val="0"/>
          <c:showCatName val="0"/>
          <c:showLegendKey val="0"/>
          <c:showPercent val="0"/>
          <c:showSerName val="0"/>
          <c:showVal val="0"/>
        </c:dLbls>
        <c:gapWidth val="150"/>
        <c:shape val="box"/>
        <c:axId val="91598915"/>
        <c:axId val="69662078"/>
      </c:bar3DChart>
      <c:catAx>
        <c:axId val="91598915"/>
        <c:scaling>
          <c:orientation val="minMax"/>
        </c:scaling>
        <c:delete val="0"/>
        <c:axPos val="b"/>
        <c:numFmt formatCode="General" sourceLinked="0"/>
        <c:majorTickMark val="out"/>
        <c:minorTickMark val="none"/>
        <c:tickLblPos val="nextTo"/>
        <c:spPr bwMode="auto">
          <a:prstGeom prst="rect">
            <a:avLst/>
          </a:prstGeom>
          <a:ln w="9360">
            <a:solidFill>
              <a:srgbClr val="878787"/>
            </a:solidFill>
            <a:round/>
          </a:ln>
        </c:spPr>
        <c:txPr>
          <a:bodyPr rot="-2700000"/>
          <a:lstStyle/>
          <a:p>
            <a:pPr>
              <a:defRPr sz="1000" b="0" strike="noStrike" spc="-1">
                <a:solidFill>
                  <a:srgbClr val="000000"/>
                </a:solidFill>
                <a:latin typeface="Calibri"/>
                <a:ea typeface="Calibri"/>
              </a:defRPr>
            </a:pPr>
            <a:endParaRPr/>
          </a:p>
        </c:txPr>
        <c:crossAx val="69662078"/>
        <c:crosses val="autoZero"/>
        <c:auto val="1"/>
        <c:lblAlgn val="ctr"/>
        <c:lblOffset val="100"/>
        <c:noMultiLvlLbl val="0"/>
      </c:catAx>
      <c:valAx>
        <c:axId val="69662078"/>
        <c:scaling>
          <c:orientation val="minMax"/>
        </c:scaling>
        <c:delete val="0"/>
        <c:axPos val="l"/>
        <c:majorGridlines>
          <c:spPr bwMode="auto">
            <a:prstGeom prst="rect">
              <a:avLst/>
            </a:prstGeom>
            <a:ln w="9360">
              <a:solidFill>
                <a:srgbClr val="878787"/>
              </a:solidFill>
              <a:round/>
            </a:ln>
          </c:spPr>
        </c:majorGridlines>
        <c:numFmt formatCode="0" sourceLinked="0"/>
        <c:majorTickMark val="out"/>
        <c:minorTickMark val="none"/>
        <c:tickLblPos val="nextTo"/>
        <c:spPr bwMode="auto">
          <a:prstGeom prst="rect">
            <a:avLst/>
          </a:prstGeom>
          <a:ln w="9360">
            <a:solidFill>
              <a:srgbClr val="878787"/>
            </a:solidFill>
            <a:round/>
          </a:ln>
        </c:spPr>
        <c:txPr>
          <a:bodyPr/>
          <a:lstStyle/>
          <a:p>
            <a:pPr>
              <a:defRPr sz="1000" b="0" strike="noStrike" spc="-1">
                <a:solidFill>
                  <a:srgbClr val="000000"/>
                </a:solidFill>
                <a:latin typeface="Calibri"/>
                <a:ea typeface="Calibri"/>
              </a:defRPr>
            </a:pPr>
            <a:endParaRPr/>
          </a:p>
        </c:txPr>
        <c:crossAx val="91598915"/>
        <c:crosses val="autoZero"/>
        <c:crossBetween val="between"/>
      </c:valAx>
    </c:plotArea>
    <c:legend>
      <c:legendPos val="r"/>
      <c:layout/>
      <c:overlay val="0"/>
      <c:spPr bwMode="auto">
        <a:prstGeom prst="rect">
          <a:avLst/>
        </a:prstGeom>
        <a:noFill/>
        <a:ln w="0">
          <a:noFill/>
        </a:ln>
      </c:spPr>
      <c:txPr>
        <a:bodyPr/>
        <a:lstStyle/>
        <a:p>
          <a:pPr>
            <a:defRPr sz="1000" b="0" strike="noStrike" spc="-1">
              <a:solidFill>
                <a:srgbClr val="000000"/>
              </a:solidFill>
              <a:latin typeface="Calibri"/>
              <a:ea typeface="Calibri"/>
            </a:defRPr>
          </a:pPr>
          <a:endParaRPr/>
        </a:p>
      </c:txPr>
    </c:legend>
    <c:plotVisOnly val="1"/>
    <c:dispBlanksAs val="gap"/>
    <c:showDLblsOverMax val="0"/>
  </c:chart>
  <c:spPr bwMode="auto">
    <a:xfrm rot="0">
      <a:off x="15414840" y="20408400"/>
      <a:ext cx="12007800" cy="4261680"/>
    </a:xfrm>
    <a:prstGeom prst="rect">
      <a:avLst/>
    </a:prstGeom>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tx>
        <c:rich>
          <a:bodyPr rot="0"/>
          <a:lstStyle/>
          <a:p>
            <a:pPr>
              <a:defRPr sz="1200" b="0" strike="noStrike" spc="-1">
                <a:solidFill>
                  <a:srgbClr val="000000"/>
                </a:solidFill>
                <a:latin typeface="Calibri"/>
                <a:ea typeface="Calibri"/>
              </a:defRPr>
            </a:pPr>
            <a:r>
              <a:rPr sz="1200" b="0" strike="noStrike" spc="-1">
                <a:solidFill>
                  <a:srgbClr val="000000"/>
                </a:solidFill>
                <a:latin typeface="Calibri"/>
                <a:ea typeface="Calibri"/>
              </a:rPr>
              <a:t>T</a:t>
            </a:r>
            <a:endParaRPr/>
          </a:p>
        </c:rich>
      </c:tx>
      <c:layout/>
      <c:overlay val="0"/>
      <c:spPr bwMode="auto">
        <a:prstGeom prst="rect">
          <a:avLst/>
        </a:prstGeom>
        <a:noFill/>
        <a:ln w="0">
          <a:noFill/>
        </a:ln>
      </c:spPr>
    </c:title>
    <c:autoTitleDeleted val="0"/>
    <c:view3D>
      <c:rotX val="15"/>
      <c:rotY val="20"/>
      <c:rAngAx val="1"/>
      <c:perspective val="30"/>
    </c:view3D>
    <c:floor>
      <c:spPr bwMode="auto">
        <a:prstGeom prst="rect">
          <a:avLst/>
        </a:prstGeom>
        <a:noFill/>
        <a:ln w="9360">
          <a:solidFill>
            <a:srgbClr val="878787"/>
          </a:solidFill>
          <a:round/>
        </a:ln>
      </c:spPr>
    </c:floor>
    <c:sideWall>
      <c:spPr bwMode="auto">
        <a:prstGeom prst="rect">
          <a:avLst/>
        </a:prstGeom>
        <a:noFill/>
        <a:ln w="9360">
          <a:solidFill>
            <a:srgbClr val="878787"/>
          </a:solidFill>
          <a:round/>
        </a:ln>
      </c:spPr>
    </c:sideWall>
    <c:backWall>
      <c:spPr bwMode="auto">
        <a:prstGeom prst="rect">
          <a:avLst/>
        </a:prstGeom>
        <a:noFill/>
        <a:ln w="9360">
          <a:solidFill>
            <a:srgbClr val="878787"/>
          </a:solidFill>
          <a:round/>
        </a:ln>
      </c:spPr>
    </c:backWall>
    <c:plotArea>
      <c:layout/>
      <c:bar3DChart>
        <c:barDir val="col"/>
        <c:grouping val="stacked"/>
        <c:varyColors val="0"/>
        <c:ser>
          <c:idx val="0"/>
          <c:order val="0"/>
          <c:tx>
            <c:strRef>
              <c:f>'TABELAS DINAMICAS'!$B$163:$B$164</c:f>
              <c:strCache>
                <c:ptCount val="1"/>
                <c:pt idx="0">
                  <c:v>Situação legal do bem T</c:v>
                </c:pt>
              </c:strCache>
            </c:strRef>
          </c:tx>
          <c:spPr bwMode="auto">
            <a:prstGeom prst="rect">
              <a:avLst/>
            </a:prstGeom>
            <a:solidFill>
              <a:srgbClr val="4F81BD"/>
            </a:solidFill>
            <a:ln w="0">
              <a:noFill/>
            </a:ln>
          </c:spPr>
          <c:invertIfNegative val="0"/>
          <c:dLbls>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'TABELAS DINAMICAS'!$A$165:$A$175</c:f>
              <c:strCache>
                <c:ptCount val="11"/>
                <c:pt idx="0">
                  <c:v>1930</c:v>
                </c:pt>
                <c:pt idx="1">
                  <c:v>1940</c:v>
                </c:pt>
                <c:pt idx="2">
                  <c:v>1950</c:v>
                </c:pt>
                <c:pt idx="3">
                  <c:v>1960</c:v>
                </c:pt>
                <c:pt idx="4">
                  <c:v>1970</c:v>
                </c:pt>
                <c:pt idx="5">
                  <c:v>1980</c:v>
                </c:pt>
                <c:pt idx="6">
                  <c:v>1990</c:v>
                </c:pt>
                <c:pt idx="7">
                  <c:v>2000</c:v>
                </c:pt>
                <c:pt idx="8">
                  <c:v>2010</c:v>
                </c:pt>
                <c:pt idx="9">
                  <c:v>2020</c:v>
                </c:pt>
                <c:pt idx="10">
                  <c:v>Total Geral</c:v>
                </c:pt>
              </c:strCache>
            </c:strRef>
          </c:cat>
          <c:val>
            <c:numRef>
              <c:f>'TABELAS DINAMICAS'!$B$165:$B$175</c:f>
              <c:numCache>
                <c:formatCode>General</c:formatCode>
                <c:ptCount val="11"/>
                <c:pt idx="0">
                  <c:v>279</c:v>
                </c:pt>
                <c:pt idx="1">
                  <c:v>188</c:v>
                </c:pt>
                <c:pt idx="2">
                  <c:v>167</c:v>
                </c:pt>
                <c:pt idx="3">
                  <c:v>154</c:v>
                </c:pt>
                <c:pt idx="4">
                  <c:v>78</c:v>
                </c:pt>
                <c:pt idx="5">
                  <c:v>96</c:v>
                </c:pt>
                <c:pt idx="6">
                  <c:v>34</c:v>
                </c:pt>
                <c:pt idx="7">
                  <c:v>47</c:v>
                </c:pt>
                <c:pt idx="8">
                  <c:v>155</c:v>
                </c:pt>
                <c:pt idx="9">
                  <c:v>1</c:v>
                </c:pt>
                <c:pt idx="10">
                  <c:v>1199</c:v>
                </c:pt>
              </c:numCache>
            </c:numRef>
          </c:val>
        </c:ser>
        <c:dLbls>
          <c:showBubbleSize val="0"/>
          <c:showCatName val="0"/>
          <c:showLegendKey val="0"/>
          <c:showPercent val="0"/>
          <c:showSerName val="0"/>
          <c:showVal val="0"/>
        </c:dLbls>
        <c:gapWidth val="150"/>
        <c:shape val="box"/>
        <c:axId val="93225602"/>
        <c:axId val="7378811"/>
      </c:bar3DChart>
      <c:catAx>
        <c:axId val="93225602"/>
        <c:scaling>
          <c:orientation val="minMax"/>
        </c:scaling>
        <c:delete val="0"/>
        <c:axPos val="b"/>
        <c:numFmt formatCode="General" sourceLinked="0"/>
        <c:majorTickMark val="out"/>
        <c:minorTickMark val="none"/>
        <c:tickLblPos val="nextTo"/>
        <c:spPr bwMode="auto">
          <a:prstGeom prst="rect">
            <a:avLst/>
          </a:prstGeom>
          <a:ln w="9360">
            <a:solidFill>
              <a:srgbClr val="878787"/>
            </a:solidFill>
            <a:round/>
          </a:ln>
        </c:spPr>
        <c:txPr>
          <a:bodyPr/>
          <a:lstStyle/>
          <a:p>
            <a:pPr>
              <a:defRPr sz="1000" b="0" strike="noStrike" spc="-1">
                <a:solidFill>
                  <a:srgbClr val="000000"/>
                </a:solidFill>
                <a:latin typeface="Calibri"/>
                <a:ea typeface="Calibri"/>
              </a:defRPr>
            </a:pPr>
            <a:endParaRPr/>
          </a:p>
        </c:txPr>
        <c:crossAx val="7378811"/>
        <c:crosses val="autoZero"/>
        <c:auto val="1"/>
        <c:lblAlgn val="ctr"/>
        <c:lblOffset val="100"/>
        <c:noMultiLvlLbl val="0"/>
      </c:catAx>
      <c:valAx>
        <c:axId val="7378811"/>
        <c:scaling>
          <c:orientation val="minMax"/>
        </c:scaling>
        <c:delete val="0"/>
        <c:axPos val="l"/>
        <c:majorGridlines>
          <c:spPr bwMode="auto">
            <a:prstGeom prst="rect">
              <a:avLst/>
            </a:prstGeom>
            <a:ln w="9360">
              <a:solidFill>
                <a:srgbClr val="878787"/>
              </a:solidFill>
              <a:round/>
            </a:ln>
          </c:spPr>
        </c:majorGridlines>
        <c:numFmt formatCode="General" sourceLinked="0"/>
        <c:majorTickMark val="out"/>
        <c:minorTickMark val="none"/>
        <c:tickLblPos val="nextTo"/>
        <c:spPr bwMode="auto">
          <a:prstGeom prst="rect">
            <a:avLst/>
          </a:prstGeom>
          <a:ln w="9360">
            <a:solidFill>
              <a:srgbClr val="878787"/>
            </a:solidFill>
            <a:round/>
          </a:ln>
        </c:spPr>
        <c:txPr>
          <a:bodyPr/>
          <a:lstStyle/>
          <a:p>
            <a:pPr>
              <a:defRPr sz="1000" b="0" strike="noStrike" spc="-1">
                <a:solidFill>
                  <a:srgbClr val="000000"/>
                </a:solidFill>
                <a:latin typeface="Calibri"/>
                <a:ea typeface="Calibri"/>
              </a:defRPr>
            </a:pPr>
            <a:endParaRPr/>
          </a:p>
        </c:txPr>
        <c:crossAx val="93225602"/>
        <c:crosses val="autoZero"/>
        <c:crossBetween val="between"/>
      </c:valAx>
    </c:plotArea>
    <c:legend>
      <c:legendPos val="r"/>
      <c:layout/>
      <c:overlay val="0"/>
      <c:spPr bwMode="auto">
        <a:prstGeom prst="rect">
          <a:avLst/>
        </a:prstGeom>
        <a:noFill/>
        <a:ln w="0">
          <a:noFill/>
        </a:ln>
      </c:spPr>
      <c:txPr>
        <a:bodyPr/>
        <a:lstStyle/>
        <a:p>
          <a:pPr>
            <a:defRPr sz="650" b="0" strike="noStrike" spc="-1">
              <a:solidFill>
                <a:srgbClr val="000000"/>
              </a:solidFill>
              <a:latin typeface="Calibri"/>
              <a:ea typeface="Calibri"/>
            </a:defRPr>
          </a:pPr>
          <a:endParaRPr/>
        </a:p>
      </c:txPr>
    </c:legend>
    <c:plotVisOnly val="1"/>
    <c:dispBlanksAs val="gap"/>
    <c:showDLblsOverMax val="0"/>
  </c:chart>
  <c:spPr bwMode="auto">
    <a:xfrm rot="0">
      <a:off x="7104600" y="26603280"/>
      <a:ext cx="5726520" cy="2581200"/>
    </a:xfrm>
    <a:prstGeom prst="rect">
      <a:avLst/>
    </a:prstGeom>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tx>
        <c:rich>
          <a:bodyPr rot="0"/>
          <a:lstStyle/>
          <a:p>
            <a:pPr>
              <a:defRPr sz="1800" b="1" strike="noStrike" spc="-1">
                <a:solidFill>
                  <a:srgbClr val="000000"/>
                </a:solidFill>
                <a:latin typeface="Calibri"/>
                <a:ea typeface="Calibri"/>
              </a:defRPr>
            </a:pPr>
            <a:r>
              <a:rPr sz="1800" b="1" strike="noStrike" spc="-1">
                <a:solidFill>
                  <a:srgbClr val="000000"/>
                </a:solidFill>
                <a:latin typeface="Calibri"/>
                <a:ea typeface="Calibri"/>
              </a:rPr>
              <a:t>Total</a:t>
            </a:r>
            <a:endParaRPr/>
          </a:p>
        </c:rich>
      </c:tx>
      <c:layout/>
      <c:overlay val="0"/>
      <c:spPr bwMode="auto">
        <a:prstGeom prst="rect">
          <a:avLst/>
        </a:prstGeom>
        <a:noFill/>
        <a:ln w="0">
          <a:noFill/>
        </a:ln>
      </c:spPr>
    </c:title>
    <c:autoTitleDeleted val="0"/>
    <c:plotArea>
      <c:layout/>
      <c:pieChart>
        <c:varyColors val="1"/>
        <c:ser>
          <c:idx val="0"/>
          <c:order val="0"/>
          <c:tx>
            <c:strRef>
              <c:f>'TABELAS DINAMICAS'!$B$185:$B$186</c:f>
              <c:strCache>
                <c:ptCount val="1"/>
                <c:pt idx="0">
                  <c:v>Total</c:v>
                </c:pt>
              </c:strCache>
            </c:strRef>
          </c:tx>
          <c:spPr bwMode="auto">
            <a:prstGeom prst="rect">
              <a:avLst/>
            </a:prstGeom>
            <a:solidFill>
              <a:srgbClr val="4F81BD"/>
            </a:solidFill>
            <a:ln w="0">
              <a:noFill/>
            </a:ln>
          </c:spPr>
          <c:explosion val="0"/>
          <c:dPt>
            <c:idx val="0"/>
            <c:spPr bwMode="auto">
              <a:prstGeom prst="rect">
                <a:avLst/>
              </a:prstGeom>
              <a:solidFill>
                <a:srgbClr val="4672A8"/>
              </a:solidFill>
              <a:ln w="0">
                <a:noFill/>
              </a:ln>
            </c:spPr>
          </c:dPt>
          <c:dPt>
            <c:idx val="1"/>
            <c:spPr bwMode="auto">
              <a:prstGeom prst="rect">
                <a:avLst/>
              </a:prstGeom>
              <a:solidFill>
                <a:srgbClr val="AB4744"/>
              </a:solidFill>
              <a:ln w="0">
                <a:noFill/>
              </a:ln>
            </c:spPr>
          </c:dPt>
          <c:dPt>
            <c:idx val="2"/>
            <c:spPr bwMode="auto">
              <a:prstGeom prst="rect">
                <a:avLst/>
              </a:prstGeom>
              <a:solidFill>
                <a:srgbClr val="8AA64F"/>
              </a:solidFill>
              <a:ln w="0">
                <a:noFill/>
              </a:ln>
            </c:spPr>
          </c:dPt>
          <c:dPt>
            <c:idx val="3"/>
            <c:spPr bwMode="auto">
              <a:prstGeom prst="rect">
                <a:avLst/>
              </a:prstGeom>
              <a:solidFill>
                <a:srgbClr val="725990"/>
              </a:solidFill>
              <a:ln w="0">
                <a:noFill/>
              </a:ln>
            </c:spPr>
          </c:dPt>
          <c:dPt>
            <c:idx val="4"/>
            <c:spPr bwMode="auto">
              <a:prstGeom prst="rect">
                <a:avLst/>
              </a:prstGeom>
              <a:solidFill>
                <a:srgbClr val="4299B0"/>
              </a:solidFill>
              <a:ln w="0">
                <a:noFill/>
              </a:ln>
            </c:spPr>
          </c:dPt>
          <c:dPt>
            <c:idx val="5"/>
            <c:spPr bwMode="auto">
              <a:prstGeom prst="rect">
                <a:avLst/>
              </a:prstGeom>
              <a:solidFill>
                <a:srgbClr val="DC853E"/>
              </a:solidFill>
              <a:ln w="0">
                <a:noFill/>
              </a:ln>
            </c:spPr>
          </c:dPt>
          <c:dPt>
            <c:idx val="6"/>
            <c:spPr bwMode="auto">
              <a:prstGeom prst="rect">
                <a:avLst/>
              </a:prstGeom>
              <a:solidFill>
                <a:srgbClr val="93A9CE"/>
              </a:solidFill>
              <a:ln w="0">
                <a:noFill/>
              </a:ln>
            </c:spPr>
          </c:dPt>
          <c:dPt>
            <c:idx val="7"/>
            <c:spPr bwMode="auto">
              <a:prstGeom prst="rect">
                <a:avLst/>
              </a:prstGeom>
              <a:solidFill>
                <a:srgbClr val="D09493"/>
              </a:solidFill>
              <a:ln w="0">
                <a:noFill/>
              </a:ln>
            </c:spPr>
          </c:dPt>
          <c:dPt>
            <c:idx val="8"/>
            <c:spPr bwMode="auto">
              <a:prstGeom prst="rect">
                <a:avLst/>
              </a:prstGeom>
              <a:solidFill>
                <a:srgbClr val="B8CD97"/>
              </a:solidFill>
              <a:ln w="0">
                <a:noFill/>
              </a:ln>
            </c:spPr>
          </c:dPt>
          <c:dPt>
            <c:idx val="9"/>
            <c:spPr bwMode="auto">
              <a:prstGeom prst="rect">
                <a:avLst/>
              </a:prstGeom>
              <a:solidFill>
                <a:srgbClr val="A99BBD"/>
              </a:solidFill>
              <a:ln w="0">
                <a:noFill/>
              </a:ln>
            </c:spPr>
          </c:dPt>
          <c:dLbls>
            <c:dLbl>
              <c:idx val="0"/>
              <c:dLblPos val="bestFit"/>
              <c:layout/>
              <c:numFmt formatCode="0" sourceLinked="1"/>
              <c:separator xml:space="preserve">; </c:separator>
              <c:showBubbleSize val="0"/>
              <c:showCatName val="0"/>
              <c:showLegendKey val="0"/>
              <c:showPercent val="0"/>
              <c:showSerName val="0"/>
              <c:showVal val="1"/>
              <c:txPr>
                <a:bodyPr wrap="square"/>
                <a:lstStyle/>
                <a:p>
                  <a:pPr>
                    <a:defRPr sz="1000" b="0" strike="noStrike" spc="-1">
                      <a:solidFill>
                        <a:srgbClr val="000000"/>
                      </a:solidFill>
                      <a:latin typeface="Calibri"/>
                    </a:defRPr>
                  </a:pPr>
                  <a:endParaRPr/>
                </a:p>
              </c:txPr>
            </c:dLbl>
            <c:dLbl>
              <c:idx val="1"/>
              <c:dLblPos val="bestFit"/>
              <c:layout/>
              <c:numFmt formatCode="0" sourceLinked="1"/>
              <c:separator xml:space="preserve">; </c:separator>
              <c:showBubbleSize val="0"/>
              <c:showCatName val="0"/>
              <c:showLegendKey val="0"/>
              <c:showPercent val="0"/>
              <c:showSerName val="0"/>
              <c:showVal val="1"/>
              <c:txPr>
                <a:bodyPr wrap="square"/>
                <a:lstStyle/>
                <a:p>
                  <a:pPr>
                    <a:defRPr sz="1000" b="0" strike="noStrike" spc="-1">
                      <a:solidFill>
                        <a:srgbClr val="000000"/>
                      </a:solidFill>
                      <a:latin typeface="Calibri"/>
                    </a:defRPr>
                  </a:pPr>
                  <a:endParaRPr/>
                </a:p>
              </c:txPr>
            </c:dLbl>
            <c:dLbl>
              <c:idx val="2"/>
              <c:dLblPos val="bestFit"/>
              <c:layout/>
              <c:numFmt formatCode="0" sourceLinked="1"/>
              <c:separator xml:space="preserve">; </c:separator>
              <c:showBubbleSize val="0"/>
              <c:showCatName val="0"/>
              <c:showLegendKey val="0"/>
              <c:showPercent val="0"/>
              <c:showSerName val="0"/>
              <c:showVal val="1"/>
              <c:txPr>
                <a:bodyPr wrap="square"/>
                <a:lstStyle/>
                <a:p>
                  <a:pPr>
                    <a:defRPr sz="1000" b="0" strike="noStrike" spc="-1">
                      <a:solidFill>
                        <a:srgbClr val="000000"/>
                      </a:solidFill>
                      <a:latin typeface="Calibri"/>
                    </a:defRPr>
                  </a:pPr>
                  <a:endParaRPr/>
                </a:p>
              </c:txPr>
            </c:dLbl>
            <c:dLbl>
              <c:idx val="3"/>
              <c:dLblPos val="bestFit"/>
              <c:layout/>
              <c:numFmt formatCode="0" sourceLinked="1"/>
              <c:separator xml:space="preserve">; </c:separator>
              <c:showBubbleSize val="0"/>
              <c:showCatName val="0"/>
              <c:showLegendKey val="0"/>
              <c:showPercent val="0"/>
              <c:showSerName val="0"/>
              <c:showVal val="1"/>
              <c:txPr>
                <a:bodyPr wrap="square"/>
                <a:lstStyle/>
                <a:p>
                  <a:pPr>
                    <a:defRPr sz="1000" b="0" strike="noStrike" spc="-1">
                      <a:solidFill>
                        <a:srgbClr val="000000"/>
                      </a:solidFill>
                      <a:latin typeface="Calibri"/>
                    </a:defRPr>
                  </a:pPr>
                  <a:endParaRPr/>
                </a:p>
              </c:txPr>
            </c:dLbl>
            <c:dLbl>
              <c:idx val="4"/>
              <c:dLblPos val="bestFit"/>
              <c:layout/>
              <c:numFmt formatCode="0" sourceLinked="1"/>
              <c:separator xml:space="preserve">; </c:separator>
              <c:showBubbleSize val="0"/>
              <c:showCatName val="0"/>
              <c:showLegendKey val="0"/>
              <c:showPercent val="0"/>
              <c:showSerName val="0"/>
              <c:showVal val="1"/>
              <c:txPr>
                <a:bodyPr wrap="square"/>
                <a:lstStyle/>
                <a:p>
                  <a:pPr>
                    <a:defRPr sz="1000" b="0" strike="noStrike" spc="-1">
                      <a:solidFill>
                        <a:srgbClr val="000000"/>
                      </a:solidFill>
                      <a:latin typeface="Calibri"/>
                    </a:defRPr>
                  </a:pPr>
                  <a:endParaRPr/>
                </a:p>
              </c:txPr>
            </c:dLbl>
            <c:dLbl>
              <c:idx val="5"/>
              <c:dLblPos val="bestFit"/>
              <c:layout/>
              <c:numFmt formatCode="0" sourceLinked="1"/>
              <c:separator xml:space="preserve">; </c:separator>
              <c:showBubbleSize val="0"/>
              <c:showCatName val="0"/>
              <c:showLegendKey val="0"/>
              <c:showPercent val="0"/>
              <c:showSerName val="0"/>
              <c:showVal val="1"/>
              <c:txPr>
                <a:bodyPr wrap="square"/>
                <a:lstStyle/>
                <a:p>
                  <a:pPr>
                    <a:defRPr sz="1000" b="0" strike="noStrike" spc="-1">
                      <a:solidFill>
                        <a:srgbClr val="000000"/>
                      </a:solidFill>
                      <a:latin typeface="Calibri"/>
                    </a:defRPr>
                  </a:pPr>
                  <a:endParaRPr/>
                </a:p>
              </c:txPr>
            </c:dLbl>
            <c:dLbl>
              <c:idx val="6"/>
              <c:dLblPos val="bestFit"/>
              <c:layout/>
              <c:numFmt formatCode="0" sourceLinked="1"/>
              <c:separator xml:space="preserve">; </c:separator>
              <c:showBubbleSize val="0"/>
              <c:showCatName val="0"/>
              <c:showLegendKey val="0"/>
              <c:showPercent val="0"/>
              <c:showSerName val="0"/>
              <c:showVal val="1"/>
              <c:txPr>
                <a:bodyPr wrap="square"/>
                <a:lstStyle/>
                <a:p>
                  <a:pPr>
                    <a:defRPr sz="1000" b="0" strike="noStrike" spc="-1">
                      <a:solidFill>
                        <a:srgbClr val="000000"/>
                      </a:solidFill>
                      <a:latin typeface="Calibri"/>
                    </a:defRPr>
                  </a:pPr>
                  <a:endParaRPr/>
                </a:p>
              </c:txPr>
            </c:dLbl>
            <c:dLbl>
              <c:idx val="7"/>
              <c:dLblPos val="bestFit"/>
              <c:layout/>
              <c:numFmt formatCode="0" sourceLinked="1"/>
              <c:separator xml:space="preserve">; </c:separator>
              <c:showBubbleSize val="0"/>
              <c:showCatName val="0"/>
              <c:showLegendKey val="0"/>
              <c:showPercent val="0"/>
              <c:showSerName val="0"/>
              <c:showVal val="1"/>
              <c:txPr>
                <a:bodyPr wrap="square"/>
                <a:lstStyle/>
                <a:p>
                  <a:pPr>
                    <a:defRPr sz="1000" b="0" strike="noStrike" spc="-1">
                      <a:solidFill>
                        <a:srgbClr val="000000"/>
                      </a:solidFill>
                      <a:latin typeface="Calibri"/>
                    </a:defRPr>
                  </a:pPr>
                  <a:endParaRPr/>
                </a:p>
              </c:txPr>
            </c:dLbl>
            <c:dLbl>
              <c:idx val="8"/>
              <c:dLblPos val="bestFit"/>
              <c:layout/>
              <c:numFmt formatCode="0" sourceLinked="1"/>
              <c:separator xml:space="preserve">; </c:separator>
              <c:showBubbleSize val="0"/>
              <c:showCatName val="0"/>
              <c:showLegendKey val="0"/>
              <c:showPercent val="0"/>
              <c:showSerName val="0"/>
              <c:showVal val="1"/>
              <c:txPr>
                <a:bodyPr wrap="square"/>
                <a:lstStyle/>
                <a:p>
                  <a:pPr>
                    <a:defRPr sz="1000" b="0" strike="noStrike" spc="-1">
                      <a:solidFill>
                        <a:srgbClr val="000000"/>
                      </a:solidFill>
                      <a:latin typeface="Calibri"/>
                    </a:defRPr>
                  </a:pPr>
                  <a:endParaRPr/>
                </a:p>
              </c:txPr>
            </c:dLbl>
            <c:dLbl>
              <c:idx val="9"/>
              <c:dLblPos val="bestFit"/>
              <c:layout/>
              <c:numFmt formatCode="0" sourceLinked="1"/>
              <c:separator xml:space="preserve">; </c:separator>
              <c:showBubbleSize val="0"/>
              <c:showCatName val="0"/>
              <c:showLegendKey val="0"/>
              <c:showPercent val="0"/>
              <c:showSerName val="0"/>
              <c:showVal val="1"/>
              <c:txPr>
                <a:bodyPr wrap="square"/>
                <a:lstStyle/>
                <a:p>
                  <a:pPr>
                    <a:defRPr sz="1000" b="0" strike="noStrike" spc="-1">
                      <a:solidFill>
                        <a:srgbClr val="000000"/>
                      </a:solidFill>
                      <a:latin typeface="Calibri"/>
                    </a:defRPr>
                  </a:pPr>
                  <a:endParaRPr/>
                </a:p>
              </c:txPr>
            </c:dLbl>
            <c:dLblPos val="bestFit"/>
            <c:numFmt formatCode="0" sourceLinked="1"/>
            <c:separator xml:space="preserve">; </c:separator>
            <c:showBubbleSize val="0"/>
            <c:showCatName val="0"/>
            <c:showLeaderLines val="1"/>
            <c:showLegendKey val="0"/>
            <c:showPercent val="0"/>
            <c:showSerName val="0"/>
            <c:showVal val="1"/>
            <c:txPr>
              <a:bodyPr wrap="square"/>
              <a:lstStyle/>
              <a:p>
                <a:pPr>
                  <a:defRPr sz="1000" b="0" strike="noStrike" spc="-1">
                    <a:solidFill>
                      <a:srgbClr val="000000"/>
                    </a:solidFill>
                    <a:latin typeface="Calibri"/>
                    <a:ea typeface="Calibri"/>
                  </a:defRPr>
                </a:pPr>
                <a:endParaRPr/>
              </a:p>
            </c:txPr>
          </c:dLbls>
          <c:cat>
            <c:strRef>
              <c:f>'TABELAS DINAMICAS'!$A$187:$A$196</c:f>
              <c:strCache>
                <c:ptCount val="10"/>
                <c:pt idx="0">
                  <c:v>1940</c:v>
                </c:pt>
                <c:pt idx="1">
                  <c:v>1950</c:v>
                </c:pt>
                <c:pt idx="2">
                  <c:v>1960</c:v>
                </c:pt>
                <c:pt idx="3">
                  <c:v>1970</c:v>
                </c:pt>
                <c:pt idx="4">
                  <c:v>1980</c:v>
                </c:pt>
                <c:pt idx="5">
                  <c:v>1990</c:v>
                </c:pt>
                <c:pt idx="6">
                  <c:v>2000</c:v>
                </c:pt>
                <c:pt idx="7">
                  <c:v>2010</c:v>
                </c:pt>
                <c:pt idx="8">
                  <c:v> </c:v>
                </c:pt>
                <c:pt idx="9">
                  <c:v>Total Geral</c:v>
                </c:pt>
              </c:strCache>
            </c:strRef>
          </c:cat>
          <c:val>
            <c:numRef>
              <c:f>'TABELAS DINAMICAS'!$B$187:$B$196</c:f>
              <c:numCache>
                <c:formatCode>General</c:formatCode>
                <c:ptCount val="10"/>
                <c:pt idx="0">
                  <c:v>3</c:v>
                </c:pt>
                <c:pt idx="1">
                  <c:v>9</c:v>
                </c:pt>
                <c:pt idx="2">
                  <c:v>25</c:v>
                </c:pt>
                <c:pt idx="3">
                  <c:v>19</c:v>
                </c:pt>
                <c:pt idx="4">
                  <c:v>36</c:v>
                </c:pt>
                <c:pt idx="5">
                  <c:v>51</c:v>
                </c:pt>
                <c:pt idx="6">
                  <c:v>80</c:v>
                </c:pt>
                <c:pt idx="7">
                  <c:v>208</c:v>
                </c:pt>
                <c:pt idx="8">
                  <c:v>1</c:v>
                </c:pt>
                <c:pt idx="9">
                  <c:v>432</c:v>
                </c:pt>
              </c:numCache>
            </c:numRef>
          </c:val>
        </c:ser>
        <c:dLbls>
          <c:showBubbleSize val="0"/>
          <c:showCatName val="0"/>
          <c:showLegendKey val="0"/>
          <c:showPercent val="0"/>
          <c:showSerName val="0"/>
          <c:showVal val="0"/>
        </c:dLbls>
        <c:firstSliceAng val="0"/>
      </c:pieChart>
      <c:spPr bwMode="auto">
        <a:prstGeom prst="rect">
          <a:avLst/>
        </a:prstGeom>
        <a:noFill/>
        <a:ln w="25560">
          <a:noFill/>
        </a:ln>
      </c:spPr>
    </c:plotArea>
    <c:legend>
      <c:legendPos val="r"/>
      <c:layout/>
      <c:overlay val="0"/>
      <c:spPr bwMode="auto">
        <a:prstGeom prst="rect">
          <a:avLst/>
        </a:prstGeom>
        <a:noFill/>
        <a:ln w="0">
          <a:noFill/>
        </a:ln>
      </c:spPr>
      <c:txPr>
        <a:bodyPr/>
        <a:lstStyle/>
        <a:p>
          <a:pPr>
            <a:defRPr sz="700" b="0" strike="noStrike" spc="-1">
              <a:solidFill>
                <a:srgbClr val="000000"/>
              </a:solidFill>
              <a:latin typeface="Calibri"/>
              <a:ea typeface="Calibri"/>
            </a:defRPr>
          </a:pPr>
          <a:endParaRPr/>
        </a:p>
      </c:txPr>
    </c:legend>
    <c:plotVisOnly val="1"/>
    <c:dispBlanksAs val="zero"/>
    <c:showDLblsOverMax val="0"/>
  </c:chart>
  <c:spPr bwMode="auto">
    <a:xfrm rot="0">
      <a:off x="4460400" y="30127320"/>
      <a:ext cx="5682600" cy="3419280"/>
    </a:xfrm>
    <a:prstGeom prst="rect">
      <a:avLst/>
    </a:prstGeom>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tx>
        <c:rich>
          <a:bodyPr rot="0"/>
          <a:lstStyle/>
          <a:p>
            <a:pPr>
              <a:defRPr sz="1800" b="1" strike="noStrike" spc="-1">
                <a:solidFill>
                  <a:srgbClr val="000000"/>
                </a:solidFill>
                <a:latin typeface="Calibri"/>
                <a:ea typeface="Calibri"/>
              </a:defRPr>
            </a:pPr>
            <a:r>
              <a:rPr sz="1800" b="1" strike="noStrike" spc="-1">
                <a:solidFill>
                  <a:srgbClr val="000000"/>
                </a:solidFill>
                <a:latin typeface="Calibri"/>
                <a:ea typeface="Calibri"/>
              </a:rPr>
              <a:t>Total</a:t>
            </a:r>
            <a:endParaRPr/>
          </a:p>
        </c:rich>
      </c:tx>
      <c:layout/>
      <c:overlay val="0"/>
      <c:spPr bwMode="auto">
        <a:prstGeom prst="rect">
          <a:avLst/>
        </a:prstGeom>
        <a:noFill/>
        <a:ln w="0">
          <a:noFill/>
        </a:ln>
      </c:spPr>
    </c:title>
    <c:autoTitleDeleted val="0"/>
    <c:plotArea>
      <c:layout/>
      <c:barChart>
        <c:barDir val="col"/>
        <c:grouping val="clustered"/>
        <c:varyColors val="0"/>
        <c:ser>
          <c:idx val="0"/>
          <c:order val="0"/>
          <c:tx>
            <c:strRef>
              <c:f>'TABELAS DINAMICAS'!$B$207:$B$208</c:f>
              <c:strCache>
                <c:ptCount val="1"/>
                <c:pt idx="0">
                  <c:v>Total</c:v>
                </c:pt>
              </c:strCache>
            </c:strRef>
          </c:tx>
          <c:spPr bwMode="auto">
            <a:prstGeom prst="rect">
              <a:avLst/>
            </a:prstGeom>
            <a:solidFill>
              <a:srgbClr val="4F81BD"/>
            </a:solidFill>
            <a:ln w="0">
              <a:noFill/>
            </a:ln>
          </c:spPr>
          <c:invertIfNegative val="0"/>
          <c:dLbls>
            <c:dLblPos val="outEnd"/>
            <c:separator xml:space="preserve">; </c:separator>
            <c:showBubbleSize val="0"/>
            <c:showCatName val="0"/>
            <c:showLeaderLines val="1"/>
            <c:showLegendKey val="0"/>
            <c:showPercent val="0"/>
            <c:showSerName val="0"/>
            <c:showVal val="0"/>
            <c:txPr>
              <a:bodyPr wrap="square"/>
              <a:lstStyle/>
              <a:p>
                <a:pPr>
                  <a:defRPr sz="1000" b="0" strike="noStrike" spc="-1">
                    <a:solidFill>
                      <a:srgbClr val="000000"/>
                    </a:solidFill>
                    <a:latin typeface="Calibri"/>
                    <a:ea typeface="Calibri"/>
                  </a:defRPr>
                </a:pPr>
                <a:endParaRPr/>
              </a:p>
            </c:txPr>
          </c:dLbls>
          <c:cat>
            <c:strRef>
              <c:f>'TABELAS DINAMICAS'!$A$209:$A$286</c:f>
              <c:strCache>
                <c:ptCount val="78"/>
                <c:pt idx="0">
                  <c:v>1938</c:v>
                </c:pt>
                <c:pt idx="1">
                  <c:v>1939</c:v>
                </c:pt>
                <c:pt idx="2">
                  <c:v>1940</c:v>
                </c:pt>
                <c:pt idx="3">
                  <c:v>1941</c:v>
                </c:pt>
                <c:pt idx="4">
                  <c:v>1942</c:v>
                </c:pt>
                <c:pt idx="5">
                  <c:v>1943</c:v>
                </c:pt>
                <c:pt idx="6">
                  <c:v>1944</c:v>
                </c:pt>
                <c:pt idx="7">
                  <c:v>1945</c:v>
                </c:pt>
                <c:pt idx="8">
                  <c:v>1946</c:v>
                </c:pt>
                <c:pt idx="9">
                  <c:v>1947</c:v>
                </c:pt>
                <c:pt idx="10">
                  <c:v>1948</c:v>
                </c:pt>
                <c:pt idx="11">
                  <c:v>1949</c:v>
                </c:pt>
                <c:pt idx="12">
                  <c:v>1950</c:v>
                </c:pt>
                <c:pt idx="13">
                  <c:v>1951</c:v>
                </c:pt>
                <c:pt idx="14">
                  <c:v>1952</c:v>
                </c:pt>
                <c:pt idx="15">
                  <c:v>1953</c:v>
                </c:pt>
                <c:pt idx="16">
                  <c:v>1954</c:v>
                </c:pt>
                <c:pt idx="17">
                  <c:v>1955</c:v>
                </c:pt>
                <c:pt idx="18">
                  <c:v>1956</c:v>
                </c:pt>
                <c:pt idx="19">
                  <c:v>1957</c:v>
                </c:pt>
                <c:pt idx="20">
                  <c:v>1958</c:v>
                </c:pt>
                <c:pt idx="21">
                  <c:v>1959</c:v>
                </c:pt>
                <c:pt idx="22">
                  <c:v>1960</c:v>
                </c:pt>
                <c:pt idx="23">
                  <c:v>1961</c:v>
                </c:pt>
                <c:pt idx="24">
                  <c:v>1962</c:v>
                </c:pt>
                <c:pt idx="25">
                  <c:v>1963</c:v>
                </c:pt>
                <c:pt idx="26">
                  <c:v>1964</c:v>
                </c:pt>
                <c:pt idx="27">
                  <c:v>1965</c:v>
                </c:pt>
                <c:pt idx="28">
                  <c:v>1966</c:v>
                </c:pt>
                <c:pt idx="29">
                  <c:v>1967</c:v>
                </c:pt>
                <c:pt idx="30">
                  <c:v>1968</c:v>
                </c:pt>
                <c:pt idx="31">
                  <c:v>1969</c:v>
                </c:pt>
                <c:pt idx="32">
                  <c:v>1970</c:v>
                </c:pt>
                <c:pt idx="33">
                  <c:v>1971</c:v>
                </c:pt>
                <c:pt idx="34">
                  <c:v>1972</c:v>
                </c:pt>
                <c:pt idx="35">
                  <c:v>1973</c:v>
                </c:pt>
                <c:pt idx="36">
                  <c:v>1974</c:v>
                </c:pt>
                <c:pt idx="37">
                  <c:v>1975</c:v>
                </c:pt>
                <c:pt idx="38">
                  <c:v>1976</c:v>
                </c:pt>
                <c:pt idx="39">
                  <c:v>1977</c:v>
                </c:pt>
                <c:pt idx="40">
                  <c:v>1978</c:v>
                </c:pt>
                <c:pt idx="41">
                  <c:v>1979</c:v>
                </c:pt>
                <c:pt idx="42">
                  <c:v>1980</c:v>
                </c:pt>
                <c:pt idx="43">
                  <c:v>1981</c:v>
                </c:pt>
                <c:pt idx="44">
                  <c:v>1983</c:v>
                </c:pt>
                <c:pt idx="45">
                  <c:v>1984</c:v>
                </c:pt>
                <c:pt idx="46">
                  <c:v>1985</c:v>
                </c:pt>
                <c:pt idx="47">
                  <c:v>1986</c:v>
                </c:pt>
                <c:pt idx="48">
                  <c:v>1987</c:v>
                </c:pt>
                <c:pt idx="49">
                  <c:v>1988</c:v>
                </c:pt>
                <c:pt idx="50">
                  <c:v>1989</c:v>
                </c:pt>
                <c:pt idx="51">
                  <c:v>1990</c:v>
                </c:pt>
                <c:pt idx="52">
                  <c:v>1993</c:v>
                </c:pt>
                <c:pt idx="53">
                  <c:v>1994</c:v>
                </c:pt>
                <c:pt idx="54">
                  <c:v>1996</c:v>
                </c:pt>
                <c:pt idx="55">
                  <c:v>1997</c:v>
                </c:pt>
                <c:pt idx="56">
                  <c:v>1998</c:v>
                </c:pt>
                <c:pt idx="57">
                  <c:v>1999</c:v>
                </c:pt>
                <c:pt idx="58">
                  <c:v>2000</c:v>
                </c:pt>
                <c:pt idx="59">
                  <c:v>2001</c:v>
                </c:pt>
                <c:pt idx="60">
                  <c:v>2002</c:v>
                </c:pt>
                <c:pt idx="61">
                  <c:v>2003</c:v>
                </c:pt>
                <c:pt idx="62">
                  <c:v>2004</c:v>
                </c:pt>
                <c:pt idx="63">
                  <c:v>2005</c:v>
                </c:pt>
                <c:pt idx="64">
                  <c:v>2006</c:v>
                </c:pt>
                <c:pt idx="65">
                  <c:v>2008</c:v>
                </c:pt>
                <c:pt idx="66">
                  <c:v>2009</c:v>
                </c:pt>
                <c:pt idx="67">
                  <c:v>2011</c:v>
                </c:pt>
                <c:pt idx="68">
                  <c:v>2012</c:v>
                </c:pt>
                <c:pt idx="69">
                  <c:v>2013</c:v>
                </c:pt>
                <c:pt idx="70">
                  <c:v>2014</c:v>
                </c:pt>
                <c:pt idx="71">
                  <c:v>2015</c:v>
                </c:pt>
                <c:pt idx="72">
                  <c:v>2016</c:v>
                </c:pt>
                <c:pt idx="73">
                  <c:v>2018</c:v>
                </c:pt>
                <c:pt idx="74">
                  <c:v>2019</c:v>
                </c:pt>
                <c:pt idx="75">
                  <c:v>2017</c:v>
                </c:pt>
                <c:pt idx="76">
                  <c:v> </c:v>
                </c:pt>
                <c:pt idx="77">
                  <c:v>Total Geral</c:v>
                </c:pt>
              </c:strCache>
            </c:strRef>
          </c:cat>
          <c:val>
            <c:numRef>
              <c:f>'TABELAS DINAMICAS'!$B$209:$B$286</c:f>
              <c:numCache>
                <c:formatCode>General</c:formatCode>
                <c:ptCount val="78"/>
                <c:pt idx="0">
                  <c:v>242</c:v>
                </c:pt>
                <c:pt idx="1">
                  <c:v>48</c:v>
                </c:pt>
                <c:pt idx="2">
                  <c:v>18</c:v>
                </c:pt>
                <c:pt idx="3">
                  <c:v>50</c:v>
                </c:pt>
                <c:pt idx="4">
                  <c:v>7</c:v>
                </c:pt>
                <c:pt idx="5">
                  <c:v>47</c:v>
                </c:pt>
                <c:pt idx="6">
                  <c:v>11</c:v>
                </c:pt>
                <c:pt idx="7">
                  <c:v>2</c:v>
                </c:pt>
                <c:pt idx="8">
                  <c:v>5</c:v>
                </c:pt>
                <c:pt idx="9">
                  <c:v>3</c:v>
                </c:pt>
                <c:pt idx="10">
                  <c:v>11</c:v>
                </c:pt>
                <c:pt idx="11">
                  <c:v>34</c:v>
                </c:pt>
                <c:pt idx="12">
                  <c:v>56</c:v>
                </c:pt>
                <c:pt idx="13">
                  <c:v>16</c:v>
                </c:pt>
                <c:pt idx="14">
                  <c:v>9</c:v>
                </c:pt>
                <c:pt idx="15">
                  <c:v>5</c:v>
                </c:pt>
                <c:pt idx="16">
                  <c:v>17</c:v>
                </c:pt>
                <c:pt idx="17">
                  <c:v>19</c:v>
                </c:pt>
                <c:pt idx="18">
                  <c:v>3</c:v>
                </c:pt>
                <c:pt idx="19">
                  <c:v>13</c:v>
                </c:pt>
                <c:pt idx="20">
                  <c:v>13</c:v>
                </c:pt>
                <c:pt idx="21">
                  <c:v>16</c:v>
                </c:pt>
                <c:pt idx="22">
                  <c:v>8</c:v>
                </c:pt>
                <c:pt idx="23">
                  <c:v>5</c:v>
                </c:pt>
                <c:pt idx="24">
                  <c:v>34</c:v>
                </c:pt>
                <c:pt idx="25">
                  <c:v>11</c:v>
                </c:pt>
                <c:pt idx="26">
                  <c:v>29</c:v>
                </c:pt>
                <c:pt idx="27">
                  <c:v>12</c:v>
                </c:pt>
                <c:pt idx="28">
                  <c:v>7</c:v>
                </c:pt>
                <c:pt idx="29">
                  <c:v>25</c:v>
                </c:pt>
                <c:pt idx="30">
                  <c:v>7</c:v>
                </c:pt>
                <c:pt idx="31">
                  <c:v>16</c:v>
                </c:pt>
                <c:pt idx="32">
                  <c:v>11</c:v>
                </c:pt>
                <c:pt idx="33">
                  <c:v>7</c:v>
                </c:pt>
                <c:pt idx="34">
                  <c:v>11</c:v>
                </c:pt>
                <c:pt idx="35">
                  <c:v>19</c:v>
                </c:pt>
                <c:pt idx="36">
                  <c:v>16</c:v>
                </c:pt>
                <c:pt idx="37">
                  <c:v>5</c:v>
                </c:pt>
                <c:pt idx="38">
                  <c:v>1</c:v>
                </c:pt>
                <c:pt idx="39">
                  <c:v>2</c:v>
                </c:pt>
                <c:pt idx="40">
                  <c:v>6</c:v>
                </c:pt>
                <c:pt idx="41">
                  <c:v>1</c:v>
                </c:pt>
                <c:pt idx="42">
                  <c:v>18</c:v>
                </c:pt>
                <c:pt idx="43">
                  <c:v>10</c:v>
                </c:pt>
                <c:pt idx="44">
                  <c:v>7</c:v>
                </c:pt>
                <c:pt idx="45">
                  <c:v>14</c:v>
                </c:pt>
                <c:pt idx="46">
                  <c:v>11</c:v>
                </c:pt>
                <c:pt idx="47">
                  <c:v>17</c:v>
                </c:pt>
                <c:pt idx="48">
                  <c:v>10</c:v>
                </c:pt>
                <c:pt idx="49">
                  <c:v>8</c:v>
                </c:pt>
                <c:pt idx="50">
                  <c:v>1</c:v>
                </c:pt>
                <c:pt idx="51">
                  <c:v>6</c:v>
                </c:pt>
                <c:pt idx="52">
                  <c:v>5</c:v>
                </c:pt>
                <c:pt idx="53">
                  <c:v>2</c:v>
                </c:pt>
                <c:pt idx="54">
                  <c:v>6</c:v>
                </c:pt>
                <c:pt idx="55">
                  <c:v>2</c:v>
                </c:pt>
                <c:pt idx="56">
                  <c:v>9</c:v>
                </c:pt>
                <c:pt idx="57">
                  <c:v>4</c:v>
                </c:pt>
                <c:pt idx="58">
                  <c:v>8</c:v>
                </c:pt>
                <c:pt idx="59">
                  <c:v>3</c:v>
                </c:pt>
                <c:pt idx="60">
                  <c:v>2</c:v>
                </c:pt>
                <c:pt idx="61">
                  <c:v>6</c:v>
                </c:pt>
                <c:pt idx="62">
                  <c:v>7</c:v>
                </c:pt>
                <c:pt idx="63">
                  <c:v>6</c:v>
                </c:pt>
                <c:pt idx="64">
                  <c:v>2</c:v>
                </c:pt>
                <c:pt idx="65">
                  <c:v>10</c:v>
                </c:pt>
                <c:pt idx="66">
                  <c:v>3</c:v>
                </c:pt>
                <c:pt idx="67">
                  <c:v>9</c:v>
                </c:pt>
                <c:pt idx="68">
                  <c:v>16</c:v>
                </c:pt>
                <c:pt idx="69">
                  <c:v>19</c:v>
                </c:pt>
                <c:pt idx="70">
                  <c:v>9</c:v>
                </c:pt>
                <c:pt idx="71">
                  <c:v>75</c:v>
                </c:pt>
                <c:pt idx="72">
                  <c:v>6</c:v>
                </c:pt>
                <c:pt idx="73">
                  <c:v>3</c:v>
                </c:pt>
                <c:pt idx="74">
                  <c:v>24</c:v>
                </c:pt>
                <c:pt idx="75">
                  <c:v>4</c:v>
                </c:pt>
                <c:pt idx="77">
                  <c:v>1220</c:v>
                </c:pt>
              </c:numCache>
            </c:numRef>
          </c:val>
        </c:ser>
        <c:dLbls>
          <c:showBubbleSize val="0"/>
          <c:showCatName val="0"/>
          <c:showLegendKey val="0"/>
          <c:showPercent val="0"/>
          <c:showSerName val="0"/>
          <c:showVal val="0"/>
        </c:dLbls>
        <c:gapWidth val="150"/>
        <c:overlap val="0"/>
        <c:axId val="84037064"/>
        <c:axId val="77979009"/>
      </c:barChart>
      <c:catAx>
        <c:axId val="84037064"/>
        <c:scaling>
          <c:orientation val="minMax"/>
        </c:scaling>
        <c:delete val="0"/>
        <c:axPos val="b"/>
        <c:numFmt formatCode="General" sourceLinked="0"/>
        <c:majorTickMark val="out"/>
        <c:minorTickMark val="none"/>
        <c:tickLblPos val="nextTo"/>
        <c:spPr bwMode="auto">
          <a:prstGeom prst="rect">
            <a:avLst/>
          </a:prstGeom>
          <a:ln w="9360">
            <a:solidFill>
              <a:srgbClr val="878787"/>
            </a:solidFill>
            <a:round/>
          </a:ln>
        </c:spPr>
        <c:txPr>
          <a:bodyPr rot="-5400000"/>
          <a:lstStyle/>
          <a:p>
            <a:pPr>
              <a:defRPr sz="1000" b="0" strike="noStrike" spc="-1">
                <a:solidFill>
                  <a:srgbClr val="000000"/>
                </a:solidFill>
                <a:latin typeface="Calibri"/>
                <a:ea typeface="Calibri"/>
              </a:defRPr>
            </a:pPr>
            <a:endParaRPr/>
          </a:p>
        </c:txPr>
        <c:crossAx val="77979009"/>
        <c:crosses val="autoZero"/>
        <c:auto val="1"/>
        <c:lblAlgn val="ctr"/>
        <c:lblOffset val="100"/>
        <c:noMultiLvlLbl val="0"/>
      </c:catAx>
      <c:valAx>
        <c:axId val="77979009"/>
        <c:scaling>
          <c:orientation val="minMax"/>
        </c:scaling>
        <c:delete val="0"/>
        <c:axPos val="l"/>
        <c:majorGridlines>
          <c:spPr bwMode="auto">
            <a:prstGeom prst="rect">
              <a:avLst/>
            </a:prstGeom>
            <a:ln w="9360">
              <a:solidFill>
                <a:srgbClr val="878787"/>
              </a:solidFill>
              <a:round/>
            </a:ln>
          </c:spPr>
        </c:majorGridlines>
        <c:numFmt formatCode="General" sourceLinked="0"/>
        <c:majorTickMark val="out"/>
        <c:minorTickMark val="none"/>
        <c:tickLblPos val="nextTo"/>
        <c:spPr bwMode="auto">
          <a:prstGeom prst="rect">
            <a:avLst/>
          </a:prstGeom>
          <a:ln w="9360">
            <a:solidFill>
              <a:srgbClr val="878787"/>
            </a:solidFill>
            <a:round/>
          </a:ln>
        </c:spPr>
        <c:txPr>
          <a:bodyPr/>
          <a:lstStyle/>
          <a:p>
            <a:pPr>
              <a:defRPr sz="1000" b="0" strike="noStrike" spc="-1">
                <a:solidFill>
                  <a:srgbClr val="000000"/>
                </a:solidFill>
                <a:latin typeface="Calibri"/>
                <a:ea typeface="Calibri"/>
              </a:defRPr>
            </a:pPr>
            <a:endParaRPr/>
          </a:p>
        </c:txPr>
        <c:crossAx val="84037064"/>
        <c:crosses val="autoZero"/>
        <c:crossBetween val="between"/>
      </c:valAx>
      <c:spPr bwMode="auto">
        <a:prstGeom prst="rect">
          <a:avLst/>
        </a:prstGeom>
        <a:noFill/>
        <a:ln w="0">
          <a:noFill/>
        </a:ln>
      </c:spPr>
    </c:plotArea>
    <c:legend>
      <c:legendPos val="r"/>
      <c:layout/>
      <c:overlay val="0"/>
      <c:spPr bwMode="auto">
        <a:prstGeom prst="rect">
          <a:avLst/>
        </a:prstGeom>
        <a:noFill/>
        <a:ln w="0">
          <a:noFill/>
        </a:ln>
      </c:spPr>
      <c:txPr>
        <a:bodyPr/>
        <a:lstStyle/>
        <a:p>
          <a:pPr>
            <a:defRPr sz="700" b="0" strike="noStrike" spc="-1">
              <a:solidFill>
                <a:srgbClr val="000000"/>
              </a:solidFill>
              <a:latin typeface="Calibri"/>
              <a:ea typeface="Calibri"/>
            </a:defRPr>
          </a:pPr>
          <a:endParaRPr/>
        </a:p>
      </c:txPr>
    </c:legend>
    <c:plotVisOnly val="1"/>
    <c:dispBlanksAs val="gap"/>
    <c:showDLblsOverMax val="0"/>
  </c:chart>
  <c:spPr bwMode="auto">
    <a:xfrm rot="0">
      <a:off x="4422240" y="33756840"/>
      <a:ext cx="8104320" cy="2742840"/>
    </a:xfrm>
    <a:prstGeom prst="rect">
      <a:avLst/>
    </a:prstGeom>
    <a:solidFill>
      <a:srgbClr val="FFFFFF"/>
    </a:solidFill>
    <a:ln w="9360">
      <a:solidFill>
        <a:srgbClr val="D9D9D9"/>
      </a:solidFill>
      <a:round/>
    </a:ln>
  </c:spPr>
</c:chartSpace>
</file>

<file path=xl/drawings/_rels/drawing1.xml.rels><?xml version="1.0" encoding="UTF-8" standalone="yes"?><Relationships xmlns="http://schemas.openxmlformats.org/package/2006/relationships"><Relationship Id="rId1" Type="http://schemas.openxmlformats.org/officeDocument/2006/relationships/image" Target="../media/image1.gif"/></Relationships>
</file>

<file path=xl/drawings/_rels/drawing2.xml.rels><?xml version="1.0" encoding="UTF-8" standalone="yes"?><Relationships xmlns="http://schemas.openxmlformats.org/package/2006/relationships"><Relationship Id="rId1" Type="http://schemas.openxmlformats.org/officeDocument/2006/relationships/chart" Target="../charts/chart1.xml" /><Relationship Id="rId2" Type="http://schemas.openxmlformats.org/officeDocument/2006/relationships/chart" Target="../charts/chart2.xml" /></Relationships>
</file>

<file path=xl/drawings/_rels/drawing3.xml.rels><?xml version="1.0" encoding="UTF-8" standalone="yes"?><Relationships xmlns="http://schemas.openxmlformats.org/package/2006/relationships"><Relationship Id="rId1" Type="http://schemas.openxmlformats.org/officeDocument/2006/relationships/chart" Target="../charts/chart3.xml" /><Relationship Id="rId2" Type="http://schemas.openxmlformats.org/officeDocument/2006/relationships/chart" Target="../charts/chart4.xml" /><Relationship Id="rId3" Type="http://schemas.openxmlformats.org/officeDocument/2006/relationships/chart" Target="../charts/chart5.xml" /><Relationship Id="rId4" Type="http://schemas.openxmlformats.org/officeDocument/2006/relationships/chart" Target="../charts/chart6.xml" /><Relationship Id="rId5" Type="http://schemas.openxmlformats.org/officeDocument/2006/relationships/chart" Target="../charts/chart7.xml" /><Relationship Id="rId6" Type="http://schemas.openxmlformats.org/officeDocument/2006/relationships/chart" Target="../charts/chart8.xml" /><Relationship Id="rId7" Type="http://schemas.openxmlformats.org/officeDocument/2006/relationships/chart" Target="../charts/chart9.xml" /><Relationship Id="rId8" Type="http://schemas.openxmlformats.org/officeDocument/2006/relationships/chart" Target="../charts/chart10.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0</xdr:colOff>
      <xdr:row>3743</xdr:row>
      <xdr:rowOff>0</xdr:rowOff>
    </xdr:from>
    <xdr:to>
      <xdr:col>3</xdr:col>
      <xdr:colOff>37800</xdr:colOff>
      <xdr:row>3743</xdr:row>
      <xdr:rowOff>151920</xdr:rowOff>
    </xdr:to>
    <xdr:pic>
      <xdr:nvPicPr>
        <xdr:cNvPr id="0" name="Imagem 1" descr="https://sei.iphan.gov.br/infra_css/imagens/espaco.gif"/>
        <xdr:cNvPicPr/>
      </xdr:nvPicPr>
      <xdr:blipFill rotWithShape="1">
        <a:blip r:embed="rId1"/>
        <a:stretch/>
      </xdr:blipFill>
      <xdr:spPr bwMode="auto">
        <a:xfrm>
          <a:off x="3428999" y="-619681951"/>
          <a:ext cx="37800" cy="151919"/>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10</xdr:col>
      <xdr:colOff>914400</xdr:colOff>
      <xdr:row>3</xdr:row>
      <xdr:rowOff>9360</xdr:rowOff>
    </xdr:from>
    <xdr:to>
      <xdr:col>23</xdr:col>
      <xdr:colOff>313920</xdr:colOff>
      <xdr:row>19</xdr:row>
      <xdr:rowOff>161640</xdr:rowOff>
    </xdr:to>
    <xdr:graphicFrame>
      <xdr:nvGraphicFramePr>
        <xdr:cNvPr id="1" name="Gráfico 3"/>
        <xdr:cNvGraphicFramePr>
          <a:graphicFrameLocks xmlns:a="http://schemas.openxmlformats.org/drawingml/2006/main"/>
        </xdr:cNvGraphicFramePr>
      </xdr:nvGraphicFramePr>
      <xdr:xfrm rot="0">
        <a:off x="13721760" y="495000"/>
        <a:ext cx="939636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923760</xdr:colOff>
      <xdr:row>21</xdr:row>
      <xdr:rowOff>0</xdr:rowOff>
    </xdr:from>
    <xdr:to>
      <xdr:col>23</xdr:col>
      <xdr:colOff>313920</xdr:colOff>
      <xdr:row>37</xdr:row>
      <xdr:rowOff>151920</xdr:rowOff>
    </xdr:to>
    <xdr:graphicFrame>
      <xdr:nvGraphicFramePr>
        <xdr:cNvPr id="2" name="Gráfico 6"/>
        <xdr:cNvGraphicFramePr>
          <a:graphicFrameLocks xmlns:a="http://schemas.openxmlformats.org/drawingml/2006/main"/>
        </xdr:cNvGraphicFramePr>
      </xdr:nvGraphicFramePr>
      <xdr:xfrm rot="0">
        <a:off x="13731120" y="3400560"/>
        <a:ext cx="9387000" cy="27424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5</xdr:col>
      <xdr:colOff>247680</xdr:colOff>
      <xdr:row>26</xdr:row>
      <xdr:rowOff>57239</xdr:rowOff>
    </xdr:from>
    <xdr:to>
      <xdr:col>8</xdr:col>
      <xdr:colOff>75960</xdr:colOff>
      <xdr:row>40</xdr:row>
      <xdr:rowOff>152280</xdr:rowOff>
    </xdr:to>
    <xdr:graphicFrame>
      <xdr:nvGraphicFramePr>
        <xdr:cNvPr id="3" name="Gráfico 3"/>
        <xdr:cNvGraphicFramePr>
          <a:graphicFrameLocks xmlns:a="http://schemas.openxmlformats.org/drawingml/2006/main"/>
        </xdr:cNvGraphicFramePr>
      </xdr:nvGraphicFramePr>
      <xdr:xfrm rot="0">
        <a:off x="7709039" y="4267440"/>
        <a:ext cx="4388760" cy="23619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266759</xdr:colOff>
      <xdr:row>4</xdr:row>
      <xdr:rowOff>66600</xdr:rowOff>
    </xdr:from>
    <xdr:to>
      <xdr:col>16</xdr:col>
      <xdr:colOff>466560</xdr:colOff>
      <xdr:row>21</xdr:row>
      <xdr:rowOff>56880</xdr:rowOff>
    </xdr:to>
    <xdr:graphicFrame>
      <xdr:nvGraphicFramePr>
        <xdr:cNvPr id="4" name="Gráfico 4"/>
        <xdr:cNvGraphicFramePr>
          <a:graphicFrameLocks xmlns:a="http://schemas.openxmlformats.org/drawingml/2006/main"/>
        </xdr:cNvGraphicFramePr>
      </xdr:nvGraphicFramePr>
      <xdr:xfrm rot="0">
        <a:off x="12288600" y="714240"/>
        <a:ext cx="9019440" cy="2743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200160</xdr:colOff>
      <xdr:row>45</xdr:row>
      <xdr:rowOff>104760</xdr:rowOff>
    </xdr:from>
    <xdr:to>
      <xdr:col>17</xdr:col>
      <xdr:colOff>37800</xdr:colOff>
      <xdr:row>69</xdr:row>
      <xdr:rowOff>113760</xdr:rowOff>
    </xdr:to>
    <xdr:graphicFrame>
      <xdr:nvGraphicFramePr>
        <xdr:cNvPr id="5" name="Gráfico 5"/>
        <xdr:cNvGraphicFramePr>
          <a:graphicFrameLocks xmlns:a="http://schemas.openxmlformats.org/drawingml/2006/main"/>
        </xdr:cNvGraphicFramePr>
      </xdr:nvGraphicFramePr>
      <xdr:xfrm rot="0">
        <a:off x="7661520" y="7391520"/>
        <a:ext cx="14173920" cy="3895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389520</xdr:colOff>
      <xdr:row>101</xdr:row>
      <xdr:rowOff>115560</xdr:rowOff>
    </xdr:from>
    <xdr:to>
      <xdr:col>20</xdr:col>
      <xdr:colOff>475920</xdr:colOff>
      <xdr:row>121</xdr:row>
      <xdr:rowOff>129600</xdr:rowOff>
    </xdr:to>
    <xdr:graphicFrame>
      <xdr:nvGraphicFramePr>
        <xdr:cNvPr id="6" name="Gráfico 1"/>
        <xdr:cNvGraphicFramePr>
          <a:graphicFrameLocks xmlns:a="http://schemas.openxmlformats.org/drawingml/2006/main"/>
        </xdr:cNvGraphicFramePr>
      </xdr:nvGraphicFramePr>
      <xdr:xfrm rot="0">
        <a:off x="15451560" y="16470000"/>
        <a:ext cx="10033200" cy="35762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352800</xdr:colOff>
      <xdr:row>123</xdr:row>
      <xdr:rowOff>167760</xdr:rowOff>
    </xdr:from>
    <xdr:to>
      <xdr:col>22</xdr:col>
      <xdr:colOff>360360</xdr:colOff>
      <xdr:row>149</xdr:row>
      <xdr:rowOff>57600</xdr:rowOff>
    </xdr:to>
    <xdr:graphicFrame>
      <xdr:nvGraphicFramePr>
        <xdr:cNvPr id="7" name="Gráfico 1"/>
        <xdr:cNvGraphicFramePr>
          <a:graphicFrameLocks xmlns:a="http://schemas.openxmlformats.org/drawingml/2006/main"/>
        </xdr:cNvGraphicFramePr>
      </xdr:nvGraphicFramePr>
      <xdr:xfrm rot="0">
        <a:off x="15414840" y="20408400"/>
        <a:ext cx="12007800" cy="42616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428760</xdr:colOff>
      <xdr:row>161</xdr:row>
      <xdr:rowOff>47520</xdr:rowOff>
    </xdr:from>
    <xdr:to>
      <xdr:col>8</xdr:col>
      <xdr:colOff>809280</xdr:colOff>
      <xdr:row>177</xdr:row>
      <xdr:rowOff>37800</xdr:rowOff>
    </xdr:to>
    <xdr:graphicFrame>
      <xdr:nvGraphicFramePr>
        <xdr:cNvPr id="8" name="Gráfico 1"/>
        <xdr:cNvGraphicFramePr>
          <a:graphicFrameLocks xmlns:a="http://schemas.openxmlformats.org/drawingml/2006/main"/>
        </xdr:cNvGraphicFramePr>
      </xdr:nvGraphicFramePr>
      <xdr:xfrm rot="0">
        <a:off x="7104600" y="26603280"/>
        <a:ext cx="5726520" cy="25812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885960</xdr:colOff>
      <xdr:row>183</xdr:row>
      <xdr:rowOff>9360</xdr:rowOff>
    </xdr:from>
    <xdr:to>
      <xdr:col>6</xdr:col>
      <xdr:colOff>1161720</xdr:colOff>
      <xdr:row>204</xdr:row>
      <xdr:rowOff>28079</xdr:rowOff>
    </xdr:to>
    <xdr:graphicFrame>
      <xdr:nvGraphicFramePr>
        <xdr:cNvPr id="9" name="Gráfico 3"/>
        <xdr:cNvGraphicFramePr>
          <a:graphicFrameLocks xmlns:a="http://schemas.openxmlformats.org/drawingml/2006/main"/>
        </xdr:cNvGraphicFramePr>
      </xdr:nvGraphicFramePr>
      <xdr:xfrm rot="0">
        <a:off x="4460400" y="30127320"/>
        <a:ext cx="5682600" cy="341928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847800</xdr:colOff>
      <xdr:row>205</xdr:row>
      <xdr:rowOff>76320</xdr:rowOff>
    </xdr:from>
    <xdr:to>
      <xdr:col>8</xdr:col>
      <xdr:colOff>504719</xdr:colOff>
      <xdr:row>222</xdr:row>
      <xdr:rowOff>66600</xdr:rowOff>
    </xdr:to>
    <xdr:graphicFrame>
      <xdr:nvGraphicFramePr>
        <xdr:cNvPr id="10" name="Gráfico 1"/>
        <xdr:cNvGraphicFramePr>
          <a:graphicFrameLocks xmlns:a="http://schemas.openxmlformats.org/drawingml/2006/main"/>
        </xdr:cNvGraphicFramePr>
      </xdr:nvGraphicFramePr>
      <xdr:xfrm rot="0">
        <a:off x="4422240" y="33756840"/>
        <a:ext cx="810432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3" recordCount="83">
  <cacheSource type="worksheet">
    <worksheetSource ref="H2:J85" sheet="TAXA DE CONGESTIONAMENTO"/>
  </cacheSource>
  <cacheFields count="3">
    <cacheField name="Coluna H" numFmtId="0">
      <sharedItems containsString="0" containsBlank="1" containsNumber="1" containsInteger="1" minValue="1950" maxValue="2020" count="72">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m/>
      </sharedItems>
    </cacheField>
    <cacheField name="Coluna I" numFmtId="0">
      <sharedItems containsBlank="1" containsMixedTypes="1" containsNumber="1" containsInteger="1" minValue="-4" maxValue="-4" count="3">
        <n v="-4"/>
        <e v="#REF!"/>
        <m/>
      </sharedItems>
    </cacheField>
    <cacheField name="Coluna J" numFmtId="0">
      <sharedItems containsBlank="1" containsMixedTypes="1" containsNumber="1" containsInteger="1" minValue="1" maxValue="1" count="3">
        <n v="1"/>
        <e v="#REF!"/>
        <m/>
      </sharedItems>
    </cacheField>
  </cacheFields>
</pivotCacheDefinition>
</file>

<file path=xl/pivotCache/pivotCacheRecords1.xml><?xml version="1.0" encoding="utf-8"?>
<pivotCacheRecords xmlns="http://schemas.openxmlformats.org/spreadsheetml/2006/main" xmlns:r="http://schemas.openxmlformats.org/officeDocument/2006/relationships" count="83">
  <r>
    <x v="71"/>
    <x v="2"/>
    <x v="2"/>
  </r>
  <r>
    <x v="71"/>
    <x v="2"/>
    <x v="2"/>
  </r>
  <r>
    <x v="71"/>
    <x v="2"/>
    <x v="2"/>
  </r>
  <r>
    <x v="71"/>
    <x v="2"/>
    <x v="2"/>
  </r>
  <r>
    <x v="71"/>
    <x v="2"/>
    <x v="2"/>
  </r>
  <r>
    <x v="71"/>
    <x v="2"/>
    <x v="2"/>
  </r>
  <r>
    <x v="71"/>
    <x v="2"/>
    <x v="2"/>
  </r>
  <r>
    <x v="71"/>
    <x v="2"/>
    <x v="2"/>
  </r>
  <r>
    <x v="71"/>
    <x v="2"/>
    <x v="2"/>
  </r>
  <r>
    <x v="71"/>
    <x v="2"/>
    <x v="2"/>
  </r>
  <r>
    <x v="71"/>
    <x v="2"/>
    <x v="2"/>
  </r>
  <r>
    <x v="71"/>
    <x v="2"/>
    <x v="2"/>
  </r>
  <r>
    <x v="0"/>
    <x v="0"/>
    <x v="1"/>
  </r>
  <r>
    <x v="1"/>
    <x v="1"/>
    <x v="1"/>
  </r>
  <r>
    <x v="2"/>
    <x v="1"/>
    <x v="1"/>
  </r>
  <r>
    <x v="3"/>
    <x v="1"/>
    <x v="1"/>
  </r>
  <r>
    <x v="4"/>
    <x v="1"/>
    <x v="1"/>
  </r>
  <r>
    <x v="5"/>
    <x v="1"/>
    <x v="1"/>
  </r>
  <r>
    <x v="6"/>
    <x v="1"/>
    <x v="1"/>
  </r>
  <r>
    <x v="7"/>
    <x v="1"/>
    <x v="1"/>
  </r>
  <r>
    <x v="8"/>
    <x v="1"/>
    <x v="1"/>
  </r>
  <r>
    <x v="9"/>
    <x v="1"/>
    <x v="1"/>
  </r>
  <r>
    <x v="10"/>
    <x v="1"/>
    <x v="1"/>
  </r>
  <r>
    <x v="11"/>
    <x v="1"/>
    <x v="1"/>
  </r>
  <r>
    <x v="12"/>
    <x v="1"/>
    <x v="1"/>
  </r>
  <r>
    <x v="13"/>
    <x v="1"/>
    <x v="1"/>
  </r>
  <r>
    <x v="14"/>
    <x v="1"/>
    <x v="1"/>
  </r>
  <r>
    <x v="15"/>
    <x v="1"/>
    <x v="1"/>
  </r>
  <r>
    <x v="16"/>
    <x v="1"/>
    <x v="1"/>
  </r>
  <r>
    <x v="17"/>
    <x v="1"/>
    <x v="1"/>
  </r>
  <r>
    <x v="18"/>
    <x v="1"/>
    <x v="1"/>
  </r>
  <r>
    <x v="19"/>
    <x v="1"/>
    <x v="1"/>
  </r>
  <r>
    <x v="20"/>
    <x v="1"/>
    <x v="1"/>
  </r>
  <r>
    <x v="21"/>
    <x v="1"/>
    <x v="1"/>
  </r>
  <r>
    <x v="22"/>
    <x v="1"/>
    <x v="1"/>
  </r>
  <r>
    <x v="23"/>
    <x v="1"/>
    <x v="1"/>
  </r>
  <r>
    <x v="24"/>
    <x v="1"/>
    <x v="1"/>
  </r>
  <r>
    <x v="25"/>
    <x v="1"/>
    <x v="1"/>
  </r>
  <r>
    <x v="26"/>
    <x v="1"/>
    <x v="1"/>
  </r>
  <r>
    <x v="27"/>
    <x v="1"/>
    <x v="1"/>
  </r>
  <r>
    <x v="28"/>
    <x v="1"/>
    <x v="1"/>
  </r>
  <r>
    <x v="29"/>
    <x v="1"/>
    <x v="1"/>
  </r>
  <r>
    <x v="30"/>
    <x v="1"/>
    <x v="1"/>
  </r>
  <r>
    <x v="31"/>
    <x v="1"/>
    <x v="1"/>
  </r>
  <r>
    <x v="32"/>
    <x v="1"/>
    <x v="0"/>
  </r>
  <r>
    <x v="33"/>
    <x v="1"/>
    <x v="1"/>
  </r>
  <r>
    <x v="34"/>
    <x v="1"/>
    <x v="1"/>
  </r>
  <r>
    <x v="35"/>
    <x v="1"/>
    <x v="1"/>
  </r>
  <r>
    <x v="36"/>
    <x v="1"/>
    <x v="1"/>
  </r>
  <r>
    <x v="37"/>
    <x v="1"/>
    <x v="1"/>
  </r>
  <r>
    <x v="38"/>
    <x v="1"/>
    <x v="1"/>
  </r>
  <r>
    <x v="39"/>
    <x v="1"/>
    <x v="1"/>
  </r>
  <r>
    <x v="40"/>
    <x v="1"/>
    <x v="1"/>
  </r>
  <r>
    <x v="41"/>
    <x v="1"/>
    <x v="0"/>
  </r>
  <r>
    <x v="42"/>
    <x v="1"/>
    <x v="0"/>
  </r>
  <r>
    <x v="43"/>
    <x v="1"/>
    <x v="1"/>
  </r>
  <r>
    <x v="44"/>
    <x v="1"/>
    <x v="1"/>
  </r>
  <r>
    <x v="45"/>
    <x v="1"/>
    <x v="1"/>
  </r>
  <r>
    <x v="46"/>
    <x v="1"/>
    <x v="1"/>
  </r>
  <r>
    <x v="47"/>
    <x v="1"/>
    <x v="1"/>
  </r>
  <r>
    <x v="48"/>
    <x v="1"/>
    <x v="1"/>
  </r>
  <r>
    <x v="49"/>
    <x v="1"/>
    <x v="1"/>
  </r>
  <r>
    <x v="50"/>
    <x v="1"/>
    <x v="1"/>
  </r>
  <r>
    <x v="51"/>
    <x v="1"/>
    <x v="1"/>
  </r>
  <r>
    <x v="52"/>
    <x v="1"/>
    <x v="1"/>
  </r>
  <r>
    <x v="53"/>
    <x v="1"/>
    <x v="1"/>
  </r>
  <r>
    <x v="54"/>
    <x v="1"/>
    <x v="1"/>
  </r>
  <r>
    <x v="55"/>
    <x v="1"/>
    <x v="1"/>
  </r>
  <r>
    <x v="56"/>
    <x v="1"/>
    <x v="1"/>
  </r>
  <r>
    <x v="57"/>
    <x v="1"/>
    <x v="1"/>
  </r>
  <r>
    <x v="58"/>
    <x v="1"/>
    <x v="1"/>
  </r>
  <r>
    <x v="59"/>
    <x v="1"/>
    <x v="1"/>
  </r>
  <r>
    <x v="60"/>
    <x v="1"/>
    <x v="1"/>
  </r>
  <r>
    <x v="61"/>
    <x v="1"/>
    <x v="1"/>
  </r>
  <r>
    <x v="62"/>
    <x v="1"/>
    <x v="1"/>
  </r>
  <r>
    <x v="63"/>
    <x v="1"/>
    <x v="1"/>
  </r>
  <r>
    <x v="64"/>
    <x v="1"/>
    <x v="1"/>
  </r>
  <r>
    <x v="65"/>
    <x v="1"/>
    <x v="1"/>
  </r>
  <r>
    <x v="66"/>
    <x v="1"/>
    <x v="1"/>
  </r>
  <r>
    <x v="67"/>
    <x v="1"/>
    <x v="1"/>
  </r>
  <r>
    <x v="68"/>
    <x v="1"/>
    <x v="1"/>
  </r>
  <r>
    <x v="69"/>
    <x v="1"/>
    <x v="1"/>
  </r>
  <r>
    <x v="70"/>
    <x v="1"/>
    <x v="1"/>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r="http://schemas.openxmlformats.org/officeDocument/2006/relationships" name="Tabela dinâmica5" cacheId="0" applyNumberFormats="0" applyBorderFormats="0" applyFontFormats="0" applyPatternFormats="0" applyAlignmentFormats="0" applyWidthHeightFormats="0" dataCaption="Values" itemPrintTitles="1" indent="0" compact="0" compactData="0">
  <location ref="L6:M79" firstHeaderRow="1" firstDataRow="1" firstDataCol="1"/>
  <pivotFields count="3">
    <pivotField axis="axisRow" compact="0" outline="0"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dataField="1" compact="0" outline="0" showAll="0"/>
    <pivotField compact="0" outline="0" showAll="0"/>
  </pivotFields>
  <rowFields count="1">
    <field x="0"/>
  </rowFields>
  <dataFields count="1">
    <dataField name="Soma de Nº de processos pendentes no período" fld="1" baseField="-1" baseItem="1048832" numFmtId="0"/>
  </dataFields>
  <pivotTableStyleInfo showRowHeaders="1" showColHeaders="1" showRowStripes="0" showColStripes="0" showLastColumn="1"/>
</pivotTableDefinition>
</file>

<file path=xl/pivotTables/pivotTable2.xml><?xml version="1.0" encoding="utf-8"?>
<pivotTableDefinition xmlns="http://schemas.openxmlformats.org/spreadsheetml/2006/main" xmlns:r="http://schemas.openxmlformats.org/officeDocument/2006/relationships" name="Tabela dinâmica6" cacheId="0" applyNumberFormats="0" applyBorderFormats="0" applyFontFormats="0" applyPatternFormats="0" applyAlignmentFormats="0" applyWidthHeightFormats="0" dataCaption="Values" itemPrintTitles="1" indent="0" compact="0" compactData="0">
  <location ref="N6:O79" firstHeaderRow="1" firstDataRow="1" firstDataCol="1"/>
  <pivotFields count="3">
    <pivotField axis="axisRow" compact="0" outline="0"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outline="0" showAll="0"/>
    <pivotField dataField="1" compact="0" outline="0" showAll="0"/>
  </pivotFields>
  <rowFields count="1">
    <field x="0"/>
  </rowFields>
  <dataFields count="1">
    <dataField name="Média de Taxa de congestionamento" fld="2" subtotal="average" baseField="-1" baseItem="1048832" numFmtId="169"/>
  </dataFields>
  <pivotTableStyleInfo showRowHeaders="1" showColHeaders="1" showRowStripes="0" showColStripes="0" showLastColumn="1"/>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ela5" ref="A1:K2287" headerRowCount="1" totalsRowCount="0">
  <tableColumns count="11">
    <tableColumn id="1" name="Nome do bem"/>
    <tableColumn id="2" name="Nº do processo"/>
    <tableColumn id="3" name="UF"/>
    <tableColumn id="4" name="Município"/>
    <tableColumn id="5" name="Nº processo &quot;T&quot;"/>
    <tableColumn id="6" name="Ano de abertura processo &quot;T&quot;"/>
    <tableColumn id="7" name="Anos na CGID/ DEPAM"/>
    <tableColumn id="8" name="Anos desde a abertura processo T"/>
    <tableColumn id="9" name="Parecer fav."/>
    <tableColumn id="10" name="Escore de priorização"/>
    <tableColumn id="11" name="Tomb. emerg.?"/>
  </tableColumns>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Processosnoprazo12" ref="A1:K135" headerRowCount="1" totalsRowCount="0">
  <autoFilter ref="A1:K135"/>
  <tableColumns count="11">
    <tableColumn id="1" name="Nome do bem"/>
    <tableColumn id="2" name="Nº do processo"/>
    <tableColumn id="3" name="UF"/>
    <tableColumn id="4" name="Município"/>
    <tableColumn id="5" name="Nº processo &quot;T&quot;"/>
    <tableColumn id="6" name="Ano de abertura processo &quot;T&quot;"/>
    <tableColumn id="7" name="Anos na CGID/ DEPAM"/>
    <tableColumn id="8" name="Anos desde a abertura processo T"/>
    <tableColumn id="9" name="Parecer fav."/>
    <tableColumn id="10" name="Escore de priorização"/>
    <tableColumn id="11" name="Tomb. emerg.?"/>
  </tableColumns>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Notificados13" ref="A1:J78" headerRowCount="1" totalsRowCount="0">
  <autoFilter ref="A1:J78"/>
  <tableColumns count="10">
    <tableColumn id="1" name="Nome do bem"/>
    <tableColumn id="2" name="Nº do processo"/>
    <tableColumn id="3" name="UF"/>
    <tableColumn id="4" name="Município"/>
    <tableColumn id="5" name="Nº processso &quot;T&quot;"/>
    <tableColumn id="6" name="Ano de abertura processo &quot;T&quot;"/>
    <tableColumn id="7" name="Anos desde a notificação"/>
    <tableColumn id="8" name="Anos desde a abertura do processo T"/>
    <tableColumn id="9" name="Escore de priorização"/>
    <tableColumn id="10" name="Tomb. emerg.?"/>
  </tableColumns>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Rerratificação14" ref="A1:I78" headerRowCount="1" totalsRowCount="0">
  <autoFilter ref="A1:I78"/>
  <tableColumns count="9">
    <tableColumn id="1" name="Nome do bem"/>
    <tableColumn id="2" name="Nº do processo"/>
    <tableColumn id="3" name="UF"/>
    <tableColumn id="4" name="Município"/>
    <tableColumn id="5" name="Nº processo &quot;T&quot;"/>
    <tableColumn id="6" name="Ano de abertura processo &quot;T&quot;"/>
    <tableColumn id="7" name="Tempo na CGID/ DEPAM"/>
    <tableColumn id="8" name="Anos desde o tombamento"/>
    <tableColumn id="9" name="Escore priorização"/>
  </tableColumns>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displayName="Tabela2" ref="A1:M250" headerRowCount="1" totalsRowCount="0">
  <autoFilter ref="A1:M250"/>
  <tableColumns count="13">
    <tableColumn id="1" name="Nome do bem"/>
    <tableColumn id="2" name="Nº do processo"/>
    <tableColumn id="3" name="UF"/>
    <tableColumn id="4" name="Município"/>
    <tableColumn id="5" name="Nº processo &quot;T&quot;"/>
    <tableColumn id="6" name="Ano de abertura"/>
    <tableColumn id="7" name="Anos na CGID"/>
    <tableColumn id="8" name="Anos desde a abertura"/>
    <tableColumn id="9" name="Parecer favorável"/>
    <tableColumn id="10" name="Anos desde a notificação"/>
    <tableColumn id="11" name="Quilombo"/>
    <tableColumn id="12" name="Escore final"/>
    <tableColumn id="13" name="Tomb. Emerg."/>
  </tableColumns>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sei.iphan.gov.br/sei/controlador.php?acao=arvore_visualizar&amp;acao_origem=procedimento_visualizar&amp;id_procedimento=4303671&amp;id_procedimento_anexado=4052753&amp;infra_sistema=100000100&amp;infra_unidade_atual=110000065&amp;infra_hash=27f09fe99e756bbd8e129b91a8a191" TargetMode="External"/><Relationship  Id="rId2"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_rels/sheet4.xml.rels><?xml version="1.0" encoding="UTF-8" standalone="yes"?><Relationships xmlns="http://schemas.openxmlformats.org/package/2006/relationships"><Relationship  Id="rId1" Type="http://schemas.openxmlformats.org/officeDocument/2006/relationships/table" Target="../tables/table3.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_rels/sheet6.xml.rels><?xml version="1.0" encoding="UTF-8" standalone="yes"?><Relationships xmlns="http://schemas.openxmlformats.org/package/2006/relationships"><Relationship  Id="rId1" Type="http://schemas.openxmlformats.org/officeDocument/2006/relationships/table" Target="../tables/table5.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ivotTable" Target="../pivotTables/pivotTable1.xml"/><Relationship  Id="rId3" Type="http://schemas.openxmlformats.org/officeDocument/2006/relationships/pivotTable" Target="../pivotTables/pivotTable2.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Relationships xmlns="http://schemas.openxmlformats.org/package/2006/relationships"><Relationship  Id="rId1" Type="http://schemas.openxmlformats.org/officeDocument/2006/relationships/hyperlink" Target="http://www.ibge.gov.br/home/geociencias/areaterritorial/area.sht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1">
    <outlinePr applyStyles="0" summaryBelow="1" summaryRight="1" showOutlineSymbols="1"/>
    <pageSetUpPr autoPageBreaks="1" fitToPage="1"/>
  </sheetPr>
  <sheetViews>
    <sheetView showFormulas="0" showGridLines="1" showRowColHeaders="1" showZeros="1" rightToLeft="0" view="normal" zoomScale="85" workbookViewId="0">
      <pane xSplit="9" ySplit="1" topLeftCell="J2" activePane="bottomRight" state="frozen"/>
      <selection activeCell="S1604" activeCellId="0" sqref="S1604"/>
    </sheetView>
  </sheetViews>
  <sheetFormatPr defaultColWidth="9.1484375" defaultRowHeight="12.75" outlineLevelRow="1"/>
  <cols>
    <col customWidth="1" min="1" max="1" style="2" width="16.710000000000001"/>
    <col customWidth="1" min="2" max="2" style="3" width="12"/>
    <col customWidth="1" min="3" max="3" style="4" width="22.710000000000001"/>
    <col customWidth="1" min="4" max="4" style="5" width="24"/>
    <col customWidth="1" min="5" max="5" style="2" width="5.71"/>
    <col customWidth="1" min="6" max="6" style="6" width="10.710000000000001"/>
    <col customWidth="1" min="7" max="7" style="5" width="14.140000000000001"/>
    <col customWidth="1" min="8" max="8" style="2" width="20.710000000000001"/>
    <col customWidth="1" min="9" max="9" style="3" width="54"/>
    <col customWidth="1" min="10" max="10" style="7" width="16.140000000000001"/>
    <col customWidth="1" min="11" max="11" style="8" width="14.289999999999999"/>
    <col customWidth="1" min="12" max="12" style="9" width="16.140000000000001"/>
    <col customWidth="1" min="13" max="13" style="3" width="11.140000000000001"/>
    <col customWidth="1" min="14" max="14" style="6" width="9.4199999999999999"/>
    <col customWidth="1" min="15" max="15" style="10" width="13.289999999999999"/>
    <col customWidth="1" min="16" max="16" style="11" width="16.710000000000001"/>
    <col customWidth="1" min="17" max="17" style="10" width="16"/>
    <col customWidth="1" min="18" max="18" style="6" width="14.42"/>
    <col customWidth="1" min="19" max="19" style="3" width="25.57"/>
    <col customWidth="1" min="20" max="20" style="3" width="28.710000000000001"/>
    <col customWidth="1" min="21" max="21" style="10" width="34.140000000000001"/>
    <col customWidth="1" min="22" max="22" style="12" width="15.289999999999999"/>
    <col customWidth="1" min="23" max="23" style="2" width="25.57"/>
    <col customWidth="1" min="24" max="24" style="6" width="17.859999999999999"/>
    <col customWidth="1" min="25" max="25" style="6" width="23.289999999999999"/>
    <col customWidth="1" min="26" max="26" style="5" width="18.57"/>
    <col customWidth="1" min="27" max="27" style="13" width="20.710000000000001"/>
    <col customWidth="1" min="28" max="30" style="14" width="20.710000000000001"/>
    <col customWidth="1" min="31" max="34" style="7" width="20.710000000000001"/>
    <col customWidth="1" min="35" max="35" style="6" width="20.710000000000001"/>
    <col customWidth="1" min="36" max="36" style="10" width="20.710000000000001"/>
    <col customWidth="1" min="37" max="37" style="6" width="20.710000000000001"/>
    <col customWidth="1" min="38" max="38" style="15" width="20.710000000000001"/>
    <col customWidth="1" min="39" max="39" style="2" width="20.710000000000001"/>
    <col customWidth="1" min="40" max="42" style="6" width="20.710000000000001"/>
    <col customWidth="1" min="43" max="43" style="5" width="20.710000000000001"/>
    <col customWidth="1" min="44" max="44" style="2" width="20.710000000000001"/>
    <col customWidth="1" min="45" max="46" style="6" width="20.710000000000001"/>
    <col customWidth="1" min="47" max="47" style="16" width="20.710000000000001"/>
    <col customWidth="1" min="48" max="48" style="17" width="20.710000000000001"/>
    <col customWidth="1" min="49" max="49" style="6" width="20.710000000000001"/>
    <col customWidth="0" min="50" max="16384" style="1" width="9.1400000000000006"/>
  </cols>
  <sheetData>
    <row r="1" s="18" customFormat="1" ht="45" customHeight="1">
      <c r="A1" s="19" t="s">
        <v>0</v>
      </c>
      <c r="B1" s="20" t="s">
        <v>1</v>
      </c>
      <c r="C1" s="20" t="s">
        <v>2</v>
      </c>
      <c r="D1" s="21" t="s">
        <v>3</v>
      </c>
      <c r="E1" s="22" t="s">
        <v>4</v>
      </c>
      <c r="F1" s="23" t="s">
        <v>5</v>
      </c>
      <c r="G1" s="24" t="s">
        <v>6</v>
      </c>
      <c r="H1" s="25" t="s">
        <v>7</v>
      </c>
      <c r="I1" s="26" t="s">
        <v>8</v>
      </c>
      <c r="J1" s="27" t="s">
        <v>9</v>
      </c>
      <c r="K1" s="28" t="s">
        <v>10</v>
      </c>
      <c r="L1" s="29" t="s">
        <v>11</v>
      </c>
      <c r="M1" s="30" t="s">
        <v>12</v>
      </c>
      <c r="N1" s="30" t="s">
        <v>13</v>
      </c>
      <c r="O1" s="31" t="s">
        <v>14</v>
      </c>
      <c r="P1" s="32" t="s">
        <v>15</v>
      </c>
      <c r="Q1" s="31" t="s">
        <v>16</v>
      </c>
      <c r="R1" s="30" t="s">
        <v>17</v>
      </c>
      <c r="S1" s="30" t="s">
        <v>18</v>
      </c>
      <c r="T1" s="30" t="s">
        <v>19</v>
      </c>
      <c r="U1" s="31" t="s">
        <v>20</v>
      </c>
      <c r="V1" s="33" t="s">
        <v>21</v>
      </c>
      <c r="W1" s="34" t="s">
        <v>22</v>
      </c>
      <c r="X1" s="35" t="s">
        <v>23</v>
      </c>
      <c r="Y1" s="35" t="s">
        <v>24</v>
      </c>
      <c r="Z1" s="36" t="s">
        <v>25</v>
      </c>
      <c r="AA1" s="37" t="s">
        <v>26</v>
      </c>
      <c r="AB1" s="38" t="s">
        <v>27</v>
      </c>
      <c r="AC1" s="38" t="s">
        <v>28</v>
      </c>
      <c r="AD1" s="38" t="s">
        <v>29</v>
      </c>
      <c r="AE1" s="39" t="s">
        <v>30</v>
      </c>
      <c r="AF1" s="39" t="s">
        <v>31</v>
      </c>
      <c r="AG1" s="39" t="s">
        <v>32</v>
      </c>
      <c r="AH1" s="39" t="s">
        <v>33</v>
      </c>
      <c r="AI1" s="40" t="s">
        <v>34</v>
      </c>
      <c r="AJ1" s="41" t="s">
        <v>35</v>
      </c>
      <c r="AK1" s="40" t="s">
        <v>36</v>
      </c>
      <c r="AL1" s="42" t="s">
        <v>37</v>
      </c>
      <c r="AM1" s="43" t="s">
        <v>38</v>
      </c>
      <c r="AN1" s="44" t="s">
        <v>39</v>
      </c>
      <c r="AO1" s="44" t="s">
        <v>40</v>
      </c>
      <c r="AP1" s="44" t="s">
        <v>41</v>
      </c>
      <c r="AQ1" s="45" t="s">
        <v>42</v>
      </c>
      <c r="AR1" s="46" t="s">
        <v>43</v>
      </c>
      <c r="AS1" s="47" t="s">
        <v>44</v>
      </c>
      <c r="AT1" s="47" t="s">
        <v>45</v>
      </c>
      <c r="AU1" s="48"/>
      <c r="AV1" s="48"/>
      <c r="AW1" s="48" t="s">
        <v>46</v>
      </c>
    </row>
    <row r="2" s="49" customFormat="1" ht="45" customHeight="1">
      <c r="A2" s="50"/>
      <c r="B2" s="51" t="s">
        <v>47</v>
      </c>
      <c r="C2" s="52"/>
      <c r="D2" s="53"/>
      <c r="E2" s="54" t="s">
        <v>48</v>
      </c>
      <c r="F2" s="55" t="s">
        <v>49</v>
      </c>
      <c r="G2" s="53" t="s">
        <v>50</v>
      </c>
      <c r="H2" s="54" t="s">
        <v>51</v>
      </c>
      <c r="I2" s="51" t="s">
        <v>52</v>
      </c>
      <c r="J2" s="56">
        <v>1</v>
      </c>
      <c r="K2" s="57" t="s">
        <v>53</v>
      </c>
      <c r="L2" s="58">
        <v>1</v>
      </c>
      <c r="M2" s="51">
        <v>1</v>
      </c>
      <c r="N2" s="55">
        <v>1938</v>
      </c>
      <c r="O2" s="59"/>
      <c r="P2" s="60"/>
      <c r="Q2" s="59"/>
      <c r="R2" s="55">
        <v>1930</v>
      </c>
      <c r="S2" s="51" t="s">
        <v>54</v>
      </c>
      <c r="T2" s="61"/>
      <c r="U2" s="62"/>
      <c r="V2" s="63"/>
      <c r="W2" s="54" t="s">
        <v>55</v>
      </c>
      <c r="X2" s="59" t="s">
        <v>56</v>
      </c>
      <c r="Y2" s="59" t="s">
        <v>57</v>
      </c>
      <c r="Z2" s="64" t="s">
        <v>58</v>
      </c>
      <c r="AA2" s="65"/>
      <c r="AB2" s="66"/>
      <c r="AC2" s="66">
        <v>14017</v>
      </c>
      <c r="AD2" s="59"/>
      <c r="AE2" s="56">
        <v>1938</v>
      </c>
      <c r="AF2" s="56">
        <v>1</v>
      </c>
      <c r="AG2" s="56">
        <v>1938</v>
      </c>
      <c r="AH2" s="56">
        <v>1930</v>
      </c>
      <c r="AI2" s="56"/>
      <c r="AJ2" s="62"/>
      <c r="AK2" s="56"/>
      <c r="AL2" s="67"/>
      <c r="AM2" s="54" t="s">
        <v>59</v>
      </c>
      <c r="AN2" s="55"/>
      <c r="AO2" s="55"/>
      <c r="AP2" s="55"/>
      <c r="AQ2" s="53"/>
      <c r="AR2" s="54"/>
      <c r="AS2" s="55"/>
      <c r="AT2" s="55"/>
      <c r="AU2" s="67"/>
      <c r="AV2" s="68"/>
      <c r="AW2" s="55">
        <f t="shared" ref="AW2:AW8" ca="1" si="0">IF(N2&lt;&gt;0,(YEAR(TODAY())-N2),(""))</f>
        <v>87</v>
      </c>
    </row>
    <row r="3" ht="45" hidden="1" customHeight="1">
      <c r="A3" s="69"/>
      <c r="B3" s="3" t="s">
        <v>60</v>
      </c>
      <c r="I3" s="3" t="s">
        <v>61</v>
      </c>
      <c r="J3" s="7">
        <v>0</v>
      </c>
      <c r="K3" s="70"/>
      <c r="M3" s="3">
        <v>2</v>
      </c>
      <c r="P3" s="71"/>
      <c r="R3" s="6" t="s">
        <v>60</v>
      </c>
      <c r="S3" s="3" t="s">
        <v>60</v>
      </c>
      <c r="T3" s="72"/>
      <c r="U3" s="73"/>
      <c r="W3" s="74" t="s">
        <v>62</v>
      </c>
      <c r="X3" s="10"/>
      <c r="Y3" s="10"/>
      <c r="Z3" s="75"/>
      <c r="AA3" s="76"/>
      <c r="AB3" s="77"/>
      <c r="AC3" s="77"/>
      <c r="AD3" s="10"/>
      <c r="AI3" s="7"/>
      <c r="AJ3" s="73"/>
      <c r="AK3" s="7"/>
      <c r="AL3" s="16"/>
      <c r="AW3" s="6" t="str">
        <f t="shared" ca="1" si="0"/>
        <v/>
      </c>
    </row>
    <row r="4" ht="45" customHeight="1">
      <c r="A4" s="69"/>
      <c r="B4" s="3" t="s">
        <v>47</v>
      </c>
      <c r="E4" s="78" t="s">
        <v>63</v>
      </c>
      <c r="F4" s="79" t="s">
        <v>64</v>
      </c>
      <c r="G4" s="80" t="s">
        <v>65</v>
      </c>
      <c r="H4" s="78" t="s">
        <v>51</v>
      </c>
      <c r="I4" s="81" t="s">
        <v>66</v>
      </c>
      <c r="J4" s="7">
        <v>1</v>
      </c>
      <c r="K4" s="70" t="s">
        <v>53</v>
      </c>
      <c r="L4" s="9">
        <v>1</v>
      </c>
      <c r="M4" s="3">
        <v>3</v>
      </c>
      <c r="N4" s="6">
        <v>1938</v>
      </c>
      <c r="P4" s="71"/>
      <c r="R4" s="6">
        <v>1930</v>
      </c>
      <c r="S4" s="3" t="s">
        <v>54</v>
      </c>
      <c r="T4" s="72"/>
      <c r="U4" s="73"/>
      <c r="W4" s="78" t="s">
        <v>67</v>
      </c>
      <c r="X4" s="82" t="s">
        <v>56</v>
      </c>
      <c r="Y4" s="82" t="s">
        <v>68</v>
      </c>
      <c r="Z4" s="83" t="s">
        <v>58</v>
      </c>
      <c r="AA4" s="76"/>
      <c r="AB4" s="77"/>
      <c r="AC4" s="77">
        <v>13960</v>
      </c>
      <c r="AD4" s="10"/>
      <c r="AG4" s="7">
        <v>1938</v>
      </c>
      <c r="AH4" s="7">
        <v>1930</v>
      </c>
      <c r="AI4" s="7"/>
      <c r="AJ4" s="73"/>
      <c r="AK4" s="7"/>
      <c r="AL4" s="16"/>
      <c r="AM4" s="2" t="s">
        <v>59</v>
      </c>
      <c r="AW4" s="6">
        <f t="shared" ca="1" si="0"/>
        <v>87</v>
      </c>
    </row>
    <row r="5" ht="45" customHeight="1">
      <c r="A5" s="69"/>
      <c r="B5" s="3" t="s">
        <v>47</v>
      </c>
      <c r="E5" s="2" t="s">
        <v>63</v>
      </c>
      <c r="F5" s="6" t="s">
        <v>64</v>
      </c>
      <c r="G5" s="5" t="s">
        <v>69</v>
      </c>
      <c r="H5" s="2" t="s">
        <v>51</v>
      </c>
      <c r="I5" s="3" t="s">
        <v>70</v>
      </c>
      <c r="J5" s="7">
        <v>1</v>
      </c>
      <c r="K5" s="70" t="s">
        <v>53</v>
      </c>
      <c r="L5" s="9">
        <v>1</v>
      </c>
      <c r="M5" s="3">
        <v>4</v>
      </c>
      <c r="N5" s="6">
        <v>1938</v>
      </c>
      <c r="P5" s="71"/>
      <c r="R5" s="6">
        <v>1930</v>
      </c>
      <c r="S5" s="3" t="s">
        <v>54</v>
      </c>
      <c r="T5" s="72"/>
      <c r="U5" s="73"/>
      <c r="W5" s="2" t="s">
        <v>71</v>
      </c>
      <c r="X5" s="10" t="s">
        <v>56</v>
      </c>
      <c r="Y5" s="10" t="s">
        <v>57</v>
      </c>
      <c r="Z5" s="75" t="s">
        <v>58</v>
      </c>
      <c r="AA5" s="76"/>
      <c r="AB5" s="77"/>
      <c r="AC5" s="77">
        <v>13967</v>
      </c>
      <c r="AD5" s="10"/>
      <c r="AF5" s="7">
        <v>110</v>
      </c>
      <c r="AG5" s="7">
        <v>1938</v>
      </c>
      <c r="AH5" s="7">
        <v>1930</v>
      </c>
      <c r="AI5" s="7">
        <v>1984</v>
      </c>
      <c r="AJ5" s="73"/>
      <c r="AK5" s="7"/>
      <c r="AL5" s="16" t="s">
        <v>72</v>
      </c>
      <c r="AM5" s="2" t="s">
        <v>59</v>
      </c>
      <c r="AO5" s="6" t="s">
        <v>73</v>
      </c>
      <c r="AU5" s="16" t="s">
        <v>74</v>
      </c>
      <c r="AW5" s="6">
        <f t="shared" ca="1" si="0"/>
        <v>87</v>
      </c>
    </row>
    <row r="6" ht="45" customHeight="1">
      <c r="A6" s="69"/>
      <c r="B6" s="3" t="s">
        <v>47</v>
      </c>
      <c r="E6" s="2" t="s">
        <v>63</v>
      </c>
      <c r="F6" s="6" t="s">
        <v>64</v>
      </c>
      <c r="G6" s="5" t="s">
        <v>75</v>
      </c>
      <c r="H6" s="2" t="s">
        <v>51</v>
      </c>
      <c r="I6" s="3" t="s">
        <v>76</v>
      </c>
      <c r="J6" s="7">
        <v>1</v>
      </c>
      <c r="K6" s="70" t="s">
        <v>53</v>
      </c>
      <c r="L6" s="9">
        <v>1</v>
      </c>
      <c r="M6" s="3">
        <v>5</v>
      </c>
      <c r="N6" s="6">
        <v>1938</v>
      </c>
      <c r="P6" s="71"/>
      <c r="R6" s="6">
        <v>1930</v>
      </c>
      <c r="S6" s="3" t="s">
        <v>54</v>
      </c>
      <c r="T6" s="72"/>
      <c r="U6" s="73"/>
      <c r="W6" s="2" t="s">
        <v>77</v>
      </c>
      <c r="X6" s="10" t="s">
        <v>56</v>
      </c>
      <c r="Y6" s="10" t="s">
        <v>57</v>
      </c>
      <c r="Z6" s="75" t="s">
        <v>58</v>
      </c>
      <c r="AA6" s="76"/>
      <c r="AB6" s="77"/>
      <c r="AC6" s="77">
        <v>13955</v>
      </c>
      <c r="AD6" s="10"/>
      <c r="AG6" s="7">
        <v>1938</v>
      </c>
      <c r="AH6" s="7">
        <v>1930</v>
      </c>
      <c r="AI6" s="7"/>
      <c r="AJ6" s="73"/>
      <c r="AK6" s="7"/>
      <c r="AL6" s="16" t="s">
        <v>78</v>
      </c>
      <c r="AM6" s="2" t="s">
        <v>59</v>
      </c>
      <c r="AW6" s="6">
        <f t="shared" ca="1" si="0"/>
        <v>87</v>
      </c>
    </row>
    <row r="7" ht="45" customHeight="1">
      <c r="A7" s="69"/>
      <c r="B7" s="3" t="s">
        <v>47</v>
      </c>
      <c r="E7" s="2" t="s">
        <v>63</v>
      </c>
      <c r="F7" s="6" t="s">
        <v>64</v>
      </c>
      <c r="G7" s="5" t="s">
        <v>69</v>
      </c>
      <c r="H7" s="2" t="s">
        <v>68</v>
      </c>
      <c r="I7" s="3" t="s">
        <v>79</v>
      </c>
      <c r="J7" s="7">
        <v>1</v>
      </c>
      <c r="K7" s="70" t="s">
        <v>53</v>
      </c>
      <c r="L7" s="9">
        <v>1</v>
      </c>
      <c r="M7" s="3">
        <v>6</v>
      </c>
      <c r="N7" s="6">
        <v>1938</v>
      </c>
      <c r="P7" s="71"/>
      <c r="R7" s="6">
        <v>1930</v>
      </c>
      <c r="S7" s="3" t="s">
        <v>54</v>
      </c>
      <c r="T7" s="72"/>
      <c r="U7" s="73"/>
      <c r="W7" s="2" t="s">
        <v>80</v>
      </c>
      <c r="X7" s="10" t="s">
        <v>56</v>
      </c>
      <c r="Y7" s="10" t="s">
        <v>68</v>
      </c>
      <c r="Z7" s="75" t="s">
        <v>58</v>
      </c>
      <c r="AA7" s="76"/>
      <c r="AB7" s="77"/>
      <c r="AC7" s="77">
        <v>13953</v>
      </c>
      <c r="AD7" s="10"/>
      <c r="AF7" s="7">
        <v>110</v>
      </c>
      <c r="AG7" s="7">
        <v>1938</v>
      </c>
      <c r="AH7" s="7">
        <v>1930</v>
      </c>
      <c r="AI7" s="7">
        <v>1984</v>
      </c>
      <c r="AJ7" s="73"/>
      <c r="AK7" s="7"/>
      <c r="AL7" s="16" t="s">
        <v>81</v>
      </c>
      <c r="AM7" s="2" t="s">
        <v>82</v>
      </c>
      <c r="AO7" s="6" t="s">
        <v>73</v>
      </c>
      <c r="AU7" s="16" t="s">
        <v>74</v>
      </c>
      <c r="AW7" s="6">
        <f t="shared" ca="1" si="0"/>
        <v>87</v>
      </c>
    </row>
    <row r="8" ht="45" customHeight="1">
      <c r="A8" s="69"/>
      <c r="B8" s="3" t="s">
        <v>47</v>
      </c>
      <c r="E8" s="78" t="s">
        <v>83</v>
      </c>
      <c r="F8" s="79" t="s">
        <v>84</v>
      </c>
      <c r="G8" s="80" t="s">
        <v>85</v>
      </c>
      <c r="H8" s="78" t="s">
        <v>51</v>
      </c>
      <c r="I8" s="81" t="s">
        <v>66</v>
      </c>
      <c r="J8" s="7">
        <v>1</v>
      </c>
      <c r="K8" s="70" t="s">
        <v>53</v>
      </c>
      <c r="L8" s="9">
        <v>1</v>
      </c>
      <c r="M8" s="3">
        <v>7</v>
      </c>
      <c r="N8" s="6">
        <v>1938</v>
      </c>
      <c r="P8" s="71"/>
      <c r="R8" s="6">
        <v>1930</v>
      </c>
      <c r="S8" s="3" t="s">
        <v>54</v>
      </c>
      <c r="T8" s="72"/>
      <c r="U8" s="73"/>
      <c r="W8" s="78" t="s">
        <v>86</v>
      </c>
      <c r="X8" s="82" t="s">
        <v>56</v>
      </c>
      <c r="Y8" s="82" t="s">
        <v>68</v>
      </c>
      <c r="Z8" s="83" t="s">
        <v>58</v>
      </c>
      <c r="AA8" s="76"/>
      <c r="AB8" s="77">
        <v>14016</v>
      </c>
      <c r="AC8" s="77">
        <v>14016</v>
      </c>
      <c r="AD8" s="10"/>
      <c r="AG8" s="7">
        <v>1938</v>
      </c>
      <c r="AH8" s="7">
        <v>1930</v>
      </c>
      <c r="AI8" s="7"/>
      <c r="AJ8" s="73"/>
      <c r="AK8" s="7"/>
      <c r="AL8" s="16"/>
      <c r="AM8" s="2" t="s">
        <v>59</v>
      </c>
      <c r="AW8" s="6">
        <f t="shared" ca="1" si="0"/>
        <v>87</v>
      </c>
    </row>
    <row r="9" ht="45" customHeight="1" outlineLevel="1">
      <c r="A9" s="69"/>
      <c r="B9" s="3" t="s">
        <v>47</v>
      </c>
      <c r="E9" s="2" t="s">
        <v>48</v>
      </c>
      <c r="F9" s="6" t="s">
        <v>49</v>
      </c>
      <c r="G9" s="5" t="s">
        <v>87</v>
      </c>
      <c r="H9" s="2" t="s">
        <v>88</v>
      </c>
      <c r="I9" s="3" t="s">
        <v>89</v>
      </c>
      <c r="J9" s="7">
        <v>1</v>
      </c>
      <c r="K9" s="70" t="s">
        <v>53</v>
      </c>
      <c r="L9" s="9">
        <v>1</v>
      </c>
      <c r="M9" s="3">
        <v>8</v>
      </c>
      <c r="N9" s="6">
        <v>1938</v>
      </c>
      <c r="P9" s="71"/>
      <c r="R9" s="6">
        <v>1930</v>
      </c>
      <c r="S9" s="3" t="s">
        <v>54</v>
      </c>
      <c r="T9" s="72"/>
      <c r="U9" s="73"/>
      <c r="W9" s="2" t="s">
        <v>90</v>
      </c>
      <c r="X9" s="10" t="s">
        <v>91</v>
      </c>
      <c r="Y9" s="10" t="s">
        <v>92</v>
      </c>
      <c r="Z9" s="75"/>
      <c r="AA9" s="76"/>
      <c r="AB9" s="77"/>
      <c r="AC9" s="77">
        <v>13964</v>
      </c>
      <c r="AD9" s="10"/>
      <c r="AG9" s="7">
        <v>1938</v>
      </c>
      <c r="AH9" s="7">
        <v>1930</v>
      </c>
      <c r="AI9" s="7"/>
      <c r="AJ9" s="73"/>
      <c r="AK9" s="7"/>
      <c r="AL9" s="15" t="s">
        <v>93</v>
      </c>
      <c r="AM9" s="2" t="s">
        <v>59</v>
      </c>
      <c r="AO9" s="6" t="s">
        <v>59</v>
      </c>
      <c r="AW9" s="6">
        <f t="shared" ref="AW9:AW72" ca="1" si="1">IF(N9&lt;&gt;0,(YEAR(TODAY())-N9),(""))</f>
        <v>87</v>
      </c>
    </row>
    <row r="10" ht="45" customHeight="1">
      <c r="A10" s="69"/>
      <c r="B10" s="3" t="s">
        <v>47</v>
      </c>
      <c r="E10" s="78" t="s">
        <v>83</v>
      </c>
      <c r="F10" s="79" t="s">
        <v>84</v>
      </c>
      <c r="G10" s="80" t="s">
        <v>85</v>
      </c>
      <c r="H10" s="78" t="s">
        <v>51</v>
      </c>
      <c r="I10" s="81" t="s">
        <v>94</v>
      </c>
      <c r="J10" s="7">
        <v>1</v>
      </c>
      <c r="K10" s="70" t="s">
        <v>53</v>
      </c>
      <c r="L10" s="9">
        <v>1</v>
      </c>
      <c r="M10" s="3">
        <v>9</v>
      </c>
      <c r="N10" s="6">
        <v>1938</v>
      </c>
      <c r="P10" s="71"/>
      <c r="R10" s="6">
        <v>1930</v>
      </c>
      <c r="S10" s="3" t="s">
        <v>54</v>
      </c>
      <c r="T10" s="72"/>
      <c r="U10" s="73"/>
      <c r="W10" s="78" t="s">
        <v>95</v>
      </c>
      <c r="X10" s="82" t="s">
        <v>56</v>
      </c>
      <c r="Y10" s="82" t="s">
        <v>68</v>
      </c>
      <c r="Z10" s="83" t="s">
        <v>58</v>
      </c>
      <c r="AA10" s="76"/>
      <c r="AB10" s="77">
        <v>14076</v>
      </c>
      <c r="AC10" s="77">
        <v>14076</v>
      </c>
      <c r="AD10" s="10"/>
      <c r="AG10" s="7">
        <v>1938</v>
      </c>
      <c r="AH10" s="7">
        <v>1930</v>
      </c>
      <c r="AI10" s="7"/>
      <c r="AJ10" s="73"/>
      <c r="AK10" s="7"/>
      <c r="AL10" s="16"/>
      <c r="AM10" s="2" t="s">
        <v>59</v>
      </c>
      <c r="AU10" s="16" t="s">
        <v>96</v>
      </c>
      <c r="AW10" s="6">
        <f t="shared" ca="1" si="1"/>
        <v>87</v>
      </c>
    </row>
    <row r="11" ht="45" customHeight="1">
      <c r="A11" s="69"/>
      <c r="B11" s="3" t="s">
        <v>47</v>
      </c>
      <c r="E11" s="2" t="s">
        <v>83</v>
      </c>
      <c r="F11" s="6" t="s">
        <v>84</v>
      </c>
      <c r="G11" s="5" t="s">
        <v>85</v>
      </c>
      <c r="H11" s="2" t="s">
        <v>57</v>
      </c>
      <c r="I11" s="3" t="s">
        <v>97</v>
      </c>
      <c r="J11" s="7">
        <v>1</v>
      </c>
      <c r="K11" s="70" t="s">
        <v>53</v>
      </c>
      <c r="L11" s="9">
        <v>0</v>
      </c>
      <c r="M11" s="3">
        <v>10</v>
      </c>
      <c r="N11" s="6">
        <v>1938</v>
      </c>
      <c r="P11" s="71"/>
      <c r="R11" s="6">
        <v>1930</v>
      </c>
      <c r="S11" s="3" t="s">
        <v>54</v>
      </c>
      <c r="T11" s="72"/>
      <c r="U11" s="73"/>
      <c r="W11" s="2" t="s">
        <v>98</v>
      </c>
      <c r="X11" s="10" t="s">
        <v>56</v>
      </c>
      <c r="Y11" s="10" t="s">
        <v>57</v>
      </c>
      <c r="Z11" s="75"/>
      <c r="AA11" s="76">
        <v>14076</v>
      </c>
      <c r="AB11" s="77"/>
      <c r="AC11" s="77">
        <v>14076</v>
      </c>
      <c r="AD11" s="10"/>
      <c r="AG11" s="7">
        <v>1938</v>
      </c>
      <c r="AH11" s="7">
        <v>1930</v>
      </c>
      <c r="AI11" s="7"/>
      <c r="AJ11" s="73"/>
      <c r="AK11" s="7"/>
      <c r="AL11" s="16" t="s">
        <v>99</v>
      </c>
      <c r="AM11" s="2" t="s">
        <v>59</v>
      </c>
      <c r="AO11" s="6" t="s">
        <v>100</v>
      </c>
      <c r="AP11" s="6" t="s">
        <v>73</v>
      </c>
      <c r="AQ11" s="5" t="s">
        <v>73</v>
      </c>
      <c r="AR11" s="2" t="s">
        <v>73</v>
      </c>
      <c r="AT11" s="6">
        <v>2013</v>
      </c>
      <c r="AU11" s="16" t="s">
        <v>101</v>
      </c>
      <c r="AW11" s="6">
        <f t="shared" ca="1" si="1"/>
        <v>87</v>
      </c>
    </row>
    <row r="12" ht="45" customHeight="1">
      <c r="A12" s="69"/>
      <c r="B12" s="3" t="s">
        <v>47</v>
      </c>
      <c r="E12" s="2" t="s">
        <v>83</v>
      </c>
      <c r="F12" s="6" t="s">
        <v>84</v>
      </c>
      <c r="G12" s="5" t="s">
        <v>85</v>
      </c>
      <c r="H12" s="2" t="s">
        <v>57</v>
      </c>
      <c r="I12" s="3" t="s">
        <v>102</v>
      </c>
      <c r="J12" s="7">
        <v>1</v>
      </c>
      <c r="K12" s="70" t="s">
        <v>53</v>
      </c>
      <c r="L12" s="9">
        <v>1</v>
      </c>
      <c r="M12" s="3">
        <v>10</v>
      </c>
      <c r="N12" s="6">
        <v>1938</v>
      </c>
      <c r="P12" s="71"/>
      <c r="R12" s="6">
        <v>1930</v>
      </c>
      <c r="S12" s="3" t="s">
        <v>54</v>
      </c>
      <c r="T12" s="72"/>
      <c r="U12" s="73"/>
      <c r="W12" s="2" t="s">
        <v>103</v>
      </c>
      <c r="X12" s="10" t="s">
        <v>56</v>
      </c>
      <c r="Y12" s="10" t="s">
        <v>57</v>
      </c>
      <c r="Z12" s="75"/>
      <c r="AA12" s="76"/>
      <c r="AB12" s="77"/>
      <c r="AC12" s="77">
        <v>14076</v>
      </c>
      <c r="AD12" s="10"/>
      <c r="AG12" s="7">
        <v>1938</v>
      </c>
      <c r="AH12" s="7">
        <v>1930</v>
      </c>
      <c r="AI12" s="7"/>
      <c r="AJ12" s="73"/>
      <c r="AK12" s="7"/>
      <c r="AL12" s="16" t="s">
        <v>99</v>
      </c>
      <c r="AM12" s="2" t="s">
        <v>59</v>
      </c>
      <c r="AO12" s="6" t="s">
        <v>100</v>
      </c>
      <c r="AP12" s="6" t="s">
        <v>104</v>
      </c>
      <c r="AQ12" s="5" t="s">
        <v>104</v>
      </c>
      <c r="AR12" s="2" t="s">
        <v>73</v>
      </c>
      <c r="AT12" s="6">
        <v>1980</v>
      </c>
      <c r="AU12" s="16" t="s">
        <v>105</v>
      </c>
      <c r="AW12" s="6">
        <f t="shared" ca="1" si="1"/>
        <v>87</v>
      </c>
    </row>
    <row r="13" ht="45" customHeight="1">
      <c r="A13" s="69"/>
      <c r="B13" s="3" t="s">
        <v>47</v>
      </c>
      <c r="E13" s="2" t="s">
        <v>83</v>
      </c>
      <c r="F13" s="6" t="s">
        <v>84</v>
      </c>
      <c r="G13" s="5" t="s">
        <v>85</v>
      </c>
      <c r="H13" s="2" t="s">
        <v>57</v>
      </c>
      <c r="I13" s="3" t="s">
        <v>106</v>
      </c>
      <c r="J13" s="7">
        <v>1</v>
      </c>
      <c r="K13" s="70" t="s">
        <v>53</v>
      </c>
      <c r="L13" s="9">
        <v>0</v>
      </c>
      <c r="M13" s="3">
        <v>10</v>
      </c>
      <c r="N13" s="6">
        <v>1938</v>
      </c>
      <c r="P13" s="71"/>
      <c r="R13" s="6">
        <v>1930</v>
      </c>
      <c r="S13" s="3" t="s">
        <v>54</v>
      </c>
      <c r="T13" s="72"/>
      <c r="U13" s="73"/>
      <c r="W13" s="2" t="s">
        <v>107</v>
      </c>
      <c r="X13" s="10" t="s">
        <v>56</v>
      </c>
      <c r="Y13" s="10" t="s">
        <v>57</v>
      </c>
      <c r="Z13" s="75"/>
      <c r="AA13" s="76"/>
      <c r="AB13" s="77"/>
      <c r="AC13" s="77">
        <v>14076</v>
      </c>
      <c r="AD13" s="10"/>
      <c r="AG13" s="7">
        <v>1938</v>
      </c>
      <c r="AH13" s="7">
        <v>1930</v>
      </c>
      <c r="AI13" s="7"/>
      <c r="AJ13" s="73"/>
      <c r="AK13" s="7"/>
      <c r="AL13" s="16" t="s">
        <v>99</v>
      </c>
      <c r="AM13" s="2" t="s">
        <v>59</v>
      </c>
      <c r="AR13" s="2" t="s">
        <v>73</v>
      </c>
      <c r="AT13" s="6">
        <v>1980</v>
      </c>
      <c r="AU13" s="16" t="s">
        <v>105</v>
      </c>
      <c r="AW13" s="6">
        <f t="shared" ca="1" si="1"/>
        <v>87</v>
      </c>
    </row>
    <row r="14" ht="45" customHeight="1">
      <c r="A14" s="69"/>
      <c r="B14" s="3" t="s">
        <v>47</v>
      </c>
      <c r="E14" s="2" t="s">
        <v>83</v>
      </c>
      <c r="F14" s="6" t="s">
        <v>84</v>
      </c>
      <c r="G14" s="5" t="s">
        <v>85</v>
      </c>
      <c r="H14" s="2" t="s">
        <v>51</v>
      </c>
      <c r="I14" s="3" t="s">
        <v>108</v>
      </c>
      <c r="J14" s="7">
        <v>1</v>
      </c>
      <c r="K14" s="70" t="s">
        <v>53</v>
      </c>
      <c r="L14" s="9">
        <v>0</v>
      </c>
      <c r="M14" s="3">
        <v>10</v>
      </c>
      <c r="N14" s="6">
        <v>1938</v>
      </c>
      <c r="P14" s="71"/>
      <c r="R14" s="6">
        <v>1930</v>
      </c>
      <c r="S14" s="3" t="s">
        <v>54</v>
      </c>
      <c r="T14" s="72"/>
      <c r="U14" s="73"/>
      <c r="W14" s="2" t="s">
        <v>109</v>
      </c>
      <c r="X14" s="10" t="s">
        <v>56</v>
      </c>
      <c r="Y14" s="10" t="s">
        <v>57</v>
      </c>
      <c r="Z14" s="75" t="s">
        <v>58</v>
      </c>
      <c r="AA14" s="76"/>
      <c r="AB14" s="77"/>
      <c r="AC14" s="77">
        <v>14076</v>
      </c>
      <c r="AD14" s="10"/>
      <c r="AG14" s="7">
        <v>1938</v>
      </c>
      <c r="AH14" s="7">
        <v>1930</v>
      </c>
      <c r="AI14" s="7"/>
      <c r="AJ14" s="73"/>
      <c r="AK14" s="7"/>
      <c r="AL14" s="16" t="s">
        <v>99</v>
      </c>
      <c r="AM14" s="2" t="s">
        <v>59</v>
      </c>
      <c r="AR14" s="2" t="s">
        <v>73</v>
      </c>
      <c r="AT14" s="6">
        <v>1980</v>
      </c>
      <c r="AU14" s="16" t="s">
        <v>105</v>
      </c>
      <c r="AW14" s="6">
        <f t="shared" ca="1" si="1"/>
        <v>87</v>
      </c>
    </row>
    <row r="15" ht="45" customHeight="1">
      <c r="A15" s="69"/>
      <c r="B15" s="3" t="s">
        <v>47</v>
      </c>
      <c r="E15" s="2" t="s">
        <v>83</v>
      </c>
      <c r="F15" s="6" t="s">
        <v>84</v>
      </c>
      <c r="G15" s="5" t="s">
        <v>85</v>
      </c>
      <c r="H15" s="2" t="s">
        <v>57</v>
      </c>
      <c r="I15" s="3" t="s">
        <v>110</v>
      </c>
      <c r="J15" s="7">
        <v>1</v>
      </c>
      <c r="K15" s="70" t="s">
        <v>53</v>
      </c>
      <c r="L15" s="9">
        <v>1</v>
      </c>
      <c r="M15" s="3">
        <v>11</v>
      </c>
      <c r="N15" s="6">
        <v>1938</v>
      </c>
      <c r="P15" s="71"/>
      <c r="R15" s="6">
        <v>1930</v>
      </c>
      <c r="S15" s="3" t="s">
        <v>54</v>
      </c>
      <c r="T15" s="72"/>
      <c r="U15" s="73"/>
      <c r="W15" s="2" t="s">
        <v>111</v>
      </c>
      <c r="X15" s="10" t="s">
        <v>56</v>
      </c>
      <c r="Y15" s="10" t="s">
        <v>57</v>
      </c>
      <c r="Z15" s="75"/>
      <c r="AA15" s="76"/>
      <c r="AB15" s="77"/>
      <c r="AC15" s="77">
        <v>13969</v>
      </c>
      <c r="AD15" s="10"/>
      <c r="AG15" s="7">
        <v>1938</v>
      </c>
      <c r="AH15" s="7">
        <v>1930</v>
      </c>
      <c r="AI15" s="7"/>
      <c r="AJ15" s="73"/>
      <c r="AK15" s="7"/>
      <c r="AL15" s="16"/>
      <c r="AM15" s="2" t="s">
        <v>59</v>
      </c>
      <c r="AU15" s="16" t="s">
        <v>112</v>
      </c>
      <c r="AW15" s="6">
        <f t="shared" ca="1" si="1"/>
        <v>87</v>
      </c>
    </row>
    <row r="16" ht="45" customHeight="1">
      <c r="A16" s="69"/>
      <c r="B16" s="3" t="s">
        <v>47</v>
      </c>
      <c r="E16" s="2" t="s">
        <v>83</v>
      </c>
      <c r="F16" s="6" t="s">
        <v>84</v>
      </c>
      <c r="G16" s="5" t="s">
        <v>85</v>
      </c>
      <c r="H16" s="2" t="s">
        <v>51</v>
      </c>
      <c r="I16" s="3" t="s">
        <v>113</v>
      </c>
      <c r="J16" s="7">
        <v>1</v>
      </c>
      <c r="K16" s="70" t="s">
        <v>53</v>
      </c>
      <c r="L16" s="9">
        <v>1</v>
      </c>
      <c r="M16" s="3">
        <v>12</v>
      </c>
      <c r="N16" s="6">
        <v>1938</v>
      </c>
      <c r="P16" s="71"/>
      <c r="R16" s="6">
        <v>1930</v>
      </c>
      <c r="S16" s="3" t="s">
        <v>54</v>
      </c>
      <c r="T16" s="72"/>
      <c r="U16" s="73"/>
      <c r="W16" s="2" t="s">
        <v>114</v>
      </c>
      <c r="X16" s="10" t="s">
        <v>56</v>
      </c>
      <c r="Y16" s="10" t="s">
        <v>57</v>
      </c>
      <c r="Z16" s="75" t="s">
        <v>58</v>
      </c>
      <c r="AA16" s="76"/>
      <c r="AB16" s="77"/>
      <c r="AC16" s="77">
        <v>14077</v>
      </c>
      <c r="AD16" s="10"/>
      <c r="AG16" s="7">
        <v>1938</v>
      </c>
      <c r="AH16" s="7">
        <v>1930</v>
      </c>
      <c r="AI16" s="7"/>
      <c r="AJ16" s="73"/>
      <c r="AK16" s="7"/>
      <c r="AL16" s="16"/>
      <c r="AM16" s="2" t="s">
        <v>59</v>
      </c>
      <c r="AW16" s="6">
        <f t="shared" ca="1" si="1"/>
        <v>87</v>
      </c>
    </row>
    <row r="17" ht="45" customHeight="1">
      <c r="A17" s="69"/>
      <c r="B17" s="3" t="s">
        <v>47</v>
      </c>
      <c r="E17" s="2" t="s">
        <v>83</v>
      </c>
      <c r="F17" s="6" t="s">
        <v>84</v>
      </c>
      <c r="G17" s="5" t="s">
        <v>85</v>
      </c>
      <c r="H17" s="2" t="s">
        <v>51</v>
      </c>
      <c r="I17" s="3" t="s">
        <v>115</v>
      </c>
      <c r="J17" s="7">
        <v>1</v>
      </c>
      <c r="K17" s="70" t="s">
        <v>53</v>
      </c>
      <c r="L17" s="9">
        <v>1</v>
      </c>
      <c r="M17" s="3">
        <v>13</v>
      </c>
      <c r="N17" s="6">
        <v>1938</v>
      </c>
      <c r="P17" s="71"/>
      <c r="R17" s="6">
        <v>1930</v>
      </c>
      <c r="S17" s="3" t="s">
        <v>54</v>
      </c>
      <c r="T17" s="72"/>
      <c r="U17" s="73"/>
      <c r="W17" s="2" t="s">
        <v>116</v>
      </c>
      <c r="X17" s="10" t="s">
        <v>56</v>
      </c>
      <c r="Y17" s="10" t="s">
        <v>57</v>
      </c>
      <c r="Z17" s="75" t="s">
        <v>58</v>
      </c>
      <c r="AA17" s="76"/>
      <c r="AB17" s="77">
        <v>14076</v>
      </c>
      <c r="AC17" s="77">
        <v>14076</v>
      </c>
      <c r="AD17" s="10"/>
      <c r="AG17" s="7">
        <v>1938</v>
      </c>
      <c r="AH17" s="7">
        <v>1930</v>
      </c>
      <c r="AI17" s="7"/>
      <c r="AJ17" s="73"/>
      <c r="AK17" s="7"/>
      <c r="AL17" s="16"/>
      <c r="AM17" s="2" t="s">
        <v>59</v>
      </c>
      <c r="AW17" s="6">
        <f t="shared" ca="1" si="1"/>
        <v>87</v>
      </c>
    </row>
    <row r="18" ht="45" customHeight="1">
      <c r="A18" s="69"/>
      <c r="B18" s="3" t="s">
        <v>47</v>
      </c>
      <c r="E18" s="2" t="s">
        <v>83</v>
      </c>
      <c r="F18" s="6" t="s">
        <v>84</v>
      </c>
      <c r="G18" s="5" t="s">
        <v>85</v>
      </c>
      <c r="H18" s="2" t="s">
        <v>51</v>
      </c>
      <c r="I18" s="3" t="s">
        <v>117</v>
      </c>
      <c r="J18" s="7">
        <v>1</v>
      </c>
      <c r="K18" s="70" t="s">
        <v>53</v>
      </c>
      <c r="L18" s="9">
        <v>1</v>
      </c>
      <c r="M18" s="3">
        <v>14</v>
      </c>
      <c r="N18" s="6">
        <v>1938</v>
      </c>
      <c r="P18" s="71"/>
      <c r="R18" s="6">
        <v>1930</v>
      </c>
      <c r="S18" s="3" t="s">
        <v>54</v>
      </c>
      <c r="T18" s="72"/>
      <c r="U18" s="73"/>
      <c r="W18" s="2" t="s">
        <v>118</v>
      </c>
      <c r="X18" s="10" t="s">
        <v>56</v>
      </c>
      <c r="Y18" s="10" t="s">
        <v>57</v>
      </c>
      <c r="Z18" s="75" t="s">
        <v>58</v>
      </c>
      <c r="AA18" s="76"/>
      <c r="AB18" s="77">
        <v>14083</v>
      </c>
      <c r="AC18" s="77">
        <v>14083</v>
      </c>
      <c r="AD18" s="10"/>
      <c r="AG18" s="7">
        <v>1938</v>
      </c>
      <c r="AH18" s="7">
        <v>1930</v>
      </c>
      <c r="AI18" s="7"/>
      <c r="AJ18" s="73"/>
      <c r="AK18" s="7"/>
      <c r="AL18" s="16"/>
      <c r="AM18" s="2" t="s">
        <v>59</v>
      </c>
      <c r="AW18" s="6">
        <f t="shared" ca="1" si="1"/>
        <v>87</v>
      </c>
    </row>
    <row r="19" ht="45" customHeight="1">
      <c r="A19" s="69"/>
      <c r="B19" s="3" t="s">
        <v>47</v>
      </c>
      <c r="E19" s="2" t="s">
        <v>83</v>
      </c>
      <c r="F19" s="6" t="s">
        <v>84</v>
      </c>
      <c r="G19" s="5" t="s">
        <v>85</v>
      </c>
      <c r="H19" s="2" t="s">
        <v>51</v>
      </c>
      <c r="I19" s="3" t="s">
        <v>119</v>
      </c>
      <c r="J19" s="7">
        <v>1</v>
      </c>
      <c r="K19" s="70" t="s">
        <v>53</v>
      </c>
      <c r="L19" s="9">
        <v>1</v>
      </c>
      <c r="M19" s="3">
        <v>15</v>
      </c>
      <c r="N19" s="6">
        <v>1938</v>
      </c>
      <c r="P19" s="71"/>
      <c r="R19" s="6">
        <v>1930</v>
      </c>
      <c r="S19" s="3" t="s">
        <v>54</v>
      </c>
      <c r="T19" s="72"/>
      <c r="U19" s="73"/>
      <c r="W19" s="2" t="s">
        <v>120</v>
      </c>
      <c r="X19" s="10" t="s">
        <v>56</v>
      </c>
      <c r="Y19" s="10" t="s">
        <v>57</v>
      </c>
      <c r="Z19" s="75" t="s">
        <v>58</v>
      </c>
      <c r="AA19" s="76"/>
      <c r="AB19" s="77">
        <v>13990</v>
      </c>
      <c r="AC19" s="77">
        <v>13990</v>
      </c>
      <c r="AD19" s="10"/>
      <c r="AG19" s="7">
        <v>1938</v>
      </c>
      <c r="AH19" s="7">
        <v>1930</v>
      </c>
      <c r="AI19" s="7"/>
      <c r="AJ19" s="73"/>
      <c r="AK19" s="7"/>
      <c r="AL19" s="16" t="s">
        <v>121</v>
      </c>
      <c r="AM19" s="2" t="s">
        <v>59</v>
      </c>
      <c r="AO19" s="6" t="s">
        <v>59</v>
      </c>
      <c r="AW19" s="6">
        <f t="shared" ca="1" si="1"/>
        <v>87</v>
      </c>
    </row>
    <row r="20" ht="45" customHeight="1">
      <c r="A20" s="69"/>
      <c r="B20" s="3" t="s">
        <v>47</v>
      </c>
      <c r="E20" s="2" t="s">
        <v>83</v>
      </c>
      <c r="F20" s="6" t="s">
        <v>84</v>
      </c>
      <c r="G20" s="5" t="s">
        <v>85</v>
      </c>
      <c r="H20" s="2" t="s">
        <v>51</v>
      </c>
      <c r="I20" s="3" t="s">
        <v>122</v>
      </c>
      <c r="J20" s="7">
        <v>1</v>
      </c>
      <c r="K20" s="70" t="s">
        <v>53</v>
      </c>
      <c r="L20" s="9">
        <v>0</v>
      </c>
      <c r="M20" s="3">
        <v>16</v>
      </c>
      <c r="N20" s="6">
        <v>1938</v>
      </c>
      <c r="P20" s="71"/>
      <c r="R20" s="6">
        <v>1930</v>
      </c>
      <c r="S20" s="3" t="s">
        <v>54</v>
      </c>
      <c r="T20" s="72"/>
      <c r="U20" s="73"/>
      <c r="W20" s="2" t="s">
        <v>123</v>
      </c>
      <c r="X20" s="10" t="s">
        <v>56</v>
      </c>
      <c r="Y20" s="10" t="s">
        <v>57</v>
      </c>
      <c r="Z20" s="75" t="s">
        <v>58</v>
      </c>
      <c r="AA20" s="76"/>
      <c r="AB20" s="77">
        <v>14076</v>
      </c>
      <c r="AC20" s="77">
        <v>14076</v>
      </c>
      <c r="AD20" s="10"/>
      <c r="AG20" s="7">
        <v>1938</v>
      </c>
      <c r="AH20" s="7">
        <v>1930</v>
      </c>
      <c r="AI20" s="7"/>
      <c r="AJ20" s="73"/>
      <c r="AK20" s="7"/>
      <c r="AL20" s="16"/>
      <c r="AM20" s="2" t="s">
        <v>82</v>
      </c>
      <c r="AO20" s="6" t="s">
        <v>100</v>
      </c>
      <c r="AP20" s="6" t="s">
        <v>73</v>
      </c>
      <c r="AQ20" s="5" t="s">
        <v>73</v>
      </c>
      <c r="AR20" s="2" t="s">
        <v>73</v>
      </c>
      <c r="AT20" s="6">
        <v>2013</v>
      </c>
      <c r="AU20" s="16" t="s">
        <v>101</v>
      </c>
      <c r="AW20" s="6">
        <f t="shared" ca="1" si="1"/>
        <v>87</v>
      </c>
    </row>
    <row r="21" ht="45" customHeight="1">
      <c r="A21" s="69"/>
      <c r="B21" s="3" t="s">
        <v>47</v>
      </c>
      <c r="E21" s="2" t="s">
        <v>83</v>
      </c>
      <c r="F21" s="6" t="s">
        <v>84</v>
      </c>
      <c r="G21" s="5" t="s">
        <v>85</v>
      </c>
      <c r="H21" s="2" t="s">
        <v>51</v>
      </c>
      <c r="I21" s="3" t="s">
        <v>124</v>
      </c>
      <c r="J21" s="7">
        <v>1</v>
      </c>
      <c r="K21" s="70" t="s">
        <v>53</v>
      </c>
      <c r="L21" s="9">
        <v>1</v>
      </c>
      <c r="M21" s="3">
        <v>16</v>
      </c>
      <c r="N21" s="6">
        <v>1938</v>
      </c>
      <c r="P21" s="71"/>
      <c r="R21" s="6">
        <v>1930</v>
      </c>
      <c r="S21" s="3" t="s">
        <v>54</v>
      </c>
      <c r="T21" s="72"/>
      <c r="U21" s="73"/>
      <c r="W21" s="2" t="s">
        <v>125</v>
      </c>
      <c r="X21" s="10" t="s">
        <v>56</v>
      </c>
      <c r="Y21" s="10" t="s">
        <v>57</v>
      </c>
      <c r="Z21" s="75"/>
      <c r="AA21" s="76"/>
      <c r="AB21" s="77">
        <v>14076</v>
      </c>
      <c r="AC21" s="77">
        <v>14076</v>
      </c>
      <c r="AD21" s="10"/>
      <c r="AG21" s="7">
        <v>1938</v>
      </c>
      <c r="AH21" s="7">
        <v>1930</v>
      </c>
      <c r="AI21" s="7"/>
      <c r="AJ21" s="73"/>
      <c r="AK21" s="7"/>
      <c r="AL21" s="16"/>
      <c r="AM21" s="2" t="s">
        <v>82</v>
      </c>
      <c r="AT21" s="84"/>
      <c r="AW21" s="6">
        <f t="shared" ca="1" si="1"/>
        <v>87</v>
      </c>
    </row>
    <row r="22" ht="45" hidden="1" customHeight="1">
      <c r="A22" s="69"/>
      <c r="B22" s="3" t="s">
        <v>47</v>
      </c>
      <c r="E22" s="2" t="s">
        <v>83</v>
      </c>
      <c r="F22" s="6" t="s">
        <v>84</v>
      </c>
      <c r="G22" s="5" t="s">
        <v>85</v>
      </c>
      <c r="H22" s="2" t="s">
        <v>51</v>
      </c>
      <c r="I22" s="3" t="s">
        <v>126</v>
      </c>
      <c r="J22" s="7">
        <v>1</v>
      </c>
      <c r="K22" s="70" t="s">
        <v>127</v>
      </c>
      <c r="L22" s="9">
        <v>1</v>
      </c>
      <c r="M22" s="3">
        <v>17</v>
      </c>
      <c r="N22" s="6">
        <v>1938</v>
      </c>
      <c r="P22" s="71"/>
      <c r="R22" s="6">
        <v>1930</v>
      </c>
      <c r="S22" s="3" t="s">
        <v>128</v>
      </c>
      <c r="T22" s="72"/>
      <c r="U22" s="73"/>
      <c r="W22" s="2" t="s">
        <v>62</v>
      </c>
      <c r="X22" s="10" t="s">
        <v>56</v>
      </c>
      <c r="Y22" s="10" t="s">
        <v>57</v>
      </c>
      <c r="Z22" s="75" t="s">
        <v>58</v>
      </c>
      <c r="AA22" s="76"/>
      <c r="AB22" s="77" t="s">
        <v>129</v>
      </c>
      <c r="AC22" s="77" t="s">
        <v>129</v>
      </c>
      <c r="AD22" s="10"/>
      <c r="AG22" s="7">
        <v>1938</v>
      </c>
      <c r="AI22" s="7"/>
      <c r="AJ22" s="73"/>
      <c r="AK22" s="7"/>
      <c r="AL22" s="16" t="s">
        <v>130</v>
      </c>
      <c r="AT22" s="84"/>
      <c r="AW22" s="6">
        <f t="shared" ca="1" si="1"/>
        <v>87</v>
      </c>
    </row>
    <row r="23" ht="45" customHeight="1" outlineLevel="1">
      <c r="A23" s="69"/>
      <c r="B23" s="3" t="s">
        <v>47</v>
      </c>
      <c r="D23" s="5" t="s">
        <v>131</v>
      </c>
      <c r="E23" s="2" t="s">
        <v>83</v>
      </c>
      <c r="F23" s="6" t="s">
        <v>84</v>
      </c>
      <c r="G23" s="5" t="s">
        <v>85</v>
      </c>
      <c r="H23" s="2" t="s">
        <v>51</v>
      </c>
      <c r="I23" s="3" t="s">
        <v>132</v>
      </c>
      <c r="J23" s="7">
        <v>1</v>
      </c>
      <c r="K23" s="70" t="s">
        <v>53</v>
      </c>
      <c r="L23" s="9">
        <v>1</v>
      </c>
      <c r="M23" s="3">
        <v>18</v>
      </c>
      <c r="N23" s="6">
        <v>1938</v>
      </c>
      <c r="P23" s="71"/>
      <c r="R23" s="6">
        <v>1930</v>
      </c>
      <c r="S23" s="3" t="s">
        <v>54</v>
      </c>
      <c r="T23" s="72"/>
      <c r="U23" s="73"/>
      <c r="W23" s="2" t="s">
        <v>133</v>
      </c>
      <c r="X23" s="10" t="s">
        <v>56</v>
      </c>
      <c r="Y23" s="10" t="s">
        <v>57</v>
      </c>
      <c r="Z23" s="75" t="s">
        <v>58</v>
      </c>
      <c r="AA23" s="76"/>
      <c r="AB23" s="77">
        <v>13977</v>
      </c>
      <c r="AC23" s="77">
        <v>13977</v>
      </c>
      <c r="AD23" s="10"/>
      <c r="AG23" s="7">
        <v>1938</v>
      </c>
      <c r="AH23" s="7">
        <v>1930</v>
      </c>
      <c r="AI23" s="7"/>
      <c r="AJ23" s="73"/>
      <c r="AK23" s="7"/>
      <c r="AL23" s="16"/>
      <c r="AM23" s="2" t="s">
        <v>59</v>
      </c>
      <c r="AW23" s="6">
        <f t="shared" ca="1" si="1"/>
        <v>87</v>
      </c>
    </row>
    <row r="24" ht="45" customHeight="1" outlineLevel="1">
      <c r="A24" s="69"/>
      <c r="B24" s="3" t="s">
        <v>47</v>
      </c>
      <c r="E24" s="2" t="s">
        <v>83</v>
      </c>
      <c r="F24" s="6" t="s">
        <v>84</v>
      </c>
      <c r="G24" s="5" t="s">
        <v>85</v>
      </c>
      <c r="H24" s="2" t="s">
        <v>51</v>
      </c>
      <c r="I24" s="3" t="s">
        <v>134</v>
      </c>
      <c r="J24" s="7">
        <v>1</v>
      </c>
      <c r="K24" s="70" t="s">
        <v>53</v>
      </c>
      <c r="L24" s="9">
        <v>1</v>
      </c>
      <c r="M24" s="3">
        <v>19</v>
      </c>
      <c r="N24" s="6">
        <v>1938</v>
      </c>
      <c r="P24" s="71"/>
      <c r="R24" s="6">
        <v>1930</v>
      </c>
      <c r="S24" s="3" t="s">
        <v>54</v>
      </c>
      <c r="T24" s="72"/>
      <c r="U24" s="73"/>
      <c r="W24" s="2" t="s">
        <v>135</v>
      </c>
      <c r="X24" s="10" t="s">
        <v>56</v>
      </c>
      <c r="Y24" s="10" t="s">
        <v>57</v>
      </c>
      <c r="Z24" s="75" t="s">
        <v>58</v>
      </c>
      <c r="AA24" s="76"/>
      <c r="AB24" s="77">
        <v>14083</v>
      </c>
      <c r="AC24" s="77">
        <v>14083</v>
      </c>
      <c r="AD24" s="10"/>
      <c r="AG24" s="7">
        <v>1938</v>
      </c>
      <c r="AH24" s="7">
        <v>1930</v>
      </c>
      <c r="AI24" s="7"/>
      <c r="AJ24" s="73"/>
      <c r="AK24" s="7"/>
      <c r="AL24" s="16"/>
      <c r="AM24" s="2" t="s">
        <v>59</v>
      </c>
      <c r="AO24" s="6" t="s">
        <v>136</v>
      </c>
      <c r="AU24" s="16" t="s">
        <v>137</v>
      </c>
      <c r="AW24" s="6">
        <f t="shared" ca="1" si="1"/>
        <v>87</v>
      </c>
    </row>
    <row r="25" ht="45" customHeight="1" outlineLevel="1">
      <c r="A25" s="69"/>
      <c r="B25" s="3" t="s">
        <v>47</v>
      </c>
      <c r="E25" s="2" t="s">
        <v>83</v>
      </c>
      <c r="F25" s="6" t="s">
        <v>84</v>
      </c>
      <c r="G25" s="5" t="s">
        <v>85</v>
      </c>
      <c r="H25" s="2" t="s">
        <v>51</v>
      </c>
      <c r="I25" s="3" t="s">
        <v>138</v>
      </c>
      <c r="J25" s="7">
        <v>1</v>
      </c>
      <c r="K25" s="70" t="s">
        <v>53</v>
      </c>
      <c r="L25" s="9">
        <v>1</v>
      </c>
      <c r="M25" s="3">
        <v>20</v>
      </c>
      <c r="N25" s="6">
        <v>1938</v>
      </c>
      <c r="P25" s="71"/>
      <c r="R25" s="6">
        <v>1930</v>
      </c>
      <c r="S25" s="3" t="s">
        <v>54</v>
      </c>
      <c r="T25" s="72"/>
      <c r="U25" s="73"/>
      <c r="W25" s="2" t="s">
        <v>139</v>
      </c>
      <c r="X25" s="10" t="s">
        <v>56</v>
      </c>
      <c r="Y25" s="10" t="s">
        <v>57</v>
      </c>
      <c r="Z25" s="75" t="s">
        <v>58</v>
      </c>
      <c r="AA25" s="76"/>
      <c r="AB25" s="77">
        <v>14076</v>
      </c>
      <c r="AC25" s="77">
        <v>14076</v>
      </c>
      <c r="AD25" s="10"/>
      <c r="AG25" s="7">
        <v>1938</v>
      </c>
      <c r="AH25" s="7">
        <v>1930</v>
      </c>
      <c r="AI25" s="7"/>
      <c r="AJ25" s="73"/>
      <c r="AK25" s="7"/>
      <c r="AL25" s="16" t="s">
        <v>121</v>
      </c>
      <c r="AM25" s="2" t="s">
        <v>59</v>
      </c>
      <c r="AO25" s="6" t="s">
        <v>59</v>
      </c>
      <c r="AW25" s="6">
        <f t="shared" ca="1" si="1"/>
        <v>87</v>
      </c>
    </row>
    <row r="26" ht="45" customHeight="1" outlineLevel="1">
      <c r="A26" s="69"/>
      <c r="B26" s="3" t="s">
        <v>47</v>
      </c>
      <c r="E26" s="2" t="s">
        <v>48</v>
      </c>
      <c r="F26" s="6" t="s">
        <v>140</v>
      </c>
      <c r="G26" s="5" t="s">
        <v>141</v>
      </c>
      <c r="H26" s="2" t="s">
        <v>51</v>
      </c>
      <c r="I26" s="3" t="s">
        <v>142</v>
      </c>
      <c r="J26" s="7">
        <v>1</v>
      </c>
      <c r="K26" s="70" t="s">
        <v>53</v>
      </c>
      <c r="L26" s="9">
        <v>1</v>
      </c>
      <c r="M26" s="3">
        <v>21</v>
      </c>
      <c r="N26" s="6">
        <v>1938</v>
      </c>
      <c r="P26" s="71"/>
      <c r="R26" s="6">
        <v>1930</v>
      </c>
      <c r="S26" s="3" t="s">
        <v>54</v>
      </c>
      <c r="T26" s="72"/>
      <c r="U26" s="73"/>
      <c r="W26" s="2" t="s">
        <v>143</v>
      </c>
      <c r="X26" s="10" t="s">
        <v>56</v>
      </c>
      <c r="Y26" s="10" t="s">
        <v>57</v>
      </c>
      <c r="Z26" s="75" t="s">
        <v>58</v>
      </c>
      <c r="AA26" s="76"/>
      <c r="AB26" s="77"/>
      <c r="AC26" s="77">
        <v>13971</v>
      </c>
      <c r="AD26" s="10"/>
      <c r="AG26" s="7">
        <v>1938</v>
      </c>
      <c r="AH26" s="7">
        <v>1930</v>
      </c>
      <c r="AI26" s="7"/>
      <c r="AJ26" s="73"/>
      <c r="AK26" s="7"/>
      <c r="AL26" s="16" t="s">
        <v>144</v>
      </c>
      <c r="AM26" s="2" t="s">
        <v>59</v>
      </c>
      <c r="AU26" s="16" t="s">
        <v>145</v>
      </c>
      <c r="AW26" s="6">
        <f t="shared" ca="1" si="1"/>
        <v>87</v>
      </c>
    </row>
    <row r="27" ht="45" customHeight="1" outlineLevel="1">
      <c r="A27" s="69"/>
      <c r="B27" s="3" t="s">
        <v>47</v>
      </c>
      <c r="E27" s="2" t="s">
        <v>48</v>
      </c>
      <c r="F27" s="6" t="s">
        <v>140</v>
      </c>
      <c r="G27" s="5" t="s">
        <v>146</v>
      </c>
      <c r="H27" s="2" t="s">
        <v>51</v>
      </c>
      <c r="I27" s="3" t="s">
        <v>147</v>
      </c>
      <c r="J27" s="7">
        <v>1</v>
      </c>
      <c r="K27" s="70" t="s">
        <v>53</v>
      </c>
      <c r="L27" s="9">
        <v>0</v>
      </c>
      <c r="M27" s="3">
        <v>21</v>
      </c>
      <c r="N27" s="6">
        <v>1938</v>
      </c>
      <c r="P27" s="71"/>
      <c r="R27" s="6">
        <v>1930</v>
      </c>
      <c r="S27" s="3" t="s">
        <v>54</v>
      </c>
      <c r="T27" s="72"/>
      <c r="U27" s="73"/>
      <c r="W27" s="2" t="s">
        <v>148</v>
      </c>
      <c r="X27" s="10" t="s">
        <v>56</v>
      </c>
      <c r="Y27" s="10" t="s">
        <v>57</v>
      </c>
      <c r="Z27" s="75" t="s">
        <v>58</v>
      </c>
      <c r="AA27" s="76"/>
      <c r="AB27" s="77"/>
      <c r="AC27" s="77">
        <v>13971</v>
      </c>
      <c r="AD27" s="10"/>
      <c r="AG27" s="7">
        <v>1938</v>
      </c>
      <c r="AH27" s="7">
        <v>1930</v>
      </c>
      <c r="AI27" s="7"/>
      <c r="AJ27" s="73"/>
      <c r="AK27" s="7"/>
      <c r="AL27" s="16" t="s">
        <v>149</v>
      </c>
      <c r="AM27" s="2" t="s">
        <v>59</v>
      </c>
      <c r="AO27" s="6" t="s">
        <v>59</v>
      </c>
      <c r="AW27" s="6">
        <f t="shared" ca="1" si="1"/>
        <v>87</v>
      </c>
    </row>
    <row r="28" ht="45" customHeight="1" outlineLevel="1">
      <c r="A28" s="69"/>
      <c r="B28" s="3" t="s">
        <v>47</v>
      </c>
      <c r="E28" s="78" t="s">
        <v>83</v>
      </c>
      <c r="F28" s="79" t="s">
        <v>84</v>
      </c>
      <c r="G28" s="80" t="s">
        <v>85</v>
      </c>
      <c r="H28" s="78" t="s">
        <v>51</v>
      </c>
      <c r="I28" s="81" t="s">
        <v>150</v>
      </c>
      <c r="J28" s="7">
        <v>1</v>
      </c>
      <c r="K28" s="70" t="s">
        <v>53</v>
      </c>
      <c r="L28" s="9">
        <v>1</v>
      </c>
      <c r="M28" s="3">
        <v>22</v>
      </c>
      <c r="N28" s="6">
        <v>1938</v>
      </c>
      <c r="P28" s="71"/>
      <c r="R28" s="6">
        <v>1930</v>
      </c>
      <c r="S28" s="3" t="s">
        <v>54</v>
      </c>
      <c r="T28" s="72"/>
      <c r="U28" s="73"/>
      <c r="W28" s="78" t="s">
        <v>151</v>
      </c>
      <c r="X28" s="82" t="s">
        <v>56</v>
      </c>
      <c r="Y28" s="82" t="s">
        <v>57</v>
      </c>
      <c r="Z28" s="83" t="s">
        <v>58</v>
      </c>
      <c r="AA28" s="76"/>
      <c r="AB28" s="77">
        <v>14069</v>
      </c>
      <c r="AC28" s="77">
        <v>14069</v>
      </c>
      <c r="AD28" s="10"/>
      <c r="AG28" s="7">
        <v>1938</v>
      </c>
      <c r="AH28" s="7">
        <v>1930</v>
      </c>
      <c r="AI28" s="7"/>
      <c r="AJ28" s="73"/>
      <c r="AK28" s="7"/>
      <c r="AL28" s="16"/>
      <c r="AM28" s="2" t="s">
        <v>82</v>
      </c>
      <c r="AT28" s="84"/>
      <c r="AW28" s="6">
        <f t="shared" ca="1" si="1"/>
        <v>87</v>
      </c>
    </row>
    <row r="29" ht="45" customHeight="1" outlineLevel="1">
      <c r="A29" s="69"/>
      <c r="B29" s="3" t="s">
        <v>47</v>
      </c>
      <c r="E29" s="2" t="s">
        <v>83</v>
      </c>
      <c r="F29" s="6" t="s">
        <v>84</v>
      </c>
      <c r="G29" s="5" t="s">
        <v>85</v>
      </c>
      <c r="H29" s="2" t="s">
        <v>51</v>
      </c>
      <c r="I29" s="3" t="s">
        <v>152</v>
      </c>
      <c r="J29" s="7">
        <v>1</v>
      </c>
      <c r="K29" s="70" t="s">
        <v>53</v>
      </c>
      <c r="L29" s="9">
        <v>0</v>
      </c>
      <c r="M29" s="3">
        <v>22</v>
      </c>
      <c r="N29" s="6">
        <v>1938</v>
      </c>
      <c r="P29" s="71"/>
      <c r="R29" s="6">
        <v>1930</v>
      </c>
      <c r="S29" s="3" t="s">
        <v>54</v>
      </c>
      <c r="T29" s="72"/>
      <c r="U29" s="73"/>
      <c r="W29" s="2" t="s">
        <v>153</v>
      </c>
      <c r="X29" s="10" t="s">
        <v>56</v>
      </c>
      <c r="Y29" s="10" t="s">
        <v>57</v>
      </c>
      <c r="Z29" s="75" t="s">
        <v>58</v>
      </c>
      <c r="AA29" s="76"/>
      <c r="AB29" s="77">
        <v>14069</v>
      </c>
      <c r="AC29" s="77">
        <v>14069</v>
      </c>
      <c r="AD29" s="10"/>
      <c r="AG29" s="7">
        <v>1938</v>
      </c>
      <c r="AH29" s="7">
        <v>1930</v>
      </c>
      <c r="AI29" s="7"/>
      <c r="AJ29" s="73"/>
      <c r="AK29" s="7"/>
      <c r="AL29" s="16"/>
      <c r="AM29" s="2" t="s">
        <v>82</v>
      </c>
      <c r="AO29" s="6" t="s">
        <v>100</v>
      </c>
      <c r="AP29" s="6" t="s">
        <v>73</v>
      </c>
      <c r="AQ29" s="5" t="s">
        <v>73</v>
      </c>
      <c r="AR29" s="2" t="s">
        <v>73</v>
      </c>
      <c r="AT29" s="6">
        <v>1980</v>
      </c>
      <c r="AU29" s="16" t="s">
        <v>101</v>
      </c>
      <c r="AW29" s="6">
        <f t="shared" ca="1" si="1"/>
        <v>87</v>
      </c>
    </row>
    <row r="30" ht="45" customHeight="1" outlineLevel="1">
      <c r="A30" s="69"/>
      <c r="B30" s="3" t="s">
        <v>47</v>
      </c>
      <c r="E30" s="2" t="s">
        <v>83</v>
      </c>
      <c r="F30" s="6" t="s">
        <v>84</v>
      </c>
      <c r="G30" s="5" t="s">
        <v>85</v>
      </c>
      <c r="H30" s="2" t="s">
        <v>51</v>
      </c>
      <c r="I30" s="3" t="s">
        <v>154</v>
      </c>
      <c r="J30" s="7">
        <v>1</v>
      </c>
      <c r="K30" s="70" t="s">
        <v>53</v>
      </c>
      <c r="L30" s="9">
        <v>1</v>
      </c>
      <c r="M30" s="3">
        <v>23</v>
      </c>
      <c r="N30" s="6">
        <v>1938</v>
      </c>
      <c r="P30" s="71"/>
      <c r="R30" s="6">
        <v>1930</v>
      </c>
      <c r="S30" s="3" t="s">
        <v>54</v>
      </c>
      <c r="T30" s="72"/>
      <c r="U30" s="73"/>
      <c r="W30" s="2" t="s">
        <v>155</v>
      </c>
      <c r="X30" s="10" t="s">
        <v>56</v>
      </c>
      <c r="Y30" s="10" t="s">
        <v>57</v>
      </c>
      <c r="Z30" s="75" t="s">
        <v>58</v>
      </c>
      <c r="AA30" s="76"/>
      <c r="AB30" s="77">
        <v>14017</v>
      </c>
      <c r="AC30" s="77">
        <v>14017</v>
      </c>
      <c r="AD30" s="10"/>
      <c r="AE30" s="7">
        <v>1938</v>
      </c>
      <c r="AF30" s="7">
        <v>1</v>
      </c>
      <c r="AG30" s="7">
        <v>1938</v>
      </c>
      <c r="AH30" s="7">
        <v>1930</v>
      </c>
      <c r="AI30" s="7"/>
      <c r="AJ30" s="73"/>
      <c r="AK30" s="7"/>
      <c r="AL30" s="16"/>
      <c r="AM30" s="2" t="s">
        <v>59</v>
      </c>
      <c r="AO30" s="6" t="s">
        <v>100</v>
      </c>
      <c r="AP30" s="6" t="s">
        <v>104</v>
      </c>
      <c r="AQ30" s="5" t="s">
        <v>104</v>
      </c>
      <c r="AR30" s="2" t="s">
        <v>73</v>
      </c>
      <c r="AT30" s="6">
        <v>1980</v>
      </c>
      <c r="AU30" s="16" t="s">
        <v>105</v>
      </c>
      <c r="AW30" s="6">
        <f t="shared" ca="1" si="1"/>
        <v>87</v>
      </c>
    </row>
    <row r="31" ht="45" customHeight="1" outlineLevel="1">
      <c r="A31" s="69"/>
      <c r="B31" s="3" t="s">
        <v>47</v>
      </c>
      <c r="E31" s="78" t="s">
        <v>83</v>
      </c>
      <c r="F31" s="79" t="s">
        <v>84</v>
      </c>
      <c r="G31" s="80" t="s">
        <v>85</v>
      </c>
      <c r="H31" s="78" t="s">
        <v>68</v>
      </c>
      <c r="I31" s="81" t="s">
        <v>156</v>
      </c>
      <c r="J31" s="7">
        <v>1</v>
      </c>
      <c r="K31" s="70" t="s">
        <v>53</v>
      </c>
      <c r="L31" s="9">
        <v>1</v>
      </c>
      <c r="M31" s="3">
        <v>24</v>
      </c>
      <c r="N31" s="6">
        <v>1938</v>
      </c>
      <c r="P31" s="71"/>
      <c r="R31" s="6">
        <v>1930</v>
      </c>
      <c r="S31" s="3" t="s">
        <v>54</v>
      </c>
      <c r="T31" s="72"/>
      <c r="U31" s="73"/>
      <c r="W31" s="78" t="s">
        <v>157</v>
      </c>
      <c r="X31" s="82" t="s">
        <v>56</v>
      </c>
      <c r="Y31" s="82" t="s">
        <v>57</v>
      </c>
      <c r="Z31" s="83" t="s">
        <v>58</v>
      </c>
      <c r="AA31" s="76"/>
      <c r="AB31" s="77">
        <v>13990</v>
      </c>
      <c r="AC31" s="77">
        <v>13990</v>
      </c>
      <c r="AD31" s="10"/>
      <c r="AE31" s="7">
        <v>1975</v>
      </c>
      <c r="AF31" s="7">
        <v>71</v>
      </c>
      <c r="AG31" s="7">
        <v>1938</v>
      </c>
      <c r="AH31" s="7">
        <v>1930</v>
      </c>
      <c r="AI31" s="7">
        <v>1975</v>
      </c>
      <c r="AJ31" s="73"/>
      <c r="AK31" s="7"/>
      <c r="AL31" s="16" t="s">
        <v>158</v>
      </c>
      <c r="AM31" s="2" t="s">
        <v>59</v>
      </c>
      <c r="AO31" s="6" t="s">
        <v>59</v>
      </c>
      <c r="AU31" s="16" t="s">
        <v>121</v>
      </c>
      <c r="AW31" s="6">
        <f t="shared" ca="1" si="1"/>
        <v>87</v>
      </c>
    </row>
    <row r="32" ht="45" customHeight="1" outlineLevel="1">
      <c r="A32" s="69"/>
      <c r="B32" s="3" t="s">
        <v>47</v>
      </c>
      <c r="E32" s="2" t="s">
        <v>83</v>
      </c>
      <c r="F32" s="6" t="s">
        <v>84</v>
      </c>
      <c r="G32" s="5" t="s">
        <v>85</v>
      </c>
      <c r="H32" s="2" t="s">
        <v>51</v>
      </c>
      <c r="I32" s="3" t="s">
        <v>159</v>
      </c>
      <c r="J32" s="7">
        <v>1</v>
      </c>
      <c r="K32" s="70" t="s">
        <v>53</v>
      </c>
      <c r="L32" s="9">
        <v>1</v>
      </c>
      <c r="M32" s="3">
        <v>25</v>
      </c>
      <c r="N32" s="6">
        <v>1938</v>
      </c>
      <c r="P32" s="71"/>
      <c r="R32" s="6">
        <v>1930</v>
      </c>
      <c r="S32" s="3" t="s">
        <v>54</v>
      </c>
      <c r="T32" s="72"/>
      <c r="U32" s="73"/>
      <c r="W32" s="2" t="s">
        <v>160</v>
      </c>
      <c r="X32" s="10" t="s">
        <v>56</v>
      </c>
      <c r="Y32" s="10" t="s">
        <v>57</v>
      </c>
      <c r="Z32" s="75" t="s">
        <v>58</v>
      </c>
      <c r="AA32" s="76"/>
      <c r="AB32" s="77">
        <v>14005</v>
      </c>
      <c r="AC32" s="77">
        <v>14005</v>
      </c>
      <c r="AD32" s="10"/>
      <c r="AG32" s="7">
        <v>1938</v>
      </c>
      <c r="AH32" s="7">
        <v>1930</v>
      </c>
      <c r="AI32" s="7"/>
      <c r="AJ32" s="73"/>
      <c r="AK32" s="7"/>
      <c r="AL32" s="16"/>
      <c r="AM32" s="2" t="s">
        <v>59</v>
      </c>
      <c r="AW32" s="6">
        <f t="shared" ca="1" si="1"/>
        <v>87</v>
      </c>
    </row>
    <row r="33" ht="45" customHeight="1" outlineLevel="1">
      <c r="A33" s="69"/>
      <c r="B33" s="3" t="s">
        <v>47</v>
      </c>
      <c r="E33" s="2" t="s">
        <v>83</v>
      </c>
      <c r="F33" s="6" t="s">
        <v>84</v>
      </c>
      <c r="G33" s="5" t="s">
        <v>85</v>
      </c>
      <c r="H33" s="2" t="s">
        <v>57</v>
      </c>
      <c r="I33" s="3" t="s">
        <v>161</v>
      </c>
      <c r="J33" s="7">
        <v>1</v>
      </c>
      <c r="K33" s="70" t="s">
        <v>53</v>
      </c>
      <c r="L33" s="9">
        <v>1</v>
      </c>
      <c r="M33" s="3">
        <v>26</v>
      </c>
      <c r="N33" s="6">
        <v>1938</v>
      </c>
      <c r="P33" s="71"/>
      <c r="R33" s="6">
        <v>1930</v>
      </c>
      <c r="S33" s="3" t="s">
        <v>54</v>
      </c>
      <c r="T33" s="72"/>
      <c r="U33" s="73"/>
      <c r="W33" s="2" t="s">
        <v>162</v>
      </c>
      <c r="X33" s="10" t="s">
        <v>56</v>
      </c>
      <c r="Y33" s="10" t="s">
        <v>57</v>
      </c>
      <c r="Z33" s="75"/>
      <c r="AA33" s="76"/>
      <c r="AB33" s="77">
        <v>13990</v>
      </c>
      <c r="AC33" s="77">
        <v>13990</v>
      </c>
      <c r="AD33" s="10"/>
      <c r="AG33" s="7">
        <v>1938</v>
      </c>
      <c r="AH33" s="7">
        <v>1930</v>
      </c>
      <c r="AI33" s="7"/>
      <c r="AJ33" s="73"/>
      <c r="AK33" s="7"/>
      <c r="AL33" s="16"/>
      <c r="AM33" s="2" t="s">
        <v>59</v>
      </c>
      <c r="AW33" s="6">
        <f t="shared" ca="1" si="1"/>
        <v>87</v>
      </c>
    </row>
    <row r="34" ht="45" customHeight="1" outlineLevel="1">
      <c r="A34" s="69">
        <v>43221</v>
      </c>
      <c r="B34" s="3" t="s">
        <v>47</v>
      </c>
      <c r="C34" s="4" t="s">
        <v>163</v>
      </c>
      <c r="D34" s="85" t="s">
        <v>164</v>
      </c>
      <c r="E34" s="2" t="s">
        <v>83</v>
      </c>
      <c r="F34" s="6" t="s">
        <v>84</v>
      </c>
      <c r="G34" s="5" t="s">
        <v>85</v>
      </c>
      <c r="H34" s="2" t="s">
        <v>57</v>
      </c>
      <c r="I34" s="3" t="s">
        <v>165</v>
      </c>
      <c r="J34" s="7">
        <v>1</v>
      </c>
      <c r="K34" s="70" t="s">
        <v>53</v>
      </c>
      <c r="L34" s="9">
        <v>1</v>
      </c>
      <c r="M34" s="3">
        <v>27</v>
      </c>
      <c r="N34" s="6">
        <v>1938</v>
      </c>
      <c r="P34" s="71"/>
      <c r="R34" s="6">
        <v>1930</v>
      </c>
      <c r="S34" s="3" t="s">
        <v>54</v>
      </c>
      <c r="T34" s="72"/>
      <c r="U34" s="73"/>
      <c r="W34" s="2" t="s">
        <v>166</v>
      </c>
      <c r="X34" s="10" t="s">
        <v>56</v>
      </c>
      <c r="Y34" s="10" t="s">
        <v>57</v>
      </c>
      <c r="Z34" s="75"/>
      <c r="AA34" s="76"/>
      <c r="AB34" s="77">
        <v>13990</v>
      </c>
      <c r="AC34" s="77">
        <v>13990</v>
      </c>
      <c r="AD34" s="10"/>
      <c r="AG34" s="7">
        <v>1938</v>
      </c>
      <c r="AH34" s="7">
        <v>1930</v>
      </c>
      <c r="AI34" s="7"/>
      <c r="AJ34" s="73"/>
      <c r="AK34" s="7"/>
      <c r="AL34" s="16" t="s">
        <v>163</v>
      </c>
      <c r="AM34" s="2" t="s">
        <v>59</v>
      </c>
      <c r="AW34" s="6">
        <f t="shared" ca="1" si="1"/>
        <v>87</v>
      </c>
    </row>
    <row r="35" ht="45" customHeight="1" outlineLevel="1">
      <c r="A35" s="69"/>
      <c r="B35" s="3" t="s">
        <v>47</v>
      </c>
      <c r="E35" s="2" t="s">
        <v>83</v>
      </c>
      <c r="F35" s="6" t="s">
        <v>84</v>
      </c>
      <c r="G35" s="5" t="s">
        <v>85</v>
      </c>
      <c r="H35" s="2" t="s">
        <v>57</v>
      </c>
      <c r="I35" s="3" t="s">
        <v>167</v>
      </c>
      <c r="J35" s="7">
        <v>1</v>
      </c>
      <c r="K35" s="70" t="s">
        <v>53</v>
      </c>
      <c r="L35" s="9">
        <v>1</v>
      </c>
      <c r="M35" s="3">
        <v>28</v>
      </c>
      <c r="N35" s="6">
        <v>1938</v>
      </c>
      <c r="P35" s="71"/>
      <c r="R35" s="6">
        <v>1930</v>
      </c>
      <c r="S35" s="3" t="s">
        <v>54</v>
      </c>
      <c r="T35" s="72"/>
      <c r="U35" s="73"/>
      <c r="W35" s="2" t="s">
        <v>168</v>
      </c>
      <c r="X35" s="10" t="s">
        <v>56</v>
      </c>
      <c r="Y35" s="10" t="s">
        <v>57</v>
      </c>
      <c r="Z35" s="75"/>
      <c r="AA35" s="76"/>
      <c r="AB35" s="77">
        <v>13983</v>
      </c>
      <c r="AC35" s="77"/>
      <c r="AD35" s="6"/>
      <c r="AG35" s="7">
        <v>1938</v>
      </c>
      <c r="AH35" s="7">
        <v>1930</v>
      </c>
      <c r="AI35" s="7"/>
      <c r="AJ35" s="73"/>
      <c r="AK35" s="7"/>
      <c r="AL35" s="16"/>
      <c r="AM35" s="2" t="s">
        <v>59</v>
      </c>
      <c r="AU35" s="16" t="s">
        <v>169</v>
      </c>
      <c r="AW35" s="6">
        <f t="shared" ca="1" si="1"/>
        <v>87</v>
      </c>
    </row>
    <row r="36" ht="45" customHeight="1" outlineLevel="1">
      <c r="A36" s="69"/>
      <c r="B36" s="3" t="s">
        <v>47</v>
      </c>
      <c r="E36" s="2" t="s">
        <v>48</v>
      </c>
      <c r="F36" s="6" t="s">
        <v>140</v>
      </c>
      <c r="G36" s="5" t="s">
        <v>146</v>
      </c>
      <c r="H36" s="2" t="s">
        <v>57</v>
      </c>
      <c r="I36" s="3" t="s">
        <v>170</v>
      </c>
      <c r="J36" s="7">
        <v>1</v>
      </c>
      <c r="K36" s="70" t="s">
        <v>53</v>
      </c>
      <c r="L36" s="9">
        <v>1</v>
      </c>
      <c r="M36" s="3">
        <v>29</v>
      </c>
      <c r="N36" s="6">
        <v>1938</v>
      </c>
      <c r="P36" s="71"/>
      <c r="R36" s="6">
        <v>1930</v>
      </c>
      <c r="S36" s="3" t="s">
        <v>54</v>
      </c>
      <c r="T36" s="72"/>
      <c r="U36" s="73"/>
      <c r="W36" s="2" t="s">
        <v>171</v>
      </c>
      <c r="X36" s="10" t="s">
        <v>56</v>
      </c>
      <c r="Y36" s="10" t="s">
        <v>57</v>
      </c>
      <c r="Z36" s="75"/>
      <c r="AA36" s="76"/>
      <c r="AB36" s="77"/>
      <c r="AC36" s="77">
        <v>13971</v>
      </c>
      <c r="AD36" s="10"/>
      <c r="AG36" s="7">
        <v>1938</v>
      </c>
      <c r="AH36" s="7">
        <v>1930</v>
      </c>
      <c r="AI36" s="7"/>
      <c r="AJ36" s="73"/>
      <c r="AK36" s="7"/>
      <c r="AL36" s="16"/>
      <c r="AM36" s="2" t="s">
        <v>59</v>
      </c>
      <c r="AO36" s="6" t="s">
        <v>59</v>
      </c>
      <c r="AW36" s="6">
        <f t="shared" ca="1" si="1"/>
        <v>87</v>
      </c>
    </row>
    <row r="37" s="86" customFormat="1" ht="45" customHeight="1" outlineLevel="1">
      <c r="A37" s="69"/>
      <c r="B37" s="3" t="s">
        <v>47</v>
      </c>
      <c r="C37" s="4"/>
      <c r="D37" s="5"/>
      <c r="E37" s="78" t="s">
        <v>63</v>
      </c>
      <c r="F37" s="79" t="s">
        <v>172</v>
      </c>
      <c r="G37" s="80" t="s">
        <v>173</v>
      </c>
      <c r="H37" s="78" t="s">
        <v>51</v>
      </c>
      <c r="I37" s="81" t="s">
        <v>174</v>
      </c>
      <c r="J37" s="7">
        <v>1</v>
      </c>
      <c r="K37" s="70" t="s">
        <v>53</v>
      </c>
      <c r="L37" s="9">
        <v>1</v>
      </c>
      <c r="M37" s="3">
        <v>30</v>
      </c>
      <c r="N37" s="6">
        <v>1938</v>
      </c>
      <c r="O37" s="10"/>
      <c r="P37" s="71"/>
      <c r="Q37" s="10"/>
      <c r="R37" s="6">
        <v>1930</v>
      </c>
      <c r="S37" s="3" t="s">
        <v>54</v>
      </c>
      <c r="T37" s="72"/>
      <c r="U37" s="73"/>
      <c r="V37" s="12"/>
      <c r="W37" s="78" t="s">
        <v>175</v>
      </c>
      <c r="X37" s="82" t="s">
        <v>56</v>
      </c>
      <c r="Y37" s="82" t="s">
        <v>57</v>
      </c>
      <c r="Z37" s="83" t="s">
        <v>58</v>
      </c>
      <c r="AA37" s="76"/>
      <c r="AB37" s="77"/>
      <c r="AC37" s="77">
        <v>13964</v>
      </c>
      <c r="AD37" s="10"/>
      <c r="AE37" s="7"/>
      <c r="AF37" s="7"/>
      <c r="AG37" s="7">
        <v>1938</v>
      </c>
      <c r="AH37" s="7">
        <v>1930</v>
      </c>
      <c r="AI37" s="7"/>
      <c r="AJ37" s="73"/>
      <c r="AK37" s="7"/>
      <c r="AL37" s="16" t="s">
        <v>176</v>
      </c>
      <c r="AM37" s="2" t="s">
        <v>59</v>
      </c>
      <c r="AN37" s="6"/>
      <c r="AO37" s="6"/>
      <c r="AP37" s="6"/>
      <c r="AQ37" s="5"/>
      <c r="AR37" s="2"/>
      <c r="AS37" s="6"/>
      <c r="AT37" s="6"/>
      <c r="AU37" s="16"/>
      <c r="AV37" s="17"/>
      <c r="AW37" s="6">
        <f t="shared" ca="1" si="1"/>
        <v>87</v>
      </c>
    </row>
    <row r="38" s="86" customFormat="1" ht="45" customHeight="1" outlineLevel="1">
      <c r="A38" s="69"/>
      <c r="B38" s="3" t="s">
        <v>47</v>
      </c>
      <c r="C38" s="4"/>
      <c r="D38" s="5"/>
      <c r="E38" s="78" t="s">
        <v>63</v>
      </c>
      <c r="F38" s="79" t="s">
        <v>172</v>
      </c>
      <c r="G38" s="80" t="s">
        <v>173</v>
      </c>
      <c r="H38" s="78" t="s">
        <v>51</v>
      </c>
      <c r="I38" s="81" t="s">
        <v>177</v>
      </c>
      <c r="J38" s="7">
        <v>1</v>
      </c>
      <c r="K38" s="70" t="s">
        <v>53</v>
      </c>
      <c r="L38" s="9">
        <v>0</v>
      </c>
      <c r="M38" s="3">
        <v>30</v>
      </c>
      <c r="N38" s="6">
        <v>1938</v>
      </c>
      <c r="O38" s="10"/>
      <c r="P38" s="71"/>
      <c r="Q38" s="10"/>
      <c r="R38" s="6">
        <v>1930</v>
      </c>
      <c r="S38" s="3" t="s">
        <v>54</v>
      </c>
      <c r="T38" s="72"/>
      <c r="U38" s="73"/>
      <c r="V38" s="12"/>
      <c r="W38" s="78" t="s">
        <v>178</v>
      </c>
      <c r="X38" s="82" t="s">
        <v>56</v>
      </c>
      <c r="Y38" s="82" t="s">
        <v>57</v>
      </c>
      <c r="Z38" s="83" t="s">
        <v>58</v>
      </c>
      <c r="AA38" s="76"/>
      <c r="AB38" s="77"/>
      <c r="AC38" s="77">
        <v>13964</v>
      </c>
      <c r="AD38" s="10"/>
      <c r="AE38" s="7"/>
      <c r="AF38" s="7"/>
      <c r="AG38" s="7">
        <v>1938</v>
      </c>
      <c r="AH38" s="7">
        <v>1930</v>
      </c>
      <c r="AI38" s="7"/>
      <c r="AJ38" s="73"/>
      <c r="AK38" s="7"/>
      <c r="AL38" s="16" t="s">
        <v>176</v>
      </c>
      <c r="AM38" s="2" t="s">
        <v>59</v>
      </c>
      <c r="AN38" s="6"/>
      <c r="AO38" s="6"/>
      <c r="AP38" s="6"/>
      <c r="AQ38" s="5"/>
      <c r="AR38" s="2"/>
      <c r="AS38" s="6"/>
      <c r="AT38" s="6"/>
      <c r="AU38" s="16"/>
      <c r="AV38" s="17"/>
      <c r="AW38" s="6">
        <f t="shared" ca="1" si="1"/>
        <v>87</v>
      </c>
    </row>
    <row r="39" ht="45" customHeight="1" outlineLevel="1">
      <c r="A39" s="69"/>
      <c r="B39" s="3" t="s">
        <v>47</v>
      </c>
      <c r="E39" s="2" t="s">
        <v>83</v>
      </c>
      <c r="F39" s="6" t="s">
        <v>179</v>
      </c>
      <c r="G39" s="5" t="s">
        <v>180</v>
      </c>
      <c r="H39" s="2" t="s">
        <v>181</v>
      </c>
      <c r="I39" s="3" t="s">
        <v>182</v>
      </c>
      <c r="J39" s="7">
        <v>1</v>
      </c>
      <c r="K39" s="70" t="s">
        <v>53</v>
      </c>
      <c r="L39" s="9">
        <v>1</v>
      </c>
      <c r="M39" s="3">
        <v>31</v>
      </c>
      <c r="N39" s="6">
        <v>1938</v>
      </c>
      <c r="P39" s="71"/>
      <c r="R39" s="6">
        <v>1930</v>
      </c>
      <c r="S39" s="3" t="s">
        <v>54</v>
      </c>
      <c r="T39" s="72"/>
      <c r="U39" s="73"/>
      <c r="W39" s="2" t="s">
        <v>183</v>
      </c>
      <c r="X39" s="10" t="s">
        <v>56</v>
      </c>
      <c r="Y39" s="10" t="s">
        <v>181</v>
      </c>
      <c r="Z39" s="75"/>
      <c r="AA39" s="76"/>
      <c r="AB39" s="77">
        <v>14061</v>
      </c>
      <c r="AC39" s="77"/>
      <c r="AD39" s="6"/>
      <c r="AG39" s="7">
        <v>1938</v>
      </c>
      <c r="AH39" s="7">
        <v>1930</v>
      </c>
      <c r="AI39" s="7"/>
      <c r="AJ39" s="73"/>
      <c r="AK39" s="7"/>
      <c r="AL39" s="16"/>
      <c r="AM39" s="2" t="s">
        <v>82</v>
      </c>
      <c r="AW39" s="6">
        <f t="shared" ca="1" si="1"/>
        <v>87</v>
      </c>
    </row>
    <row r="40" ht="45" customHeight="1" outlineLevel="1">
      <c r="A40" s="69"/>
      <c r="B40" s="3" t="s">
        <v>47</v>
      </c>
      <c r="E40" s="2" t="s">
        <v>63</v>
      </c>
      <c r="F40" s="6" t="s">
        <v>172</v>
      </c>
      <c r="G40" s="5" t="s">
        <v>173</v>
      </c>
      <c r="H40" s="2" t="s">
        <v>57</v>
      </c>
      <c r="I40" s="3" t="s">
        <v>184</v>
      </c>
      <c r="J40" s="7">
        <v>1</v>
      </c>
      <c r="K40" s="70" t="s">
        <v>53</v>
      </c>
      <c r="L40" s="9">
        <v>1</v>
      </c>
      <c r="M40" s="3">
        <v>32</v>
      </c>
      <c r="N40" s="6">
        <v>1938</v>
      </c>
      <c r="P40" s="71"/>
      <c r="R40" s="6">
        <v>1930</v>
      </c>
      <c r="S40" s="3" t="s">
        <v>54</v>
      </c>
      <c r="T40" s="72"/>
      <c r="U40" s="73"/>
      <c r="W40" s="2" t="s">
        <v>185</v>
      </c>
      <c r="X40" s="10" t="s">
        <v>56</v>
      </c>
      <c r="Y40" s="10" t="s">
        <v>57</v>
      </c>
      <c r="Z40" s="75"/>
      <c r="AA40" s="76"/>
      <c r="AB40" s="77"/>
      <c r="AC40" s="77">
        <v>13990</v>
      </c>
      <c r="AD40" s="10"/>
      <c r="AG40" s="7">
        <v>1938</v>
      </c>
      <c r="AH40" s="7">
        <v>1930</v>
      </c>
      <c r="AI40" s="7"/>
      <c r="AJ40" s="73"/>
      <c r="AK40" s="7"/>
      <c r="AL40" s="16"/>
      <c r="AM40" s="2" t="s">
        <v>59</v>
      </c>
      <c r="AW40" s="6">
        <f t="shared" ca="1" si="1"/>
        <v>87</v>
      </c>
    </row>
    <row r="41" ht="45" customHeight="1" outlineLevel="1">
      <c r="A41" s="69"/>
      <c r="B41" s="3" t="s">
        <v>47</v>
      </c>
      <c r="E41" s="2" t="s">
        <v>83</v>
      </c>
      <c r="F41" s="6" t="s">
        <v>84</v>
      </c>
      <c r="G41" s="5" t="s">
        <v>85</v>
      </c>
      <c r="H41" s="2" t="s">
        <v>51</v>
      </c>
      <c r="I41" s="3" t="s">
        <v>186</v>
      </c>
      <c r="J41" s="7">
        <v>1</v>
      </c>
      <c r="K41" s="70" t="s">
        <v>53</v>
      </c>
      <c r="L41" s="9">
        <v>1</v>
      </c>
      <c r="M41" s="3">
        <v>33</v>
      </c>
      <c r="N41" s="6">
        <v>1938</v>
      </c>
      <c r="P41" s="71"/>
      <c r="R41" s="6">
        <v>1930</v>
      </c>
      <c r="S41" s="3" t="s">
        <v>54</v>
      </c>
      <c r="T41" s="72"/>
      <c r="U41" s="73"/>
      <c r="W41" s="2" t="s">
        <v>187</v>
      </c>
      <c r="X41" s="10" t="s">
        <v>56</v>
      </c>
      <c r="Y41" s="10" t="s">
        <v>57</v>
      </c>
      <c r="Z41" s="75" t="s">
        <v>58</v>
      </c>
      <c r="AA41" s="76"/>
      <c r="AB41" s="77">
        <v>13971</v>
      </c>
      <c r="AC41" s="77">
        <v>13971</v>
      </c>
      <c r="AD41" s="10"/>
      <c r="AG41" s="7">
        <v>1938</v>
      </c>
      <c r="AH41" s="7">
        <v>1930</v>
      </c>
      <c r="AI41" s="7"/>
      <c r="AJ41" s="73"/>
      <c r="AK41" s="7"/>
      <c r="AL41" s="16"/>
      <c r="AM41" s="2" t="s">
        <v>59</v>
      </c>
      <c r="AW41" s="6">
        <f t="shared" ca="1" si="1"/>
        <v>87</v>
      </c>
    </row>
    <row r="42" ht="45" customHeight="1" outlineLevel="1">
      <c r="A42" s="69"/>
      <c r="B42" s="3" t="s">
        <v>47</v>
      </c>
      <c r="E42" s="78" t="s">
        <v>83</v>
      </c>
      <c r="F42" s="79" t="s">
        <v>84</v>
      </c>
      <c r="G42" s="80" t="s">
        <v>85</v>
      </c>
      <c r="H42" s="78" t="s">
        <v>51</v>
      </c>
      <c r="I42" s="81" t="s">
        <v>188</v>
      </c>
      <c r="J42" s="7">
        <v>1</v>
      </c>
      <c r="K42" s="70" t="s">
        <v>53</v>
      </c>
      <c r="L42" s="9">
        <v>1</v>
      </c>
      <c r="M42" s="3">
        <v>34</v>
      </c>
      <c r="N42" s="6">
        <v>1938</v>
      </c>
      <c r="P42" s="71"/>
      <c r="R42" s="6">
        <v>1930</v>
      </c>
      <c r="S42" s="3" t="s">
        <v>54</v>
      </c>
      <c r="T42" s="72"/>
      <c r="U42" s="73"/>
      <c r="W42" s="78" t="s">
        <v>189</v>
      </c>
      <c r="X42" s="82" t="s">
        <v>56</v>
      </c>
      <c r="Y42" s="82" t="s">
        <v>57</v>
      </c>
      <c r="Z42" s="83" t="s">
        <v>58</v>
      </c>
      <c r="AA42" s="76"/>
      <c r="AB42" s="77">
        <v>14049</v>
      </c>
      <c r="AC42" s="77">
        <v>14049</v>
      </c>
      <c r="AD42" s="10"/>
      <c r="AG42" s="7">
        <v>1938</v>
      </c>
      <c r="AH42" s="7">
        <v>1930</v>
      </c>
      <c r="AI42" s="7"/>
      <c r="AJ42" s="73"/>
      <c r="AK42" s="7"/>
      <c r="AL42" s="16"/>
      <c r="AM42" s="2" t="s">
        <v>59</v>
      </c>
      <c r="AO42" s="6" t="s">
        <v>100</v>
      </c>
      <c r="AP42" s="6" t="s">
        <v>104</v>
      </c>
      <c r="AQ42" s="5" t="s">
        <v>104</v>
      </c>
      <c r="AR42" s="2" t="s">
        <v>73</v>
      </c>
      <c r="AT42" s="6">
        <v>1980</v>
      </c>
      <c r="AU42" s="16" t="s">
        <v>105</v>
      </c>
      <c r="AW42" s="6">
        <f t="shared" ca="1" si="1"/>
        <v>87</v>
      </c>
    </row>
    <row r="43" ht="45" customHeight="1" outlineLevel="1">
      <c r="A43" s="69">
        <v>43384</v>
      </c>
      <c r="B43" s="3" t="s">
        <v>190</v>
      </c>
      <c r="C43" s="4" t="s">
        <v>191</v>
      </c>
      <c r="D43" s="5" t="s">
        <v>192</v>
      </c>
      <c r="E43" s="2" t="s">
        <v>83</v>
      </c>
      <c r="F43" s="6" t="s">
        <v>84</v>
      </c>
      <c r="G43" s="5" t="s">
        <v>85</v>
      </c>
      <c r="H43" s="2" t="s">
        <v>88</v>
      </c>
      <c r="I43" s="3" t="s">
        <v>193</v>
      </c>
      <c r="J43" s="7">
        <v>1</v>
      </c>
      <c r="K43" s="70" t="s">
        <v>53</v>
      </c>
      <c r="L43" s="9">
        <v>1</v>
      </c>
      <c r="M43" s="3">
        <v>35</v>
      </c>
      <c r="N43" s="6">
        <v>1938</v>
      </c>
      <c r="O43" s="10">
        <v>13849</v>
      </c>
      <c r="P43" s="71" t="s">
        <v>194</v>
      </c>
      <c r="R43" s="6">
        <v>1930</v>
      </c>
      <c r="S43" s="3" t="s">
        <v>195</v>
      </c>
      <c r="T43" s="72"/>
      <c r="U43" s="73"/>
      <c r="W43" s="74" t="s">
        <v>196</v>
      </c>
      <c r="X43" s="10" t="s">
        <v>91</v>
      </c>
      <c r="Y43" s="10" t="s">
        <v>92</v>
      </c>
      <c r="Z43" s="75"/>
      <c r="AA43" s="76">
        <v>14005</v>
      </c>
      <c r="AB43" s="77"/>
      <c r="AC43" s="77"/>
      <c r="AD43" s="6"/>
      <c r="AG43" s="7">
        <v>1938</v>
      </c>
      <c r="AH43" s="7">
        <v>1930</v>
      </c>
      <c r="AI43" s="7"/>
      <c r="AJ43" s="73"/>
      <c r="AK43" s="7"/>
      <c r="AM43" s="2" t="s">
        <v>59</v>
      </c>
      <c r="AO43" s="6" t="s">
        <v>59</v>
      </c>
      <c r="AU43" s="16" t="s">
        <v>197</v>
      </c>
      <c r="AW43" s="6">
        <f t="shared" ca="1" si="1"/>
        <v>87</v>
      </c>
    </row>
    <row r="44" ht="45" customHeight="1" outlineLevel="1">
      <c r="A44" s="69"/>
      <c r="B44" s="3" t="s">
        <v>47</v>
      </c>
      <c r="E44" s="2" t="s">
        <v>83</v>
      </c>
      <c r="F44" s="6" t="s">
        <v>84</v>
      </c>
      <c r="G44" s="5" t="s">
        <v>85</v>
      </c>
      <c r="H44" s="2" t="s">
        <v>51</v>
      </c>
      <c r="I44" s="3" t="s">
        <v>198</v>
      </c>
      <c r="J44" s="7">
        <v>1</v>
      </c>
      <c r="K44" s="70" t="s">
        <v>53</v>
      </c>
      <c r="L44" s="9">
        <v>1</v>
      </c>
      <c r="M44" s="3">
        <v>36</v>
      </c>
      <c r="N44" s="6">
        <v>1938</v>
      </c>
      <c r="P44" s="71"/>
      <c r="R44" s="6">
        <v>1930</v>
      </c>
      <c r="S44" s="3" t="s">
        <v>54</v>
      </c>
      <c r="T44" s="72"/>
      <c r="U44" s="73"/>
      <c r="W44" s="2" t="s">
        <v>199</v>
      </c>
      <c r="X44" s="10" t="s">
        <v>56</v>
      </c>
      <c r="Y44" s="10" t="s">
        <v>57</v>
      </c>
      <c r="Z44" s="75" t="s">
        <v>58</v>
      </c>
      <c r="AA44" s="76"/>
      <c r="AB44" s="77">
        <v>14094</v>
      </c>
      <c r="AC44" s="77">
        <v>14094</v>
      </c>
      <c r="AD44" s="10"/>
      <c r="AG44" s="7">
        <v>1938</v>
      </c>
      <c r="AH44" s="7">
        <v>1930</v>
      </c>
      <c r="AI44" s="7"/>
      <c r="AJ44" s="73"/>
      <c r="AK44" s="7"/>
      <c r="AL44" s="16"/>
      <c r="AM44" s="2" t="s">
        <v>59</v>
      </c>
      <c r="AW44" s="6">
        <f t="shared" ca="1" si="1"/>
        <v>87</v>
      </c>
    </row>
    <row r="45" ht="45" hidden="1" customHeight="1" outlineLevel="1">
      <c r="A45" s="69"/>
      <c r="B45" s="3" t="s">
        <v>47</v>
      </c>
      <c r="E45" s="2" t="s">
        <v>83</v>
      </c>
      <c r="F45" s="6" t="s">
        <v>84</v>
      </c>
      <c r="G45" s="5" t="s">
        <v>85</v>
      </c>
      <c r="H45" s="2" t="s">
        <v>51</v>
      </c>
      <c r="I45" s="3" t="s">
        <v>200</v>
      </c>
      <c r="J45" s="7">
        <v>1</v>
      </c>
      <c r="K45" s="70" t="s">
        <v>127</v>
      </c>
      <c r="L45" s="9">
        <v>1</v>
      </c>
      <c r="M45" s="3">
        <v>37</v>
      </c>
      <c r="N45" s="6">
        <v>1938</v>
      </c>
      <c r="P45" s="71"/>
      <c r="R45" s="6">
        <v>1930</v>
      </c>
      <c r="S45" s="3" t="s">
        <v>128</v>
      </c>
      <c r="T45" s="72"/>
      <c r="U45" s="73"/>
      <c r="W45" s="2" t="s">
        <v>62</v>
      </c>
      <c r="X45" s="10" t="s">
        <v>56</v>
      </c>
      <c r="Y45" s="10" t="s">
        <v>57</v>
      </c>
      <c r="Z45" s="75" t="s">
        <v>58</v>
      </c>
      <c r="AA45" s="76"/>
      <c r="AB45" s="77" t="s">
        <v>129</v>
      </c>
      <c r="AC45" s="77" t="s">
        <v>129</v>
      </c>
      <c r="AD45" s="10"/>
      <c r="AG45" s="7">
        <v>1938</v>
      </c>
      <c r="AI45" s="7"/>
      <c r="AJ45" s="73"/>
      <c r="AK45" s="7"/>
      <c r="AL45" s="16" t="s">
        <v>201</v>
      </c>
      <c r="AM45" s="2" t="s">
        <v>59</v>
      </c>
      <c r="AW45" s="6">
        <f t="shared" ca="1" si="1"/>
        <v>87</v>
      </c>
    </row>
    <row r="46" ht="45" customHeight="1" outlineLevel="1">
      <c r="A46" s="69"/>
      <c r="B46" s="3" t="s">
        <v>47</v>
      </c>
      <c r="E46" s="2" t="s">
        <v>83</v>
      </c>
      <c r="F46" s="6" t="s">
        <v>84</v>
      </c>
      <c r="G46" s="5" t="s">
        <v>85</v>
      </c>
      <c r="H46" s="2" t="s">
        <v>51</v>
      </c>
      <c r="I46" s="3" t="s">
        <v>202</v>
      </c>
      <c r="J46" s="7">
        <v>1</v>
      </c>
      <c r="K46" s="70" t="s">
        <v>53</v>
      </c>
      <c r="L46" s="9">
        <v>1</v>
      </c>
      <c r="M46" s="3">
        <v>38</v>
      </c>
      <c r="N46" s="6">
        <v>1938</v>
      </c>
      <c r="P46" s="71"/>
      <c r="R46" s="6">
        <v>1930</v>
      </c>
      <c r="S46" s="3" t="s">
        <v>54</v>
      </c>
      <c r="T46" s="72"/>
      <c r="U46" s="73"/>
      <c r="W46" s="2" t="s">
        <v>203</v>
      </c>
      <c r="X46" s="10" t="s">
        <v>56</v>
      </c>
      <c r="Y46" s="10" t="s">
        <v>57</v>
      </c>
      <c r="Z46" s="75" t="s">
        <v>58</v>
      </c>
      <c r="AA46" s="76"/>
      <c r="AB46" s="77">
        <v>14098</v>
      </c>
      <c r="AC46" s="77">
        <v>14098</v>
      </c>
      <c r="AD46" s="10"/>
      <c r="AG46" s="7">
        <v>1938</v>
      </c>
      <c r="AH46" s="7">
        <v>1930</v>
      </c>
      <c r="AI46" s="7"/>
      <c r="AJ46" s="73"/>
      <c r="AK46" s="7"/>
      <c r="AL46" s="16"/>
      <c r="AM46" s="2" t="s">
        <v>59</v>
      </c>
      <c r="AO46" s="6" t="s">
        <v>100</v>
      </c>
      <c r="AP46" s="6" t="s">
        <v>104</v>
      </c>
      <c r="AQ46" s="5" t="s">
        <v>104</v>
      </c>
      <c r="AR46" s="87" t="s">
        <v>73</v>
      </c>
      <c r="AS46" s="88"/>
      <c r="AT46" s="88">
        <v>1990</v>
      </c>
      <c r="AU46" s="89" t="s">
        <v>204</v>
      </c>
      <c r="AV46" s="90"/>
      <c r="AW46" s="6">
        <f t="shared" ca="1" si="1"/>
        <v>87</v>
      </c>
    </row>
    <row r="47" ht="45" customHeight="1" outlineLevel="1">
      <c r="A47" s="69"/>
      <c r="B47" s="3" t="s">
        <v>47</v>
      </c>
      <c r="D47" s="5" t="s">
        <v>205</v>
      </c>
      <c r="E47" s="2" t="s">
        <v>83</v>
      </c>
      <c r="F47" s="6" t="s">
        <v>84</v>
      </c>
      <c r="G47" s="5" t="s">
        <v>85</v>
      </c>
      <c r="H47" s="2" t="s">
        <v>51</v>
      </c>
      <c r="I47" s="3" t="s">
        <v>206</v>
      </c>
      <c r="J47" s="7">
        <v>1</v>
      </c>
      <c r="K47" s="70" t="s">
        <v>53</v>
      </c>
      <c r="L47" s="9">
        <v>1</v>
      </c>
      <c r="M47" s="3">
        <v>39</v>
      </c>
      <c r="N47" s="6">
        <v>1938</v>
      </c>
      <c r="P47" s="71"/>
      <c r="R47" s="6">
        <v>1930</v>
      </c>
      <c r="S47" s="3" t="s">
        <v>54</v>
      </c>
      <c r="T47" s="72"/>
      <c r="U47" s="73"/>
      <c r="W47" s="2" t="s">
        <v>207</v>
      </c>
      <c r="X47" s="10" t="s">
        <v>56</v>
      </c>
      <c r="Y47" s="10" t="s">
        <v>57</v>
      </c>
      <c r="Z47" s="75" t="s">
        <v>58</v>
      </c>
      <c r="AA47" s="91"/>
      <c r="AB47" s="77">
        <v>14196</v>
      </c>
      <c r="AC47" s="77" t="s">
        <v>208</v>
      </c>
      <c r="AD47" s="92"/>
      <c r="AE47" s="93"/>
      <c r="AF47" s="7">
        <v>79</v>
      </c>
      <c r="AG47" s="7">
        <v>1938</v>
      </c>
      <c r="AH47" s="7">
        <v>1930</v>
      </c>
      <c r="AI47" s="7">
        <v>2015</v>
      </c>
      <c r="AJ47" s="73"/>
      <c r="AK47" s="7"/>
      <c r="AL47" s="16" t="s">
        <v>209</v>
      </c>
      <c r="AM47" s="2" t="s">
        <v>59</v>
      </c>
      <c r="AW47" s="6">
        <f t="shared" ca="1" si="1"/>
        <v>87</v>
      </c>
    </row>
    <row r="48" ht="45" customHeight="1" outlineLevel="1">
      <c r="A48" s="69"/>
      <c r="B48" s="3" t="s">
        <v>47</v>
      </c>
      <c r="E48" s="2" t="s">
        <v>48</v>
      </c>
      <c r="F48" s="6" t="s">
        <v>140</v>
      </c>
      <c r="G48" s="5" t="s">
        <v>210</v>
      </c>
      <c r="H48" s="2" t="s">
        <v>88</v>
      </c>
      <c r="I48" s="3" t="s">
        <v>211</v>
      </c>
      <c r="J48" s="7">
        <v>1</v>
      </c>
      <c r="K48" s="70" t="s">
        <v>53</v>
      </c>
      <c r="L48" s="9">
        <v>1</v>
      </c>
      <c r="M48" s="3">
        <v>40</v>
      </c>
      <c r="N48" s="6">
        <v>1938</v>
      </c>
      <c r="P48" s="71"/>
      <c r="R48" s="6">
        <v>1930</v>
      </c>
      <c r="S48" s="3" t="s">
        <v>54</v>
      </c>
      <c r="T48" s="72"/>
      <c r="U48" s="73"/>
      <c r="W48" s="2" t="s">
        <v>212</v>
      </c>
      <c r="X48" s="10" t="s">
        <v>213</v>
      </c>
      <c r="Y48" s="10" t="s">
        <v>214</v>
      </c>
      <c r="Z48" s="75"/>
      <c r="AA48" s="76">
        <v>15015</v>
      </c>
      <c r="AB48" s="77">
        <v>15015</v>
      </c>
      <c r="AC48" s="77">
        <v>15015</v>
      </c>
      <c r="AD48" s="10"/>
      <c r="AG48" s="7">
        <v>1941</v>
      </c>
      <c r="AH48" s="7">
        <v>1940</v>
      </c>
      <c r="AI48" s="7"/>
      <c r="AJ48" s="73"/>
      <c r="AK48" s="7"/>
      <c r="AL48" s="15" t="s">
        <v>215</v>
      </c>
      <c r="AM48" s="2" t="s">
        <v>59</v>
      </c>
      <c r="AO48" s="6" t="s">
        <v>59</v>
      </c>
      <c r="AW48" s="6">
        <f t="shared" ca="1" si="1"/>
        <v>87</v>
      </c>
    </row>
    <row r="49" ht="45" customHeight="1" outlineLevel="1">
      <c r="A49" s="69"/>
      <c r="B49" s="3" t="s">
        <v>47</v>
      </c>
      <c r="C49" s="4" t="s">
        <v>216</v>
      </c>
      <c r="E49" s="2" t="s">
        <v>63</v>
      </c>
      <c r="F49" s="6" t="s">
        <v>217</v>
      </c>
      <c r="G49" s="5" t="s">
        <v>218</v>
      </c>
      <c r="H49" s="2" t="s">
        <v>181</v>
      </c>
      <c r="I49" s="3" t="s">
        <v>219</v>
      </c>
      <c r="J49" s="7">
        <v>1</v>
      </c>
      <c r="K49" s="70" t="s">
        <v>53</v>
      </c>
      <c r="L49" s="9">
        <v>1</v>
      </c>
      <c r="M49" s="3">
        <v>41</v>
      </c>
      <c r="N49" s="6">
        <v>1938</v>
      </c>
      <c r="P49" s="71"/>
      <c r="R49" s="6">
        <v>1930</v>
      </c>
      <c r="S49" s="3" t="s">
        <v>195</v>
      </c>
      <c r="T49" s="72"/>
      <c r="U49" s="73"/>
      <c r="W49" s="74" t="s">
        <v>220</v>
      </c>
      <c r="X49" s="10" t="s">
        <v>56</v>
      </c>
      <c r="Y49" s="10" t="s">
        <v>181</v>
      </c>
      <c r="Z49" s="75"/>
      <c r="AA49" s="76"/>
      <c r="AB49" s="77">
        <v>14104</v>
      </c>
      <c r="AC49" s="77"/>
      <c r="AD49" s="6"/>
      <c r="AG49" s="7">
        <v>1938</v>
      </c>
      <c r="AH49" s="7">
        <v>1930</v>
      </c>
      <c r="AI49" s="7"/>
      <c r="AJ49" s="73"/>
      <c r="AK49" s="7"/>
      <c r="AL49" s="16"/>
      <c r="AM49" s="2" t="s">
        <v>82</v>
      </c>
      <c r="AO49" s="6" t="s">
        <v>136</v>
      </c>
      <c r="AP49" s="6" t="s">
        <v>104</v>
      </c>
      <c r="AQ49" s="5" t="s">
        <v>104</v>
      </c>
      <c r="AW49" s="6">
        <f t="shared" ca="1" si="1"/>
        <v>87</v>
      </c>
    </row>
    <row r="50" ht="45" customHeight="1" outlineLevel="1">
      <c r="A50" s="69"/>
      <c r="B50" s="3" t="s">
        <v>47</v>
      </c>
      <c r="E50" s="2" t="s">
        <v>63</v>
      </c>
      <c r="F50" s="6" t="s">
        <v>217</v>
      </c>
      <c r="G50" s="5" t="s">
        <v>221</v>
      </c>
      <c r="H50" s="2" t="s">
        <v>51</v>
      </c>
      <c r="I50" s="3" t="s">
        <v>222</v>
      </c>
      <c r="J50" s="7">
        <v>1</v>
      </c>
      <c r="K50" s="70" t="s">
        <v>53</v>
      </c>
      <c r="L50" s="9">
        <v>1</v>
      </c>
      <c r="M50" s="3">
        <v>42</v>
      </c>
      <c r="N50" s="6">
        <v>1938</v>
      </c>
      <c r="P50" s="71"/>
      <c r="R50" s="6">
        <v>1930</v>
      </c>
      <c r="S50" s="3" t="s">
        <v>54</v>
      </c>
      <c r="T50" s="72"/>
      <c r="U50" s="73"/>
      <c r="W50" s="2" t="s">
        <v>223</v>
      </c>
      <c r="X50" s="10" t="s">
        <v>56</v>
      </c>
      <c r="Y50" s="10" t="s">
        <v>57</v>
      </c>
      <c r="Z50" s="75" t="s">
        <v>58</v>
      </c>
      <c r="AA50" s="76"/>
      <c r="AB50" s="77"/>
      <c r="AC50" s="77">
        <v>14005</v>
      </c>
      <c r="AD50" s="10"/>
      <c r="AG50" s="7">
        <v>1938</v>
      </c>
      <c r="AH50" s="7">
        <v>1930</v>
      </c>
      <c r="AI50" s="7"/>
      <c r="AJ50" s="73"/>
      <c r="AK50" s="7"/>
      <c r="AL50" s="16" t="s">
        <v>224</v>
      </c>
      <c r="AM50" s="2" t="s">
        <v>59</v>
      </c>
      <c r="AO50" s="6" t="s">
        <v>59</v>
      </c>
      <c r="AP50" s="6" t="s">
        <v>104</v>
      </c>
      <c r="AQ50" s="5" t="s">
        <v>104</v>
      </c>
      <c r="AW50" s="6">
        <f t="shared" ca="1" si="1"/>
        <v>87</v>
      </c>
    </row>
    <row r="51" ht="45" customHeight="1" outlineLevel="1">
      <c r="A51" s="69"/>
      <c r="B51" s="3" t="s">
        <v>47</v>
      </c>
      <c r="E51" s="2" t="s">
        <v>63</v>
      </c>
      <c r="F51" s="6" t="s">
        <v>217</v>
      </c>
      <c r="G51" s="5" t="s">
        <v>221</v>
      </c>
      <c r="H51" s="2" t="s">
        <v>51</v>
      </c>
      <c r="I51" s="94" t="s">
        <v>225</v>
      </c>
      <c r="J51" s="7">
        <v>1</v>
      </c>
      <c r="K51" s="70" t="s">
        <v>53</v>
      </c>
      <c r="L51" s="9">
        <v>1</v>
      </c>
      <c r="M51" s="3">
        <v>43</v>
      </c>
      <c r="N51" s="6">
        <v>1938</v>
      </c>
      <c r="P51" s="71"/>
      <c r="R51" s="6">
        <v>1930</v>
      </c>
      <c r="S51" s="3" t="s">
        <v>54</v>
      </c>
      <c r="T51" s="72"/>
      <c r="U51" s="73"/>
      <c r="W51" s="2" t="s">
        <v>226</v>
      </c>
      <c r="X51" s="10" t="s">
        <v>56</v>
      </c>
      <c r="Y51" s="10" t="s">
        <v>57</v>
      </c>
      <c r="Z51" s="75" t="s">
        <v>58</v>
      </c>
      <c r="AA51" s="76"/>
      <c r="AB51" s="77"/>
      <c r="AC51" s="77">
        <v>14083</v>
      </c>
      <c r="AD51" s="10"/>
      <c r="AG51" s="7">
        <v>1938</v>
      </c>
      <c r="AH51" s="7">
        <v>1930</v>
      </c>
      <c r="AI51" s="7"/>
      <c r="AJ51" s="73"/>
      <c r="AK51" s="7"/>
      <c r="AL51" s="16" t="s">
        <v>176</v>
      </c>
      <c r="AM51" s="2" t="s">
        <v>59</v>
      </c>
      <c r="AO51" s="6" t="s">
        <v>59</v>
      </c>
      <c r="AP51" s="6" t="s">
        <v>104</v>
      </c>
      <c r="AQ51" s="5" t="s">
        <v>104</v>
      </c>
      <c r="AU51" s="16" t="s">
        <v>224</v>
      </c>
      <c r="AW51" s="6">
        <f t="shared" ca="1" si="1"/>
        <v>87</v>
      </c>
    </row>
    <row r="52" ht="45" customHeight="1" outlineLevel="1">
      <c r="A52" s="69"/>
      <c r="B52" s="3" t="s">
        <v>47</v>
      </c>
      <c r="E52" s="2" t="s">
        <v>83</v>
      </c>
      <c r="F52" s="6" t="s">
        <v>84</v>
      </c>
      <c r="G52" s="5" t="s">
        <v>85</v>
      </c>
      <c r="H52" s="2" t="s">
        <v>51</v>
      </c>
      <c r="I52" s="3" t="s">
        <v>227</v>
      </c>
      <c r="J52" s="7">
        <v>1</v>
      </c>
      <c r="K52" s="70" t="s">
        <v>53</v>
      </c>
      <c r="L52" s="9">
        <v>1</v>
      </c>
      <c r="M52" s="3">
        <v>44</v>
      </c>
      <c r="N52" s="6">
        <v>1938</v>
      </c>
      <c r="P52" s="71"/>
      <c r="R52" s="6">
        <v>1930</v>
      </c>
      <c r="S52" s="3" t="s">
        <v>54</v>
      </c>
      <c r="T52" s="72"/>
      <c r="U52" s="73"/>
      <c r="W52" s="2" t="s">
        <v>228</v>
      </c>
      <c r="X52" s="10" t="s">
        <v>56</v>
      </c>
      <c r="Y52" s="10" t="s">
        <v>57</v>
      </c>
      <c r="Z52" s="75" t="s">
        <v>58</v>
      </c>
      <c r="AA52" s="76"/>
      <c r="AB52" s="77">
        <v>14087</v>
      </c>
      <c r="AC52" s="77">
        <v>14087</v>
      </c>
      <c r="AD52" s="10"/>
      <c r="AG52" s="7">
        <v>1938</v>
      </c>
      <c r="AH52" s="7">
        <v>1930</v>
      </c>
      <c r="AI52" s="7"/>
      <c r="AJ52" s="73"/>
      <c r="AK52" s="7"/>
      <c r="AL52" s="16"/>
      <c r="AM52" s="2" t="s">
        <v>59</v>
      </c>
      <c r="AW52" s="6">
        <f t="shared" ca="1" si="1"/>
        <v>87</v>
      </c>
    </row>
    <row r="53" ht="45" customHeight="1" outlineLevel="1">
      <c r="A53" s="69"/>
      <c r="B53" s="3" t="s">
        <v>47</v>
      </c>
      <c r="E53" s="2" t="s">
        <v>63</v>
      </c>
      <c r="F53" s="6" t="s">
        <v>217</v>
      </c>
      <c r="G53" s="5" t="s">
        <v>221</v>
      </c>
      <c r="H53" s="2" t="s">
        <v>51</v>
      </c>
      <c r="I53" s="3" t="s">
        <v>229</v>
      </c>
      <c r="J53" s="7">
        <v>1</v>
      </c>
      <c r="K53" s="70" t="s">
        <v>53</v>
      </c>
      <c r="L53" s="9">
        <v>1</v>
      </c>
      <c r="M53" s="3">
        <v>45</v>
      </c>
      <c r="N53" s="6">
        <v>1938</v>
      </c>
      <c r="P53" s="71"/>
      <c r="R53" s="6">
        <v>1930</v>
      </c>
      <c r="S53" s="3" t="s">
        <v>54</v>
      </c>
      <c r="T53" s="72"/>
      <c r="U53" s="73"/>
      <c r="W53" s="2" t="s">
        <v>230</v>
      </c>
      <c r="X53" s="10" t="s">
        <v>56</v>
      </c>
      <c r="Y53" s="10" t="s">
        <v>57</v>
      </c>
      <c r="Z53" s="75" t="s">
        <v>58</v>
      </c>
      <c r="AA53" s="76"/>
      <c r="AB53" s="77"/>
      <c r="AC53" s="77">
        <v>14000</v>
      </c>
      <c r="AD53" s="10"/>
      <c r="AG53" s="7">
        <v>1938</v>
      </c>
      <c r="AH53" s="7">
        <v>1930</v>
      </c>
      <c r="AI53" s="7"/>
      <c r="AJ53" s="73"/>
      <c r="AK53" s="7"/>
      <c r="AL53" s="16"/>
      <c r="AM53" s="2" t="s">
        <v>136</v>
      </c>
      <c r="AO53" s="6" t="s">
        <v>136</v>
      </c>
      <c r="AP53" s="6" t="s">
        <v>104</v>
      </c>
      <c r="AQ53" s="5" t="s">
        <v>104</v>
      </c>
      <c r="AW53" s="6">
        <f t="shared" ca="1" si="1"/>
        <v>87</v>
      </c>
    </row>
    <row r="54" ht="45" hidden="1" customHeight="1" outlineLevel="1">
      <c r="A54" s="69"/>
      <c r="B54" s="3" t="s">
        <v>47</v>
      </c>
      <c r="E54" s="2" t="s">
        <v>63</v>
      </c>
      <c r="F54" s="6" t="s">
        <v>217</v>
      </c>
      <c r="G54" s="5" t="s">
        <v>218</v>
      </c>
      <c r="H54" s="2" t="s">
        <v>181</v>
      </c>
      <c r="I54" s="3" t="s">
        <v>231</v>
      </c>
      <c r="J54" s="7">
        <v>1</v>
      </c>
      <c r="K54" s="70" t="s">
        <v>127</v>
      </c>
      <c r="L54" s="9">
        <v>1</v>
      </c>
      <c r="M54" s="3">
        <v>46</v>
      </c>
      <c r="N54" s="6">
        <v>1938</v>
      </c>
      <c r="P54" s="71"/>
      <c r="R54" s="6">
        <v>1930</v>
      </c>
      <c r="S54" s="3" t="s">
        <v>128</v>
      </c>
      <c r="T54" s="72"/>
      <c r="U54" s="73"/>
      <c r="W54" s="2" t="s">
        <v>62</v>
      </c>
      <c r="X54" s="10" t="s">
        <v>56</v>
      </c>
      <c r="Y54" s="10" t="s">
        <v>181</v>
      </c>
      <c r="Z54" s="75"/>
      <c r="AA54" s="76"/>
      <c r="AB54" s="77" t="s">
        <v>129</v>
      </c>
      <c r="AC54" s="77"/>
      <c r="AD54" s="10"/>
      <c r="AE54" s="7">
        <v>1989</v>
      </c>
      <c r="AF54" s="7">
        <v>137</v>
      </c>
      <c r="AG54" s="7">
        <v>1938</v>
      </c>
      <c r="AH54" s="7">
        <v>1930</v>
      </c>
      <c r="AI54" s="7"/>
      <c r="AJ54" s="73"/>
      <c r="AK54" s="7"/>
      <c r="AL54" s="16" t="s">
        <v>232</v>
      </c>
      <c r="AM54" s="2" t="s">
        <v>59</v>
      </c>
      <c r="AW54" s="6">
        <f t="shared" ca="1" si="1"/>
        <v>87</v>
      </c>
    </row>
    <row r="55" ht="45" hidden="1" customHeight="1" outlineLevel="1">
      <c r="A55" s="69"/>
      <c r="B55" s="3" t="s">
        <v>47</v>
      </c>
      <c r="C55" s="4" t="s">
        <v>233</v>
      </c>
      <c r="E55" s="2" t="s">
        <v>63</v>
      </c>
      <c r="F55" s="6" t="s">
        <v>217</v>
      </c>
      <c r="G55" s="5" t="s">
        <v>234</v>
      </c>
      <c r="H55" s="2" t="s">
        <v>68</v>
      </c>
      <c r="I55" s="3" t="s">
        <v>235</v>
      </c>
      <c r="J55" s="7">
        <v>1</v>
      </c>
      <c r="K55" s="70"/>
      <c r="L55" s="9">
        <v>1</v>
      </c>
      <c r="M55" s="3">
        <v>47</v>
      </c>
      <c r="N55" s="6">
        <v>1938</v>
      </c>
      <c r="P55" s="71"/>
      <c r="R55" s="6">
        <v>1930</v>
      </c>
      <c r="S55" s="3" t="s">
        <v>236</v>
      </c>
      <c r="T55" s="72"/>
      <c r="U55" s="73">
        <v>15986</v>
      </c>
      <c r="W55" s="2" t="s">
        <v>62</v>
      </c>
      <c r="X55" s="10" t="s">
        <v>56</v>
      </c>
      <c r="Y55" s="10" t="s">
        <v>68</v>
      </c>
      <c r="Z55" s="75" t="s">
        <v>237</v>
      </c>
      <c r="AA55" s="76"/>
      <c r="AB55" s="77"/>
      <c r="AC55" s="77"/>
      <c r="AD55" s="10"/>
      <c r="AI55" s="7"/>
      <c r="AJ55" s="95">
        <v>15986</v>
      </c>
      <c r="AK55" s="7">
        <v>1940</v>
      </c>
      <c r="AL55" s="16"/>
      <c r="AW55" s="6">
        <f t="shared" ca="1" si="1"/>
        <v>87</v>
      </c>
    </row>
    <row r="56" ht="45" customHeight="1" outlineLevel="1">
      <c r="A56" s="69"/>
      <c r="B56" s="3" t="s">
        <v>47</v>
      </c>
      <c r="E56" s="2" t="s">
        <v>63</v>
      </c>
      <c r="F56" s="6" t="s">
        <v>217</v>
      </c>
      <c r="G56" s="5" t="s">
        <v>218</v>
      </c>
      <c r="H56" s="2" t="s">
        <v>181</v>
      </c>
      <c r="I56" s="3" t="s">
        <v>238</v>
      </c>
      <c r="J56" s="7">
        <v>1</v>
      </c>
      <c r="K56" s="70" t="s">
        <v>53</v>
      </c>
      <c r="L56" s="9">
        <v>1</v>
      </c>
      <c r="M56" s="3">
        <v>48</v>
      </c>
      <c r="N56" s="6">
        <v>1938</v>
      </c>
      <c r="P56" s="71"/>
      <c r="R56" s="6">
        <v>1930</v>
      </c>
      <c r="S56" s="3" t="s">
        <v>54</v>
      </c>
      <c r="T56" s="72"/>
      <c r="U56" s="73"/>
      <c r="W56" s="2" t="s">
        <v>239</v>
      </c>
      <c r="X56" s="10" t="s">
        <v>56</v>
      </c>
      <c r="Y56" s="10" t="s">
        <v>181</v>
      </c>
      <c r="Z56" s="75"/>
      <c r="AA56" s="76"/>
      <c r="AB56" s="77">
        <v>14101</v>
      </c>
      <c r="AC56" s="77"/>
      <c r="AD56" s="6"/>
      <c r="AG56" s="7">
        <v>1938</v>
      </c>
      <c r="AH56" s="7">
        <v>1930</v>
      </c>
      <c r="AI56" s="7"/>
      <c r="AJ56" s="73"/>
      <c r="AK56" s="7"/>
      <c r="AL56" s="16"/>
      <c r="AM56" s="2" t="s">
        <v>82</v>
      </c>
      <c r="AW56" s="6">
        <f t="shared" ca="1" si="1"/>
        <v>87</v>
      </c>
    </row>
    <row r="57" ht="45" customHeight="1" outlineLevel="1">
      <c r="A57" s="69"/>
      <c r="B57" s="3" t="s">
        <v>47</v>
      </c>
      <c r="E57" s="2" t="s">
        <v>83</v>
      </c>
      <c r="F57" s="6" t="s">
        <v>84</v>
      </c>
      <c r="G57" s="5" t="s">
        <v>85</v>
      </c>
      <c r="H57" s="2" t="s">
        <v>51</v>
      </c>
      <c r="I57" s="3" t="s">
        <v>240</v>
      </c>
      <c r="J57" s="7">
        <v>1</v>
      </c>
      <c r="K57" s="70" t="s">
        <v>53</v>
      </c>
      <c r="L57" s="9">
        <v>1</v>
      </c>
      <c r="M57" s="3">
        <v>49</v>
      </c>
      <c r="N57" s="6">
        <v>1938</v>
      </c>
      <c r="P57" s="71"/>
      <c r="R57" s="6">
        <v>1930</v>
      </c>
      <c r="S57" s="3" t="s">
        <v>54</v>
      </c>
      <c r="T57" s="72"/>
      <c r="U57" s="73"/>
      <c r="W57" s="2" t="s">
        <v>241</v>
      </c>
      <c r="X57" s="10" t="s">
        <v>56</v>
      </c>
      <c r="Y57" s="10" t="s">
        <v>57</v>
      </c>
      <c r="Z57" s="75" t="s">
        <v>58</v>
      </c>
      <c r="AA57" s="76"/>
      <c r="AB57" s="77">
        <v>14004</v>
      </c>
      <c r="AC57" s="77">
        <v>14004</v>
      </c>
      <c r="AD57" s="10"/>
      <c r="AG57" s="7">
        <v>1938</v>
      </c>
      <c r="AH57" s="7">
        <v>1930</v>
      </c>
      <c r="AI57" s="7"/>
      <c r="AJ57" s="73"/>
      <c r="AK57" s="7"/>
      <c r="AL57" s="16"/>
      <c r="AM57" s="2" t="s">
        <v>59</v>
      </c>
      <c r="AO57" s="6" t="s">
        <v>100</v>
      </c>
      <c r="AP57" s="6" t="s">
        <v>104</v>
      </c>
      <c r="AQ57" s="5" t="s">
        <v>104</v>
      </c>
      <c r="AR57" s="2" t="s">
        <v>73</v>
      </c>
      <c r="AT57" s="6">
        <v>1980</v>
      </c>
      <c r="AU57" s="16" t="s">
        <v>242</v>
      </c>
      <c r="AW57" s="6">
        <f t="shared" ca="1" si="1"/>
        <v>87</v>
      </c>
    </row>
    <row r="58" ht="45" customHeight="1" outlineLevel="1">
      <c r="A58" s="69"/>
      <c r="B58" s="3" t="s">
        <v>47</v>
      </c>
      <c r="E58" s="78" t="s">
        <v>63</v>
      </c>
      <c r="F58" s="79" t="s">
        <v>64</v>
      </c>
      <c r="G58" s="80" t="s">
        <v>243</v>
      </c>
      <c r="H58" s="78" t="s">
        <v>51</v>
      </c>
      <c r="I58" s="81" t="s">
        <v>244</v>
      </c>
      <c r="J58" s="7">
        <v>1</v>
      </c>
      <c r="K58" s="70" t="s">
        <v>53</v>
      </c>
      <c r="L58" s="9">
        <v>1</v>
      </c>
      <c r="M58" s="3">
        <v>50</v>
      </c>
      <c r="N58" s="6">
        <v>1938</v>
      </c>
      <c r="P58" s="71"/>
      <c r="R58" s="6">
        <v>1930</v>
      </c>
      <c r="S58" s="3" t="s">
        <v>54</v>
      </c>
      <c r="T58" s="72"/>
      <c r="U58" s="73"/>
      <c r="W58" s="78" t="s">
        <v>245</v>
      </c>
      <c r="X58" s="82" t="s">
        <v>56</v>
      </c>
      <c r="Y58" s="82" t="s">
        <v>57</v>
      </c>
      <c r="Z58" s="83" t="s">
        <v>58</v>
      </c>
      <c r="AA58" s="76"/>
      <c r="AB58" s="77">
        <v>14077</v>
      </c>
      <c r="AC58" s="77">
        <v>14077</v>
      </c>
      <c r="AD58" s="10"/>
      <c r="AG58" s="7">
        <v>1938</v>
      </c>
      <c r="AH58" s="7">
        <v>1930</v>
      </c>
      <c r="AI58" s="7"/>
      <c r="AJ58" s="73"/>
      <c r="AK58" s="7"/>
      <c r="AL58" s="16"/>
      <c r="AM58" s="2" t="s">
        <v>59</v>
      </c>
      <c r="AW58" s="6">
        <f t="shared" ca="1" si="1"/>
        <v>87</v>
      </c>
    </row>
    <row r="59" ht="45" customHeight="1" outlineLevel="1">
      <c r="A59" s="69"/>
      <c r="B59" s="3" t="s">
        <v>47</v>
      </c>
      <c r="E59" s="2" t="s">
        <v>83</v>
      </c>
      <c r="F59" s="6" t="s">
        <v>84</v>
      </c>
      <c r="G59" s="5" t="s">
        <v>85</v>
      </c>
      <c r="H59" s="2" t="s">
        <v>51</v>
      </c>
      <c r="I59" s="3" t="s">
        <v>246</v>
      </c>
      <c r="J59" s="7">
        <v>1</v>
      </c>
      <c r="K59" s="70" t="s">
        <v>53</v>
      </c>
      <c r="L59" s="9">
        <v>1</v>
      </c>
      <c r="M59" s="3">
        <v>51</v>
      </c>
      <c r="N59" s="6">
        <v>1938</v>
      </c>
      <c r="P59" s="71"/>
      <c r="R59" s="6">
        <v>1930</v>
      </c>
      <c r="S59" s="3" t="s">
        <v>54</v>
      </c>
      <c r="T59" s="72"/>
      <c r="U59" s="73"/>
      <c r="W59" s="2" t="s">
        <v>247</v>
      </c>
      <c r="X59" s="10" t="s">
        <v>56</v>
      </c>
      <c r="Y59" s="10" t="s">
        <v>57</v>
      </c>
      <c r="Z59" s="75" t="s">
        <v>58</v>
      </c>
      <c r="AA59" s="76"/>
      <c r="AB59" s="77">
        <v>13984</v>
      </c>
      <c r="AC59" s="77">
        <v>13984</v>
      </c>
      <c r="AD59" s="10"/>
      <c r="AG59" s="7">
        <v>1938</v>
      </c>
      <c r="AH59" s="7">
        <v>1930</v>
      </c>
      <c r="AI59" s="7"/>
      <c r="AJ59" s="73"/>
      <c r="AK59" s="7"/>
      <c r="AL59" s="16"/>
      <c r="AM59" s="2" t="s">
        <v>59</v>
      </c>
      <c r="AU59" s="16" t="s">
        <v>248</v>
      </c>
      <c r="AW59" s="6">
        <f t="shared" ca="1" si="1"/>
        <v>87</v>
      </c>
    </row>
    <row r="60" ht="45" hidden="1" customHeight="1" outlineLevel="1">
      <c r="A60" s="69"/>
      <c r="B60" s="3" t="s">
        <v>47</v>
      </c>
      <c r="C60" s="4" t="s">
        <v>249</v>
      </c>
      <c r="E60" s="2" t="s">
        <v>83</v>
      </c>
      <c r="F60" s="6" t="s">
        <v>84</v>
      </c>
      <c r="G60" s="5" t="s">
        <v>85</v>
      </c>
      <c r="H60" s="2" t="s">
        <v>51</v>
      </c>
      <c r="I60" s="96" t="s">
        <v>250</v>
      </c>
      <c r="J60" s="7">
        <v>1</v>
      </c>
      <c r="K60" s="70"/>
      <c r="L60" s="9">
        <v>1</v>
      </c>
      <c r="M60" s="3">
        <v>52</v>
      </c>
      <c r="N60" s="6">
        <v>1938</v>
      </c>
      <c r="P60" s="71"/>
      <c r="R60" s="6">
        <v>1930</v>
      </c>
      <c r="S60" s="3" t="s">
        <v>236</v>
      </c>
      <c r="T60" s="72"/>
      <c r="U60" s="73">
        <v>38043</v>
      </c>
      <c r="W60" s="2" t="s">
        <v>62</v>
      </c>
      <c r="X60" s="10" t="s">
        <v>56</v>
      </c>
      <c r="Y60" s="10" t="s">
        <v>57</v>
      </c>
      <c r="Z60" s="75" t="s">
        <v>58</v>
      </c>
      <c r="AA60" s="76"/>
      <c r="AB60" s="77"/>
      <c r="AC60" s="77"/>
      <c r="AD60" s="10"/>
      <c r="AF60" s="7">
        <v>5</v>
      </c>
      <c r="AI60" s="7"/>
      <c r="AJ60" s="95">
        <v>38043</v>
      </c>
      <c r="AK60" s="7">
        <v>2000</v>
      </c>
      <c r="AL60" s="16" t="s">
        <v>251</v>
      </c>
      <c r="AW60" s="6">
        <f t="shared" ca="1" si="1"/>
        <v>87</v>
      </c>
    </row>
    <row r="61" ht="45" hidden="1" customHeight="1" outlineLevel="1">
      <c r="A61" s="69"/>
      <c r="B61" s="3" t="s">
        <v>47</v>
      </c>
      <c r="C61" s="97" t="s">
        <v>252</v>
      </c>
      <c r="E61" s="2" t="s">
        <v>83</v>
      </c>
      <c r="F61" s="6" t="s">
        <v>84</v>
      </c>
      <c r="G61" s="5" t="s">
        <v>85</v>
      </c>
      <c r="H61" s="2" t="s">
        <v>57</v>
      </c>
      <c r="I61" s="96" t="s">
        <v>253</v>
      </c>
      <c r="J61" s="7">
        <v>1</v>
      </c>
      <c r="K61" s="70"/>
      <c r="L61" s="9">
        <v>1</v>
      </c>
      <c r="M61" s="3">
        <v>53</v>
      </c>
      <c r="N61" s="6">
        <v>1938</v>
      </c>
      <c r="P61" s="71"/>
      <c r="R61" s="6">
        <v>1930</v>
      </c>
      <c r="S61" s="3" t="s">
        <v>236</v>
      </c>
      <c r="T61" s="72"/>
      <c r="U61" s="73">
        <v>38043</v>
      </c>
      <c r="W61" s="2" t="s">
        <v>62</v>
      </c>
      <c r="X61" s="10" t="s">
        <v>56</v>
      </c>
      <c r="Y61" s="10" t="s">
        <v>57</v>
      </c>
      <c r="Z61" s="75"/>
      <c r="AA61" s="76"/>
      <c r="AB61" s="77"/>
      <c r="AC61" s="77"/>
      <c r="AD61" s="10"/>
      <c r="AE61" s="7">
        <v>1938</v>
      </c>
      <c r="AF61" s="7">
        <v>1</v>
      </c>
      <c r="AI61" s="7"/>
      <c r="AJ61" s="95">
        <v>38043</v>
      </c>
      <c r="AK61" s="7">
        <v>2000</v>
      </c>
      <c r="AL61" s="16" t="s">
        <v>254</v>
      </c>
      <c r="AW61" s="6">
        <f t="shared" ca="1" si="1"/>
        <v>87</v>
      </c>
    </row>
    <row r="62" ht="45" customHeight="1" outlineLevel="1">
      <c r="A62" s="69">
        <v>43397</v>
      </c>
      <c r="B62" s="3" t="s">
        <v>47</v>
      </c>
      <c r="C62" s="4" t="s">
        <v>255</v>
      </c>
      <c r="D62" s="5" t="s">
        <v>256</v>
      </c>
      <c r="E62" s="78" t="s">
        <v>83</v>
      </c>
      <c r="F62" s="79" t="s">
        <v>84</v>
      </c>
      <c r="G62" s="80" t="s">
        <v>85</v>
      </c>
      <c r="H62" s="78" t="s">
        <v>257</v>
      </c>
      <c r="I62" s="81" t="s">
        <v>258</v>
      </c>
      <c r="J62" s="7">
        <v>1</v>
      </c>
      <c r="K62" s="70" t="s">
        <v>53</v>
      </c>
      <c r="L62" s="9">
        <v>1</v>
      </c>
      <c r="M62" s="3">
        <v>54</v>
      </c>
      <c r="N62" s="6">
        <v>1938</v>
      </c>
      <c r="P62" s="71"/>
      <c r="R62" s="6">
        <v>1930</v>
      </c>
      <c r="S62" s="3" t="s">
        <v>54</v>
      </c>
      <c r="T62" s="72"/>
      <c r="U62" s="73"/>
      <c r="W62" s="78" t="s">
        <v>259</v>
      </c>
      <c r="X62" s="82" t="s">
        <v>56</v>
      </c>
      <c r="Y62" s="82" t="s">
        <v>68</v>
      </c>
      <c r="Z62" s="83" t="s">
        <v>260</v>
      </c>
      <c r="AA62" s="76"/>
      <c r="AB62" s="77"/>
      <c r="AC62" s="77">
        <v>14045</v>
      </c>
      <c r="AD62" s="10"/>
      <c r="AG62" s="7">
        <v>1938</v>
      </c>
      <c r="AH62" s="7">
        <v>1930</v>
      </c>
      <c r="AI62" s="7"/>
      <c r="AJ62" s="73"/>
      <c r="AK62" s="7"/>
      <c r="AL62" s="16"/>
      <c r="AM62" s="2" t="s">
        <v>59</v>
      </c>
      <c r="AW62" s="6">
        <f t="shared" ca="1" si="1"/>
        <v>87</v>
      </c>
    </row>
    <row r="63" ht="45" customHeight="1">
      <c r="A63" s="69"/>
      <c r="B63" s="3" t="s">
        <v>47</v>
      </c>
      <c r="E63" s="2" t="s">
        <v>83</v>
      </c>
      <c r="F63" s="6" t="s">
        <v>84</v>
      </c>
      <c r="G63" s="5" t="s">
        <v>85</v>
      </c>
      <c r="H63" s="2" t="s">
        <v>57</v>
      </c>
      <c r="I63" s="3" t="s">
        <v>261</v>
      </c>
      <c r="J63" s="7">
        <v>1</v>
      </c>
      <c r="K63" s="70" t="s">
        <v>53</v>
      </c>
      <c r="L63" s="9">
        <v>1</v>
      </c>
      <c r="M63" s="3">
        <v>55</v>
      </c>
      <c r="N63" s="6">
        <v>1938</v>
      </c>
      <c r="P63" s="71"/>
      <c r="R63" s="6">
        <v>1930</v>
      </c>
      <c r="S63" s="3" t="s">
        <v>54</v>
      </c>
      <c r="T63" s="72"/>
      <c r="U63" s="73"/>
      <c r="W63" s="98" t="s">
        <v>262</v>
      </c>
      <c r="X63" s="10" t="s">
        <v>56</v>
      </c>
      <c r="Y63" s="10" t="s">
        <v>57</v>
      </c>
      <c r="Z63" s="75"/>
      <c r="AA63" s="76"/>
      <c r="AB63" s="77">
        <v>14076</v>
      </c>
      <c r="AC63" s="77">
        <v>14076</v>
      </c>
      <c r="AD63" s="10"/>
      <c r="AG63" s="7">
        <v>1938</v>
      </c>
      <c r="AH63" s="7">
        <v>1930</v>
      </c>
      <c r="AI63" s="7"/>
      <c r="AJ63" s="73"/>
      <c r="AK63" s="7"/>
      <c r="AL63" s="16" t="s">
        <v>263</v>
      </c>
      <c r="AM63" s="2" t="s">
        <v>59</v>
      </c>
      <c r="AO63" s="6" t="s">
        <v>59</v>
      </c>
      <c r="AP63" s="6" t="s">
        <v>73</v>
      </c>
      <c r="AQ63" s="5" t="s">
        <v>73</v>
      </c>
      <c r="AU63" s="16" t="s">
        <v>264</v>
      </c>
      <c r="AW63" s="6">
        <f t="shared" ca="1" si="1"/>
        <v>87</v>
      </c>
    </row>
    <row r="64" ht="45" customHeight="1">
      <c r="A64" s="69"/>
      <c r="B64" s="3" t="s">
        <v>47</v>
      </c>
      <c r="E64" s="2" t="s">
        <v>83</v>
      </c>
      <c r="F64" s="6" t="s">
        <v>84</v>
      </c>
      <c r="G64" s="5" t="s">
        <v>85</v>
      </c>
      <c r="H64" s="2" t="s">
        <v>57</v>
      </c>
      <c r="I64" s="3" t="s">
        <v>265</v>
      </c>
      <c r="J64" s="7">
        <v>1</v>
      </c>
      <c r="K64" s="70" t="s">
        <v>53</v>
      </c>
      <c r="L64" s="9">
        <v>1</v>
      </c>
      <c r="M64" s="3">
        <v>56</v>
      </c>
      <c r="N64" s="6">
        <v>1938</v>
      </c>
      <c r="P64" s="71"/>
      <c r="R64" s="6">
        <v>1930</v>
      </c>
      <c r="S64" s="3" t="s">
        <v>54</v>
      </c>
      <c r="T64" s="72"/>
      <c r="U64" s="73"/>
      <c r="W64" s="98" t="s">
        <v>266</v>
      </c>
      <c r="X64" s="10" t="s">
        <v>56</v>
      </c>
      <c r="Y64" s="10" t="s">
        <v>57</v>
      </c>
      <c r="Z64" s="75"/>
      <c r="AA64" s="76"/>
      <c r="AB64" s="77">
        <v>14102</v>
      </c>
      <c r="AC64" s="77">
        <v>14102</v>
      </c>
      <c r="AD64" s="10"/>
      <c r="AE64" s="7">
        <v>1938</v>
      </c>
      <c r="AF64" s="7">
        <v>4</v>
      </c>
      <c r="AG64" s="7">
        <v>1938</v>
      </c>
      <c r="AH64" s="7">
        <v>1930</v>
      </c>
      <c r="AI64" s="7"/>
      <c r="AJ64" s="73"/>
      <c r="AK64" s="7"/>
      <c r="AL64" s="16" t="s">
        <v>263</v>
      </c>
      <c r="AM64" s="2" t="s">
        <v>59</v>
      </c>
      <c r="AO64" s="6" t="s">
        <v>59</v>
      </c>
      <c r="AP64" s="6" t="s">
        <v>73</v>
      </c>
      <c r="AQ64" s="5" t="s">
        <v>73</v>
      </c>
      <c r="AU64" s="16" t="s">
        <v>264</v>
      </c>
      <c r="AW64" s="6">
        <f t="shared" ca="1" si="1"/>
        <v>87</v>
      </c>
    </row>
    <row r="65" ht="45" hidden="1" customHeight="1">
      <c r="A65" s="69"/>
      <c r="B65" s="3" t="s">
        <v>47</v>
      </c>
      <c r="C65" s="4" t="s">
        <v>267</v>
      </c>
      <c r="E65" s="2" t="s">
        <v>83</v>
      </c>
      <c r="F65" s="6" t="s">
        <v>84</v>
      </c>
      <c r="G65" s="5" t="s">
        <v>85</v>
      </c>
      <c r="H65" s="2" t="s">
        <v>57</v>
      </c>
      <c r="I65" s="96" t="s">
        <v>268</v>
      </c>
      <c r="J65" s="7">
        <v>1</v>
      </c>
      <c r="K65" s="70"/>
      <c r="L65" s="9">
        <v>1</v>
      </c>
      <c r="M65" s="3">
        <v>57</v>
      </c>
      <c r="N65" s="6">
        <v>1938</v>
      </c>
      <c r="P65" s="71"/>
      <c r="R65" s="6">
        <v>1930</v>
      </c>
      <c r="S65" s="3" t="s">
        <v>236</v>
      </c>
      <c r="T65" s="72"/>
      <c r="U65" s="73">
        <v>38043</v>
      </c>
      <c r="W65" s="2" t="s">
        <v>62</v>
      </c>
      <c r="X65" s="10" t="s">
        <v>56</v>
      </c>
      <c r="Y65" s="10" t="s">
        <v>57</v>
      </c>
      <c r="Z65" s="75"/>
      <c r="AA65" s="76"/>
      <c r="AB65" s="77"/>
      <c r="AC65" s="77"/>
      <c r="AD65" s="10"/>
      <c r="AI65" s="7"/>
      <c r="AJ65" s="95">
        <v>38044</v>
      </c>
      <c r="AK65" s="7">
        <v>2000</v>
      </c>
      <c r="AL65" s="16"/>
      <c r="AW65" s="6">
        <f t="shared" ca="1" si="1"/>
        <v>87</v>
      </c>
    </row>
    <row r="66" ht="45" hidden="1" customHeight="1">
      <c r="A66" s="69"/>
      <c r="B66" s="3" t="s">
        <v>47</v>
      </c>
      <c r="C66" s="4" t="s">
        <v>267</v>
      </c>
      <c r="E66" s="2" t="s">
        <v>83</v>
      </c>
      <c r="F66" s="6" t="s">
        <v>84</v>
      </c>
      <c r="G66" s="5" t="s">
        <v>85</v>
      </c>
      <c r="H66" s="2" t="s">
        <v>57</v>
      </c>
      <c r="I66" s="96" t="s">
        <v>269</v>
      </c>
      <c r="J66" s="7">
        <v>1</v>
      </c>
      <c r="K66" s="70"/>
      <c r="L66" s="9">
        <v>1</v>
      </c>
      <c r="M66" s="3">
        <v>58</v>
      </c>
      <c r="N66" s="6">
        <v>1938</v>
      </c>
      <c r="P66" s="71"/>
      <c r="R66" s="6">
        <v>1930</v>
      </c>
      <c r="S66" s="3" t="s">
        <v>236</v>
      </c>
      <c r="T66" s="72"/>
      <c r="U66" s="73">
        <v>38043</v>
      </c>
      <c r="W66" s="2" t="s">
        <v>62</v>
      </c>
      <c r="X66" s="10" t="s">
        <v>56</v>
      </c>
      <c r="Y66" s="10" t="s">
        <v>57</v>
      </c>
      <c r="Z66" s="75"/>
      <c r="AA66" s="76"/>
      <c r="AB66" s="77"/>
      <c r="AC66" s="77"/>
      <c r="AD66" s="10"/>
      <c r="AI66" s="7"/>
      <c r="AJ66" s="95">
        <v>38044</v>
      </c>
      <c r="AK66" s="7">
        <v>2000</v>
      </c>
      <c r="AL66" s="16"/>
      <c r="AW66" s="6">
        <f t="shared" ca="1" si="1"/>
        <v>87</v>
      </c>
    </row>
    <row r="67" ht="45" hidden="1" customHeight="1">
      <c r="A67" s="69"/>
      <c r="B67" s="3" t="s">
        <v>47</v>
      </c>
      <c r="C67" s="4" t="s">
        <v>267</v>
      </c>
      <c r="E67" s="2" t="s">
        <v>83</v>
      </c>
      <c r="F67" s="6" t="s">
        <v>84</v>
      </c>
      <c r="G67" s="5" t="s">
        <v>85</v>
      </c>
      <c r="H67" s="2" t="s">
        <v>57</v>
      </c>
      <c r="I67" s="96" t="s">
        <v>270</v>
      </c>
      <c r="J67" s="7">
        <v>1</v>
      </c>
      <c r="K67" s="70"/>
      <c r="L67" s="9">
        <v>1</v>
      </c>
      <c r="M67" s="3">
        <v>59</v>
      </c>
      <c r="N67" s="6">
        <v>1938</v>
      </c>
      <c r="P67" s="71"/>
      <c r="R67" s="6">
        <v>1930</v>
      </c>
      <c r="S67" s="3" t="s">
        <v>236</v>
      </c>
      <c r="T67" s="72"/>
      <c r="U67" s="73">
        <v>38043</v>
      </c>
      <c r="X67" s="10" t="s">
        <v>56</v>
      </c>
      <c r="Y67" s="10" t="s">
        <v>57</v>
      </c>
      <c r="Z67" s="75"/>
      <c r="AA67" s="76"/>
      <c r="AB67" s="77"/>
      <c r="AC67" s="77"/>
      <c r="AD67" s="10"/>
      <c r="AI67" s="7"/>
      <c r="AJ67" s="95">
        <v>38044</v>
      </c>
      <c r="AK67" s="7">
        <v>2000</v>
      </c>
      <c r="AL67" s="16"/>
      <c r="AW67" s="6">
        <f t="shared" ca="1" si="1"/>
        <v>87</v>
      </c>
    </row>
    <row r="68" ht="45" hidden="1" customHeight="1">
      <c r="A68" s="69"/>
      <c r="B68" s="3" t="s">
        <v>47</v>
      </c>
      <c r="C68" s="4" t="s">
        <v>267</v>
      </c>
      <c r="E68" s="2" t="s">
        <v>83</v>
      </c>
      <c r="F68" s="6" t="s">
        <v>84</v>
      </c>
      <c r="G68" s="5" t="s">
        <v>85</v>
      </c>
      <c r="H68" s="2" t="s">
        <v>57</v>
      </c>
      <c r="I68" s="96" t="s">
        <v>271</v>
      </c>
      <c r="J68" s="7">
        <v>1</v>
      </c>
      <c r="K68" s="70"/>
      <c r="L68" s="9">
        <v>1</v>
      </c>
      <c r="M68" s="3">
        <v>60</v>
      </c>
      <c r="N68" s="6">
        <v>1938</v>
      </c>
      <c r="P68" s="71"/>
      <c r="R68" s="6">
        <v>1930</v>
      </c>
      <c r="S68" s="3" t="s">
        <v>236</v>
      </c>
      <c r="T68" s="72"/>
      <c r="U68" s="73">
        <v>38043</v>
      </c>
      <c r="W68" s="2" t="s">
        <v>62</v>
      </c>
      <c r="X68" s="10" t="s">
        <v>56</v>
      </c>
      <c r="Y68" s="10" t="s">
        <v>57</v>
      </c>
      <c r="Z68" s="75"/>
      <c r="AA68" s="76"/>
      <c r="AB68" s="77"/>
      <c r="AC68" s="77"/>
      <c r="AD68" s="10"/>
      <c r="AI68" s="7"/>
      <c r="AJ68" s="95">
        <v>38044</v>
      </c>
      <c r="AK68" s="7">
        <v>2000</v>
      </c>
      <c r="AL68" s="16"/>
      <c r="AW68" s="6">
        <f t="shared" ca="1" si="1"/>
        <v>87</v>
      </c>
    </row>
    <row r="69" ht="45" customHeight="1">
      <c r="A69" s="69"/>
      <c r="B69" s="3" t="s">
        <v>47</v>
      </c>
      <c r="E69" s="2" t="s">
        <v>63</v>
      </c>
      <c r="F69" s="6" t="s">
        <v>217</v>
      </c>
      <c r="G69" s="5" t="s">
        <v>221</v>
      </c>
      <c r="H69" s="2" t="s">
        <v>57</v>
      </c>
      <c r="I69" s="3" t="s">
        <v>272</v>
      </c>
      <c r="J69" s="7">
        <v>1</v>
      </c>
      <c r="K69" s="70" t="s">
        <v>53</v>
      </c>
      <c r="L69" s="9">
        <v>1</v>
      </c>
      <c r="M69" s="3">
        <v>61</v>
      </c>
      <c r="N69" s="6">
        <v>1938</v>
      </c>
      <c r="P69" s="71"/>
      <c r="R69" s="6">
        <v>1930</v>
      </c>
      <c r="S69" s="3" t="s">
        <v>54</v>
      </c>
      <c r="T69" s="72"/>
      <c r="U69" s="73"/>
      <c r="W69" s="2" t="s">
        <v>273</v>
      </c>
      <c r="X69" s="10" t="s">
        <v>56</v>
      </c>
      <c r="Y69" s="10" t="s">
        <v>57</v>
      </c>
      <c r="Z69" s="75"/>
      <c r="AA69" s="76"/>
      <c r="AB69" s="77">
        <v>14052</v>
      </c>
      <c r="AC69" s="77"/>
      <c r="AD69" s="6"/>
      <c r="AG69" s="7">
        <v>1938</v>
      </c>
      <c r="AH69" s="7">
        <v>1930</v>
      </c>
      <c r="AI69" s="7"/>
      <c r="AJ69" s="73"/>
      <c r="AK69" s="7"/>
      <c r="AL69" s="16" t="s">
        <v>224</v>
      </c>
      <c r="AM69" s="2" t="s">
        <v>59</v>
      </c>
      <c r="AO69" s="6" t="s">
        <v>59</v>
      </c>
      <c r="AP69" s="6" t="s">
        <v>104</v>
      </c>
      <c r="AQ69" s="5" t="s">
        <v>104</v>
      </c>
      <c r="AW69" s="6">
        <f t="shared" ca="1" si="1"/>
        <v>87</v>
      </c>
    </row>
    <row r="70" ht="45" customHeight="1">
      <c r="A70" s="69"/>
      <c r="B70" s="3" t="s">
        <v>47</v>
      </c>
      <c r="E70" s="2" t="s">
        <v>83</v>
      </c>
      <c r="F70" s="6" t="s">
        <v>84</v>
      </c>
      <c r="G70" s="5" t="s">
        <v>85</v>
      </c>
      <c r="H70" s="2" t="s">
        <v>257</v>
      </c>
      <c r="I70" s="3" t="s">
        <v>274</v>
      </c>
      <c r="J70" s="7">
        <v>1</v>
      </c>
      <c r="K70" s="70" t="s">
        <v>53</v>
      </c>
      <c r="L70" s="9">
        <v>1</v>
      </c>
      <c r="M70" s="3">
        <v>62</v>
      </c>
      <c r="N70" s="6">
        <v>1938</v>
      </c>
      <c r="P70" s="71"/>
      <c r="R70" s="6">
        <v>1930</v>
      </c>
      <c r="S70" s="3" t="s">
        <v>54</v>
      </c>
      <c r="T70" s="72"/>
      <c r="U70" s="73"/>
      <c r="W70" s="2" t="s">
        <v>275</v>
      </c>
      <c r="X70" s="10" t="s">
        <v>56</v>
      </c>
      <c r="Y70" s="10" t="s">
        <v>68</v>
      </c>
      <c r="Z70" s="75" t="s">
        <v>260</v>
      </c>
      <c r="AA70" s="76"/>
      <c r="AB70" s="77">
        <v>14091</v>
      </c>
      <c r="AC70" s="77">
        <v>14091</v>
      </c>
      <c r="AD70" s="10"/>
      <c r="AG70" s="7">
        <v>1938</v>
      </c>
      <c r="AH70" s="7">
        <v>1930</v>
      </c>
      <c r="AI70" s="7"/>
      <c r="AJ70" s="73"/>
      <c r="AK70" s="7"/>
      <c r="AL70" s="16"/>
      <c r="AM70" s="2" t="s">
        <v>82</v>
      </c>
      <c r="AO70" s="6" t="s">
        <v>100</v>
      </c>
      <c r="AP70" s="6" t="s">
        <v>104</v>
      </c>
      <c r="AQ70" s="5" t="s">
        <v>104</v>
      </c>
      <c r="AR70" s="87" t="s">
        <v>73</v>
      </c>
      <c r="AS70" s="88"/>
      <c r="AT70" s="88">
        <v>1990</v>
      </c>
      <c r="AU70" s="89" t="s">
        <v>204</v>
      </c>
      <c r="AV70" s="90"/>
      <c r="AW70" s="6">
        <f t="shared" ca="1" si="1"/>
        <v>87</v>
      </c>
    </row>
    <row r="71" ht="45" customHeight="1">
      <c r="A71" s="69"/>
      <c r="B71" s="3" t="s">
        <v>47</v>
      </c>
      <c r="E71" s="78" t="s">
        <v>63</v>
      </c>
      <c r="F71" s="79" t="s">
        <v>217</v>
      </c>
      <c r="G71" s="80" t="s">
        <v>221</v>
      </c>
      <c r="H71" s="78" t="s">
        <v>68</v>
      </c>
      <c r="I71" s="81" t="s">
        <v>276</v>
      </c>
      <c r="J71" s="7">
        <v>1</v>
      </c>
      <c r="K71" s="70" t="s">
        <v>53</v>
      </c>
      <c r="L71" s="9">
        <v>1</v>
      </c>
      <c r="M71" s="3">
        <v>63</v>
      </c>
      <c r="N71" s="6">
        <v>1938</v>
      </c>
      <c r="P71" s="71"/>
      <c r="R71" s="6">
        <v>1930</v>
      </c>
      <c r="S71" s="3" t="s">
        <v>54</v>
      </c>
      <c r="T71" s="72"/>
      <c r="U71" s="73"/>
      <c r="W71" s="78" t="s">
        <v>277</v>
      </c>
      <c r="X71" s="82" t="s">
        <v>56</v>
      </c>
      <c r="Y71" s="82" t="s">
        <v>68</v>
      </c>
      <c r="Z71" s="83" t="s">
        <v>58</v>
      </c>
      <c r="AA71" s="76"/>
      <c r="AB71" s="77"/>
      <c r="AC71" s="77">
        <v>19283</v>
      </c>
      <c r="AD71" s="10"/>
      <c r="AG71" s="7">
        <v>1952</v>
      </c>
      <c r="AH71" s="7">
        <v>1950</v>
      </c>
      <c r="AI71" s="7"/>
      <c r="AJ71" s="73"/>
      <c r="AK71" s="7"/>
      <c r="AL71" s="16" t="s">
        <v>224</v>
      </c>
      <c r="AM71" s="2" t="s">
        <v>82</v>
      </c>
      <c r="AO71" s="6" t="s">
        <v>59</v>
      </c>
      <c r="AP71" s="6" t="s">
        <v>104</v>
      </c>
      <c r="AQ71" s="5" t="s">
        <v>104</v>
      </c>
      <c r="AW71" s="6">
        <f t="shared" ca="1" si="1"/>
        <v>87</v>
      </c>
    </row>
    <row r="72" ht="45" customHeight="1">
      <c r="A72" s="69"/>
      <c r="B72" s="3" t="s">
        <v>47</v>
      </c>
      <c r="E72" s="2" t="s">
        <v>63</v>
      </c>
      <c r="F72" s="6" t="s">
        <v>217</v>
      </c>
      <c r="G72" s="5" t="s">
        <v>221</v>
      </c>
      <c r="H72" s="2" t="s">
        <v>51</v>
      </c>
      <c r="I72" s="3" t="s">
        <v>278</v>
      </c>
      <c r="J72" s="7">
        <v>1</v>
      </c>
      <c r="K72" s="70" t="s">
        <v>53</v>
      </c>
      <c r="L72" s="9">
        <v>0</v>
      </c>
      <c r="M72" s="3">
        <v>63</v>
      </c>
      <c r="N72" s="6">
        <v>1938</v>
      </c>
      <c r="P72" s="71"/>
      <c r="R72" s="6">
        <v>1930</v>
      </c>
      <c r="S72" s="3" t="s">
        <v>54</v>
      </c>
      <c r="T72" s="72"/>
      <c r="U72" s="73"/>
      <c r="W72" s="2" t="s">
        <v>279</v>
      </c>
      <c r="X72" s="10" t="s">
        <v>56</v>
      </c>
      <c r="Y72" s="10" t="s">
        <v>57</v>
      </c>
      <c r="Z72" s="75" t="s">
        <v>58</v>
      </c>
      <c r="AA72" s="76"/>
      <c r="AB72" s="77"/>
      <c r="AC72" s="77">
        <v>20830</v>
      </c>
      <c r="AD72" s="10"/>
      <c r="AG72" s="7">
        <v>1957</v>
      </c>
      <c r="AH72" s="7">
        <v>1950</v>
      </c>
      <c r="AI72" s="7"/>
      <c r="AJ72" s="73"/>
      <c r="AK72" s="7"/>
      <c r="AL72" s="16" t="s">
        <v>224</v>
      </c>
      <c r="AM72" s="2" t="s">
        <v>59</v>
      </c>
      <c r="AO72" s="6" t="s">
        <v>59</v>
      </c>
      <c r="AP72" s="6" t="s">
        <v>104</v>
      </c>
      <c r="AQ72" s="5" t="s">
        <v>104</v>
      </c>
      <c r="AW72" s="6">
        <f t="shared" ca="1" si="1"/>
        <v>87</v>
      </c>
    </row>
    <row r="73" ht="45" hidden="1" customHeight="1">
      <c r="A73" s="69"/>
      <c r="B73" s="3" t="s">
        <v>190</v>
      </c>
      <c r="C73" s="4" t="s">
        <v>280</v>
      </c>
      <c r="D73" s="5" t="s">
        <v>281</v>
      </c>
      <c r="E73" s="2" t="s">
        <v>63</v>
      </c>
      <c r="F73" s="6" t="s">
        <v>217</v>
      </c>
      <c r="G73" s="5" t="s">
        <v>221</v>
      </c>
      <c r="H73" s="2" t="s">
        <v>51</v>
      </c>
      <c r="I73" s="3" t="s">
        <v>282</v>
      </c>
      <c r="J73" s="7">
        <v>1</v>
      </c>
      <c r="L73" s="9">
        <v>0</v>
      </c>
      <c r="M73" s="3">
        <v>63</v>
      </c>
      <c r="N73" s="6">
        <v>1938</v>
      </c>
      <c r="P73" s="71"/>
      <c r="R73" s="6">
        <v>1930</v>
      </c>
      <c r="S73" s="3" t="s">
        <v>283</v>
      </c>
      <c r="T73" s="72"/>
      <c r="U73" s="73"/>
      <c r="W73" s="74" t="s">
        <v>284</v>
      </c>
      <c r="X73" s="10"/>
      <c r="Y73" s="10"/>
      <c r="Z73" s="75"/>
      <c r="AI73" s="7"/>
      <c r="AJ73" s="73"/>
      <c r="AK73" s="7"/>
      <c r="AL73" s="5"/>
      <c r="AW73" s="6">
        <f t="shared" ref="AW73:AW98" ca="1" si="2">IF(N73&lt;&gt;0,(YEAR(TODAY())-N73),(""))</f>
        <v>87</v>
      </c>
    </row>
    <row r="74" ht="45" customHeight="1">
      <c r="A74" s="69"/>
      <c r="B74" s="3" t="s">
        <v>47</v>
      </c>
      <c r="C74" s="4" t="s">
        <v>285</v>
      </c>
      <c r="D74" s="5" t="s">
        <v>286</v>
      </c>
      <c r="E74" s="2" t="s">
        <v>83</v>
      </c>
      <c r="F74" s="6" t="s">
        <v>179</v>
      </c>
      <c r="G74" s="5" t="s">
        <v>287</v>
      </c>
      <c r="H74" s="2" t="s">
        <v>288</v>
      </c>
      <c r="I74" s="3" t="s">
        <v>289</v>
      </c>
      <c r="J74" s="7">
        <v>1</v>
      </c>
      <c r="K74" s="70" t="s">
        <v>53</v>
      </c>
      <c r="L74" s="9">
        <v>1</v>
      </c>
      <c r="M74" s="3">
        <v>64</v>
      </c>
      <c r="N74" s="6">
        <v>1938</v>
      </c>
      <c r="P74" s="71"/>
      <c r="R74" s="6">
        <v>1930</v>
      </c>
      <c r="S74" s="3" t="s">
        <v>54</v>
      </c>
      <c r="T74" s="72"/>
      <c r="U74" s="73"/>
      <c r="W74" s="2" t="s">
        <v>290</v>
      </c>
      <c r="X74" s="10" t="s">
        <v>56</v>
      </c>
      <c r="Y74" s="10" t="s">
        <v>288</v>
      </c>
      <c r="Z74" s="75"/>
      <c r="AA74" s="76"/>
      <c r="AB74" s="77"/>
      <c r="AC74" s="77">
        <v>14016</v>
      </c>
      <c r="AD74" s="10"/>
      <c r="AG74" s="7">
        <v>1938</v>
      </c>
      <c r="AH74" s="7">
        <v>1930</v>
      </c>
      <c r="AI74" s="7"/>
      <c r="AJ74" s="73"/>
      <c r="AK74" s="7"/>
      <c r="AL74" s="16"/>
      <c r="AM74" s="2" t="s">
        <v>48</v>
      </c>
      <c r="AN74" s="6" t="s">
        <v>73</v>
      </c>
      <c r="AO74" s="6" t="s">
        <v>48</v>
      </c>
      <c r="AR74" s="2" t="s">
        <v>73</v>
      </c>
      <c r="AS74" s="6" t="s">
        <v>291</v>
      </c>
      <c r="AT74" s="6">
        <v>2002</v>
      </c>
      <c r="AU74" s="16" t="s">
        <v>292</v>
      </c>
      <c r="AW74" s="6">
        <f t="shared" ca="1" si="2"/>
        <v>87</v>
      </c>
    </row>
    <row r="75" ht="45" customHeight="1">
      <c r="A75" s="69"/>
      <c r="B75" s="3" t="s">
        <v>47</v>
      </c>
      <c r="D75" s="5" t="s">
        <v>293</v>
      </c>
      <c r="E75" s="2" t="s">
        <v>83</v>
      </c>
      <c r="F75" s="6" t="s">
        <v>179</v>
      </c>
      <c r="G75" s="5" t="s">
        <v>294</v>
      </c>
      <c r="H75" s="2" t="s">
        <v>288</v>
      </c>
      <c r="I75" s="3" t="s">
        <v>295</v>
      </c>
      <c r="J75" s="7">
        <v>1</v>
      </c>
      <c r="K75" s="70" t="s">
        <v>53</v>
      </c>
      <c r="L75" s="9">
        <v>1</v>
      </c>
      <c r="M75" s="3">
        <v>65</v>
      </c>
      <c r="N75" s="6">
        <v>1938</v>
      </c>
      <c r="P75" s="71"/>
      <c r="R75" s="6">
        <v>1930</v>
      </c>
      <c r="S75" s="3" t="s">
        <v>54</v>
      </c>
      <c r="T75" s="72"/>
      <c r="U75" s="73"/>
      <c r="W75" s="2" t="s">
        <v>296</v>
      </c>
      <c r="X75" s="10" t="s">
        <v>56</v>
      </c>
      <c r="Y75" s="10" t="s">
        <v>288</v>
      </c>
      <c r="Z75" s="75"/>
      <c r="AA75" s="76"/>
      <c r="AB75" s="77"/>
      <c r="AC75" s="77">
        <v>13978</v>
      </c>
      <c r="AD75" s="10"/>
      <c r="AG75" s="7">
        <v>1938</v>
      </c>
      <c r="AH75" s="7">
        <v>1930</v>
      </c>
      <c r="AI75" s="7"/>
      <c r="AJ75" s="73"/>
      <c r="AK75" s="7"/>
      <c r="AL75" s="16"/>
      <c r="AM75" s="2" t="s">
        <v>136</v>
      </c>
      <c r="AR75" s="87"/>
      <c r="AS75" s="88"/>
      <c r="AT75" s="88"/>
      <c r="AU75" s="89" t="s">
        <v>297</v>
      </c>
      <c r="AV75" s="90"/>
      <c r="AW75" s="6">
        <f t="shared" ca="1" si="2"/>
        <v>87</v>
      </c>
    </row>
    <row r="76" ht="45" customHeight="1">
      <c r="A76" s="69"/>
      <c r="B76" s="3" t="s">
        <v>47</v>
      </c>
      <c r="E76" s="2" t="s">
        <v>83</v>
      </c>
      <c r="F76" s="6" t="s">
        <v>179</v>
      </c>
      <c r="G76" s="5" t="s">
        <v>298</v>
      </c>
      <c r="H76" s="2" t="s">
        <v>51</v>
      </c>
      <c r="I76" s="3" t="s">
        <v>299</v>
      </c>
      <c r="J76" s="7">
        <v>1</v>
      </c>
      <c r="K76" s="70" t="s">
        <v>53</v>
      </c>
      <c r="L76" s="9">
        <v>0</v>
      </c>
      <c r="M76" s="3">
        <v>66</v>
      </c>
      <c r="N76" s="6">
        <v>1938</v>
      </c>
      <c r="P76" s="71"/>
      <c r="R76" s="6">
        <v>1930</v>
      </c>
      <c r="S76" s="3" t="s">
        <v>54</v>
      </c>
      <c r="T76" s="72"/>
      <c r="U76" s="73"/>
      <c r="W76" s="2" t="s">
        <v>300</v>
      </c>
      <c r="X76" s="10" t="s">
        <v>56</v>
      </c>
      <c r="Y76" s="10" t="s">
        <v>57</v>
      </c>
      <c r="Z76" s="75" t="s">
        <v>58</v>
      </c>
      <c r="AA76" s="76"/>
      <c r="AB76" s="77"/>
      <c r="AC76" s="77">
        <v>23403</v>
      </c>
      <c r="AD76" s="10"/>
      <c r="AG76" s="7">
        <v>1964</v>
      </c>
      <c r="AH76" s="7">
        <v>1960</v>
      </c>
      <c r="AI76" s="7"/>
      <c r="AJ76" s="73"/>
      <c r="AK76" s="7"/>
      <c r="AL76" s="16"/>
      <c r="AM76" s="2" t="s">
        <v>59</v>
      </c>
      <c r="AW76" s="6">
        <f t="shared" ca="1" si="2"/>
        <v>87</v>
      </c>
    </row>
    <row r="77" ht="45" customHeight="1">
      <c r="A77" s="69"/>
      <c r="B77" s="3" t="s">
        <v>47</v>
      </c>
      <c r="D77" s="5" t="s">
        <v>293</v>
      </c>
      <c r="E77" s="2" t="s">
        <v>83</v>
      </c>
      <c r="F77" s="6" t="s">
        <v>179</v>
      </c>
      <c r="G77" s="5" t="s">
        <v>298</v>
      </c>
      <c r="H77" s="2" t="s">
        <v>288</v>
      </c>
      <c r="I77" s="3" t="s">
        <v>301</v>
      </c>
      <c r="J77" s="7">
        <v>1</v>
      </c>
      <c r="K77" s="70" t="s">
        <v>53</v>
      </c>
      <c r="L77" s="9">
        <v>1</v>
      </c>
      <c r="M77" s="3">
        <v>66</v>
      </c>
      <c r="N77" s="6">
        <v>1938</v>
      </c>
      <c r="P77" s="71"/>
      <c r="R77" s="6">
        <v>1930</v>
      </c>
      <c r="S77" s="3" t="s">
        <v>54</v>
      </c>
      <c r="T77" s="72"/>
      <c r="U77" s="73"/>
      <c r="W77" s="2" t="s">
        <v>302</v>
      </c>
      <c r="X77" s="10" t="s">
        <v>56</v>
      </c>
      <c r="Y77" s="10" t="s">
        <v>288</v>
      </c>
      <c r="Z77" s="75"/>
      <c r="AA77" s="76"/>
      <c r="AB77" s="77"/>
      <c r="AC77" s="77">
        <v>13990</v>
      </c>
      <c r="AD77" s="10"/>
      <c r="AG77" s="7">
        <v>1938</v>
      </c>
      <c r="AH77" s="7">
        <v>1930</v>
      </c>
      <c r="AI77" s="7"/>
      <c r="AJ77" s="73"/>
      <c r="AK77" s="7"/>
      <c r="AL77" s="99" t="s">
        <v>303</v>
      </c>
      <c r="AM77" s="2" t="s">
        <v>53</v>
      </c>
      <c r="AN77" s="6" t="s">
        <v>73</v>
      </c>
      <c r="AS77" s="6" t="s">
        <v>73</v>
      </c>
      <c r="AT77" s="6" t="s">
        <v>291</v>
      </c>
      <c r="AU77" s="16" t="s">
        <v>304</v>
      </c>
      <c r="AW77" s="6">
        <f t="shared" ca="1" si="2"/>
        <v>87</v>
      </c>
    </row>
    <row r="78" ht="45" customHeight="1" outlineLevel="1">
      <c r="A78" s="69"/>
      <c r="B78" s="3" t="s">
        <v>47</v>
      </c>
      <c r="E78" s="2" t="s">
        <v>83</v>
      </c>
      <c r="F78" s="6" t="s">
        <v>179</v>
      </c>
      <c r="G78" s="5" t="s">
        <v>298</v>
      </c>
      <c r="H78" s="2" t="s">
        <v>51</v>
      </c>
      <c r="I78" s="3" t="s">
        <v>305</v>
      </c>
      <c r="J78" s="7">
        <v>1</v>
      </c>
      <c r="K78" s="70" t="s">
        <v>53</v>
      </c>
      <c r="L78" s="9">
        <v>0</v>
      </c>
      <c r="M78" s="3">
        <v>66</v>
      </c>
      <c r="N78" s="6">
        <v>1938</v>
      </c>
      <c r="P78" s="71"/>
      <c r="R78" s="6">
        <v>1930</v>
      </c>
      <c r="S78" s="3" t="s">
        <v>54</v>
      </c>
      <c r="T78" s="72"/>
      <c r="U78" s="73"/>
      <c r="W78" s="2" t="s">
        <v>306</v>
      </c>
      <c r="X78" s="10" t="s">
        <v>56</v>
      </c>
      <c r="Y78" s="10" t="s">
        <v>57</v>
      </c>
      <c r="Z78" s="75" t="s">
        <v>58</v>
      </c>
      <c r="AA78" s="76"/>
      <c r="AB78" s="77"/>
      <c r="AC78" s="77">
        <v>23403</v>
      </c>
      <c r="AD78" s="10"/>
      <c r="AG78" s="7">
        <v>1964</v>
      </c>
      <c r="AH78" s="7">
        <v>1960</v>
      </c>
      <c r="AI78" s="7"/>
      <c r="AJ78" s="73"/>
      <c r="AK78" s="7"/>
      <c r="AL78" s="16"/>
      <c r="AM78" s="2" t="s">
        <v>59</v>
      </c>
      <c r="AW78" s="6">
        <f t="shared" ca="1" si="2"/>
        <v>87</v>
      </c>
    </row>
    <row r="79" ht="45" customHeight="1" outlineLevel="1">
      <c r="A79" s="69"/>
      <c r="B79" s="3" t="s">
        <v>47</v>
      </c>
      <c r="E79" s="2" t="s">
        <v>83</v>
      </c>
      <c r="F79" s="6" t="s">
        <v>179</v>
      </c>
      <c r="G79" s="5" t="s">
        <v>298</v>
      </c>
      <c r="H79" s="2" t="s">
        <v>51</v>
      </c>
      <c r="I79" s="3" t="s">
        <v>307</v>
      </c>
      <c r="J79" s="7">
        <v>1</v>
      </c>
      <c r="K79" s="70" t="s">
        <v>53</v>
      </c>
      <c r="L79" s="9">
        <v>0</v>
      </c>
      <c r="M79" s="3">
        <v>66</v>
      </c>
      <c r="N79" s="6">
        <v>1938</v>
      </c>
      <c r="P79" s="71"/>
      <c r="R79" s="6">
        <v>1930</v>
      </c>
      <c r="S79" s="3" t="s">
        <v>54</v>
      </c>
      <c r="T79" s="72"/>
      <c r="U79" s="73"/>
      <c r="W79" s="2" t="s">
        <v>308</v>
      </c>
      <c r="X79" s="10" t="s">
        <v>56</v>
      </c>
      <c r="Y79" s="10" t="s">
        <v>57</v>
      </c>
      <c r="Z79" s="75" t="s">
        <v>58</v>
      </c>
      <c r="AA79" s="76"/>
      <c r="AB79" s="77"/>
      <c r="AC79" s="77">
        <v>23403</v>
      </c>
      <c r="AD79" s="10"/>
      <c r="AG79" s="7">
        <v>1964</v>
      </c>
      <c r="AH79" s="7">
        <v>1960</v>
      </c>
      <c r="AI79" s="7"/>
      <c r="AJ79" s="73"/>
      <c r="AK79" s="7"/>
      <c r="AL79" s="16"/>
      <c r="AM79" s="2" t="s">
        <v>59</v>
      </c>
      <c r="AW79" s="6">
        <f t="shared" ca="1" si="2"/>
        <v>87</v>
      </c>
    </row>
    <row r="80" ht="45" customHeight="1" outlineLevel="1">
      <c r="A80" s="69"/>
      <c r="B80" s="3" t="s">
        <v>47</v>
      </c>
      <c r="E80" s="2" t="s">
        <v>83</v>
      </c>
      <c r="F80" s="6" t="s">
        <v>179</v>
      </c>
      <c r="G80" s="5" t="s">
        <v>298</v>
      </c>
      <c r="H80" s="2" t="s">
        <v>51</v>
      </c>
      <c r="I80" s="3" t="s">
        <v>309</v>
      </c>
      <c r="J80" s="7">
        <v>1</v>
      </c>
      <c r="K80" s="70" t="s">
        <v>53</v>
      </c>
      <c r="L80" s="9">
        <v>0</v>
      </c>
      <c r="M80" s="3">
        <v>66</v>
      </c>
      <c r="N80" s="6">
        <v>1938</v>
      </c>
      <c r="P80" s="71"/>
      <c r="R80" s="6">
        <v>1930</v>
      </c>
      <c r="S80" s="3" t="s">
        <v>54</v>
      </c>
      <c r="T80" s="72"/>
      <c r="U80" s="73"/>
      <c r="W80" s="2" t="s">
        <v>310</v>
      </c>
      <c r="X80" s="10" t="s">
        <v>56</v>
      </c>
      <c r="Y80" s="10" t="s">
        <v>57</v>
      </c>
      <c r="Z80" s="75" t="s">
        <v>58</v>
      </c>
      <c r="AA80" s="76"/>
      <c r="AB80" s="77"/>
      <c r="AC80" s="77">
        <v>23403</v>
      </c>
      <c r="AD80" s="10"/>
      <c r="AG80" s="7">
        <v>1964</v>
      </c>
      <c r="AH80" s="7">
        <v>1960</v>
      </c>
      <c r="AI80" s="7"/>
      <c r="AJ80" s="73"/>
      <c r="AK80" s="7"/>
      <c r="AL80" s="16"/>
      <c r="AM80" s="2" t="s">
        <v>59</v>
      </c>
      <c r="AW80" s="6">
        <f t="shared" ca="1" si="2"/>
        <v>87</v>
      </c>
    </row>
    <row r="81" ht="45" customHeight="1">
      <c r="A81" s="69"/>
      <c r="B81" s="3" t="s">
        <v>47</v>
      </c>
      <c r="E81" s="2" t="s">
        <v>83</v>
      </c>
      <c r="F81" s="6" t="s">
        <v>179</v>
      </c>
      <c r="G81" s="5" t="s">
        <v>298</v>
      </c>
      <c r="H81" s="2" t="s">
        <v>51</v>
      </c>
      <c r="I81" s="3" t="s">
        <v>311</v>
      </c>
      <c r="J81" s="7">
        <v>1</v>
      </c>
      <c r="K81" s="70" t="s">
        <v>53</v>
      </c>
      <c r="L81" s="9">
        <v>0</v>
      </c>
      <c r="M81" s="3">
        <v>66</v>
      </c>
      <c r="N81" s="6">
        <v>1938</v>
      </c>
      <c r="P81" s="71"/>
      <c r="R81" s="6">
        <v>1930</v>
      </c>
      <c r="S81" s="3" t="s">
        <v>54</v>
      </c>
      <c r="T81" s="72"/>
      <c r="U81" s="73"/>
      <c r="W81" s="2" t="s">
        <v>312</v>
      </c>
      <c r="X81" s="10" t="s">
        <v>56</v>
      </c>
      <c r="Y81" s="10" t="s">
        <v>57</v>
      </c>
      <c r="Z81" s="75" t="s">
        <v>58</v>
      </c>
      <c r="AA81" s="76"/>
      <c r="AB81" s="77"/>
      <c r="AC81" s="77">
        <v>23403</v>
      </c>
      <c r="AD81" s="10"/>
      <c r="AG81" s="7">
        <v>1964</v>
      </c>
      <c r="AH81" s="7">
        <v>1960</v>
      </c>
      <c r="AI81" s="7"/>
      <c r="AJ81" s="73"/>
      <c r="AK81" s="7"/>
      <c r="AL81" s="16"/>
      <c r="AM81" s="2" t="s">
        <v>59</v>
      </c>
      <c r="AW81" s="6">
        <f t="shared" ca="1" si="2"/>
        <v>87</v>
      </c>
    </row>
    <row r="82" ht="45" customHeight="1">
      <c r="A82" s="69"/>
      <c r="B82" s="3" t="s">
        <v>47</v>
      </c>
      <c r="E82" s="2" t="s">
        <v>83</v>
      </c>
      <c r="F82" s="6" t="s">
        <v>179</v>
      </c>
      <c r="G82" s="5" t="s">
        <v>313</v>
      </c>
      <c r="H82" s="2" t="s">
        <v>51</v>
      </c>
      <c r="I82" s="3" t="s">
        <v>314</v>
      </c>
      <c r="J82" s="7">
        <v>1</v>
      </c>
      <c r="K82" s="70" t="s">
        <v>53</v>
      </c>
      <c r="L82" s="9">
        <v>1</v>
      </c>
      <c r="M82" s="3">
        <v>67</v>
      </c>
      <c r="N82" s="6">
        <v>1938</v>
      </c>
      <c r="P82" s="71"/>
      <c r="R82" s="6">
        <v>1930</v>
      </c>
      <c r="S82" s="3" t="s">
        <v>54</v>
      </c>
      <c r="T82" s="72"/>
      <c r="U82" s="73"/>
      <c r="W82" s="2" t="s">
        <v>315</v>
      </c>
      <c r="X82" s="10" t="s">
        <v>56</v>
      </c>
      <c r="Y82" s="10" t="s">
        <v>57</v>
      </c>
      <c r="Z82" s="75" t="s">
        <v>58</v>
      </c>
      <c r="AA82" s="76"/>
      <c r="AB82" s="77"/>
      <c r="AC82" s="77">
        <v>14044</v>
      </c>
      <c r="AD82" s="10"/>
      <c r="AG82" s="7">
        <v>1938</v>
      </c>
      <c r="AH82" s="7">
        <v>1930</v>
      </c>
      <c r="AI82" s="7"/>
      <c r="AJ82" s="73"/>
      <c r="AK82" s="7"/>
      <c r="AL82" s="16"/>
      <c r="AM82" s="2" t="s">
        <v>59</v>
      </c>
      <c r="AW82" s="6">
        <f t="shared" ca="1" si="2"/>
        <v>87</v>
      </c>
    </row>
    <row r="83" ht="45" customHeight="1">
      <c r="A83" s="69"/>
      <c r="B83" s="3" t="s">
        <v>47</v>
      </c>
      <c r="E83" s="2" t="s">
        <v>83</v>
      </c>
      <c r="F83" s="6" t="s">
        <v>179</v>
      </c>
      <c r="G83" s="5" t="s">
        <v>316</v>
      </c>
      <c r="H83" s="2" t="s">
        <v>51</v>
      </c>
      <c r="I83" s="3" t="s">
        <v>317</v>
      </c>
      <c r="J83" s="7">
        <v>1</v>
      </c>
      <c r="K83" s="70" t="s">
        <v>53</v>
      </c>
      <c r="L83" s="9">
        <v>0</v>
      </c>
      <c r="M83" s="3">
        <v>67</v>
      </c>
      <c r="N83" s="6">
        <v>1938</v>
      </c>
      <c r="P83" s="71"/>
      <c r="R83" s="6">
        <v>1930</v>
      </c>
      <c r="S83" s="3" t="s">
        <v>54</v>
      </c>
      <c r="T83" s="72"/>
      <c r="U83" s="73"/>
      <c r="W83" s="2" t="s">
        <v>318</v>
      </c>
      <c r="X83" s="10" t="s">
        <v>56</v>
      </c>
      <c r="Y83" s="10" t="s">
        <v>57</v>
      </c>
      <c r="Z83" s="75" t="s">
        <v>58</v>
      </c>
      <c r="AA83" s="76"/>
      <c r="AB83" s="77"/>
      <c r="AC83" s="77">
        <v>14044</v>
      </c>
      <c r="AD83" s="10"/>
      <c r="AG83" s="7">
        <v>1938</v>
      </c>
      <c r="AH83" s="7">
        <v>1930</v>
      </c>
      <c r="AI83" s="7"/>
      <c r="AJ83" s="73"/>
      <c r="AK83" s="7"/>
      <c r="AL83" s="16"/>
      <c r="AM83" s="2" t="s">
        <v>59</v>
      </c>
      <c r="AW83" s="6">
        <f t="shared" ca="1" si="2"/>
        <v>87</v>
      </c>
    </row>
    <row r="84" ht="45" customHeight="1">
      <c r="A84" s="69"/>
      <c r="B84" s="3" t="s">
        <v>47</v>
      </c>
      <c r="E84" s="2" t="s">
        <v>83</v>
      </c>
      <c r="F84" s="6" t="s">
        <v>179</v>
      </c>
      <c r="G84" s="5" t="s">
        <v>319</v>
      </c>
      <c r="H84" s="2" t="s">
        <v>51</v>
      </c>
      <c r="I84" s="3" t="s">
        <v>320</v>
      </c>
      <c r="J84" s="7">
        <v>1</v>
      </c>
      <c r="K84" s="70" t="s">
        <v>53</v>
      </c>
      <c r="L84" s="9">
        <v>0</v>
      </c>
      <c r="M84" s="3">
        <v>67</v>
      </c>
      <c r="N84" s="6">
        <v>1938</v>
      </c>
      <c r="P84" s="71"/>
      <c r="R84" s="6">
        <v>1930</v>
      </c>
      <c r="S84" s="3" t="s">
        <v>54</v>
      </c>
      <c r="T84" s="72"/>
      <c r="U84" s="73"/>
      <c r="W84" s="98" t="s">
        <v>321</v>
      </c>
      <c r="X84" s="10" t="s">
        <v>56</v>
      </c>
      <c r="Y84" s="10" t="s">
        <v>57</v>
      </c>
      <c r="Z84" s="75" t="s">
        <v>58</v>
      </c>
      <c r="AA84" s="76"/>
      <c r="AB84" s="77"/>
      <c r="AC84" s="77">
        <v>14044</v>
      </c>
      <c r="AD84" s="10"/>
      <c r="AG84" s="7">
        <v>1938</v>
      </c>
      <c r="AH84" s="7">
        <v>1930</v>
      </c>
      <c r="AI84" s="7"/>
      <c r="AJ84" s="73"/>
      <c r="AK84" s="7"/>
      <c r="AL84" s="16"/>
      <c r="AM84" s="2" t="s">
        <v>59</v>
      </c>
      <c r="AW84" s="6">
        <f t="shared" ca="1" si="2"/>
        <v>87</v>
      </c>
    </row>
    <row r="85" ht="45" customHeight="1">
      <c r="A85" s="69"/>
      <c r="B85" s="3" t="s">
        <v>47</v>
      </c>
      <c r="E85" s="2" t="s">
        <v>83</v>
      </c>
      <c r="F85" s="6" t="s">
        <v>179</v>
      </c>
      <c r="G85" s="5" t="s">
        <v>319</v>
      </c>
      <c r="H85" s="2" t="s">
        <v>51</v>
      </c>
      <c r="I85" s="3" t="s">
        <v>322</v>
      </c>
      <c r="J85" s="7">
        <v>1</v>
      </c>
      <c r="K85" s="70" t="s">
        <v>53</v>
      </c>
      <c r="L85" s="9">
        <v>0</v>
      </c>
      <c r="M85" s="3">
        <v>67</v>
      </c>
      <c r="N85" s="6">
        <v>1938</v>
      </c>
      <c r="P85" s="71"/>
      <c r="R85" s="6">
        <v>1930</v>
      </c>
      <c r="S85" s="3" t="s">
        <v>54</v>
      </c>
      <c r="T85" s="72"/>
      <c r="U85" s="73"/>
      <c r="W85" s="2" t="s">
        <v>323</v>
      </c>
      <c r="X85" s="10" t="s">
        <v>56</v>
      </c>
      <c r="Y85" s="10" t="s">
        <v>57</v>
      </c>
      <c r="Z85" s="75" t="s">
        <v>58</v>
      </c>
      <c r="AA85" s="76"/>
      <c r="AB85" s="77"/>
      <c r="AC85" s="77">
        <v>14044</v>
      </c>
      <c r="AD85" s="10"/>
      <c r="AG85" s="7">
        <v>1938</v>
      </c>
      <c r="AH85" s="7">
        <v>1930</v>
      </c>
      <c r="AI85" s="7"/>
      <c r="AJ85" s="73"/>
      <c r="AK85" s="7"/>
      <c r="AL85" s="16"/>
      <c r="AM85" s="2" t="s">
        <v>59</v>
      </c>
      <c r="AW85" s="6">
        <f t="shared" ca="1" si="2"/>
        <v>87</v>
      </c>
    </row>
    <row r="86" ht="45" customHeight="1" outlineLevel="1">
      <c r="A86" s="69"/>
      <c r="B86" s="3" t="s">
        <v>47</v>
      </c>
      <c r="E86" s="2" t="s">
        <v>83</v>
      </c>
      <c r="F86" s="6" t="s">
        <v>179</v>
      </c>
      <c r="G86" s="5" t="s">
        <v>319</v>
      </c>
      <c r="H86" s="2" t="s">
        <v>51</v>
      </c>
      <c r="I86" s="3" t="s">
        <v>324</v>
      </c>
      <c r="J86" s="7">
        <v>1</v>
      </c>
      <c r="K86" s="70" t="s">
        <v>53</v>
      </c>
      <c r="L86" s="9">
        <v>0</v>
      </c>
      <c r="M86" s="3">
        <v>67</v>
      </c>
      <c r="N86" s="6">
        <v>1938</v>
      </c>
      <c r="P86" s="71"/>
      <c r="R86" s="6">
        <v>1930</v>
      </c>
      <c r="S86" s="3" t="s">
        <v>54</v>
      </c>
      <c r="T86" s="72"/>
      <c r="U86" s="73"/>
      <c r="W86" s="2" t="s">
        <v>325</v>
      </c>
      <c r="X86" s="10" t="s">
        <v>56</v>
      </c>
      <c r="Y86" s="10" t="s">
        <v>57</v>
      </c>
      <c r="Z86" s="75" t="s">
        <v>58</v>
      </c>
      <c r="AA86" s="76"/>
      <c r="AB86" s="77"/>
      <c r="AC86" s="77">
        <v>14044</v>
      </c>
      <c r="AD86" s="10"/>
      <c r="AG86" s="7">
        <v>1938</v>
      </c>
      <c r="AH86" s="7">
        <v>1930</v>
      </c>
      <c r="AI86" s="7"/>
      <c r="AJ86" s="73"/>
      <c r="AK86" s="7"/>
      <c r="AL86" s="16"/>
      <c r="AM86" s="2" t="s">
        <v>59</v>
      </c>
      <c r="AW86" s="6">
        <f t="shared" ca="1" si="2"/>
        <v>87</v>
      </c>
    </row>
    <row r="87" ht="45" customHeight="1" outlineLevel="1">
      <c r="A87" s="69"/>
      <c r="B87" s="3" t="s">
        <v>47</v>
      </c>
      <c r="E87" s="2" t="s">
        <v>83</v>
      </c>
      <c r="F87" s="6" t="s">
        <v>179</v>
      </c>
      <c r="G87" s="5" t="s">
        <v>319</v>
      </c>
      <c r="H87" s="2" t="s">
        <v>51</v>
      </c>
      <c r="I87" s="3" t="s">
        <v>326</v>
      </c>
      <c r="J87" s="7">
        <v>1</v>
      </c>
      <c r="K87" s="70" t="s">
        <v>53</v>
      </c>
      <c r="L87" s="9">
        <v>0</v>
      </c>
      <c r="M87" s="3">
        <v>67</v>
      </c>
      <c r="N87" s="6">
        <v>1938</v>
      </c>
      <c r="P87" s="71"/>
      <c r="R87" s="6">
        <v>1930</v>
      </c>
      <c r="S87" s="3" t="s">
        <v>54</v>
      </c>
      <c r="T87" s="72"/>
      <c r="U87" s="73"/>
      <c r="W87" s="2" t="s">
        <v>327</v>
      </c>
      <c r="X87" s="10" t="s">
        <v>56</v>
      </c>
      <c r="Y87" s="10" t="s">
        <v>57</v>
      </c>
      <c r="Z87" s="75" t="s">
        <v>58</v>
      </c>
      <c r="AA87" s="76"/>
      <c r="AB87" s="77"/>
      <c r="AC87" s="77">
        <v>14044</v>
      </c>
      <c r="AD87" s="10"/>
      <c r="AG87" s="7">
        <v>1938</v>
      </c>
      <c r="AH87" s="7">
        <v>1930</v>
      </c>
      <c r="AI87" s="7"/>
      <c r="AJ87" s="73"/>
      <c r="AK87" s="7"/>
      <c r="AL87" s="16"/>
      <c r="AM87" s="2" t="s">
        <v>59</v>
      </c>
      <c r="AW87" s="6">
        <f t="shared" ca="1" si="2"/>
        <v>87</v>
      </c>
    </row>
    <row r="88" ht="45" customHeight="1" outlineLevel="1">
      <c r="A88" s="69"/>
      <c r="B88" s="3" t="s">
        <v>47</v>
      </c>
      <c r="E88" s="2" t="s">
        <v>83</v>
      </c>
      <c r="F88" s="6" t="s">
        <v>179</v>
      </c>
      <c r="G88" s="5" t="s">
        <v>319</v>
      </c>
      <c r="H88" s="2" t="s">
        <v>51</v>
      </c>
      <c r="I88" s="3" t="s">
        <v>328</v>
      </c>
      <c r="J88" s="7">
        <v>1</v>
      </c>
      <c r="K88" s="70" t="s">
        <v>53</v>
      </c>
      <c r="L88" s="9">
        <v>0</v>
      </c>
      <c r="M88" s="3">
        <v>67</v>
      </c>
      <c r="N88" s="6">
        <v>1938</v>
      </c>
      <c r="P88" s="71"/>
      <c r="R88" s="6">
        <v>1930</v>
      </c>
      <c r="S88" s="3" t="s">
        <v>54</v>
      </c>
      <c r="T88" s="72"/>
      <c r="U88" s="73"/>
      <c r="W88" s="2" t="s">
        <v>329</v>
      </c>
      <c r="X88" s="10" t="s">
        <v>56</v>
      </c>
      <c r="Y88" s="10" t="s">
        <v>57</v>
      </c>
      <c r="Z88" s="75" t="s">
        <v>58</v>
      </c>
      <c r="AA88" s="76"/>
      <c r="AB88" s="77"/>
      <c r="AC88" s="77">
        <v>14044</v>
      </c>
      <c r="AD88" s="10"/>
      <c r="AG88" s="7">
        <v>1938</v>
      </c>
      <c r="AH88" s="7">
        <v>1930</v>
      </c>
      <c r="AI88" s="7"/>
      <c r="AJ88" s="73"/>
      <c r="AK88" s="7"/>
      <c r="AL88" s="16"/>
      <c r="AM88" s="2" t="s">
        <v>59</v>
      </c>
      <c r="AW88" s="6">
        <f t="shared" ca="1" si="2"/>
        <v>87</v>
      </c>
    </row>
    <row r="89" ht="45" customHeight="1" outlineLevel="1">
      <c r="A89" s="69"/>
      <c r="B89" s="3" t="s">
        <v>47</v>
      </c>
      <c r="E89" s="2" t="s">
        <v>83</v>
      </c>
      <c r="F89" s="6" t="s">
        <v>179</v>
      </c>
      <c r="G89" s="5" t="s">
        <v>319</v>
      </c>
      <c r="H89" s="2" t="s">
        <v>51</v>
      </c>
      <c r="I89" s="3" t="s">
        <v>330</v>
      </c>
      <c r="J89" s="7">
        <v>1</v>
      </c>
      <c r="K89" s="70" t="s">
        <v>53</v>
      </c>
      <c r="L89" s="9">
        <v>0</v>
      </c>
      <c r="M89" s="3">
        <v>67</v>
      </c>
      <c r="N89" s="6">
        <v>1938</v>
      </c>
      <c r="P89" s="71"/>
      <c r="R89" s="6">
        <v>1930</v>
      </c>
      <c r="S89" s="3" t="s">
        <v>54</v>
      </c>
      <c r="T89" s="72"/>
      <c r="U89" s="73"/>
      <c r="W89" s="2" t="s">
        <v>331</v>
      </c>
      <c r="X89" s="10" t="s">
        <v>56</v>
      </c>
      <c r="Y89" s="10" t="s">
        <v>57</v>
      </c>
      <c r="Z89" s="75" t="s">
        <v>58</v>
      </c>
      <c r="AA89" s="76"/>
      <c r="AB89" s="77"/>
      <c r="AC89" s="77">
        <v>14044</v>
      </c>
      <c r="AD89" s="10"/>
      <c r="AG89" s="7">
        <v>1938</v>
      </c>
      <c r="AH89" s="7">
        <v>1930</v>
      </c>
      <c r="AI89" s="7"/>
      <c r="AJ89" s="73"/>
      <c r="AK89" s="7"/>
      <c r="AL89" s="16"/>
      <c r="AM89" s="2" t="s">
        <v>59</v>
      </c>
      <c r="AW89" s="6">
        <f t="shared" ca="1" si="2"/>
        <v>87</v>
      </c>
    </row>
    <row r="90" ht="45" customHeight="1" outlineLevel="1">
      <c r="A90" s="69"/>
      <c r="B90" s="3" t="s">
        <v>190</v>
      </c>
      <c r="C90" s="4" t="s">
        <v>332</v>
      </c>
      <c r="D90" s="5" t="s">
        <v>333</v>
      </c>
      <c r="E90" s="2" t="s">
        <v>83</v>
      </c>
      <c r="F90" s="6" t="s">
        <v>179</v>
      </c>
      <c r="G90" s="5" t="s">
        <v>334</v>
      </c>
      <c r="H90" s="2" t="s">
        <v>288</v>
      </c>
      <c r="I90" s="3" t="s">
        <v>335</v>
      </c>
      <c r="J90" s="7">
        <v>1</v>
      </c>
      <c r="K90" s="70" t="s">
        <v>53</v>
      </c>
      <c r="L90" s="9">
        <v>1</v>
      </c>
      <c r="M90" s="3">
        <v>68</v>
      </c>
      <c r="N90" s="6">
        <v>1938</v>
      </c>
      <c r="P90" s="71"/>
      <c r="R90" s="6">
        <v>1930</v>
      </c>
      <c r="S90" s="3" t="s">
        <v>195</v>
      </c>
      <c r="T90" s="72"/>
      <c r="U90" s="73"/>
      <c r="W90" s="74" t="s">
        <v>336</v>
      </c>
      <c r="X90" s="10" t="s">
        <v>56</v>
      </c>
      <c r="Y90" s="10" t="s">
        <v>288</v>
      </c>
      <c r="Z90" s="75"/>
      <c r="AA90" s="76"/>
      <c r="AB90" s="77"/>
      <c r="AC90" s="77">
        <v>13943</v>
      </c>
      <c r="AD90" s="10"/>
      <c r="AF90" s="7">
        <v>52</v>
      </c>
      <c r="AG90" s="7">
        <v>1938</v>
      </c>
      <c r="AH90" s="7">
        <v>1930</v>
      </c>
      <c r="AI90" s="7">
        <v>1969</v>
      </c>
      <c r="AJ90" s="73"/>
      <c r="AK90" s="7"/>
      <c r="AL90" s="16" t="s">
        <v>337</v>
      </c>
      <c r="AM90" s="2" t="s">
        <v>136</v>
      </c>
      <c r="AO90" s="6" t="s">
        <v>136</v>
      </c>
      <c r="AR90" s="87"/>
      <c r="AS90" s="88"/>
      <c r="AT90" s="88"/>
      <c r="AU90" s="89" t="s">
        <v>338</v>
      </c>
      <c r="AV90" s="90"/>
      <c r="AW90" s="6">
        <f t="shared" ca="1" si="2"/>
        <v>87</v>
      </c>
    </row>
    <row r="91" ht="45" customHeight="1" outlineLevel="1">
      <c r="A91" s="69"/>
      <c r="B91" s="3" t="s">
        <v>47</v>
      </c>
      <c r="D91" s="5" t="s">
        <v>293</v>
      </c>
      <c r="E91" s="2" t="s">
        <v>83</v>
      </c>
      <c r="F91" s="6" t="s">
        <v>179</v>
      </c>
      <c r="G91" s="5" t="s">
        <v>339</v>
      </c>
      <c r="H91" s="2" t="s">
        <v>288</v>
      </c>
      <c r="I91" s="3" t="s">
        <v>340</v>
      </c>
      <c r="J91" s="7">
        <v>1</v>
      </c>
      <c r="K91" s="70" t="s">
        <v>53</v>
      </c>
      <c r="L91" s="9">
        <v>1</v>
      </c>
      <c r="M91" s="3">
        <v>69</v>
      </c>
      <c r="N91" s="6">
        <v>1938</v>
      </c>
      <c r="P91" s="71"/>
      <c r="R91" s="6">
        <v>1930</v>
      </c>
      <c r="S91" s="3" t="s">
        <v>54</v>
      </c>
      <c r="T91" s="72"/>
      <c r="U91" s="73"/>
      <c r="W91" s="100" t="s">
        <v>341</v>
      </c>
      <c r="X91" s="10" t="s">
        <v>56</v>
      </c>
      <c r="Y91" s="10" t="s">
        <v>288</v>
      </c>
      <c r="Z91" s="75"/>
      <c r="AA91" s="76"/>
      <c r="AB91" s="77"/>
      <c r="AC91" s="77">
        <v>14014</v>
      </c>
      <c r="AD91" s="10"/>
      <c r="AG91" s="7">
        <v>1938</v>
      </c>
      <c r="AH91" s="7">
        <v>1930</v>
      </c>
      <c r="AI91" s="7"/>
      <c r="AJ91" s="73"/>
      <c r="AK91" s="7"/>
      <c r="AL91" s="16"/>
      <c r="AM91" s="2" t="s">
        <v>73</v>
      </c>
      <c r="AO91" s="6" t="s">
        <v>136</v>
      </c>
      <c r="AS91" s="6" t="s">
        <v>73</v>
      </c>
      <c r="AT91" s="6" t="s">
        <v>291</v>
      </c>
      <c r="AU91" s="16" t="s">
        <v>342</v>
      </c>
      <c r="AW91" s="6">
        <f t="shared" ca="1" si="2"/>
        <v>87</v>
      </c>
    </row>
    <row r="92" ht="45" customHeight="1" outlineLevel="1">
      <c r="A92" s="69"/>
      <c r="B92" s="3" t="s">
        <v>47</v>
      </c>
      <c r="E92" s="2" t="s">
        <v>83</v>
      </c>
      <c r="F92" s="6" t="s">
        <v>179</v>
      </c>
      <c r="G92" s="5" t="s">
        <v>180</v>
      </c>
      <c r="H92" s="2" t="s">
        <v>288</v>
      </c>
      <c r="I92" s="3" t="s">
        <v>343</v>
      </c>
      <c r="J92" s="7">
        <v>1</v>
      </c>
      <c r="K92" s="70" t="s">
        <v>53</v>
      </c>
      <c r="L92" s="9">
        <v>1</v>
      </c>
      <c r="M92" s="3">
        <v>70</v>
      </c>
      <c r="N92" s="6">
        <v>1938</v>
      </c>
      <c r="P92" s="71"/>
      <c r="R92" s="6">
        <v>1930</v>
      </c>
      <c r="S92" s="3" t="s">
        <v>54</v>
      </c>
      <c r="T92" s="72"/>
      <c r="U92" s="73"/>
      <c r="W92" s="2" t="s">
        <v>344</v>
      </c>
      <c r="X92" s="10" t="s">
        <v>56</v>
      </c>
      <c r="Y92" s="10" t="s">
        <v>288</v>
      </c>
      <c r="Z92" s="75"/>
      <c r="AA92" s="76">
        <v>31670</v>
      </c>
      <c r="AB92" s="77">
        <v>31670</v>
      </c>
      <c r="AC92" s="77">
        <v>13990</v>
      </c>
      <c r="AD92" s="10"/>
      <c r="AF92" s="7">
        <v>137</v>
      </c>
      <c r="AG92" s="7">
        <v>1938</v>
      </c>
      <c r="AH92" s="7">
        <v>1930</v>
      </c>
      <c r="AI92" s="7" t="s">
        <v>345</v>
      </c>
      <c r="AJ92" s="73"/>
      <c r="AK92" s="7"/>
      <c r="AL92" s="101" t="s">
        <v>346</v>
      </c>
      <c r="AM92" s="2" t="s">
        <v>53</v>
      </c>
      <c r="AO92" s="6" t="s">
        <v>136</v>
      </c>
      <c r="AR92" s="2" t="s">
        <v>73</v>
      </c>
      <c r="AT92" s="10" t="s">
        <v>347</v>
      </c>
      <c r="AU92" s="102" t="s">
        <v>348</v>
      </c>
      <c r="AV92" s="103"/>
      <c r="AW92" s="6">
        <f t="shared" ca="1" si="2"/>
        <v>87</v>
      </c>
    </row>
    <row r="93" ht="45" customHeight="1" outlineLevel="1">
      <c r="A93" s="69"/>
      <c r="B93" s="3" t="s">
        <v>47</v>
      </c>
      <c r="E93" s="2" t="s">
        <v>83</v>
      </c>
      <c r="F93" s="6" t="s">
        <v>179</v>
      </c>
      <c r="G93" s="5" t="s">
        <v>339</v>
      </c>
      <c r="H93" s="2" t="s">
        <v>51</v>
      </c>
      <c r="I93" s="3" t="s">
        <v>322</v>
      </c>
      <c r="J93" s="7">
        <v>1</v>
      </c>
      <c r="K93" s="70" t="s">
        <v>53</v>
      </c>
      <c r="L93" s="9">
        <v>1</v>
      </c>
      <c r="M93" s="3">
        <v>71</v>
      </c>
      <c r="N93" s="6">
        <v>1938</v>
      </c>
      <c r="P93" s="71"/>
      <c r="R93" s="6">
        <v>1930</v>
      </c>
      <c r="S93" s="3" t="s">
        <v>54</v>
      </c>
      <c r="T93" s="72"/>
      <c r="U93" s="73"/>
      <c r="W93" s="2" t="s">
        <v>349</v>
      </c>
      <c r="X93" s="10" t="s">
        <v>56</v>
      </c>
      <c r="Y93" s="10" t="s">
        <v>57</v>
      </c>
      <c r="Z93" s="75" t="s">
        <v>58</v>
      </c>
      <c r="AA93" s="76"/>
      <c r="AB93" s="77"/>
      <c r="AC93" s="77">
        <v>14097</v>
      </c>
      <c r="AD93" s="10"/>
      <c r="AG93" s="7">
        <v>1938</v>
      </c>
      <c r="AH93" s="7">
        <v>1930</v>
      </c>
      <c r="AI93" s="7"/>
      <c r="AJ93" s="73"/>
      <c r="AK93" s="7"/>
      <c r="AL93" s="16"/>
      <c r="AM93" s="2" t="s">
        <v>59</v>
      </c>
      <c r="AW93" s="6">
        <f t="shared" ca="1" si="2"/>
        <v>87</v>
      </c>
    </row>
    <row r="94" ht="45" customHeight="1" outlineLevel="1">
      <c r="A94" s="69"/>
      <c r="B94" s="3" t="s">
        <v>47</v>
      </c>
      <c r="E94" s="2" t="s">
        <v>83</v>
      </c>
      <c r="F94" s="6" t="s">
        <v>179</v>
      </c>
      <c r="G94" s="5" t="s">
        <v>339</v>
      </c>
      <c r="H94" s="2" t="s">
        <v>51</v>
      </c>
      <c r="I94" s="3" t="s">
        <v>328</v>
      </c>
      <c r="J94" s="7">
        <v>1</v>
      </c>
      <c r="K94" s="70" t="s">
        <v>53</v>
      </c>
      <c r="L94" s="9">
        <v>1</v>
      </c>
      <c r="M94" s="3">
        <v>72</v>
      </c>
      <c r="N94" s="6">
        <v>1938</v>
      </c>
      <c r="P94" s="71"/>
      <c r="R94" s="6">
        <v>1930</v>
      </c>
      <c r="S94" s="3" t="s">
        <v>54</v>
      </c>
      <c r="T94" s="72"/>
      <c r="U94" s="73"/>
      <c r="W94" s="2" t="s">
        <v>350</v>
      </c>
      <c r="X94" s="10" t="s">
        <v>56</v>
      </c>
      <c r="Y94" s="10" t="s">
        <v>57</v>
      </c>
      <c r="Z94" s="75" t="s">
        <v>58</v>
      </c>
      <c r="AA94" s="76"/>
      <c r="AB94" s="77"/>
      <c r="AC94" s="77">
        <v>14069</v>
      </c>
      <c r="AD94" s="10"/>
      <c r="AG94" s="7">
        <v>1938</v>
      </c>
      <c r="AH94" s="7">
        <v>1930</v>
      </c>
      <c r="AI94" s="7"/>
      <c r="AJ94" s="73"/>
      <c r="AK94" s="7"/>
      <c r="AL94" s="16"/>
      <c r="AM94" s="2" t="s">
        <v>59</v>
      </c>
      <c r="AW94" s="6">
        <f t="shared" ca="1" si="2"/>
        <v>87</v>
      </c>
    </row>
    <row r="95" ht="45" hidden="1" customHeight="1" outlineLevel="1">
      <c r="A95" s="69"/>
      <c r="B95" s="3" t="s">
        <v>47</v>
      </c>
      <c r="C95" s="4" t="s">
        <v>351</v>
      </c>
      <c r="E95" s="2" t="s">
        <v>83</v>
      </c>
      <c r="F95" s="6" t="s">
        <v>179</v>
      </c>
      <c r="G95" s="5" t="s">
        <v>180</v>
      </c>
      <c r="H95" s="2" t="s">
        <v>51</v>
      </c>
      <c r="I95" s="3" t="s">
        <v>352</v>
      </c>
      <c r="J95" s="7">
        <v>1</v>
      </c>
      <c r="K95" s="70"/>
      <c r="L95" s="9">
        <v>1</v>
      </c>
      <c r="M95" s="3">
        <v>73</v>
      </c>
      <c r="N95" s="6">
        <v>1938</v>
      </c>
      <c r="P95" s="71"/>
      <c r="R95" s="6">
        <v>1930</v>
      </c>
      <c r="S95" s="3" t="s">
        <v>236</v>
      </c>
      <c r="T95" s="72"/>
      <c r="U95" s="73"/>
      <c r="W95" s="2" t="s">
        <v>62</v>
      </c>
      <c r="X95" s="10" t="s">
        <v>56</v>
      </c>
      <c r="Y95" s="10" t="s">
        <v>57</v>
      </c>
      <c r="Z95" s="75" t="s">
        <v>58</v>
      </c>
      <c r="AA95" s="76"/>
      <c r="AB95" s="77"/>
      <c r="AC95" s="77"/>
      <c r="AD95" s="10"/>
      <c r="AI95" s="7"/>
      <c r="AJ95" s="95">
        <v>39595</v>
      </c>
      <c r="AK95" s="7">
        <v>2000</v>
      </c>
      <c r="AL95" s="16"/>
      <c r="AW95" s="6">
        <f t="shared" ca="1" si="2"/>
        <v>87</v>
      </c>
    </row>
    <row r="96" ht="45" hidden="1" customHeight="1" outlineLevel="1">
      <c r="A96" s="69"/>
      <c r="B96" s="3" t="s">
        <v>47</v>
      </c>
      <c r="C96" s="4" t="s">
        <v>353</v>
      </c>
      <c r="E96" s="2" t="s">
        <v>63</v>
      </c>
      <c r="F96" s="6" t="s">
        <v>354</v>
      </c>
      <c r="G96" s="5" t="s">
        <v>355</v>
      </c>
      <c r="H96" s="2" t="s">
        <v>51</v>
      </c>
      <c r="I96" s="3" t="s">
        <v>356</v>
      </c>
      <c r="J96" s="7">
        <v>1</v>
      </c>
      <c r="K96" s="70"/>
      <c r="L96" s="9">
        <v>1</v>
      </c>
      <c r="M96" s="3">
        <v>74</v>
      </c>
      <c r="N96" s="6">
        <v>1938</v>
      </c>
      <c r="P96" s="71"/>
      <c r="R96" s="6">
        <v>1930</v>
      </c>
      <c r="S96" s="3" t="s">
        <v>236</v>
      </c>
      <c r="T96" s="72"/>
      <c r="U96" s="73"/>
      <c r="W96" s="2" t="s">
        <v>62</v>
      </c>
      <c r="X96" s="10" t="s">
        <v>56</v>
      </c>
      <c r="Y96" s="10" t="s">
        <v>57</v>
      </c>
      <c r="Z96" s="75" t="s">
        <v>58</v>
      </c>
      <c r="AA96" s="76"/>
      <c r="AB96" s="77"/>
      <c r="AC96" s="77"/>
      <c r="AD96" s="10"/>
      <c r="AI96" s="7"/>
      <c r="AJ96" s="95">
        <v>36346</v>
      </c>
      <c r="AK96" s="7">
        <v>1990</v>
      </c>
      <c r="AL96" s="16" t="s">
        <v>357</v>
      </c>
      <c r="AW96" s="6">
        <f t="shared" ca="1" si="2"/>
        <v>87</v>
      </c>
    </row>
    <row r="97" ht="45" customHeight="1" outlineLevel="1">
      <c r="A97" s="69"/>
      <c r="B97" s="3" t="s">
        <v>47</v>
      </c>
      <c r="E97" s="2" t="s">
        <v>83</v>
      </c>
      <c r="F97" s="6" t="s">
        <v>179</v>
      </c>
      <c r="G97" s="5" t="s">
        <v>358</v>
      </c>
      <c r="H97" s="2" t="s">
        <v>51</v>
      </c>
      <c r="I97" s="3" t="s">
        <v>359</v>
      </c>
      <c r="J97" s="7">
        <v>1</v>
      </c>
      <c r="K97" s="70" t="s">
        <v>53</v>
      </c>
      <c r="L97" s="9">
        <v>0</v>
      </c>
      <c r="M97" s="3">
        <v>75</v>
      </c>
      <c r="N97" s="6">
        <v>1938</v>
      </c>
      <c r="P97" s="71"/>
      <c r="R97" s="6">
        <v>1930</v>
      </c>
      <c r="S97" s="3" t="s">
        <v>54</v>
      </c>
      <c r="T97" s="72"/>
      <c r="U97" s="73"/>
      <c r="W97" s="98" t="s">
        <v>360</v>
      </c>
      <c r="X97" s="10" t="s">
        <v>56</v>
      </c>
      <c r="Y97" s="10" t="s">
        <v>57</v>
      </c>
      <c r="Z97" s="75" t="s">
        <v>58</v>
      </c>
      <c r="AA97" s="76"/>
      <c r="AB97" s="77"/>
      <c r="AC97" s="77">
        <v>14496</v>
      </c>
      <c r="AD97" s="10"/>
      <c r="AG97" s="7">
        <v>1939</v>
      </c>
      <c r="AH97" s="7">
        <v>1930</v>
      </c>
      <c r="AI97" s="7"/>
      <c r="AJ97" s="73"/>
      <c r="AK97" s="7"/>
      <c r="AL97" s="16"/>
      <c r="AM97" s="2" t="s">
        <v>59</v>
      </c>
      <c r="AW97" s="6">
        <f t="shared" ca="1" si="2"/>
        <v>87</v>
      </c>
    </row>
    <row r="98" ht="45" customHeight="1" outlineLevel="1">
      <c r="A98" s="69"/>
      <c r="B98" s="3" t="s">
        <v>47</v>
      </c>
      <c r="E98" s="2" t="s">
        <v>83</v>
      </c>
      <c r="F98" s="6" t="s">
        <v>179</v>
      </c>
      <c r="G98" s="5" t="s">
        <v>358</v>
      </c>
      <c r="H98" s="2" t="s">
        <v>51</v>
      </c>
      <c r="I98" s="3" t="s">
        <v>361</v>
      </c>
      <c r="J98" s="7">
        <v>1</v>
      </c>
      <c r="K98" s="70" t="s">
        <v>53</v>
      </c>
      <c r="L98" s="9">
        <v>0</v>
      </c>
      <c r="M98" s="3">
        <v>75</v>
      </c>
      <c r="N98" s="6">
        <v>1938</v>
      </c>
      <c r="P98" s="71"/>
      <c r="R98" s="6">
        <v>1930</v>
      </c>
      <c r="S98" s="3" t="s">
        <v>54</v>
      </c>
      <c r="T98" s="72"/>
      <c r="U98" s="73"/>
      <c r="W98" s="2" t="s">
        <v>362</v>
      </c>
      <c r="X98" s="10" t="s">
        <v>56</v>
      </c>
      <c r="Y98" s="10" t="s">
        <v>57</v>
      </c>
      <c r="Z98" s="75" t="s">
        <v>58</v>
      </c>
      <c r="AA98" s="76"/>
      <c r="AB98" s="77"/>
      <c r="AC98" s="77">
        <v>14496</v>
      </c>
      <c r="AD98" s="10"/>
      <c r="AG98" s="7">
        <v>1939</v>
      </c>
      <c r="AH98" s="7">
        <v>1930</v>
      </c>
      <c r="AI98" s="7"/>
      <c r="AJ98" s="73"/>
      <c r="AK98" s="7"/>
      <c r="AL98" s="16"/>
      <c r="AM98" s="2" t="s">
        <v>59</v>
      </c>
      <c r="AW98" s="6">
        <f t="shared" ca="1" si="2"/>
        <v>87</v>
      </c>
    </row>
    <row r="99" ht="45" customHeight="1" outlineLevel="1">
      <c r="A99" s="69"/>
      <c r="B99" s="3" t="s">
        <v>47</v>
      </c>
      <c r="E99" s="2" t="s">
        <v>83</v>
      </c>
      <c r="F99" s="6" t="s">
        <v>179</v>
      </c>
      <c r="G99" s="5" t="s">
        <v>358</v>
      </c>
      <c r="H99" s="2" t="s">
        <v>51</v>
      </c>
      <c r="I99" s="3" t="s">
        <v>363</v>
      </c>
      <c r="J99" s="7">
        <v>1</v>
      </c>
      <c r="K99" s="70" t="s">
        <v>53</v>
      </c>
      <c r="L99" s="9">
        <v>0</v>
      </c>
      <c r="M99" s="3">
        <v>75</v>
      </c>
      <c r="N99" s="6">
        <v>1938</v>
      </c>
      <c r="P99" s="71"/>
      <c r="R99" s="6">
        <v>1930</v>
      </c>
      <c r="S99" s="3" t="s">
        <v>54</v>
      </c>
      <c r="T99" s="72"/>
      <c r="U99" s="73"/>
      <c r="W99" s="2" t="s">
        <v>364</v>
      </c>
      <c r="X99" s="10" t="s">
        <v>56</v>
      </c>
      <c r="Y99" s="10" t="s">
        <v>57</v>
      </c>
      <c r="Z99" s="75" t="s">
        <v>58</v>
      </c>
      <c r="AA99" s="76"/>
      <c r="AB99" s="77"/>
      <c r="AC99" s="77">
        <v>14496</v>
      </c>
      <c r="AD99" s="10"/>
      <c r="AG99" s="7">
        <v>1939</v>
      </c>
      <c r="AH99" s="7">
        <v>1930</v>
      </c>
      <c r="AI99" s="7"/>
      <c r="AJ99" s="73"/>
      <c r="AK99" s="7"/>
      <c r="AL99" s="16"/>
      <c r="AM99" s="2" t="s">
        <v>59</v>
      </c>
      <c r="AW99" s="6">
        <f t="shared" ref="AW99:AW162" ca="1" si="3">IF(N99&lt;&gt;0,(YEAR(TODAY())-N99),(""))</f>
        <v>87</v>
      </c>
    </row>
    <row r="100" ht="45" customHeight="1" outlineLevel="1">
      <c r="A100" s="69"/>
      <c r="B100" s="3" t="s">
        <v>47</v>
      </c>
      <c r="E100" s="2" t="s">
        <v>83</v>
      </c>
      <c r="F100" s="6" t="s">
        <v>179</v>
      </c>
      <c r="G100" s="5" t="s">
        <v>365</v>
      </c>
      <c r="H100" s="2" t="s">
        <v>51</v>
      </c>
      <c r="I100" s="3" t="s">
        <v>330</v>
      </c>
      <c r="J100" s="7">
        <v>1</v>
      </c>
      <c r="K100" s="70" t="s">
        <v>53</v>
      </c>
      <c r="L100" s="9">
        <v>0</v>
      </c>
      <c r="M100" s="3">
        <v>75</v>
      </c>
      <c r="N100" s="6">
        <v>1938</v>
      </c>
      <c r="P100" s="71"/>
      <c r="R100" s="6">
        <v>1930</v>
      </c>
      <c r="S100" s="3" t="s">
        <v>54</v>
      </c>
      <c r="T100" s="72"/>
      <c r="U100" s="73"/>
      <c r="W100" s="2" t="s">
        <v>366</v>
      </c>
      <c r="X100" s="10" t="s">
        <v>56</v>
      </c>
      <c r="Y100" s="10" t="s">
        <v>57</v>
      </c>
      <c r="Z100" s="75" t="s">
        <v>58</v>
      </c>
      <c r="AA100" s="76"/>
      <c r="AB100" s="77"/>
      <c r="AC100" s="77">
        <v>14496</v>
      </c>
      <c r="AD100" s="10"/>
      <c r="AG100" s="7">
        <v>1939</v>
      </c>
      <c r="AH100" s="7">
        <v>1930</v>
      </c>
      <c r="AI100" s="7"/>
      <c r="AJ100" s="73"/>
      <c r="AK100" s="7"/>
      <c r="AL100" s="16"/>
      <c r="AM100" s="2" t="s">
        <v>59</v>
      </c>
      <c r="AW100" s="6">
        <f t="shared" ca="1" si="3"/>
        <v>87</v>
      </c>
    </row>
    <row r="101" ht="45" customHeight="1">
      <c r="A101" s="69"/>
      <c r="B101" s="3" t="s">
        <v>47</v>
      </c>
      <c r="E101" s="2" t="s">
        <v>83</v>
      </c>
      <c r="F101" s="6" t="s">
        <v>179</v>
      </c>
      <c r="G101" s="5" t="s">
        <v>367</v>
      </c>
      <c r="H101" s="2" t="s">
        <v>68</v>
      </c>
      <c r="I101" s="3" t="s">
        <v>368</v>
      </c>
      <c r="J101" s="7">
        <v>1</v>
      </c>
      <c r="K101" s="70" t="s">
        <v>53</v>
      </c>
      <c r="L101" s="9">
        <v>1</v>
      </c>
      <c r="M101" s="3">
        <v>75</v>
      </c>
      <c r="N101" s="6">
        <v>1938</v>
      </c>
      <c r="P101" s="71"/>
      <c r="R101" s="6">
        <v>1930</v>
      </c>
      <c r="S101" s="3" t="s">
        <v>54</v>
      </c>
      <c r="T101" s="72"/>
      <c r="U101" s="73"/>
      <c r="W101" s="2" t="s">
        <v>369</v>
      </c>
      <c r="X101" s="10" t="s">
        <v>56</v>
      </c>
      <c r="Y101" s="10" t="s">
        <v>68</v>
      </c>
      <c r="Z101" s="75" t="s">
        <v>58</v>
      </c>
      <c r="AA101" s="76"/>
      <c r="AB101" s="77"/>
      <c r="AC101" s="77">
        <v>14496</v>
      </c>
      <c r="AD101" s="10"/>
      <c r="AG101" s="7">
        <v>1939</v>
      </c>
      <c r="AH101" s="7">
        <v>1930</v>
      </c>
      <c r="AI101" s="7"/>
      <c r="AJ101" s="73"/>
      <c r="AK101" s="7"/>
      <c r="AL101" s="16"/>
      <c r="AM101" s="2" t="s">
        <v>59</v>
      </c>
      <c r="AU101" s="16" t="s">
        <v>370</v>
      </c>
      <c r="AW101" s="6">
        <f t="shared" ca="1" si="3"/>
        <v>87</v>
      </c>
    </row>
    <row r="102" ht="45" customHeight="1">
      <c r="A102" s="69"/>
      <c r="B102" s="3" t="s">
        <v>47</v>
      </c>
      <c r="E102" s="2" t="s">
        <v>83</v>
      </c>
      <c r="F102" s="6" t="s">
        <v>179</v>
      </c>
      <c r="G102" s="5" t="s">
        <v>339</v>
      </c>
      <c r="H102" s="2" t="s">
        <v>51</v>
      </c>
      <c r="I102" s="3" t="s">
        <v>324</v>
      </c>
      <c r="J102" s="7">
        <v>1</v>
      </c>
      <c r="K102" s="70" t="s">
        <v>53</v>
      </c>
      <c r="L102" s="9">
        <v>0</v>
      </c>
      <c r="M102" s="3">
        <v>75</v>
      </c>
      <c r="N102" s="6">
        <v>1938</v>
      </c>
      <c r="P102" s="71"/>
      <c r="R102" s="6">
        <v>1930</v>
      </c>
      <c r="S102" s="3" t="s">
        <v>54</v>
      </c>
      <c r="T102" s="72"/>
      <c r="U102" s="73"/>
      <c r="W102" s="2" t="s">
        <v>371</v>
      </c>
      <c r="X102" s="10" t="s">
        <v>56</v>
      </c>
      <c r="Y102" s="10" t="s">
        <v>57</v>
      </c>
      <c r="Z102" s="75" t="s">
        <v>58</v>
      </c>
      <c r="AA102" s="76"/>
      <c r="AB102" s="77"/>
      <c r="AC102" s="77">
        <v>14496</v>
      </c>
      <c r="AD102" s="10"/>
      <c r="AG102" s="7">
        <v>1939</v>
      </c>
      <c r="AH102" s="7">
        <v>1930</v>
      </c>
      <c r="AI102" s="7"/>
      <c r="AJ102" s="73"/>
      <c r="AK102" s="7"/>
      <c r="AL102" s="16"/>
      <c r="AM102" s="2" t="s">
        <v>59</v>
      </c>
      <c r="AW102" s="6">
        <f t="shared" ca="1" si="3"/>
        <v>87</v>
      </c>
    </row>
    <row r="103" ht="45" customHeight="1">
      <c r="A103" s="69"/>
      <c r="B103" s="3" t="s">
        <v>47</v>
      </c>
      <c r="E103" s="2" t="s">
        <v>83</v>
      </c>
      <c r="F103" s="6" t="s">
        <v>179</v>
      </c>
      <c r="G103" s="5" t="s">
        <v>339</v>
      </c>
      <c r="H103" s="2" t="s">
        <v>51</v>
      </c>
      <c r="I103" s="3" t="s">
        <v>372</v>
      </c>
      <c r="J103" s="7">
        <v>1</v>
      </c>
      <c r="K103" s="70" t="s">
        <v>53</v>
      </c>
      <c r="L103" s="9">
        <v>0</v>
      </c>
      <c r="M103" s="3">
        <v>75</v>
      </c>
      <c r="N103" s="6">
        <v>1938</v>
      </c>
      <c r="P103" s="71"/>
      <c r="R103" s="6">
        <v>1930</v>
      </c>
      <c r="S103" s="3" t="s">
        <v>54</v>
      </c>
      <c r="T103" s="72"/>
      <c r="U103" s="73"/>
      <c r="W103" s="2" t="s">
        <v>373</v>
      </c>
      <c r="X103" s="10" t="s">
        <v>56</v>
      </c>
      <c r="Y103" s="10" t="s">
        <v>57</v>
      </c>
      <c r="Z103" s="75" t="s">
        <v>58</v>
      </c>
      <c r="AA103" s="76"/>
      <c r="AB103" s="77"/>
      <c r="AC103" s="77">
        <v>14496</v>
      </c>
      <c r="AD103" s="10"/>
      <c r="AG103" s="7">
        <v>1939</v>
      </c>
      <c r="AH103" s="7">
        <v>1930</v>
      </c>
      <c r="AI103" s="7"/>
      <c r="AJ103" s="73"/>
      <c r="AK103" s="7"/>
      <c r="AL103" s="16"/>
      <c r="AM103" s="2" t="s">
        <v>59</v>
      </c>
      <c r="AW103" s="6">
        <f t="shared" ca="1" si="3"/>
        <v>87</v>
      </c>
    </row>
    <row r="104" ht="45" customHeight="1">
      <c r="A104" s="69"/>
      <c r="B104" s="3" t="s">
        <v>47</v>
      </c>
      <c r="E104" s="2" t="s">
        <v>83</v>
      </c>
      <c r="F104" s="6" t="s">
        <v>179</v>
      </c>
      <c r="G104" s="5" t="s">
        <v>339</v>
      </c>
      <c r="H104" s="2" t="s">
        <v>51</v>
      </c>
      <c r="I104" s="3" t="s">
        <v>374</v>
      </c>
      <c r="J104" s="7">
        <v>1</v>
      </c>
      <c r="K104" s="70" t="s">
        <v>53</v>
      </c>
      <c r="L104" s="9">
        <v>0</v>
      </c>
      <c r="M104" s="3">
        <v>75</v>
      </c>
      <c r="N104" s="6">
        <v>1938</v>
      </c>
      <c r="P104" s="71"/>
      <c r="R104" s="6">
        <v>1930</v>
      </c>
      <c r="S104" s="3" t="s">
        <v>54</v>
      </c>
      <c r="T104" s="72"/>
      <c r="U104" s="73"/>
      <c r="W104" s="2" t="s">
        <v>375</v>
      </c>
      <c r="X104" s="10" t="s">
        <v>56</v>
      </c>
      <c r="Y104" s="10" t="s">
        <v>57</v>
      </c>
      <c r="Z104" s="75" t="s">
        <v>58</v>
      </c>
      <c r="AA104" s="76"/>
      <c r="AB104" s="77"/>
      <c r="AC104" s="77">
        <v>14496</v>
      </c>
      <c r="AD104" s="10"/>
      <c r="AG104" s="7">
        <v>1939</v>
      </c>
      <c r="AH104" s="7">
        <v>1930</v>
      </c>
      <c r="AI104" s="7"/>
      <c r="AJ104" s="73"/>
      <c r="AK104" s="7"/>
      <c r="AL104" s="16"/>
      <c r="AM104" s="2" t="s">
        <v>59</v>
      </c>
      <c r="AW104" s="6">
        <f t="shared" ca="1" si="3"/>
        <v>87</v>
      </c>
    </row>
    <row r="105" ht="45" customHeight="1">
      <c r="A105" s="69"/>
      <c r="B105" s="3" t="s">
        <v>47</v>
      </c>
      <c r="E105" s="2" t="s">
        <v>83</v>
      </c>
      <c r="F105" s="6" t="s">
        <v>179</v>
      </c>
      <c r="G105" s="5" t="s">
        <v>339</v>
      </c>
      <c r="H105" s="2" t="s">
        <v>51</v>
      </c>
      <c r="I105" s="3" t="s">
        <v>376</v>
      </c>
      <c r="J105" s="7">
        <v>1</v>
      </c>
      <c r="K105" s="70" t="s">
        <v>53</v>
      </c>
      <c r="L105" s="9">
        <v>0</v>
      </c>
      <c r="M105" s="3">
        <v>75</v>
      </c>
      <c r="N105" s="6">
        <v>1938</v>
      </c>
      <c r="P105" s="71"/>
      <c r="R105" s="6">
        <v>1930</v>
      </c>
      <c r="S105" s="3" t="s">
        <v>54</v>
      </c>
      <c r="T105" s="72"/>
      <c r="U105" s="73"/>
      <c r="W105" s="2" t="s">
        <v>377</v>
      </c>
      <c r="X105" s="10" t="s">
        <v>56</v>
      </c>
      <c r="Y105" s="10" t="s">
        <v>57</v>
      </c>
      <c r="Z105" s="75" t="s">
        <v>58</v>
      </c>
      <c r="AA105" s="76"/>
      <c r="AB105" s="77"/>
      <c r="AC105" s="77">
        <v>14496</v>
      </c>
      <c r="AD105" s="10"/>
      <c r="AG105" s="7">
        <v>1939</v>
      </c>
      <c r="AH105" s="7">
        <v>1930</v>
      </c>
      <c r="AI105" s="7"/>
      <c r="AJ105" s="73"/>
      <c r="AK105" s="7"/>
      <c r="AL105" s="16"/>
      <c r="AM105" s="2" t="s">
        <v>59</v>
      </c>
      <c r="AW105" s="6">
        <f t="shared" ca="1" si="3"/>
        <v>87</v>
      </c>
    </row>
    <row r="106" ht="45" customHeight="1">
      <c r="A106" s="69"/>
      <c r="B106" s="3" t="s">
        <v>47</v>
      </c>
      <c r="E106" s="2" t="s">
        <v>83</v>
      </c>
      <c r="F106" s="6" t="s">
        <v>179</v>
      </c>
      <c r="G106" s="5" t="s">
        <v>339</v>
      </c>
      <c r="H106" s="2" t="s">
        <v>51</v>
      </c>
      <c r="I106" s="3" t="s">
        <v>363</v>
      </c>
      <c r="J106" s="7">
        <v>1</v>
      </c>
      <c r="K106" s="70" t="s">
        <v>53</v>
      </c>
      <c r="L106" s="9">
        <v>0</v>
      </c>
      <c r="M106" s="3">
        <v>75</v>
      </c>
      <c r="N106" s="6">
        <v>1938</v>
      </c>
      <c r="P106" s="71"/>
      <c r="R106" s="6">
        <v>1930</v>
      </c>
      <c r="S106" s="3" t="s">
        <v>54</v>
      </c>
      <c r="T106" s="72"/>
      <c r="U106" s="73"/>
      <c r="W106" s="2" t="s">
        <v>364</v>
      </c>
      <c r="X106" s="10" t="s">
        <v>56</v>
      </c>
      <c r="Y106" s="10" t="s">
        <v>57</v>
      </c>
      <c r="Z106" s="75" t="s">
        <v>58</v>
      </c>
      <c r="AA106" s="76"/>
      <c r="AB106" s="77"/>
      <c r="AC106" s="77">
        <v>14496</v>
      </c>
      <c r="AD106" s="10"/>
      <c r="AG106" s="7">
        <v>1939</v>
      </c>
      <c r="AH106" s="7">
        <v>1930</v>
      </c>
      <c r="AI106" s="7"/>
      <c r="AJ106" s="73"/>
      <c r="AK106" s="7"/>
      <c r="AL106" s="16"/>
      <c r="AM106" s="2" t="s">
        <v>59</v>
      </c>
      <c r="AW106" s="6">
        <f t="shared" ca="1" si="3"/>
        <v>87</v>
      </c>
    </row>
    <row r="107" ht="45" customHeight="1">
      <c r="A107" s="69"/>
      <c r="B107" s="3" t="s">
        <v>47</v>
      </c>
      <c r="E107" s="2" t="s">
        <v>83</v>
      </c>
      <c r="F107" s="6" t="s">
        <v>179</v>
      </c>
      <c r="G107" s="5" t="s">
        <v>180</v>
      </c>
      <c r="H107" s="2" t="s">
        <v>51</v>
      </c>
      <c r="I107" s="3" t="s">
        <v>378</v>
      </c>
      <c r="J107" s="7">
        <v>1</v>
      </c>
      <c r="K107" s="70" t="s">
        <v>53</v>
      </c>
      <c r="L107" s="9">
        <v>0</v>
      </c>
      <c r="M107" s="3">
        <v>75</v>
      </c>
      <c r="N107" s="6">
        <v>1938</v>
      </c>
      <c r="P107" s="71"/>
      <c r="R107" s="6">
        <v>1930</v>
      </c>
      <c r="S107" s="3" t="s">
        <v>54</v>
      </c>
      <c r="T107" s="72"/>
      <c r="U107" s="73"/>
      <c r="W107" s="2" t="s">
        <v>379</v>
      </c>
      <c r="X107" s="10" t="s">
        <v>56</v>
      </c>
      <c r="Y107" s="10" t="s">
        <v>57</v>
      </c>
      <c r="Z107" s="75" t="s">
        <v>58</v>
      </c>
      <c r="AA107" s="76"/>
      <c r="AB107" s="77"/>
      <c r="AC107" s="77">
        <v>14496</v>
      </c>
      <c r="AD107" s="10"/>
      <c r="AG107" s="7">
        <v>1939</v>
      </c>
      <c r="AH107" s="7">
        <v>1930</v>
      </c>
      <c r="AI107" s="7"/>
      <c r="AJ107" s="73"/>
      <c r="AK107" s="7"/>
      <c r="AL107" s="16"/>
      <c r="AM107" s="2" t="s">
        <v>59</v>
      </c>
      <c r="AW107" s="6">
        <f t="shared" ca="1" si="3"/>
        <v>87</v>
      </c>
    </row>
    <row r="108" ht="45" customHeight="1">
      <c r="A108" s="69"/>
      <c r="B108" s="3" t="s">
        <v>47</v>
      </c>
      <c r="E108" s="2" t="s">
        <v>83</v>
      </c>
      <c r="F108" s="6" t="s">
        <v>179</v>
      </c>
      <c r="G108" s="5" t="s">
        <v>180</v>
      </c>
      <c r="H108" s="2" t="s">
        <v>51</v>
      </c>
      <c r="I108" s="3" t="s">
        <v>380</v>
      </c>
      <c r="J108" s="7">
        <v>1</v>
      </c>
      <c r="K108" s="70" t="s">
        <v>53</v>
      </c>
      <c r="L108" s="9">
        <v>0</v>
      </c>
      <c r="M108" s="3">
        <v>75</v>
      </c>
      <c r="N108" s="6">
        <v>1938</v>
      </c>
      <c r="P108" s="71"/>
      <c r="R108" s="6">
        <v>1930</v>
      </c>
      <c r="S108" s="3" t="s">
        <v>54</v>
      </c>
      <c r="T108" s="72"/>
      <c r="U108" s="73"/>
      <c r="W108" s="2" t="s">
        <v>381</v>
      </c>
      <c r="X108" s="10" t="s">
        <v>56</v>
      </c>
      <c r="Y108" s="10" t="s">
        <v>57</v>
      </c>
      <c r="Z108" s="75"/>
      <c r="AA108" s="76"/>
      <c r="AB108" s="77"/>
      <c r="AC108" s="77">
        <v>14496</v>
      </c>
      <c r="AD108" s="10"/>
      <c r="AG108" s="7">
        <v>1939</v>
      </c>
      <c r="AH108" s="7">
        <v>1930</v>
      </c>
      <c r="AI108" s="7"/>
      <c r="AJ108" s="73"/>
      <c r="AK108" s="7"/>
      <c r="AL108" s="16"/>
      <c r="AM108" s="2" t="s">
        <v>59</v>
      </c>
      <c r="AW108" s="6">
        <f t="shared" ca="1" si="3"/>
        <v>87</v>
      </c>
    </row>
    <row r="109" ht="45" customHeight="1">
      <c r="A109" s="69"/>
      <c r="B109" s="3" t="s">
        <v>47</v>
      </c>
      <c r="E109" s="2" t="s">
        <v>83</v>
      </c>
      <c r="F109" s="6" t="s">
        <v>179</v>
      </c>
      <c r="G109" s="5" t="s">
        <v>180</v>
      </c>
      <c r="H109" s="2" t="s">
        <v>382</v>
      </c>
      <c r="I109" s="3" t="s">
        <v>383</v>
      </c>
      <c r="J109" s="7">
        <v>1</v>
      </c>
      <c r="K109" s="70" t="s">
        <v>53</v>
      </c>
      <c r="L109" s="9">
        <v>0</v>
      </c>
      <c r="M109" s="3">
        <v>75</v>
      </c>
      <c r="N109" s="6">
        <v>1938</v>
      </c>
      <c r="P109" s="71"/>
      <c r="R109" s="6">
        <v>1930</v>
      </c>
      <c r="S109" s="3" t="s">
        <v>54</v>
      </c>
      <c r="T109" s="72"/>
      <c r="U109" s="73"/>
      <c r="W109" s="2" t="s">
        <v>384</v>
      </c>
      <c r="X109" s="10" t="s">
        <v>91</v>
      </c>
      <c r="Y109" s="10" t="s">
        <v>385</v>
      </c>
      <c r="Z109" s="75"/>
      <c r="AA109" s="76"/>
      <c r="AB109" s="77"/>
      <c r="AC109" s="77">
        <v>14496</v>
      </c>
      <c r="AD109" s="10"/>
      <c r="AG109" s="7">
        <v>1939</v>
      </c>
      <c r="AH109" s="7">
        <v>1930</v>
      </c>
      <c r="AI109" s="7"/>
      <c r="AJ109" s="73"/>
      <c r="AK109" s="7"/>
      <c r="AL109" s="16"/>
      <c r="AM109" s="2" t="s">
        <v>59</v>
      </c>
      <c r="AO109" s="6" t="s">
        <v>59</v>
      </c>
      <c r="AW109" s="6">
        <f t="shared" ca="1" si="3"/>
        <v>87</v>
      </c>
    </row>
    <row r="110" ht="45" customHeight="1">
      <c r="A110" s="69"/>
      <c r="B110" s="3" t="s">
        <v>47</v>
      </c>
      <c r="E110" s="2" t="s">
        <v>83</v>
      </c>
      <c r="F110" s="6" t="s">
        <v>179</v>
      </c>
      <c r="G110" s="5" t="s">
        <v>180</v>
      </c>
      <c r="H110" s="2" t="s">
        <v>51</v>
      </c>
      <c r="I110" s="3" t="s">
        <v>386</v>
      </c>
      <c r="J110" s="7">
        <v>1</v>
      </c>
      <c r="K110" s="70" t="s">
        <v>53</v>
      </c>
      <c r="L110" s="9">
        <v>0</v>
      </c>
      <c r="M110" s="3">
        <v>75</v>
      </c>
      <c r="N110" s="6">
        <v>1938</v>
      </c>
      <c r="P110" s="71"/>
      <c r="R110" s="6">
        <v>1930</v>
      </c>
      <c r="S110" s="3" t="s">
        <v>54</v>
      </c>
      <c r="T110" s="72"/>
      <c r="U110" s="73"/>
      <c r="W110" s="2" t="s">
        <v>387</v>
      </c>
      <c r="X110" s="10" t="s">
        <v>56</v>
      </c>
      <c r="Y110" s="10" t="s">
        <v>57</v>
      </c>
      <c r="Z110" s="75" t="s">
        <v>58</v>
      </c>
      <c r="AA110" s="76"/>
      <c r="AB110" s="77"/>
      <c r="AC110" s="77">
        <v>14496</v>
      </c>
      <c r="AD110" s="10"/>
      <c r="AG110" s="7">
        <v>1939</v>
      </c>
      <c r="AH110" s="7">
        <v>1930</v>
      </c>
      <c r="AI110" s="7"/>
      <c r="AJ110" s="73"/>
      <c r="AK110" s="7"/>
      <c r="AL110" s="16"/>
      <c r="AM110" s="2" t="s">
        <v>59</v>
      </c>
      <c r="AW110" s="6">
        <f t="shared" ca="1" si="3"/>
        <v>87</v>
      </c>
    </row>
    <row r="111" ht="45" customHeight="1">
      <c r="A111" s="69"/>
      <c r="B111" s="3" t="s">
        <v>47</v>
      </c>
      <c r="E111" s="2" t="s">
        <v>83</v>
      </c>
      <c r="F111" s="6" t="s">
        <v>179</v>
      </c>
      <c r="G111" s="5" t="s">
        <v>180</v>
      </c>
      <c r="H111" s="2" t="s">
        <v>51</v>
      </c>
      <c r="I111" s="3" t="s">
        <v>388</v>
      </c>
      <c r="J111" s="7">
        <v>1</v>
      </c>
      <c r="K111" s="70" t="s">
        <v>53</v>
      </c>
      <c r="L111" s="9">
        <v>0</v>
      </c>
      <c r="M111" s="3">
        <v>75</v>
      </c>
      <c r="N111" s="6">
        <v>1938</v>
      </c>
      <c r="P111" s="71"/>
      <c r="R111" s="6">
        <v>1930</v>
      </c>
      <c r="S111" s="3" t="s">
        <v>54</v>
      </c>
      <c r="T111" s="72"/>
      <c r="U111" s="73"/>
      <c r="W111" s="2" t="s">
        <v>389</v>
      </c>
      <c r="X111" s="10" t="s">
        <v>56</v>
      </c>
      <c r="Y111" s="10" t="s">
        <v>57</v>
      </c>
      <c r="Z111" s="75" t="s">
        <v>58</v>
      </c>
      <c r="AA111" s="76"/>
      <c r="AB111" s="77"/>
      <c r="AC111" s="77">
        <v>14496</v>
      </c>
      <c r="AD111" s="10"/>
      <c r="AG111" s="7">
        <v>1939</v>
      </c>
      <c r="AH111" s="7">
        <v>1930</v>
      </c>
      <c r="AI111" s="7"/>
      <c r="AJ111" s="73"/>
      <c r="AK111" s="7"/>
      <c r="AL111" s="16"/>
      <c r="AM111" s="2" t="s">
        <v>59</v>
      </c>
      <c r="AW111" s="6">
        <f t="shared" ca="1" si="3"/>
        <v>87</v>
      </c>
    </row>
    <row r="112" ht="45" customHeight="1">
      <c r="A112" s="69"/>
      <c r="B112" s="3" t="s">
        <v>47</v>
      </c>
      <c r="E112" s="2" t="s">
        <v>83</v>
      </c>
      <c r="F112" s="6" t="s">
        <v>179</v>
      </c>
      <c r="G112" s="5" t="s">
        <v>180</v>
      </c>
      <c r="H112" s="2" t="s">
        <v>51</v>
      </c>
      <c r="I112" s="3" t="s">
        <v>390</v>
      </c>
      <c r="J112" s="7">
        <v>1</v>
      </c>
      <c r="K112" s="70" t="s">
        <v>53</v>
      </c>
      <c r="L112" s="9">
        <v>0</v>
      </c>
      <c r="M112" s="3">
        <v>75</v>
      </c>
      <c r="N112" s="6">
        <v>1938</v>
      </c>
      <c r="P112" s="71"/>
      <c r="R112" s="6">
        <v>1930</v>
      </c>
      <c r="S112" s="3" t="s">
        <v>54</v>
      </c>
      <c r="T112" s="72"/>
      <c r="U112" s="73"/>
      <c r="W112" s="2" t="s">
        <v>391</v>
      </c>
      <c r="X112" s="10" t="s">
        <v>56</v>
      </c>
      <c r="Y112" s="10" t="s">
        <v>57</v>
      </c>
      <c r="Z112" s="75"/>
      <c r="AA112" s="76"/>
      <c r="AB112" s="77"/>
      <c r="AC112" s="77">
        <v>14496</v>
      </c>
      <c r="AD112" s="10"/>
      <c r="AG112" s="7">
        <v>1939</v>
      </c>
      <c r="AH112" s="7">
        <v>1930</v>
      </c>
      <c r="AI112" s="7"/>
      <c r="AJ112" s="73"/>
      <c r="AK112" s="7"/>
      <c r="AL112" s="16"/>
      <c r="AM112" s="2" t="s">
        <v>59</v>
      </c>
      <c r="AW112" s="6">
        <f t="shared" ca="1" si="3"/>
        <v>87</v>
      </c>
    </row>
    <row r="113" ht="45" customHeight="1">
      <c r="A113" s="69"/>
      <c r="B113" s="3" t="s">
        <v>47</v>
      </c>
      <c r="E113" s="2" t="s">
        <v>83</v>
      </c>
      <c r="F113" s="6" t="s">
        <v>179</v>
      </c>
      <c r="G113" s="5" t="s">
        <v>180</v>
      </c>
      <c r="H113" s="2" t="s">
        <v>51</v>
      </c>
      <c r="I113" s="3" t="s">
        <v>392</v>
      </c>
      <c r="J113" s="7">
        <v>1</v>
      </c>
      <c r="K113" s="70" t="s">
        <v>53</v>
      </c>
      <c r="L113" s="9">
        <v>0</v>
      </c>
      <c r="M113" s="3">
        <v>75</v>
      </c>
      <c r="N113" s="6">
        <v>1938</v>
      </c>
      <c r="P113" s="71"/>
      <c r="R113" s="6">
        <v>1930</v>
      </c>
      <c r="S113" s="3" t="s">
        <v>54</v>
      </c>
      <c r="T113" s="72"/>
      <c r="U113" s="73"/>
      <c r="W113" s="2" t="s">
        <v>393</v>
      </c>
      <c r="X113" s="10" t="s">
        <v>56</v>
      </c>
      <c r="Y113" s="10" t="s">
        <v>57</v>
      </c>
      <c r="Z113" s="75" t="s">
        <v>58</v>
      </c>
      <c r="AA113" s="76"/>
      <c r="AB113" s="77"/>
      <c r="AC113" s="77">
        <v>14496</v>
      </c>
      <c r="AD113" s="10"/>
      <c r="AG113" s="7">
        <v>1939</v>
      </c>
      <c r="AH113" s="7">
        <v>1930</v>
      </c>
      <c r="AI113" s="7"/>
      <c r="AJ113" s="73"/>
      <c r="AK113" s="7"/>
      <c r="AL113" s="16"/>
      <c r="AM113" s="2" t="s">
        <v>59</v>
      </c>
      <c r="AW113" s="6">
        <f t="shared" ca="1" si="3"/>
        <v>87</v>
      </c>
    </row>
    <row r="114" ht="45" customHeight="1">
      <c r="A114" s="69"/>
      <c r="B114" s="3" t="s">
        <v>47</v>
      </c>
      <c r="E114" s="2" t="s">
        <v>83</v>
      </c>
      <c r="F114" s="6" t="s">
        <v>179</v>
      </c>
      <c r="G114" s="5" t="s">
        <v>180</v>
      </c>
      <c r="H114" s="2" t="s">
        <v>51</v>
      </c>
      <c r="I114" s="3" t="s">
        <v>394</v>
      </c>
      <c r="J114" s="7">
        <v>1</v>
      </c>
      <c r="K114" s="70" t="s">
        <v>53</v>
      </c>
      <c r="L114" s="9">
        <v>0</v>
      </c>
      <c r="M114" s="3">
        <v>75</v>
      </c>
      <c r="N114" s="6">
        <v>1938</v>
      </c>
      <c r="P114" s="71"/>
      <c r="R114" s="6">
        <v>1930</v>
      </c>
      <c r="S114" s="3" t="s">
        <v>54</v>
      </c>
      <c r="T114" s="72"/>
      <c r="U114" s="73"/>
      <c r="W114" s="2" t="s">
        <v>395</v>
      </c>
      <c r="X114" s="10" t="s">
        <v>56</v>
      </c>
      <c r="Y114" s="10" t="s">
        <v>57</v>
      </c>
      <c r="Z114" s="75" t="s">
        <v>58</v>
      </c>
      <c r="AA114" s="76"/>
      <c r="AB114" s="77"/>
      <c r="AC114" s="77">
        <v>14496</v>
      </c>
      <c r="AD114" s="10"/>
      <c r="AG114" s="7">
        <v>1939</v>
      </c>
      <c r="AH114" s="7">
        <v>1930</v>
      </c>
      <c r="AI114" s="7"/>
      <c r="AJ114" s="73"/>
      <c r="AK114" s="7"/>
      <c r="AL114" s="16"/>
      <c r="AM114" s="2" t="s">
        <v>59</v>
      </c>
      <c r="AW114" s="6">
        <f t="shared" ca="1" si="3"/>
        <v>87</v>
      </c>
    </row>
    <row r="115" ht="45" customHeight="1">
      <c r="A115" s="69"/>
      <c r="B115" s="3" t="s">
        <v>47</v>
      </c>
      <c r="E115" s="2" t="s">
        <v>83</v>
      </c>
      <c r="F115" s="6" t="s">
        <v>179</v>
      </c>
      <c r="G115" s="5" t="s">
        <v>180</v>
      </c>
      <c r="H115" s="2" t="s">
        <v>51</v>
      </c>
      <c r="I115" s="3" t="s">
        <v>396</v>
      </c>
      <c r="J115" s="7">
        <v>1</v>
      </c>
      <c r="K115" s="70" t="s">
        <v>53</v>
      </c>
      <c r="L115" s="9">
        <v>0</v>
      </c>
      <c r="M115" s="3">
        <v>75</v>
      </c>
      <c r="N115" s="6">
        <v>1938</v>
      </c>
      <c r="P115" s="71"/>
      <c r="R115" s="6">
        <v>1930</v>
      </c>
      <c r="S115" s="3" t="s">
        <v>54</v>
      </c>
      <c r="T115" s="72"/>
      <c r="U115" s="73"/>
      <c r="W115" s="2" t="s">
        <v>397</v>
      </c>
      <c r="X115" s="10" t="s">
        <v>56</v>
      </c>
      <c r="Y115" s="10" t="s">
        <v>57</v>
      </c>
      <c r="Z115" s="75" t="s">
        <v>58</v>
      </c>
      <c r="AA115" s="76"/>
      <c r="AB115" s="77"/>
      <c r="AC115" s="77">
        <v>14496</v>
      </c>
      <c r="AD115" s="10"/>
      <c r="AG115" s="7">
        <v>1939</v>
      </c>
      <c r="AH115" s="7">
        <v>1930</v>
      </c>
      <c r="AI115" s="7"/>
      <c r="AJ115" s="73"/>
      <c r="AK115" s="7"/>
      <c r="AL115" s="16"/>
      <c r="AM115" s="2" t="s">
        <v>59</v>
      </c>
      <c r="AW115" s="6">
        <f t="shared" ca="1" si="3"/>
        <v>87</v>
      </c>
    </row>
    <row r="116" ht="45" customHeight="1">
      <c r="A116" s="69"/>
      <c r="B116" s="3" t="s">
        <v>47</v>
      </c>
      <c r="E116" s="2" t="s">
        <v>83</v>
      </c>
      <c r="F116" s="6" t="s">
        <v>179</v>
      </c>
      <c r="G116" s="5" t="s">
        <v>180</v>
      </c>
      <c r="H116" s="2" t="s">
        <v>51</v>
      </c>
      <c r="I116" s="3" t="s">
        <v>398</v>
      </c>
      <c r="J116" s="7">
        <v>1</v>
      </c>
      <c r="K116" s="70" t="s">
        <v>53</v>
      </c>
      <c r="L116" s="9">
        <v>0</v>
      </c>
      <c r="M116" s="3">
        <v>75</v>
      </c>
      <c r="N116" s="6">
        <v>1938</v>
      </c>
      <c r="P116" s="71"/>
      <c r="R116" s="6">
        <v>1930</v>
      </c>
      <c r="S116" s="3" t="s">
        <v>54</v>
      </c>
      <c r="T116" s="72"/>
      <c r="U116" s="73"/>
      <c r="W116" s="2" t="s">
        <v>399</v>
      </c>
      <c r="X116" s="10" t="s">
        <v>56</v>
      </c>
      <c r="Y116" s="10" t="s">
        <v>57</v>
      </c>
      <c r="Z116" s="75"/>
      <c r="AA116" s="76"/>
      <c r="AB116" s="77"/>
      <c r="AC116" s="77">
        <v>14496</v>
      </c>
      <c r="AD116" s="10"/>
      <c r="AG116" s="7">
        <v>1939</v>
      </c>
      <c r="AH116" s="7">
        <v>1930</v>
      </c>
      <c r="AI116" s="7"/>
      <c r="AJ116" s="73"/>
      <c r="AK116" s="7"/>
      <c r="AL116" s="16"/>
      <c r="AM116" s="2" t="s">
        <v>59</v>
      </c>
      <c r="AW116" s="6">
        <f t="shared" ca="1" si="3"/>
        <v>87</v>
      </c>
    </row>
    <row r="117" ht="45" customHeight="1" outlineLevel="1">
      <c r="A117" s="69"/>
      <c r="B117" s="3" t="s">
        <v>47</v>
      </c>
      <c r="E117" s="2" t="s">
        <v>83</v>
      </c>
      <c r="F117" s="6" t="s">
        <v>179</v>
      </c>
      <c r="G117" s="5" t="s">
        <v>180</v>
      </c>
      <c r="H117" s="2" t="s">
        <v>51</v>
      </c>
      <c r="I117" s="3" t="s">
        <v>400</v>
      </c>
      <c r="J117" s="7">
        <v>1</v>
      </c>
      <c r="K117" s="70" t="s">
        <v>53</v>
      </c>
      <c r="L117" s="9">
        <v>0</v>
      </c>
      <c r="M117" s="3">
        <v>75</v>
      </c>
      <c r="N117" s="6">
        <v>1938</v>
      </c>
      <c r="P117" s="71"/>
      <c r="R117" s="6">
        <v>1930</v>
      </c>
      <c r="S117" s="3" t="s">
        <v>54</v>
      </c>
      <c r="T117" s="72"/>
      <c r="U117" s="73"/>
      <c r="W117" s="2" t="s">
        <v>401</v>
      </c>
      <c r="X117" s="10" t="s">
        <v>56</v>
      </c>
      <c r="Y117" s="10" t="s">
        <v>57</v>
      </c>
      <c r="Z117" s="75" t="s">
        <v>58</v>
      </c>
      <c r="AA117" s="76"/>
      <c r="AB117" s="77"/>
      <c r="AC117" s="77">
        <v>14496</v>
      </c>
      <c r="AD117" s="10"/>
      <c r="AG117" s="7">
        <v>1939</v>
      </c>
      <c r="AH117" s="7">
        <v>1930</v>
      </c>
      <c r="AI117" s="7"/>
      <c r="AJ117" s="73"/>
      <c r="AK117" s="7"/>
      <c r="AL117" s="16"/>
      <c r="AM117" s="2" t="s">
        <v>59</v>
      </c>
      <c r="AW117" s="6">
        <f t="shared" ca="1" si="3"/>
        <v>87</v>
      </c>
    </row>
    <row r="118" ht="45" customHeight="1" outlineLevel="1">
      <c r="A118" s="69"/>
      <c r="B118" s="3" t="s">
        <v>47</v>
      </c>
      <c r="E118" s="2" t="s">
        <v>83</v>
      </c>
      <c r="F118" s="6" t="s">
        <v>179</v>
      </c>
      <c r="G118" s="5" t="s">
        <v>180</v>
      </c>
      <c r="H118" s="2" t="s">
        <v>51</v>
      </c>
      <c r="I118" s="3" t="s">
        <v>402</v>
      </c>
      <c r="J118" s="7">
        <v>1</v>
      </c>
      <c r="K118" s="70" t="s">
        <v>53</v>
      </c>
      <c r="L118" s="9">
        <v>0</v>
      </c>
      <c r="M118" s="3">
        <v>75</v>
      </c>
      <c r="N118" s="6">
        <v>1938</v>
      </c>
      <c r="P118" s="71"/>
      <c r="R118" s="6">
        <v>1930</v>
      </c>
      <c r="S118" s="3" t="s">
        <v>54</v>
      </c>
      <c r="T118" s="72"/>
      <c r="U118" s="73"/>
      <c r="W118" s="2" t="s">
        <v>403</v>
      </c>
      <c r="X118" s="10" t="s">
        <v>56</v>
      </c>
      <c r="Y118" s="10" t="s">
        <v>57</v>
      </c>
      <c r="Z118" s="75" t="s">
        <v>58</v>
      </c>
      <c r="AA118" s="76"/>
      <c r="AB118" s="77"/>
      <c r="AC118" s="77">
        <v>14496</v>
      </c>
      <c r="AD118" s="10"/>
      <c r="AG118" s="7">
        <v>1939</v>
      </c>
      <c r="AH118" s="7">
        <v>1930</v>
      </c>
      <c r="AI118" s="7"/>
      <c r="AJ118" s="73"/>
      <c r="AK118" s="7"/>
      <c r="AL118" s="16"/>
      <c r="AM118" s="2" t="s">
        <v>59</v>
      </c>
      <c r="AW118" s="6">
        <f t="shared" ca="1" si="3"/>
        <v>87</v>
      </c>
    </row>
    <row r="119" ht="45" customHeight="1">
      <c r="A119" s="69"/>
      <c r="B119" s="3" t="s">
        <v>47</v>
      </c>
      <c r="E119" s="2" t="s">
        <v>83</v>
      </c>
      <c r="F119" s="6" t="s">
        <v>179</v>
      </c>
      <c r="G119" s="5" t="s">
        <v>180</v>
      </c>
      <c r="H119" s="2" t="s">
        <v>51</v>
      </c>
      <c r="I119" s="3" t="s">
        <v>404</v>
      </c>
      <c r="J119" s="7">
        <v>1</v>
      </c>
      <c r="K119" s="70" t="s">
        <v>53</v>
      </c>
      <c r="L119" s="9">
        <v>0</v>
      </c>
      <c r="M119" s="3">
        <v>75</v>
      </c>
      <c r="N119" s="6">
        <v>1938</v>
      </c>
      <c r="P119" s="71"/>
      <c r="R119" s="6">
        <v>1930</v>
      </c>
      <c r="S119" s="3" t="s">
        <v>54</v>
      </c>
      <c r="T119" s="72"/>
      <c r="U119" s="73"/>
      <c r="W119" s="2" t="s">
        <v>405</v>
      </c>
      <c r="X119" s="10" t="s">
        <v>56</v>
      </c>
      <c r="Y119" s="10" t="s">
        <v>57</v>
      </c>
      <c r="Z119" s="75" t="s">
        <v>58</v>
      </c>
      <c r="AA119" s="76"/>
      <c r="AB119" s="77"/>
      <c r="AC119" s="77">
        <v>14496</v>
      </c>
      <c r="AD119" s="10"/>
      <c r="AG119" s="7">
        <v>1939</v>
      </c>
      <c r="AH119" s="7">
        <v>1930</v>
      </c>
      <c r="AI119" s="7"/>
      <c r="AJ119" s="73"/>
      <c r="AK119" s="7"/>
      <c r="AL119" s="16"/>
      <c r="AM119" s="2" t="s">
        <v>59</v>
      </c>
      <c r="AW119" s="6">
        <f t="shared" ca="1" si="3"/>
        <v>87</v>
      </c>
    </row>
    <row r="120" ht="45" customHeight="1">
      <c r="A120" s="69"/>
      <c r="B120" s="3" t="s">
        <v>47</v>
      </c>
      <c r="E120" s="2" t="s">
        <v>83</v>
      </c>
      <c r="F120" s="6" t="s">
        <v>179</v>
      </c>
      <c r="G120" s="5" t="s">
        <v>180</v>
      </c>
      <c r="H120" s="2" t="s">
        <v>51</v>
      </c>
      <c r="I120" s="3" t="s">
        <v>406</v>
      </c>
      <c r="J120" s="7">
        <v>1</v>
      </c>
      <c r="K120" s="70" t="s">
        <v>53</v>
      </c>
      <c r="L120" s="9">
        <v>0</v>
      </c>
      <c r="M120" s="3">
        <v>75</v>
      </c>
      <c r="N120" s="6">
        <v>1938</v>
      </c>
      <c r="P120" s="71"/>
      <c r="R120" s="6">
        <v>1930</v>
      </c>
      <c r="S120" s="3" t="s">
        <v>54</v>
      </c>
      <c r="T120" s="72"/>
      <c r="U120" s="73"/>
      <c r="W120" s="2" t="s">
        <v>407</v>
      </c>
      <c r="X120" s="10" t="s">
        <v>56</v>
      </c>
      <c r="Y120" s="10" t="s">
        <v>57</v>
      </c>
      <c r="Z120" s="75" t="s">
        <v>58</v>
      </c>
      <c r="AA120" s="76"/>
      <c r="AB120" s="77"/>
      <c r="AC120" s="77">
        <v>14496</v>
      </c>
      <c r="AD120" s="10"/>
      <c r="AG120" s="7">
        <v>1939</v>
      </c>
      <c r="AH120" s="7">
        <v>1930</v>
      </c>
      <c r="AI120" s="7"/>
      <c r="AJ120" s="73"/>
      <c r="AK120" s="7"/>
      <c r="AL120" s="16"/>
      <c r="AM120" s="2" t="s">
        <v>59</v>
      </c>
      <c r="AW120" s="6">
        <f t="shared" ca="1" si="3"/>
        <v>87</v>
      </c>
    </row>
    <row r="121" ht="45" customHeight="1">
      <c r="A121" s="69"/>
      <c r="B121" s="3" t="s">
        <v>47</v>
      </c>
      <c r="E121" s="2" t="s">
        <v>83</v>
      </c>
      <c r="F121" s="6" t="s">
        <v>179</v>
      </c>
      <c r="G121" s="5" t="s">
        <v>180</v>
      </c>
      <c r="H121" s="2" t="s">
        <v>51</v>
      </c>
      <c r="I121" s="3" t="s">
        <v>408</v>
      </c>
      <c r="J121" s="7">
        <v>1</v>
      </c>
      <c r="K121" s="70" t="s">
        <v>53</v>
      </c>
      <c r="L121" s="9">
        <v>0</v>
      </c>
      <c r="M121" s="3">
        <v>75</v>
      </c>
      <c r="N121" s="6">
        <v>1938</v>
      </c>
      <c r="P121" s="71"/>
      <c r="R121" s="6">
        <v>1930</v>
      </c>
      <c r="S121" s="3" t="s">
        <v>54</v>
      </c>
      <c r="T121" s="72"/>
      <c r="U121" s="73"/>
      <c r="W121" s="2" t="s">
        <v>409</v>
      </c>
      <c r="X121" s="10" t="s">
        <v>56</v>
      </c>
      <c r="Y121" s="10" t="s">
        <v>57</v>
      </c>
      <c r="Z121" s="75" t="s">
        <v>58</v>
      </c>
      <c r="AA121" s="76"/>
      <c r="AB121" s="77"/>
      <c r="AC121" s="77">
        <v>14496</v>
      </c>
      <c r="AD121" s="10"/>
      <c r="AG121" s="7">
        <v>1939</v>
      </c>
      <c r="AH121" s="7">
        <v>1930</v>
      </c>
      <c r="AI121" s="7"/>
      <c r="AJ121" s="73"/>
      <c r="AK121" s="7"/>
      <c r="AL121" s="16"/>
      <c r="AM121" s="2" t="s">
        <v>59</v>
      </c>
      <c r="AW121" s="6">
        <f t="shared" ca="1" si="3"/>
        <v>87</v>
      </c>
    </row>
    <row r="122" ht="45" customHeight="1">
      <c r="A122" s="69"/>
      <c r="B122" s="3" t="s">
        <v>47</v>
      </c>
      <c r="E122" s="2" t="s">
        <v>83</v>
      </c>
      <c r="F122" s="6" t="s">
        <v>179</v>
      </c>
      <c r="G122" s="5" t="s">
        <v>180</v>
      </c>
      <c r="H122" s="2" t="s">
        <v>51</v>
      </c>
      <c r="I122" s="3" t="s">
        <v>410</v>
      </c>
      <c r="J122" s="7">
        <v>1</v>
      </c>
      <c r="K122" s="70" t="s">
        <v>53</v>
      </c>
      <c r="L122" s="9">
        <v>0</v>
      </c>
      <c r="M122" s="3">
        <v>75</v>
      </c>
      <c r="N122" s="6">
        <v>1938</v>
      </c>
      <c r="P122" s="71"/>
      <c r="R122" s="6">
        <v>1930</v>
      </c>
      <c r="S122" s="3" t="s">
        <v>54</v>
      </c>
      <c r="T122" s="72"/>
      <c r="U122" s="73"/>
      <c r="W122" s="2" t="s">
        <v>411</v>
      </c>
      <c r="X122" s="10" t="s">
        <v>56</v>
      </c>
      <c r="Y122" s="10" t="s">
        <v>57</v>
      </c>
      <c r="Z122" s="75"/>
      <c r="AA122" s="76"/>
      <c r="AB122" s="77"/>
      <c r="AC122" s="77">
        <v>14496</v>
      </c>
      <c r="AD122" s="10"/>
      <c r="AG122" s="7">
        <v>1939</v>
      </c>
      <c r="AH122" s="7">
        <v>1930</v>
      </c>
      <c r="AI122" s="7"/>
      <c r="AJ122" s="73"/>
      <c r="AK122" s="7"/>
      <c r="AL122" s="16"/>
      <c r="AM122" s="2" t="s">
        <v>59</v>
      </c>
      <c r="AW122" s="6">
        <f t="shared" ca="1" si="3"/>
        <v>87</v>
      </c>
    </row>
    <row r="123" ht="45" customHeight="1">
      <c r="A123" s="69"/>
      <c r="B123" s="3" t="s">
        <v>47</v>
      </c>
      <c r="E123" s="2" t="s">
        <v>83</v>
      </c>
      <c r="F123" s="6" t="s">
        <v>179</v>
      </c>
      <c r="G123" s="5" t="s">
        <v>180</v>
      </c>
      <c r="H123" s="2" t="s">
        <v>51</v>
      </c>
      <c r="I123" s="3" t="s">
        <v>412</v>
      </c>
      <c r="J123" s="7">
        <v>1</v>
      </c>
      <c r="K123" s="70" t="s">
        <v>53</v>
      </c>
      <c r="L123" s="9">
        <v>0</v>
      </c>
      <c r="M123" s="3">
        <v>75</v>
      </c>
      <c r="N123" s="6">
        <v>1938</v>
      </c>
      <c r="P123" s="71"/>
      <c r="R123" s="6">
        <v>1930</v>
      </c>
      <c r="S123" s="3" t="s">
        <v>54</v>
      </c>
      <c r="T123" s="72"/>
      <c r="U123" s="73"/>
      <c r="W123" s="2" t="s">
        <v>413</v>
      </c>
      <c r="X123" s="10" t="s">
        <v>56</v>
      </c>
      <c r="Y123" s="10" t="s">
        <v>57</v>
      </c>
      <c r="Z123" s="75"/>
      <c r="AA123" s="76"/>
      <c r="AB123" s="77"/>
      <c r="AC123" s="77">
        <v>14496</v>
      </c>
      <c r="AD123" s="10"/>
      <c r="AG123" s="7">
        <v>1939</v>
      </c>
      <c r="AH123" s="7">
        <v>1930</v>
      </c>
      <c r="AI123" s="7"/>
      <c r="AJ123" s="73"/>
      <c r="AK123" s="7"/>
      <c r="AL123" s="16"/>
      <c r="AM123" s="2" t="s">
        <v>59</v>
      </c>
      <c r="AW123" s="6">
        <f t="shared" ca="1" si="3"/>
        <v>87</v>
      </c>
    </row>
    <row r="124" ht="45" customHeight="1">
      <c r="A124" s="69"/>
      <c r="B124" s="3" t="s">
        <v>47</v>
      </c>
      <c r="E124" s="2" t="s">
        <v>83</v>
      </c>
      <c r="F124" s="6" t="s">
        <v>179</v>
      </c>
      <c r="G124" s="5" t="s">
        <v>180</v>
      </c>
      <c r="H124" s="2" t="s">
        <v>51</v>
      </c>
      <c r="I124" s="3" t="s">
        <v>414</v>
      </c>
      <c r="J124" s="7">
        <v>1</v>
      </c>
      <c r="K124" s="70" t="s">
        <v>53</v>
      </c>
      <c r="L124" s="9">
        <v>0</v>
      </c>
      <c r="M124" s="3">
        <v>75</v>
      </c>
      <c r="N124" s="6">
        <v>1938</v>
      </c>
      <c r="P124" s="71"/>
      <c r="R124" s="6">
        <v>1930</v>
      </c>
      <c r="S124" s="3" t="s">
        <v>54</v>
      </c>
      <c r="T124" s="72"/>
      <c r="U124" s="73"/>
      <c r="W124" s="2" t="s">
        <v>415</v>
      </c>
      <c r="X124" s="10" t="s">
        <v>56</v>
      </c>
      <c r="Y124" s="10" t="s">
        <v>57</v>
      </c>
      <c r="Z124" s="75" t="s">
        <v>58</v>
      </c>
      <c r="AA124" s="76"/>
      <c r="AB124" s="77"/>
      <c r="AC124" s="77">
        <v>14496</v>
      </c>
      <c r="AD124" s="10"/>
      <c r="AG124" s="7">
        <v>1939</v>
      </c>
      <c r="AH124" s="7">
        <v>1930</v>
      </c>
      <c r="AI124" s="7"/>
      <c r="AJ124" s="73"/>
      <c r="AK124" s="7"/>
      <c r="AL124" s="16"/>
      <c r="AM124" s="2" t="s">
        <v>59</v>
      </c>
      <c r="AW124" s="6">
        <f t="shared" ca="1" si="3"/>
        <v>87</v>
      </c>
    </row>
    <row r="125" ht="45" customHeight="1">
      <c r="A125" s="69"/>
      <c r="B125" s="3" t="s">
        <v>47</v>
      </c>
      <c r="E125" s="2" t="s">
        <v>83</v>
      </c>
      <c r="F125" s="6" t="s">
        <v>179</v>
      </c>
      <c r="G125" s="5" t="s">
        <v>180</v>
      </c>
      <c r="H125" s="2" t="s">
        <v>51</v>
      </c>
      <c r="I125" s="3" t="s">
        <v>416</v>
      </c>
      <c r="J125" s="7">
        <v>1</v>
      </c>
      <c r="K125" s="70" t="s">
        <v>53</v>
      </c>
      <c r="L125" s="9">
        <v>0</v>
      </c>
      <c r="M125" s="3">
        <v>75</v>
      </c>
      <c r="N125" s="6">
        <v>1938</v>
      </c>
      <c r="P125" s="71"/>
      <c r="R125" s="6">
        <v>1930</v>
      </c>
      <c r="S125" s="3" t="s">
        <v>54</v>
      </c>
      <c r="T125" s="72"/>
      <c r="U125" s="73"/>
      <c r="W125" s="2" t="s">
        <v>417</v>
      </c>
      <c r="X125" s="10" t="s">
        <v>56</v>
      </c>
      <c r="Y125" s="10" t="s">
        <v>57</v>
      </c>
      <c r="Z125" s="75" t="s">
        <v>58</v>
      </c>
      <c r="AA125" s="76"/>
      <c r="AB125" s="77"/>
      <c r="AC125" s="77">
        <v>14496</v>
      </c>
      <c r="AD125" s="10"/>
      <c r="AG125" s="7">
        <v>1939</v>
      </c>
      <c r="AH125" s="7">
        <v>1930</v>
      </c>
      <c r="AI125" s="7"/>
      <c r="AJ125" s="73"/>
      <c r="AK125" s="7"/>
      <c r="AL125" s="16"/>
      <c r="AM125" s="2" t="s">
        <v>59</v>
      </c>
      <c r="AW125" s="6">
        <f t="shared" ca="1" si="3"/>
        <v>87</v>
      </c>
    </row>
    <row r="126" ht="45" customHeight="1" outlineLevel="1">
      <c r="A126" s="69"/>
      <c r="B126" s="3" t="s">
        <v>47</v>
      </c>
      <c r="E126" s="2" t="s">
        <v>83</v>
      </c>
      <c r="F126" s="6" t="s">
        <v>179</v>
      </c>
      <c r="G126" s="5" t="s">
        <v>180</v>
      </c>
      <c r="H126" s="2" t="s">
        <v>51</v>
      </c>
      <c r="I126" s="3" t="s">
        <v>418</v>
      </c>
      <c r="J126" s="7">
        <v>1</v>
      </c>
      <c r="K126" s="70" t="s">
        <v>53</v>
      </c>
      <c r="L126" s="9">
        <v>0</v>
      </c>
      <c r="M126" s="3">
        <v>75</v>
      </c>
      <c r="N126" s="6">
        <v>1938</v>
      </c>
      <c r="P126" s="71"/>
      <c r="R126" s="6">
        <v>1930</v>
      </c>
      <c r="S126" s="3" t="s">
        <v>54</v>
      </c>
      <c r="T126" s="72"/>
      <c r="U126" s="73"/>
      <c r="W126" s="2" t="s">
        <v>419</v>
      </c>
      <c r="X126" s="10" t="s">
        <v>56</v>
      </c>
      <c r="Y126" s="10" t="s">
        <v>57</v>
      </c>
      <c r="Z126" s="75" t="s">
        <v>58</v>
      </c>
      <c r="AA126" s="76"/>
      <c r="AB126" s="77"/>
      <c r="AC126" s="77">
        <v>14496</v>
      </c>
      <c r="AD126" s="10"/>
      <c r="AG126" s="7">
        <v>1939</v>
      </c>
      <c r="AH126" s="7">
        <v>1930</v>
      </c>
      <c r="AI126" s="7"/>
      <c r="AJ126" s="73"/>
      <c r="AK126" s="7"/>
      <c r="AL126" s="16"/>
      <c r="AM126" s="2" t="s">
        <v>59</v>
      </c>
      <c r="AW126" s="6">
        <f t="shared" ca="1" si="3"/>
        <v>87</v>
      </c>
    </row>
    <row r="127" ht="45" customHeight="1" outlineLevel="1">
      <c r="A127" s="69"/>
      <c r="B127" s="3" t="s">
        <v>47</v>
      </c>
      <c r="E127" s="2" t="s">
        <v>83</v>
      </c>
      <c r="F127" s="6" t="s">
        <v>179</v>
      </c>
      <c r="G127" s="5" t="s">
        <v>180</v>
      </c>
      <c r="H127" s="2" t="s">
        <v>51</v>
      </c>
      <c r="I127" s="3" t="s">
        <v>420</v>
      </c>
      <c r="J127" s="7">
        <v>1</v>
      </c>
      <c r="K127" s="70" t="s">
        <v>53</v>
      </c>
      <c r="L127" s="9">
        <v>0</v>
      </c>
      <c r="M127" s="3">
        <v>75</v>
      </c>
      <c r="N127" s="6">
        <v>1938</v>
      </c>
      <c r="P127" s="71"/>
      <c r="R127" s="6">
        <v>1930</v>
      </c>
      <c r="S127" s="3" t="s">
        <v>54</v>
      </c>
      <c r="T127" s="72"/>
      <c r="U127" s="73"/>
      <c r="W127" s="2" t="s">
        <v>421</v>
      </c>
      <c r="X127" s="10" t="s">
        <v>56</v>
      </c>
      <c r="Y127" s="10" t="s">
        <v>57</v>
      </c>
      <c r="Z127" s="75" t="s">
        <v>58</v>
      </c>
      <c r="AA127" s="76"/>
      <c r="AB127" s="77"/>
      <c r="AC127" s="77">
        <v>14496</v>
      </c>
      <c r="AD127" s="10"/>
      <c r="AG127" s="7">
        <v>1939</v>
      </c>
      <c r="AH127" s="7">
        <v>1930</v>
      </c>
      <c r="AI127" s="7"/>
      <c r="AJ127" s="73"/>
      <c r="AK127" s="7"/>
      <c r="AL127" s="16"/>
      <c r="AM127" s="2" t="s">
        <v>59</v>
      </c>
      <c r="AW127" s="6">
        <f t="shared" ca="1" si="3"/>
        <v>87</v>
      </c>
    </row>
    <row r="128" ht="45" customHeight="1">
      <c r="A128" s="69"/>
      <c r="B128" s="3" t="s">
        <v>47</v>
      </c>
      <c r="E128" s="2" t="s">
        <v>83</v>
      </c>
      <c r="F128" s="6" t="s">
        <v>179</v>
      </c>
      <c r="G128" s="5" t="s">
        <v>180</v>
      </c>
      <c r="H128" s="2" t="s">
        <v>51</v>
      </c>
      <c r="I128" s="3" t="s">
        <v>422</v>
      </c>
      <c r="J128" s="7">
        <v>1</v>
      </c>
      <c r="K128" s="70" t="s">
        <v>53</v>
      </c>
      <c r="L128" s="9">
        <v>0</v>
      </c>
      <c r="M128" s="3">
        <v>75</v>
      </c>
      <c r="N128" s="6">
        <v>1938</v>
      </c>
      <c r="P128" s="71"/>
      <c r="R128" s="6">
        <v>1930</v>
      </c>
      <c r="S128" s="3" t="s">
        <v>54</v>
      </c>
      <c r="T128" s="72"/>
      <c r="U128" s="73"/>
      <c r="W128" s="2" t="s">
        <v>423</v>
      </c>
      <c r="X128" s="10" t="s">
        <v>56</v>
      </c>
      <c r="Y128" s="10" t="s">
        <v>57</v>
      </c>
      <c r="Z128" s="75" t="s">
        <v>58</v>
      </c>
      <c r="AA128" s="76"/>
      <c r="AB128" s="77"/>
      <c r="AC128" s="77">
        <v>14496</v>
      </c>
      <c r="AD128" s="10"/>
      <c r="AG128" s="7">
        <v>1939</v>
      </c>
      <c r="AH128" s="7">
        <v>1930</v>
      </c>
      <c r="AI128" s="7"/>
      <c r="AJ128" s="73"/>
      <c r="AK128" s="7"/>
      <c r="AL128" s="16"/>
      <c r="AM128" s="2" t="s">
        <v>59</v>
      </c>
      <c r="AW128" s="6">
        <f t="shared" ca="1" si="3"/>
        <v>87</v>
      </c>
    </row>
    <row r="129" ht="45" customHeight="1">
      <c r="A129" s="69"/>
      <c r="B129" s="3" t="s">
        <v>47</v>
      </c>
      <c r="E129" s="2" t="s">
        <v>83</v>
      </c>
      <c r="F129" s="6" t="s">
        <v>84</v>
      </c>
      <c r="G129" s="5" t="s">
        <v>85</v>
      </c>
      <c r="H129" s="2" t="s">
        <v>57</v>
      </c>
      <c r="I129" s="3" t="s">
        <v>424</v>
      </c>
      <c r="J129" s="7">
        <v>1</v>
      </c>
      <c r="K129" s="70" t="s">
        <v>53</v>
      </c>
      <c r="L129" s="9">
        <v>1</v>
      </c>
      <c r="M129" s="3">
        <v>76</v>
      </c>
      <c r="N129" s="6">
        <v>1938</v>
      </c>
      <c r="P129" s="71"/>
      <c r="R129" s="6">
        <v>1930</v>
      </c>
      <c r="S129" s="3" t="s">
        <v>54</v>
      </c>
      <c r="T129" s="72"/>
      <c r="U129" s="73"/>
      <c r="W129" s="2" t="s">
        <v>425</v>
      </c>
      <c r="X129" s="10" t="s">
        <v>56</v>
      </c>
      <c r="Y129" s="10" t="s">
        <v>57</v>
      </c>
      <c r="Z129" s="75"/>
      <c r="AA129" s="76"/>
      <c r="AB129" s="77"/>
      <c r="AC129" s="77">
        <v>14005</v>
      </c>
      <c r="AD129" s="10"/>
      <c r="AG129" s="7">
        <v>1938</v>
      </c>
      <c r="AH129" s="7">
        <v>1930</v>
      </c>
      <c r="AI129" s="7"/>
      <c r="AJ129" s="73"/>
      <c r="AK129" s="7"/>
      <c r="AL129" s="16"/>
      <c r="AM129" s="2" t="s">
        <v>59</v>
      </c>
      <c r="AW129" s="6">
        <f t="shared" ca="1" si="3"/>
        <v>87</v>
      </c>
    </row>
    <row r="130" ht="45" customHeight="1">
      <c r="A130" s="69"/>
      <c r="B130" s="3" t="s">
        <v>47</v>
      </c>
      <c r="E130" s="2" t="s">
        <v>83</v>
      </c>
      <c r="F130" s="6" t="s">
        <v>84</v>
      </c>
      <c r="G130" s="5" t="s">
        <v>85</v>
      </c>
      <c r="H130" s="2" t="s">
        <v>88</v>
      </c>
      <c r="I130" s="3" t="s">
        <v>426</v>
      </c>
      <c r="J130" s="7">
        <v>1</v>
      </c>
      <c r="K130" s="70" t="s">
        <v>53</v>
      </c>
      <c r="L130" s="9">
        <v>1</v>
      </c>
      <c r="M130" s="3">
        <v>77</v>
      </c>
      <c r="N130" s="6">
        <v>1938</v>
      </c>
      <c r="P130" s="71"/>
      <c r="R130" s="6">
        <v>1930</v>
      </c>
      <c r="S130" s="3" t="s">
        <v>54</v>
      </c>
      <c r="T130" s="72"/>
      <c r="U130" s="73"/>
      <c r="W130" s="2" t="s">
        <v>427</v>
      </c>
      <c r="X130" s="10" t="s">
        <v>213</v>
      </c>
      <c r="Y130" s="10" t="s">
        <v>214</v>
      </c>
      <c r="Z130" s="75"/>
      <c r="AA130" s="76">
        <v>17637</v>
      </c>
      <c r="AB130" s="77"/>
      <c r="AC130" s="77"/>
      <c r="AD130" s="6"/>
      <c r="AG130" s="7">
        <v>1948</v>
      </c>
      <c r="AH130" s="7">
        <v>1940</v>
      </c>
      <c r="AI130" s="7"/>
      <c r="AJ130" s="73"/>
      <c r="AK130" s="7"/>
      <c r="AM130" s="2" t="s">
        <v>59</v>
      </c>
      <c r="AO130" s="6" t="s">
        <v>59</v>
      </c>
      <c r="AW130" s="6">
        <f t="shared" ca="1" si="3"/>
        <v>87</v>
      </c>
    </row>
    <row r="131" ht="45" customHeight="1">
      <c r="A131" s="69"/>
      <c r="B131" s="3" t="s">
        <v>47</v>
      </c>
      <c r="E131" s="2" t="s">
        <v>63</v>
      </c>
      <c r="F131" s="6" t="s">
        <v>428</v>
      </c>
      <c r="G131" s="5" t="s">
        <v>429</v>
      </c>
      <c r="H131" s="2" t="s">
        <v>88</v>
      </c>
      <c r="I131" s="3" t="s">
        <v>430</v>
      </c>
      <c r="J131" s="7">
        <v>1</v>
      </c>
      <c r="K131" s="70" t="s">
        <v>53</v>
      </c>
      <c r="L131" s="9">
        <v>1</v>
      </c>
      <c r="M131" s="3">
        <v>78</v>
      </c>
      <c r="N131" s="6">
        <v>1938</v>
      </c>
      <c r="P131" s="71"/>
      <c r="R131" s="6">
        <v>1930</v>
      </c>
      <c r="S131" s="3" t="s">
        <v>54</v>
      </c>
      <c r="T131" s="72"/>
      <c r="U131" s="73"/>
      <c r="W131" s="2" t="s">
        <v>431</v>
      </c>
      <c r="X131" s="10" t="s">
        <v>213</v>
      </c>
      <c r="Y131" s="10" t="s">
        <v>214</v>
      </c>
      <c r="Z131" s="75"/>
      <c r="AA131" s="76">
        <v>15003</v>
      </c>
      <c r="AB131" s="77"/>
      <c r="AC131" s="77"/>
      <c r="AD131" s="6"/>
      <c r="AG131" s="7">
        <v>1941</v>
      </c>
      <c r="AH131" s="7">
        <v>1940</v>
      </c>
      <c r="AI131" s="7"/>
      <c r="AJ131" s="73"/>
      <c r="AK131" s="7"/>
      <c r="AM131" s="2" t="s">
        <v>59</v>
      </c>
      <c r="AO131" s="6" t="s">
        <v>59</v>
      </c>
      <c r="AW131" s="6">
        <f t="shared" ca="1" si="3"/>
        <v>87</v>
      </c>
    </row>
    <row r="132" ht="45" customHeight="1" outlineLevel="1">
      <c r="A132" s="69"/>
      <c r="B132" s="3" t="s">
        <v>47</v>
      </c>
      <c r="E132" s="78" t="s">
        <v>63</v>
      </c>
      <c r="F132" s="79" t="s">
        <v>172</v>
      </c>
      <c r="G132" s="80" t="s">
        <v>173</v>
      </c>
      <c r="H132" s="78" t="s">
        <v>51</v>
      </c>
      <c r="I132" s="81" t="s">
        <v>432</v>
      </c>
      <c r="J132" s="7">
        <v>1</v>
      </c>
      <c r="K132" s="70" t="s">
        <v>53</v>
      </c>
      <c r="L132" s="9">
        <v>1</v>
      </c>
      <c r="M132" s="3">
        <v>79</v>
      </c>
      <c r="N132" s="6">
        <v>1938</v>
      </c>
      <c r="P132" s="71"/>
      <c r="R132" s="6">
        <v>1930</v>
      </c>
      <c r="S132" s="3" t="s">
        <v>54</v>
      </c>
      <c r="T132" s="72"/>
      <c r="U132" s="73"/>
      <c r="W132" s="78" t="s">
        <v>433</v>
      </c>
      <c r="X132" s="82" t="s">
        <v>56</v>
      </c>
      <c r="Y132" s="82" t="s">
        <v>57</v>
      </c>
      <c r="Z132" s="83" t="s">
        <v>58</v>
      </c>
      <c r="AA132" s="76"/>
      <c r="AB132" s="77"/>
      <c r="AC132" s="77">
        <v>14058</v>
      </c>
      <c r="AD132" s="10"/>
      <c r="AG132" s="7">
        <v>1938</v>
      </c>
      <c r="AH132" s="7">
        <v>1930</v>
      </c>
      <c r="AI132" s="7"/>
      <c r="AJ132" s="73"/>
      <c r="AK132" s="7"/>
      <c r="AL132" s="16"/>
      <c r="AM132" s="2" t="s">
        <v>59</v>
      </c>
      <c r="AW132" s="6">
        <f t="shared" ca="1" si="3"/>
        <v>87</v>
      </c>
    </row>
    <row r="133" ht="45" customHeight="1" outlineLevel="1">
      <c r="A133" s="69"/>
      <c r="B133" s="3" t="s">
        <v>47</v>
      </c>
      <c r="E133" s="78" t="s">
        <v>63</v>
      </c>
      <c r="F133" s="79" t="s">
        <v>172</v>
      </c>
      <c r="G133" s="80" t="s">
        <v>173</v>
      </c>
      <c r="H133" s="78" t="s">
        <v>51</v>
      </c>
      <c r="I133" s="81" t="s">
        <v>434</v>
      </c>
      <c r="J133" s="7">
        <v>1</v>
      </c>
      <c r="K133" s="70" t="s">
        <v>53</v>
      </c>
      <c r="L133" s="9">
        <v>0</v>
      </c>
      <c r="M133" s="3">
        <v>79</v>
      </c>
      <c r="N133" s="6">
        <v>1938</v>
      </c>
      <c r="P133" s="71"/>
      <c r="R133" s="6">
        <v>1930</v>
      </c>
      <c r="S133" s="3" t="s">
        <v>54</v>
      </c>
      <c r="T133" s="72"/>
      <c r="U133" s="73"/>
      <c r="W133" s="78" t="s">
        <v>435</v>
      </c>
      <c r="X133" s="82" t="s">
        <v>56</v>
      </c>
      <c r="Y133" s="82" t="s">
        <v>57</v>
      </c>
      <c r="Z133" s="83" t="s">
        <v>58</v>
      </c>
      <c r="AA133" s="76"/>
      <c r="AB133" s="77"/>
      <c r="AC133" s="77">
        <v>14058</v>
      </c>
      <c r="AD133" s="10"/>
      <c r="AG133" s="7">
        <v>1938</v>
      </c>
      <c r="AH133" s="7">
        <v>1930</v>
      </c>
      <c r="AI133" s="7"/>
      <c r="AJ133" s="73"/>
      <c r="AK133" s="7"/>
      <c r="AL133" s="16"/>
      <c r="AM133" s="2" t="s">
        <v>59</v>
      </c>
      <c r="AW133" s="6">
        <f t="shared" ca="1" si="3"/>
        <v>87</v>
      </c>
    </row>
    <row r="134" ht="45" customHeight="1" outlineLevel="1">
      <c r="A134" s="69"/>
      <c r="B134" s="3" t="s">
        <v>47</v>
      </c>
      <c r="E134" s="78" t="s">
        <v>63</v>
      </c>
      <c r="F134" s="79" t="s">
        <v>172</v>
      </c>
      <c r="G134" s="80" t="s">
        <v>173</v>
      </c>
      <c r="H134" s="78" t="s">
        <v>51</v>
      </c>
      <c r="I134" s="81" t="s">
        <v>94</v>
      </c>
      <c r="J134" s="7">
        <v>1</v>
      </c>
      <c r="K134" s="70" t="s">
        <v>53</v>
      </c>
      <c r="L134" s="9">
        <v>0</v>
      </c>
      <c r="M134" s="3">
        <v>79</v>
      </c>
      <c r="N134" s="6">
        <v>1938</v>
      </c>
      <c r="P134" s="71"/>
      <c r="R134" s="6">
        <v>1930</v>
      </c>
      <c r="S134" s="3" t="s">
        <v>54</v>
      </c>
      <c r="T134" s="72"/>
      <c r="U134" s="73"/>
      <c r="W134" s="78" t="s">
        <v>436</v>
      </c>
      <c r="X134" s="82" t="s">
        <v>56</v>
      </c>
      <c r="Y134" s="82" t="s">
        <v>57</v>
      </c>
      <c r="Z134" s="83" t="s">
        <v>58</v>
      </c>
      <c r="AA134" s="76"/>
      <c r="AB134" s="77"/>
      <c r="AC134" s="77">
        <v>14058</v>
      </c>
      <c r="AD134" s="10"/>
      <c r="AG134" s="7">
        <v>1938</v>
      </c>
      <c r="AH134" s="7">
        <v>1930</v>
      </c>
      <c r="AI134" s="7"/>
      <c r="AJ134" s="73"/>
      <c r="AK134" s="7"/>
      <c r="AL134" s="16"/>
      <c r="AM134" s="2" t="s">
        <v>59</v>
      </c>
      <c r="AW134" s="6">
        <f t="shared" ca="1" si="3"/>
        <v>87</v>
      </c>
    </row>
    <row r="135" ht="45" customHeight="1" outlineLevel="1">
      <c r="A135" s="69"/>
      <c r="B135" s="3" t="s">
        <v>47</v>
      </c>
      <c r="E135" s="78" t="s">
        <v>63</v>
      </c>
      <c r="F135" s="79" t="s">
        <v>172</v>
      </c>
      <c r="G135" s="80" t="s">
        <v>173</v>
      </c>
      <c r="H135" s="78" t="s">
        <v>51</v>
      </c>
      <c r="I135" s="81" t="s">
        <v>437</v>
      </c>
      <c r="J135" s="7">
        <v>1</v>
      </c>
      <c r="K135" s="70" t="s">
        <v>53</v>
      </c>
      <c r="L135" s="9">
        <v>1</v>
      </c>
      <c r="M135" s="3">
        <v>80</v>
      </c>
      <c r="N135" s="6">
        <v>1938</v>
      </c>
      <c r="P135" s="71"/>
      <c r="R135" s="6">
        <v>1930</v>
      </c>
      <c r="S135" s="3" t="s">
        <v>54</v>
      </c>
      <c r="T135" s="72"/>
      <c r="U135" s="73"/>
      <c r="W135" s="78" t="s">
        <v>438</v>
      </c>
      <c r="X135" s="82" t="s">
        <v>56</v>
      </c>
      <c r="Y135" s="82" t="s">
        <v>57</v>
      </c>
      <c r="Z135" s="83" t="s">
        <v>58</v>
      </c>
      <c r="AA135" s="76"/>
      <c r="AB135" s="77"/>
      <c r="AC135" s="77">
        <v>14045</v>
      </c>
      <c r="AD135" s="10"/>
      <c r="AG135" s="7">
        <v>1938</v>
      </c>
      <c r="AH135" s="7">
        <v>1930</v>
      </c>
      <c r="AI135" s="7"/>
      <c r="AJ135" s="73"/>
      <c r="AK135" s="7"/>
      <c r="AL135" s="16"/>
      <c r="AM135" s="2" t="s">
        <v>59</v>
      </c>
      <c r="AW135" s="6">
        <f t="shared" ca="1" si="3"/>
        <v>87</v>
      </c>
    </row>
    <row r="136" ht="45" customHeight="1">
      <c r="A136" s="69"/>
      <c r="B136" s="3" t="s">
        <v>47</v>
      </c>
      <c r="E136" s="2" t="s">
        <v>63</v>
      </c>
      <c r="F136" s="6" t="s">
        <v>172</v>
      </c>
      <c r="G136" s="5" t="s">
        <v>173</v>
      </c>
      <c r="H136" s="2" t="s">
        <v>57</v>
      </c>
      <c r="I136" s="3" t="s">
        <v>439</v>
      </c>
      <c r="J136" s="7">
        <v>1</v>
      </c>
      <c r="K136" s="70" t="s">
        <v>53</v>
      </c>
      <c r="L136" s="9">
        <v>1</v>
      </c>
      <c r="M136" s="3">
        <v>81</v>
      </c>
      <c r="N136" s="6">
        <v>1938</v>
      </c>
      <c r="P136" s="71"/>
      <c r="R136" s="6">
        <v>1930</v>
      </c>
      <c r="S136" s="3" t="s">
        <v>54</v>
      </c>
      <c r="T136" s="72"/>
      <c r="U136" s="73"/>
      <c r="W136" s="2" t="s">
        <v>440</v>
      </c>
      <c r="X136" s="10" t="s">
        <v>56</v>
      </c>
      <c r="Y136" s="10" t="s">
        <v>57</v>
      </c>
      <c r="Z136" s="75"/>
      <c r="AA136" s="76"/>
      <c r="AB136" s="77">
        <v>15063</v>
      </c>
      <c r="AC136" s="77">
        <v>15063</v>
      </c>
      <c r="AD136" s="10"/>
      <c r="AG136" s="7">
        <v>1941</v>
      </c>
      <c r="AH136" s="7">
        <v>1940</v>
      </c>
      <c r="AI136" s="7"/>
      <c r="AJ136" s="73"/>
      <c r="AK136" s="7"/>
      <c r="AL136" s="16"/>
      <c r="AM136" s="2" t="s">
        <v>59</v>
      </c>
      <c r="AW136" s="6">
        <f t="shared" ca="1" si="3"/>
        <v>87</v>
      </c>
    </row>
    <row r="137" ht="45" customHeight="1">
      <c r="A137" s="69"/>
      <c r="B137" s="3" t="s">
        <v>47</v>
      </c>
      <c r="E137" s="78" t="s">
        <v>63</v>
      </c>
      <c r="F137" s="79" t="s">
        <v>172</v>
      </c>
      <c r="G137" s="80" t="s">
        <v>173</v>
      </c>
      <c r="H137" s="78" t="s">
        <v>51</v>
      </c>
      <c r="I137" s="81" t="s">
        <v>441</v>
      </c>
      <c r="J137" s="7">
        <v>1</v>
      </c>
      <c r="K137" s="70" t="s">
        <v>53</v>
      </c>
      <c r="L137" s="9">
        <v>1</v>
      </c>
      <c r="M137" s="3">
        <v>82</v>
      </c>
      <c r="N137" s="6">
        <v>1938</v>
      </c>
      <c r="P137" s="71"/>
      <c r="R137" s="6">
        <v>1930</v>
      </c>
      <c r="S137" s="3" t="s">
        <v>54</v>
      </c>
      <c r="T137" s="72"/>
      <c r="U137" s="73"/>
      <c r="W137" s="78" t="s">
        <v>442</v>
      </c>
      <c r="X137" s="82" t="s">
        <v>56</v>
      </c>
      <c r="Y137" s="82" t="s">
        <v>57</v>
      </c>
      <c r="Z137" s="83" t="s">
        <v>58</v>
      </c>
      <c r="AA137" s="76"/>
      <c r="AB137" s="77"/>
      <c r="AC137" s="77">
        <v>14051</v>
      </c>
      <c r="AD137" s="10"/>
      <c r="AG137" s="7">
        <v>1938</v>
      </c>
      <c r="AH137" s="7">
        <v>1930</v>
      </c>
      <c r="AI137" s="7"/>
      <c r="AJ137" s="73"/>
      <c r="AK137" s="7"/>
      <c r="AL137" s="16"/>
      <c r="AM137" s="2" t="s">
        <v>59</v>
      </c>
      <c r="AW137" s="6">
        <f t="shared" ca="1" si="3"/>
        <v>87</v>
      </c>
    </row>
    <row r="138" ht="45" customHeight="1">
      <c r="A138" s="69"/>
      <c r="B138" s="3" t="s">
        <v>47</v>
      </c>
      <c r="E138" s="78" t="s">
        <v>63</v>
      </c>
      <c r="F138" s="79" t="s">
        <v>172</v>
      </c>
      <c r="G138" s="80" t="s">
        <v>173</v>
      </c>
      <c r="H138" s="78" t="s">
        <v>51</v>
      </c>
      <c r="I138" s="81" t="s">
        <v>443</v>
      </c>
      <c r="J138" s="7">
        <v>1</v>
      </c>
      <c r="K138" s="70" t="s">
        <v>53</v>
      </c>
      <c r="L138" s="9">
        <v>1</v>
      </c>
      <c r="M138" s="3">
        <v>83</v>
      </c>
      <c r="N138" s="6">
        <v>1938</v>
      </c>
      <c r="P138" s="71"/>
      <c r="R138" s="6">
        <v>1930</v>
      </c>
      <c r="S138" s="3" t="s">
        <v>54</v>
      </c>
      <c r="T138" s="72"/>
      <c r="U138" s="73"/>
      <c r="W138" s="78" t="s">
        <v>444</v>
      </c>
      <c r="X138" s="82" t="s">
        <v>56</v>
      </c>
      <c r="Y138" s="82" t="s">
        <v>57</v>
      </c>
      <c r="Z138" s="83" t="s">
        <v>58</v>
      </c>
      <c r="AA138" s="76"/>
      <c r="AB138" s="77"/>
      <c r="AC138" s="77">
        <v>14051</v>
      </c>
      <c r="AD138" s="10"/>
      <c r="AG138" s="7">
        <v>1938</v>
      </c>
      <c r="AH138" s="7">
        <v>1930</v>
      </c>
      <c r="AI138" s="7"/>
      <c r="AJ138" s="73"/>
      <c r="AK138" s="7"/>
      <c r="AL138" s="16"/>
      <c r="AM138" s="2" t="s">
        <v>59</v>
      </c>
      <c r="AW138" s="6">
        <f t="shared" ca="1" si="3"/>
        <v>87</v>
      </c>
    </row>
    <row r="139" ht="45" customHeight="1" outlineLevel="1">
      <c r="A139" s="69"/>
      <c r="B139" s="3" t="s">
        <v>47</v>
      </c>
      <c r="E139" s="2" t="s">
        <v>63</v>
      </c>
      <c r="F139" s="6" t="s">
        <v>172</v>
      </c>
      <c r="G139" s="5" t="s">
        <v>173</v>
      </c>
      <c r="H139" s="2" t="s">
        <v>57</v>
      </c>
      <c r="I139" s="3" t="s">
        <v>445</v>
      </c>
      <c r="J139" s="7">
        <v>1</v>
      </c>
      <c r="K139" s="70" t="s">
        <v>53</v>
      </c>
      <c r="L139" s="9">
        <v>1</v>
      </c>
      <c r="M139" s="3">
        <v>84</v>
      </c>
      <c r="N139" s="6">
        <v>1938</v>
      </c>
      <c r="P139" s="71"/>
      <c r="R139" s="6">
        <v>1930</v>
      </c>
      <c r="S139" s="3" t="s">
        <v>54</v>
      </c>
      <c r="T139" s="72"/>
      <c r="U139" s="73"/>
      <c r="W139" s="2" t="s">
        <v>446</v>
      </c>
      <c r="X139" s="10" t="s">
        <v>56</v>
      </c>
      <c r="Y139" s="10" t="s">
        <v>57</v>
      </c>
      <c r="Z139" s="75" t="s">
        <v>58</v>
      </c>
      <c r="AA139" s="76"/>
      <c r="AB139" s="77"/>
      <c r="AC139" s="77">
        <v>14025</v>
      </c>
      <c r="AD139" s="10"/>
      <c r="AG139" s="7">
        <v>1938</v>
      </c>
      <c r="AH139" s="7">
        <v>1930</v>
      </c>
      <c r="AI139" s="7"/>
      <c r="AJ139" s="73"/>
      <c r="AK139" s="7"/>
      <c r="AL139" s="16"/>
      <c r="AM139" s="2" t="s">
        <v>59</v>
      </c>
      <c r="AU139" s="16" t="s">
        <v>447</v>
      </c>
      <c r="AW139" s="6">
        <f t="shared" ca="1" si="3"/>
        <v>87</v>
      </c>
    </row>
    <row r="140" ht="45" customHeight="1">
      <c r="A140" s="69"/>
      <c r="B140" s="3" t="s">
        <v>47</v>
      </c>
      <c r="E140" s="2" t="s">
        <v>83</v>
      </c>
      <c r="F140" s="6" t="s">
        <v>84</v>
      </c>
      <c r="G140" s="5" t="s">
        <v>85</v>
      </c>
      <c r="H140" s="2" t="s">
        <v>57</v>
      </c>
      <c r="I140" s="3" t="s">
        <v>448</v>
      </c>
      <c r="J140" s="7">
        <v>1</v>
      </c>
      <c r="K140" s="70" t="s">
        <v>53</v>
      </c>
      <c r="L140" s="9">
        <v>1</v>
      </c>
      <c r="M140" s="3">
        <v>85</v>
      </c>
      <c r="N140" s="6">
        <v>1938</v>
      </c>
      <c r="P140" s="71"/>
      <c r="R140" s="6">
        <v>1930</v>
      </c>
      <c r="S140" s="3" t="s">
        <v>54</v>
      </c>
      <c r="T140" s="72"/>
      <c r="U140" s="73"/>
      <c r="W140" s="2" t="s">
        <v>449</v>
      </c>
      <c r="X140" s="10" t="s">
        <v>56</v>
      </c>
      <c r="Y140" s="10" t="s">
        <v>57</v>
      </c>
      <c r="Z140" s="75"/>
      <c r="AA140" s="76"/>
      <c r="AB140" s="77">
        <v>14091</v>
      </c>
      <c r="AC140" s="77">
        <v>14091</v>
      </c>
      <c r="AD140" s="10"/>
      <c r="AG140" s="7">
        <v>1938</v>
      </c>
      <c r="AH140" s="7">
        <v>1930</v>
      </c>
      <c r="AI140" s="7"/>
      <c r="AJ140" s="73"/>
      <c r="AK140" s="7"/>
      <c r="AL140" s="16"/>
      <c r="AM140" s="2" t="s">
        <v>59</v>
      </c>
      <c r="AO140" s="6" t="s">
        <v>100</v>
      </c>
      <c r="AP140" s="6" t="s">
        <v>104</v>
      </c>
      <c r="AQ140" s="5" t="s">
        <v>104</v>
      </c>
      <c r="AR140" s="87" t="s">
        <v>73</v>
      </c>
      <c r="AS140" s="88"/>
      <c r="AT140" s="88">
        <v>1990</v>
      </c>
      <c r="AU140" s="89" t="s">
        <v>204</v>
      </c>
      <c r="AV140" s="90"/>
      <c r="AW140" s="6">
        <f t="shared" ca="1" si="3"/>
        <v>87</v>
      </c>
    </row>
    <row r="141" ht="45" customHeight="1" outlineLevel="1">
      <c r="A141" s="69"/>
      <c r="B141" s="3" t="s">
        <v>47</v>
      </c>
      <c r="E141" s="78" t="s">
        <v>63</v>
      </c>
      <c r="F141" s="79" t="s">
        <v>172</v>
      </c>
      <c r="G141" s="80" t="s">
        <v>173</v>
      </c>
      <c r="H141" s="78" t="s">
        <v>51</v>
      </c>
      <c r="I141" s="81" t="s">
        <v>450</v>
      </c>
      <c r="J141" s="7">
        <v>1</v>
      </c>
      <c r="K141" s="70" t="s">
        <v>53</v>
      </c>
      <c r="L141" s="9">
        <v>1</v>
      </c>
      <c r="M141" s="3">
        <v>86</v>
      </c>
      <c r="N141" s="6">
        <v>1938</v>
      </c>
      <c r="P141" s="71"/>
      <c r="R141" s="6">
        <v>1930</v>
      </c>
      <c r="S141" s="3" t="s">
        <v>54</v>
      </c>
      <c r="T141" s="72"/>
      <c r="U141" s="73"/>
      <c r="W141" s="78" t="s">
        <v>451</v>
      </c>
      <c r="X141" s="82" t="s">
        <v>56</v>
      </c>
      <c r="Y141" s="82" t="s">
        <v>57</v>
      </c>
      <c r="Z141" s="83" t="s">
        <v>58</v>
      </c>
      <c r="AA141" s="76"/>
      <c r="AB141" s="77">
        <v>13970</v>
      </c>
      <c r="AC141" s="77">
        <v>13970</v>
      </c>
      <c r="AD141" s="10"/>
      <c r="AG141" s="7">
        <v>1938</v>
      </c>
      <c r="AH141" s="7">
        <v>1930</v>
      </c>
      <c r="AI141" s="7"/>
      <c r="AJ141" s="73"/>
      <c r="AK141" s="7"/>
      <c r="AL141" s="16"/>
      <c r="AM141" s="2" t="s">
        <v>59</v>
      </c>
      <c r="AW141" s="6">
        <f t="shared" ca="1" si="3"/>
        <v>87</v>
      </c>
    </row>
    <row r="142" ht="45" customHeight="1">
      <c r="A142" s="69"/>
      <c r="B142" s="3" t="s">
        <v>47</v>
      </c>
      <c r="E142" s="2" t="s">
        <v>83</v>
      </c>
      <c r="F142" s="6" t="s">
        <v>84</v>
      </c>
      <c r="G142" s="5" t="s">
        <v>85</v>
      </c>
      <c r="H142" s="2" t="s">
        <v>382</v>
      </c>
      <c r="I142" s="3" t="s">
        <v>452</v>
      </c>
      <c r="J142" s="7">
        <v>1</v>
      </c>
      <c r="K142" s="70" t="s">
        <v>53</v>
      </c>
      <c r="L142" s="9">
        <v>1</v>
      </c>
      <c r="M142" s="3">
        <v>87</v>
      </c>
      <c r="N142" s="6">
        <v>1938</v>
      </c>
      <c r="P142" s="71"/>
      <c r="R142" s="6">
        <v>1930</v>
      </c>
      <c r="S142" s="3" t="s">
        <v>54</v>
      </c>
      <c r="T142" s="72"/>
      <c r="U142" s="73"/>
      <c r="W142" s="2" t="s">
        <v>453</v>
      </c>
      <c r="X142" s="10" t="s">
        <v>91</v>
      </c>
      <c r="Y142" s="10" t="s">
        <v>385</v>
      </c>
      <c r="Z142" s="75"/>
      <c r="AA142" s="76"/>
      <c r="AB142" s="77">
        <v>14076</v>
      </c>
      <c r="AC142" s="77"/>
      <c r="AD142" s="6"/>
      <c r="AG142" s="7">
        <v>1938</v>
      </c>
      <c r="AH142" s="7">
        <v>1930</v>
      </c>
      <c r="AI142" s="7"/>
      <c r="AJ142" s="73"/>
      <c r="AK142" s="7"/>
      <c r="AL142" s="16"/>
      <c r="AM142" s="2" t="s">
        <v>59</v>
      </c>
      <c r="AO142" s="6" t="s">
        <v>59</v>
      </c>
      <c r="AW142" s="6">
        <f t="shared" ca="1" si="3"/>
        <v>87</v>
      </c>
    </row>
    <row r="143" ht="45" customHeight="1" outlineLevel="1">
      <c r="A143" s="69"/>
      <c r="B143" s="3" t="s">
        <v>47</v>
      </c>
      <c r="E143" s="2" t="s">
        <v>83</v>
      </c>
      <c r="F143" s="6" t="s">
        <v>84</v>
      </c>
      <c r="G143" s="5" t="s">
        <v>85</v>
      </c>
      <c r="H143" s="2" t="s">
        <v>382</v>
      </c>
      <c r="I143" s="3" t="s">
        <v>454</v>
      </c>
      <c r="J143" s="7">
        <v>1</v>
      </c>
      <c r="K143" s="70" t="s">
        <v>53</v>
      </c>
      <c r="L143" s="9">
        <v>0</v>
      </c>
      <c r="M143" s="3">
        <v>87</v>
      </c>
      <c r="N143" s="6">
        <v>1938</v>
      </c>
      <c r="P143" s="71"/>
      <c r="R143" s="6">
        <v>1930</v>
      </c>
      <c r="S143" s="3" t="s">
        <v>54</v>
      </c>
      <c r="T143" s="72"/>
      <c r="U143" s="73"/>
      <c r="W143" s="2" t="s">
        <v>455</v>
      </c>
      <c r="X143" s="10" t="s">
        <v>91</v>
      </c>
      <c r="Y143" s="10" t="s">
        <v>385</v>
      </c>
      <c r="Z143" s="75"/>
      <c r="AA143" s="76"/>
      <c r="AB143" s="77">
        <v>18891</v>
      </c>
      <c r="AC143" s="77"/>
      <c r="AD143" s="6"/>
      <c r="AG143" s="7">
        <v>1951</v>
      </c>
      <c r="AH143" s="7">
        <v>1950</v>
      </c>
      <c r="AI143" s="7"/>
      <c r="AJ143" s="73"/>
      <c r="AK143" s="7"/>
      <c r="AL143" s="16"/>
      <c r="AM143" s="2" t="s">
        <v>59</v>
      </c>
      <c r="AO143" s="6" t="s">
        <v>59</v>
      </c>
      <c r="AU143" s="16" t="s">
        <v>456</v>
      </c>
      <c r="AW143" s="6">
        <f t="shared" ca="1" si="3"/>
        <v>87</v>
      </c>
    </row>
    <row r="144" ht="45" hidden="1" customHeight="1">
      <c r="A144" s="69"/>
      <c r="B144" s="3" t="s">
        <v>60</v>
      </c>
      <c r="I144" s="3" t="s">
        <v>61</v>
      </c>
      <c r="J144" s="7">
        <v>0</v>
      </c>
      <c r="K144" s="104"/>
      <c r="L144" s="9">
        <v>1</v>
      </c>
      <c r="M144" s="3">
        <v>88</v>
      </c>
      <c r="P144" s="71"/>
      <c r="R144" s="6" t="s">
        <v>60</v>
      </c>
      <c r="S144" s="3" t="s">
        <v>60</v>
      </c>
      <c r="T144" s="72"/>
      <c r="U144" s="73"/>
      <c r="W144" s="74" t="s">
        <v>62</v>
      </c>
      <c r="X144" s="10"/>
      <c r="Y144" s="10"/>
      <c r="Z144" s="75"/>
      <c r="AA144" s="76"/>
      <c r="AB144" s="77"/>
      <c r="AC144" s="77"/>
      <c r="AD144" s="6"/>
      <c r="AI144" s="7"/>
      <c r="AJ144" s="73"/>
      <c r="AK144" s="7"/>
      <c r="AL144" s="16"/>
      <c r="AW144" s="6" t="str">
        <f t="shared" ca="1" si="3"/>
        <v/>
      </c>
    </row>
    <row r="145" ht="45" customHeight="1" outlineLevel="1">
      <c r="A145" s="69"/>
      <c r="B145" s="3" t="s">
        <v>47</v>
      </c>
      <c r="E145" s="2" t="s">
        <v>63</v>
      </c>
      <c r="F145" s="6" t="s">
        <v>172</v>
      </c>
      <c r="G145" s="5" t="s">
        <v>173</v>
      </c>
      <c r="H145" s="2" t="s">
        <v>51</v>
      </c>
      <c r="I145" s="3" t="s">
        <v>222</v>
      </c>
      <c r="J145" s="7">
        <v>1</v>
      </c>
      <c r="K145" s="70" t="s">
        <v>53</v>
      </c>
      <c r="L145" s="9">
        <v>1</v>
      </c>
      <c r="M145" s="3">
        <v>89</v>
      </c>
      <c r="N145" s="6">
        <v>1938</v>
      </c>
      <c r="P145" s="71"/>
      <c r="R145" s="6">
        <v>1930</v>
      </c>
      <c r="S145" s="3" t="s">
        <v>54</v>
      </c>
      <c r="T145" s="72"/>
      <c r="U145" s="73"/>
      <c r="W145" s="2" t="s">
        <v>457</v>
      </c>
      <c r="X145" s="10" t="s">
        <v>56</v>
      </c>
      <c r="Y145" s="10" t="s">
        <v>57</v>
      </c>
      <c r="Z145" s="75" t="s">
        <v>58</v>
      </c>
      <c r="AA145" s="76"/>
      <c r="AB145" s="77"/>
      <c r="AC145" s="77">
        <v>14025</v>
      </c>
      <c r="AD145" s="10"/>
      <c r="AG145" s="7">
        <v>1938</v>
      </c>
      <c r="AH145" s="7">
        <v>1930</v>
      </c>
      <c r="AI145" s="7"/>
      <c r="AJ145" s="73"/>
      <c r="AK145" s="7"/>
      <c r="AL145" s="16" t="s">
        <v>176</v>
      </c>
      <c r="AM145" s="2" t="s">
        <v>59</v>
      </c>
      <c r="AW145" s="6">
        <f t="shared" ca="1" si="3"/>
        <v>87</v>
      </c>
    </row>
    <row r="146" ht="45" customHeight="1">
      <c r="A146" s="69"/>
      <c r="B146" s="3" t="s">
        <v>47</v>
      </c>
      <c r="E146" s="2" t="s">
        <v>63</v>
      </c>
      <c r="F146" s="6" t="s">
        <v>172</v>
      </c>
      <c r="G146" s="5" t="s">
        <v>173</v>
      </c>
      <c r="H146" s="2" t="s">
        <v>51</v>
      </c>
      <c r="I146" s="3" t="s">
        <v>458</v>
      </c>
      <c r="J146" s="7">
        <v>1</v>
      </c>
      <c r="K146" s="70" t="s">
        <v>53</v>
      </c>
      <c r="L146" s="9">
        <v>0</v>
      </c>
      <c r="M146" s="3">
        <v>89</v>
      </c>
      <c r="N146" s="6">
        <v>1938</v>
      </c>
      <c r="P146" s="71"/>
      <c r="R146" s="6">
        <v>1930</v>
      </c>
      <c r="S146" s="3" t="s">
        <v>54</v>
      </c>
      <c r="T146" s="72"/>
      <c r="U146" s="73"/>
      <c r="W146" s="2" t="s">
        <v>459</v>
      </c>
      <c r="X146" s="10" t="s">
        <v>56</v>
      </c>
      <c r="Y146" s="10" t="s">
        <v>57</v>
      </c>
      <c r="Z146" s="75" t="s">
        <v>58</v>
      </c>
      <c r="AA146" s="76"/>
      <c r="AB146" s="77"/>
      <c r="AC146" s="77">
        <v>14025</v>
      </c>
      <c r="AD146" s="10"/>
      <c r="AG146" s="7">
        <v>1938</v>
      </c>
      <c r="AH146" s="7">
        <v>1930</v>
      </c>
      <c r="AI146" s="7"/>
      <c r="AJ146" s="73"/>
      <c r="AK146" s="7"/>
      <c r="AL146" s="16" t="s">
        <v>176</v>
      </c>
      <c r="AM146" s="2" t="s">
        <v>59</v>
      </c>
      <c r="AW146" s="6">
        <f t="shared" ca="1" si="3"/>
        <v>87</v>
      </c>
    </row>
    <row r="147" ht="45" customHeight="1">
      <c r="A147" s="69"/>
      <c r="B147" s="3" t="s">
        <v>47</v>
      </c>
      <c r="E147" s="78" t="s">
        <v>63</v>
      </c>
      <c r="F147" s="79" t="s">
        <v>172</v>
      </c>
      <c r="G147" s="80" t="s">
        <v>173</v>
      </c>
      <c r="H147" s="78" t="s">
        <v>51</v>
      </c>
      <c r="I147" s="81" t="s">
        <v>460</v>
      </c>
      <c r="J147" s="7">
        <v>1</v>
      </c>
      <c r="K147" s="70" t="s">
        <v>53</v>
      </c>
      <c r="L147" s="9">
        <v>1</v>
      </c>
      <c r="M147" s="3">
        <v>90</v>
      </c>
      <c r="N147" s="6">
        <v>1938</v>
      </c>
      <c r="P147" s="71"/>
      <c r="R147" s="6">
        <v>1930</v>
      </c>
      <c r="S147" s="3" t="s">
        <v>54</v>
      </c>
      <c r="T147" s="72"/>
      <c r="U147" s="73"/>
      <c r="W147" s="78" t="s">
        <v>461</v>
      </c>
      <c r="X147" s="82" t="s">
        <v>56</v>
      </c>
      <c r="Y147" s="82" t="s">
        <v>57</v>
      </c>
      <c r="Z147" s="83" t="s">
        <v>58</v>
      </c>
      <c r="AA147" s="76"/>
      <c r="AB147" s="77">
        <v>14011</v>
      </c>
      <c r="AC147" s="77">
        <v>14011</v>
      </c>
      <c r="AD147" s="10"/>
      <c r="AG147" s="7">
        <v>1938</v>
      </c>
      <c r="AH147" s="7">
        <v>1930</v>
      </c>
      <c r="AI147" s="7"/>
      <c r="AJ147" s="73"/>
      <c r="AK147" s="7"/>
      <c r="AL147" s="16"/>
      <c r="AM147" s="2" t="s">
        <v>59</v>
      </c>
      <c r="AW147" s="6">
        <f t="shared" ca="1" si="3"/>
        <v>87</v>
      </c>
    </row>
    <row r="148" ht="45" customHeight="1" outlineLevel="1">
      <c r="A148" s="69"/>
      <c r="B148" s="3" t="s">
        <v>47</v>
      </c>
      <c r="E148" s="2" t="s">
        <v>83</v>
      </c>
      <c r="F148" s="6" t="s">
        <v>84</v>
      </c>
      <c r="G148" s="5" t="s">
        <v>85</v>
      </c>
      <c r="H148" s="2" t="s">
        <v>57</v>
      </c>
      <c r="I148" s="3" t="s">
        <v>462</v>
      </c>
      <c r="J148" s="7">
        <v>1</v>
      </c>
      <c r="K148" s="70" t="s">
        <v>53</v>
      </c>
      <c r="L148" s="9">
        <v>1</v>
      </c>
      <c r="M148" s="3">
        <v>91</v>
      </c>
      <c r="N148" s="6">
        <v>1938</v>
      </c>
      <c r="P148" s="71"/>
      <c r="R148" s="6">
        <v>1930</v>
      </c>
      <c r="S148" s="3" t="s">
        <v>54</v>
      </c>
      <c r="T148" s="72"/>
      <c r="U148" s="73"/>
      <c r="W148" s="2" t="s">
        <v>463</v>
      </c>
      <c r="X148" s="10" t="s">
        <v>56</v>
      </c>
      <c r="Y148" s="10" t="s">
        <v>57</v>
      </c>
      <c r="Z148" s="75"/>
      <c r="AA148" s="76"/>
      <c r="AB148" s="77">
        <v>13990</v>
      </c>
      <c r="AC148" s="77"/>
      <c r="AD148" s="6"/>
      <c r="AG148" s="7">
        <v>1938</v>
      </c>
      <c r="AH148" s="7">
        <v>1930</v>
      </c>
      <c r="AI148" s="7"/>
      <c r="AJ148" s="73"/>
      <c r="AK148" s="7"/>
      <c r="AL148" s="16"/>
      <c r="AM148" s="2" t="s">
        <v>59</v>
      </c>
      <c r="AW148" s="6">
        <f t="shared" ca="1" si="3"/>
        <v>87</v>
      </c>
    </row>
    <row r="149" ht="45" customHeight="1" outlineLevel="1">
      <c r="A149" s="69"/>
      <c r="B149" s="3" t="s">
        <v>47</v>
      </c>
      <c r="E149" s="78" t="s">
        <v>83</v>
      </c>
      <c r="F149" s="79" t="s">
        <v>84</v>
      </c>
      <c r="G149" s="80" t="s">
        <v>85</v>
      </c>
      <c r="H149" s="78" t="s">
        <v>68</v>
      </c>
      <c r="I149" s="81" t="s">
        <v>464</v>
      </c>
      <c r="J149" s="7">
        <v>1</v>
      </c>
      <c r="K149" s="70" t="s">
        <v>53</v>
      </c>
      <c r="L149" s="9">
        <v>1</v>
      </c>
      <c r="M149" s="3">
        <v>92</v>
      </c>
      <c r="N149" s="6">
        <v>1938</v>
      </c>
      <c r="P149" s="71"/>
      <c r="R149" s="6">
        <v>1930</v>
      </c>
      <c r="S149" s="3" t="s">
        <v>54</v>
      </c>
      <c r="T149" s="72"/>
      <c r="U149" s="73"/>
      <c r="W149" s="78" t="s">
        <v>465</v>
      </c>
      <c r="X149" s="82" t="s">
        <v>56</v>
      </c>
      <c r="Y149" s="82" t="s">
        <v>68</v>
      </c>
      <c r="Z149" s="83" t="s">
        <v>260</v>
      </c>
      <c r="AA149" s="76"/>
      <c r="AB149" s="77"/>
      <c r="AC149" s="77">
        <v>14102</v>
      </c>
      <c r="AD149" s="10"/>
      <c r="AE149" s="7">
        <v>1938</v>
      </c>
      <c r="AF149" s="7">
        <v>4</v>
      </c>
      <c r="AG149" s="7">
        <v>1938</v>
      </c>
      <c r="AH149" s="7">
        <v>1930</v>
      </c>
      <c r="AI149" s="7"/>
      <c r="AJ149" s="73"/>
      <c r="AK149" s="7"/>
      <c r="AL149" s="16"/>
      <c r="AM149" s="2" t="s">
        <v>59</v>
      </c>
      <c r="AU149" s="16" t="s">
        <v>466</v>
      </c>
      <c r="AW149" s="6">
        <f t="shared" ca="1" si="3"/>
        <v>87</v>
      </c>
    </row>
    <row r="150" ht="45" hidden="1" customHeight="1" outlineLevel="1">
      <c r="A150" s="69"/>
      <c r="B150" s="3" t="s">
        <v>47</v>
      </c>
      <c r="C150" s="4" t="s">
        <v>467</v>
      </c>
      <c r="E150" s="2" t="s">
        <v>48</v>
      </c>
      <c r="F150" s="6" t="s">
        <v>49</v>
      </c>
      <c r="G150" s="5" t="s">
        <v>468</v>
      </c>
      <c r="H150" s="2" t="s">
        <v>88</v>
      </c>
      <c r="I150" s="3" t="s">
        <v>469</v>
      </c>
      <c r="J150" s="7">
        <v>1</v>
      </c>
      <c r="K150" s="70"/>
      <c r="L150" s="9">
        <v>1</v>
      </c>
      <c r="M150" s="3">
        <v>93</v>
      </c>
      <c r="N150" s="6">
        <v>1938</v>
      </c>
      <c r="P150" s="71"/>
      <c r="R150" s="6">
        <v>1930</v>
      </c>
      <c r="S150" s="3" t="s">
        <v>236</v>
      </c>
      <c r="T150" s="72"/>
      <c r="U150" s="73"/>
      <c r="W150" s="2" t="s">
        <v>62</v>
      </c>
      <c r="X150" s="10" t="s">
        <v>91</v>
      </c>
      <c r="Y150" s="10" t="s">
        <v>214</v>
      </c>
      <c r="Z150" s="75"/>
      <c r="AA150" s="76"/>
      <c r="AB150" s="77"/>
      <c r="AC150" s="77"/>
      <c r="AD150" s="10"/>
      <c r="AI150" s="7"/>
      <c r="AJ150" s="95">
        <v>17570</v>
      </c>
      <c r="AK150" s="7">
        <v>1940</v>
      </c>
      <c r="AW150" s="6">
        <f t="shared" ca="1" si="3"/>
        <v>87</v>
      </c>
    </row>
    <row r="151" ht="45" customHeight="1" outlineLevel="1">
      <c r="A151" s="69"/>
      <c r="B151" s="3" t="s">
        <v>47</v>
      </c>
      <c r="E151" s="2" t="s">
        <v>48</v>
      </c>
      <c r="F151" s="6" t="s">
        <v>49</v>
      </c>
      <c r="G151" s="5" t="s">
        <v>470</v>
      </c>
      <c r="H151" s="2" t="s">
        <v>57</v>
      </c>
      <c r="I151" s="3" t="s">
        <v>471</v>
      </c>
      <c r="J151" s="7">
        <v>1</v>
      </c>
      <c r="K151" s="70" t="s">
        <v>53</v>
      </c>
      <c r="L151" s="9">
        <v>1</v>
      </c>
      <c r="M151" s="3">
        <v>94</v>
      </c>
      <c r="N151" s="6">
        <v>1938</v>
      </c>
      <c r="P151" s="71"/>
      <c r="R151" s="6">
        <v>1930</v>
      </c>
      <c r="S151" s="3" t="s">
        <v>54</v>
      </c>
      <c r="T151" s="72"/>
      <c r="U151" s="73"/>
      <c r="W151" s="2" t="s">
        <v>472</v>
      </c>
      <c r="X151" s="10" t="s">
        <v>56</v>
      </c>
      <c r="Y151" s="10" t="s">
        <v>57</v>
      </c>
      <c r="Z151" s="75"/>
      <c r="AA151" s="76"/>
      <c r="AB151" s="77">
        <v>14770</v>
      </c>
      <c r="AC151" s="77"/>
      <c r="AD151" s="6"/>
      <c r="AG151" s="7">
        <v>1940</v>
      </c>
      <c r="AH151" s="7">
        <v>1940</v>
      </c>
      <c r="AI151" s="7"/>
      <c r="AJ151" s="73"/>
      <c r="AK151" s="7"/>
      <c r="AL151" s="16"/>
      <c r="AM151" s="2" t="s">
        <v>59</v>
      </c>
      <c r="AW151" s="6">
        <f t="shared" ca="1" si="3"/>
        <v>87</v>
      </c>
    </row>
    <row r="152" ht="45" hidden="1" customHeight="1" outlineLevel="1">
      <c r="A152" s="69"/>
      <c r="B152" s="3" t="s">
        <v>47</v>
      </c>
      <c r="C152" s="4" t="s">
        <v>473</v>
      </c>
      <c r="E152" s="2" t="s">
        <v>48</v>
      </c>
      <c r="F152" s="6" t="s">
        <v>49</v>
      </c>
      <c r="G152" s="5" t="s">
        <v>474</v>
      </c>
      <c r="H152" s="2" t="s">
        <v>57</v>
      </c>
      <c r="I152" s="96" t="s">
        <v>475</v>
      </c>
      <c r="J152" s="7">
        <v>1</v>
      </c>
      <c r="K152" s="104"/>
      <c r="L152" s="9">
        <v>1</v>
      </c>
      <c r="M152" s="3">
        <v>95</v>
      </c>
      <c r="N152" s="6">
        <v>1938</v>
      </c>
      <c r="P152" s="71"/>
      <c r="R152" s="6">
        <v>1930</v>
      </c>
      <c r="S152" s="3" t="s">
        <v>236</v>
      </c>
      <c r="T152" s="72"/>
      <c r="U152" s="73"/>
      <c r="W152" s="2" t="s">
        <v>62</v>
      </c>
      <c r="X152" s="10" t="s">
        <v>56</v>
      </c>
      <c r="Y152" s="10" t="s">
        <v>57</v>
      </c>
      <c r="Z152" s="75"/>
      <c r="AA152" s="76"/>
      <c r="AB152" s="77"/>
      <c r="AC152" s="77"/>
      <c r="AD152" s="6"/>
      <c r="AI152" s="7"/>
      <c r="AJ152" s="95">
        <v>36433</v>
      </c>
      <c r="AK152" s="7">
        <v>1990</v>
      </c>
      <c r="AL152" s="16"/>
      <c r="AW152" s="6">
        <f t="shared" ca="1" si="3"/>
        <v>87</v>
      </c>
    </row>
    <row r="153" ht="45" customHeight="1" outlineLevel="1">
      <c r="A153" s="69"/>
      <c r="B153" s="3" t="s">
        <v>47</v>
      </c>
      <c r="E153" s="2" t="s">
        <v>48</v>
      </c>
      <c r="F153" s="6" t="s">
        <v>49</v>
      </c>
      <c r="G153" s="5" t="s">
        <v>468</v>
      </c>
      <c r="H153" s="2" t="s">
        <v>51</v>
      </c>
      <c r="I153" s="3" t="s">
        <v>476</v>
      </c>
      <c r="J153" s="7">
        <v>1</v>
      </c>
      <c r="K153" s="70" t="s">
        <v>53</v>
      </c>
      <c r="L153" s="9">
        <v>1</v>
      </c>
      <c r="M153" s="3">
        <v>96</v>
      </c>
      <c r="N153" s="6">
        <v>1938</v>
      </c>
      <c r="P153" s="71"/>
      <c r="R153" s="6">
        <v>1930</v>
      </c>
      <c r="S153" s="3" t="s">
        <v>54</v>
      </c>
      <c r="T153" s="72"/>
      <c r="U153" s="73"/>
      <c r="W153" s="2" t="s">
        <v>477</v>
      </c>
      <c r="X153" s="10" t="s">
        <v>56</v>
      </c>
      <c r="Y153" s="10" t="s">
        <v>57</v>
      </c>
      <c r="Z153" s="75" t="s">
        <v>58</v>
      </c>
      <c r="AA153" s="76"/>
      <c r="AB153" s="77"/>
      <c r="AC153" s="77">
        <v>14081</v>
      </c>
      <c r="AD153" s="10"/>
      <c r="AG153" s="7">
        <v>1938</v>
      </c>
      <c r="AH153" s="7">
        <v>1930</v>
      </c>
      <c r="AI153" s="7"/>
      <c r="AJ153" s="73"/>
      <c r="AK153" s="7"/>
      <c r="AL153" s="16"/>
      <c r="AM153" s="2" t="s">
        <v>59</v>
      </c>
      <c r="AO153" s="6" t="s">
        <v>100</v>
      </c>
      <c r="AP153" s="6" t="s">
        <v>73</v>
      </c>
      <c r="AQ153" s="5" t="s">
        <v>73</v>
      </c>
      <c r="AR153" s="2" t="s">
        <v>73</v>
      </c>
      <c r="AT153" s="6" t="s">
        <v>478</v>
      </c>
      <c r="AU153" s="16" t="s">
        <v>479</v>
      </c>
      <c r="AW153" s="6">
        <f t="shared" ca="1" si="3"/>
        <v>87</v>
      </c>
    </row>
    <row r="154" ht="45" customHeight="1">
      <c r="A154" s="69"/>
      <c r="B154" s="3" t="s">
        <v>47</v>
      </c>
      <c r="E154" s="2" t="s">
        <v>48</v>
      </c>
      <c r="F154" s="6" t="s">
        <v>49</v>
      </c>
      <c r="G154" s="5" t="s">
        <v>480</v>
      </c>
      <c r="H154" s="2" t="s">
        <v>51</v>
      </c>
      <c r="I154" s="3" t="s">
        <v>481</v>
      </c>
      <c r="J154" s="7">
        <v>1</v>
      </c>
      <c r="K154" s="70" t="s">
        <v>53</v>
      </c>
      <c r="L154" s="9">
        <v>0</v>
      </c>
      <c r="M154" s="3">
        <v>96</v>
      </c>
      <c r="N154" s="6">
        <v>1938</v>
      </c>
      <c r="P154" s="71"/>
      <c r="R154" s="6">
        <v>1930</v>
      </c>
      <c r="S154" s="3" t="s">
        <v>54</v>
      </c>
      <c r="T154" s="72"/>
      <c r="U154" s="73"/>
      <c r="W154" s="2" t="s">
        <v>482</v>
      </c>
      <c r="X154" s="10" t="s">
        <v>56</v>
      </c>
      <c r="Y154" s="10" t="s">
        <v>57</v>
      </c>
      <c r="Z154" s="75" t="s">
        <v>58</v>
      </c>
      <c r="AA154" s="76"/>
      <c r="AB154" s="77"/>
      <c r="AC154" s="77">
        <v>14081</v>
      </c>
      <c r="AD154" s="10"/>
      <c r="AG154" s="7">
        <v>1938</v>
      </c>
      <c r="AH154" s="7">
        <v>1930</v>
      </c>
      <c r="AI154" s="7"/>
      <c r="AJ154" s="73"/>
      <c r="AK154" s="7"/>
      <c r="AL154" s="16"/>
      <c r="AM154" s="2" t="s">
        <v>59</v>
      </c>
      <c r="AW154" s="6">
        <f t="shared" ca="1" si="3"/>
        <v>87</v>
      </c>
    </row>
    <row r="155" ht="45" customHeight="1">
      <c r="A155" s="69"/>
      <c r="B155" s="3" t="s">
        <v>47</v>
      </c>
      <c r="E155" s="2" t="s">
        <v>48</v>
      </c>
      <c r="F155" s="6" t="s">
        <v>49</v>
      </c>
      <c r="G155" s="5" t="s">
        <v>483</v>
      </c>
      <c r="H155" s="2" t="s">
        <v>57</v>
      </c>
      <c r="I155" s="3" t="s">
        <v>484</v>
      </c>
      <c r="J155" s="7">
        <v>1</v>
      </c>
      <c r="K155" s="70" t="s">
        <v>53</v>
      </c>
      <c r="L155" s="9">
        <v>0</v>
      </c>
      <c r="M155" s="3">
        <v>97</v>
      </c>
      <c r="N155" s="6">
        <v>1938</v>
      </c>
      <c r="P155" s="71"/>
      <c r="R155" s="6">
        <v>1930</v>
      </c>
      <c r="S155" s="3" t="s">
        <v>54</v>
      </c>
      <c r="T155" s="72"/>
      <c r="U155" s="73"/>
      <c r="W155" s="2" t="s">
        <v>485</v>
      </c>
      <c r="X155" s="10" t="s">
        <v>56</v>
      </c>
      <c r="Y155" s="10" t="s">
        <v>57</v>
      </c>
      <c r="Z155" s="75"/>
      <c r="AA155" s="76"/>
      <c r="AB155" s="77">
        <v>15252</v>
      </c>
      <c r="AC155" s="77"/>
      <c r="AD155" s="6"/>
      <c r="AG155" s="7">
        <v>1941</v>
      </c>
      <c r="AH155" s="7">
        <v>1940</v>
      </c>
      <c r="AI155" s="7"/>
      <c r="AJ155" s="73"/>
      <c r="AK155" s="7"/>
      <c r="AL155" s="16"/>
      <c r="AM155" s="2" t="s">
        <v>59</v>
      </c>
      <c r="AO155" s="6" t="s">
        <v>136</v>
      </c>
      <c r="AR155" s="2" t="s">
        <v>104</v>
      </c>
      <c r="AS155" s="6" t="s">
        <v>73</v>
      </c>
      <c r="AT155" s="6">
        <v>2006</v>
      </c>
      <c r="AU155" s="16" t="s">
        <v>486</v>
      </c>
      <c r="AW155" s="6">
        <f t="shared" ca="1" si="3"/>
        <v>87</v>
      </c>
    </row>
    <row r="156" ht="45" customHeight="1">
      <c r="A156" s="69"/>
      <c r="B156" s="3" t="s">
        <v>47</v>
      </c>
      <c r="E156" s="2" t="s">
        <v>48</v>
      </c>
      <c r="F156" s="6" t="s">
        <v>49</v>
      </c>
      <c r="G156" s="5" t="s">
        <v>483</v>
      </c>
      <c r="H156" s="2" t="s">
        <v>57</v>
      </c>
      <c r="I156" s="3" t="s">
        <v>487</v>
      </c>
      <c r="J156" s="7">
        <v>1</v>
      </c>
      <c r="K156" s="70" t="s">
        <v>53</v>
      </c>
      <c r="L156" s="9">
        <v>1</v>
      </c>
      <c r="M156" s="3">
        <v>97</v>
      </c>
      <c r="N156" s="6">
        <v>1938</v>
      </c>
      <c r="P156" s="71"/>
      <c r="R156" s="6">
        <v>1930</v>
      </c>
      <c r="S156" s="3" t="s">
        <v>54</v>
      </c>
      <c r="T156" s="72"/>
      <c r="U156" s="73"/>
      <c r="W156" s="2" t="s">
        <v>488</v>
      </c>
      <c r="X156" s="10" t="s">
        <v>56</v>
      </c>
      <c r="Y156" s="10" t="s">
        <v>57</v>
      </c>
      <c r="Z156" s="75"/>
      <c r="AA156" s="76"/>
      <c r="AB156" s="77">
        <v>15012</v>
      </c>
      <c r="AC156" s="77"/>
      <c r="AD156" s="6"/>
      <c r="AG156" s="7">
        <v>1941</v>
      </c>
      <c r="AH156" s="7">
        <v>1940</v>
      </c>
      <c r="AI156" s="7"/>
      <c r="AJ156" s="73"/>
      <c r="AK156" s="7"/>
      <c r="AL156" s="16"/>
      <c r="AM156" s="2" t="s">
        <v>59</v>
      </c>
      <c r="AO156" s="6" t="s">
        <v>136</v>
      </c>
      <c r="AR156" s="2" t="s">
        <v>104</v>
      </c>
      <c r="AS156" s="6" t="s">
        <v>73</v>
      </c>
      <c r="AT156" s="6">
        <v>2006</v>
      </c>
      <c r="AU156" s="16" t="s">
        <v>486</v>
      </c>
      <c r="AW156" s="6">
        <f t="shared" ca="1" si="3"/>
        <v>87</v>
      </c>
    </row>
    <row r="157" ht="45" hidden="1" customHeight="1">
      <c r="A157" s="69"/>
      <c r="B157" s="3" t="s">
        <v>47</v>
      </c>
      <c r="C157" s="4" t="s">
        <v>489</v>
      </c>
      <c r="E157" s="2" t="s">
        <v>48</v>
      </c>
      <c r="F157" s="6" t="s">
        <v>49</v>
      </c>
      <c r="G157" s="5" t="s">
        <v>468</v>
      </c>
      <c r="H157" s="2" t="s">
        <v>57</v>
      </c>
      <c r="I157" s="3" t="s">
        <v>490</v>
      </c>
      <c r="J157" s="7">
        <v>1</v>
      </c>
      <c r="K157" s="70"/>
      <c r="L157" s="9">
        <v>1</v>
      </c>
      <c r="M157" s="3">
        <v>98</v>
      </c>
      <c r="N157" s="6">
        <v>1938</v>
      </c>
      <c r="P157" s="71"/>
      <c r="R157" s="6">
        <v>1930</v>
      </c>
      <c r="S157" s="3" t="s">
        <v>236</v>
      </c>
      <c r="T157" s="72"/>
      <c r="U157" s="73"/>
      <c r="W157" s="2" t="s">
        <v>62</v>
      </c>
      <c r="X157" s="10" t="s">
        <v>56</v>
      </c>
      <c r="Y157" s="10" t="s">
        <v>57</v>
      </c>
      <c r="Z157" s="75"/>
      <c r="AA157" s="76"/>
      <c r="AB157" s="77"/>
      <c r="AC157" s="77"/>
      <c r="AD157" s="6"/>
      <c r="AI157" s="7"/>
      <c r="AJ157" s="95">
        <v>17570</v>
      </c>
      <c r="AK157" s="7">
        <v>1940</v>
      </c>
      <c r="AL157" s="16"/>
      <c r="AW157" s="6">
        <f t="shared" ca="1" si="3"/>
        <v>87</v>
      </c>
    </row>
    <row r="158" ht="45" customHeight="1">
      <c r="A158" s="69"/>
      <c r="B158" s="3" t="s">
        <v>47</v>
      </c>
      <c r="E158" s="2" t="s">
        <v>83</v>
      </c>
      <c r="F158" s="6" t="s">
        <v>84</v>
      </c>
      <c r="G158" s="5" t="s">
        <v>85</v>
      </c>
      <c r="H158" s="2" t="s">
        <v>491</v>
      </c>
      <c r="I158" s="3" t="s">
        <v>492</v>
      </c>
      <c r="J158" s="7">
        <v>1</v>
      </c>
      <c r="K158" s="70" t="s">
        <v>53</v>
      </c>
      <c r="L158" s="9">
        <v>1</v>
      </c>
      <c r="M158" s="3">
        <v>99</v>
      </c>
      <c r="N158" s="6">
        <v>1938</v>
      </c>
      <c r="P158" s="71"/>
      <c r="R158" s="6">
        <v>1930</v>
      </c>
      <c r="S158" s="3" t="s">
        <v>54</v>
      </c>
      <c r="T158" s="72"/>
      <c r="U158" s="73"/>
      <c r="W158" s="2" t="s">
        <v>493</v>
      </c>
      <c r="X158" s="10" t="s">
        <v>56</v>
      </c>
      <c r="Y158" s="10" t="s">
        <v>494</v>
      </c>
      <c r="Z158" s="75"/>
      <c r="AA158" s="76"/>
      <c r="AB158" s="77">
        <v>14061</v>
      </c>
      <c r="AC158" s="77">
        <v>14061</v>
      </c>
      <c r="AD158" s="10"/>
      <c r="AG158" s="7">
        <v>1938</v>
      </c>
      <c r="AH158" s="7">
        <v>1930</v>
      </c>
      <c r="AI158" s="7"/>
      <c r="AJ158" s="73"/>
      <c r="AK158" s="7"/>
      <c r="AL158" s="16"/>
      <c r="AM158" s="2" t="s">
        <v>59</v>
      </c>
      <c r="AU158" s="16" t="s">
        <v>495</v>
      </c>
      <c r="AW158" s="6">
        <f t="shared" ca="1" si="3"/>
        <v>87</v>
      </c>
    </row>
    <row r="159" ht="45" customHeight="1">
      <c r="A159" s="69"/>
      <c r="B159" s="3" t="s">
        <v>47</v>
      </c>
      <c r="E159" s="2" t="s">
        <v>83</v>
      </c>
      <c r="F159" s="6" t="s">
        <v>84</v>
      </c>
      <c r="G159" s="5" t="s">
        <v>85</v>
      </c>
      <c r="H159" s="2" t="s">
        <v>68</v>
      </c>
      <c r="I159" s="3" t="s">
        <v>496</v>
      </c>
      <c r="J159" s="7">
        <v>1</v>
      </c>
      <c r="K159" s="70" t="s">
        <v>53</v>
      </c>
      <c r="L159" s="9">
        <v>0</v>
      </c>
      <c r="M159" s="3">
        <v>99</v>
      </c>
      <c r="N159" s="6">
        <v>1938</v>
      </c>
      <c r="P159" s="71"/>
      <c r="R159" s="6">
        <v>1930</v>
      </c>
      <c r="S159" s="3" t="s">
        <v>54</v>
      </c>
      <c r="T159" s="72"/>
      <c r="U159" s="73"/>
      <c r="W159" s="2" t="s">
        <v>497</v>
      </c>
      <c r="X159" s="10" t="s">
        <v>56</v>
      </c>
      <c r="Y159" s="10" t="s">
        <v>68</v>
      </c>
      <c r="Z159" s="75" t="s">
        <v>260</v>
      </c>
      <c r="AA159" s="76"/>
      <c r="AB159" s="77">
        <v>14061</v>
      </c>
      <c r="AC159" s="77">
        <v>14061</v>
      </c>
      <c r="AD159" s="10"/>
      <c r="AG159" s="7">
        <v>1938</v>
      </c>
      <c r="AH159" s="7">
        <v>1930</v>
      </c>
      <c r="AI159" s="7"/>
      <c r="AJ159" s="73"/>
      <c r="AK159" s="7"/>
      <c r="AL159" s="16" t="s">
        <v>498</v>
      </c>
      <c r="AM159" s="2" t="s">
        <v>53</v>
      </c>
      <c r="AO159" s="6" t="s">
        <v>100</v>
      </c>
      <c r="AR159" s="2" t="s">
        <v>73</v>
      </c>
      <c r="AT159" s="6">
        <v>1986</v>
      </c>
      <c r="AU159" s="16" t="s">
        <v>499</v>
      </c>
      <c r="AW159" s="6">
        <f t="shared" ca="1" si="3"/>
        <v>87</v>
      </c>
    </row>
    <row r="160" ht="45" customHeight="1">
      <c r="A160" s="69"/>
      <c r="B160" s="3" t="s">
        <v>47</v>
      </c>
      <c r="E160" s="2" t="s">
        <v>83</v>
      </c>
      <c r="F160" s="6" t="s">
        <v>84</v>
      </c>
      <c r="G160" s="5" t="s">
        <v>85</v>
      </c>
      <c r="H160" s="2" t="s">
        <v>57</v>
      </c>
      <c r="I160" s="3" t="s">
        <v>500</v>
      </c>
      <c r="J160" s="7">
        <v>1</v>
      </c>
      <c r="K160" s="70" t="s">
        <v>53</v>
      </c>
      <c r="L160" s="9">
        <v>0</v>
      </c>
      <c r="M160" s="3">
        <v>99</v>
      </c>
      <c r="N160" s="6">
        <v>1938</v>
      </c>
      <c r="P160" s="71"/>
      <c r="R160" s="6">
        <v>1930</v>
      </c>
      <c r="S160" s="3" t="s">
        <v>54</v>
      </c>
      <c r="T160" s="72"/>
      <c r="U160" s="73"/>
      <c r="W160" s="105"/>
      <c r="X160" s="10" t="s">
        <v>56</v>
      </c>
      <c r="Y160" s="10" t="s">
        <v>57</v>
      </c>
      <c r="Z160" s="75"/>
      <c r="AA160" s="76"/>
      <c r="AB160" s="77">
        <v>14061</v>
      </c>
      <c r="AC160" s="77">
        <v>14061</v>
      </c>
      <c r="AD160" s="10"/>
      <c r="AG160" s="7">
        <v>1938</v>
      </c>
      <c r="AH160" s="7">
        <v>1930</v>
      </c>
      <c r="AI160" s="7"/>
      <c r="AJ160" s="73"/>
      <c r="AK160" s="7"/>
      <c r="AL160" s="16"/>
      <c r="AM160" s="2" t="s">
        <v>59</v>
      </c>
      <c r="AW160" s="6">
        <f t="shared" ca="1" si="3"/>
        <v>87</v>
      </c>
    </row>
    <row r="161" ht="45" hidden="1" customHeight="1">
      <c r="A161" s="69"/>
      <c r="B161" s="3" t="s">
        <v>47</v>
      </c>
      <c r="E161" s="2" t="s">
        <v>83</v>
      </c>
      <c r="F161" s="6" t="s">
        <v>84</v>
      </c>
      <c r="G161" s="5" t="s">
        <v>85</v>
      </c>
      <c r="H161" s="2" t="s">
        <v>501</v>
      </c>
      <c r="I161" s="3" t="s">
        <v>502</v>
      </c>
      <c r="J161" s="7">
        <v>1</v>
      </c>
      <c r="K161" s="70" t="s">
        <v>127</v>
      </c>
      <c r="L161" s="9">
        <v>0</v>
      </c>
      <c r="M161" s="3">
        <v>99</v>
      </c>
      <c r="N161" s="6">
        <v>1938</v>
      </c>
      <c r="P161" s="71"/>
      <c r="R161" s="6">
        <v>1930</v>
      </c>
      <c r="S161" s="3" t="s">
        <v>128</v>
      </c>
      <c r="T161" s="72"/>
      <c r="U161" s="73"/>
      <c r="W161" s="2" t="s">
        <v>503</v>
      </c>
      <c r="X161" s="10" t="s">
        <v>504</v>
      </c>
      <c r="Y161" s="10" t="s">
        <v>501</v>
      </c>
      <c r="Z161" s="75"/>
      <c r="AA161" s="76"/>
      <c r="AB161" s="77" t="s">
        <v>129</v>
      </c>
      <c r="AC161" s="77" t="s">
        <v>129</v>
      </c>
      <c r="AD161" s="10"/>
      <c r="AG161" s="7">
        <v>1938</v>
      </c>
      <c r="AH161" s="7">
        <v>1930</v>
      </c>
      <c r="AI161" s="7"/>
      <c r="AJ161" s="73"/>
      <c r="AK161" s="7"/>
      <c r="AL161" s="102" t="s">
        <v>505</v>
      </c>
      <c r="AW161" s="6">
        <f t="shared" ca="1" si="3"/>
        <v>87</v>
      </c>
    </row>
    <row r="162" ht="45" customHeight="1" outlineLevel="1">
      <c r="A162" s="69"/>
      <c r="B162" s="3" t="s">
        <v>47</v>
      </c>
      <c r="E162" s="2" t="s">
        <v>83</v>
      </c>
      <c r="F162" s="6" t="s">
        <v>84</v>
      </c>
      <c r="G162" s="5" t="s">
        <v>85</v>
      </c>
      <c r="H162" s="2" t="s">
        <v>57</v>
      </c>
      <c r="I162" s="3" t="s">
        <v>506</v>
      </c>
      <c r="J162" s="7">
        <v>1</v>
      </c>
      <c r="K162" s="70" t="s">
        <v>53</v>
      </c>
      <c r="L162" s="9">
        <v>0</v>
      </c>
      <c r="M162" s="3">
        <v>99</v>
      </c>
      <c r="N162" s="6">
        <v>1938</v>
      </c>
      <c r="P162" s="71"/>
      <c r="R162" s="6">
        <v>1930</v>
      </c>
      <c r="S162" s="3" t="s">
        <v>54</v>
      </c>
      <c r="T162" s="72"/>
      <c r="U162" s="73"/>
      <c r="W162" s="2" t="s">
        <v>507</v>
      </c>
      <c r="X162" s="10" t="s">
        <v>56</v>
      </c>
      <c r="Y162" s="10" t="s">
        <v>57</v>
      </c>
      <c r="Z162" s="75"/>
      <c r="AA162" s="76"/>
      <c r="AB162" s="77">
        <v>14061</v>
      </c>
      <c r="AC162" s="77">
        <v>14061</v>
      </c>
      <c r="AD162" s="10"/>
      <c r="AG162" s="7">
        <v>1938</v>
      </c>
      <c r="AH162" s="7">
        <v>1930</v>
      </c>
      <c r="AI162" s="7"/>
      <c r="AJ162" s="73"/>
      <c r="AK162" s="7"/>
      <c r="AL162" s="16" t="s">
        <v>263</v>
      </c>
      <c r="AM162" s="2" t="s">
        <v>59</v>
      </c>
      <c r="AO162" s="6" t="s">
        <v>59</v>
      </c>
      <c r="AP162" s="6" t="s">
        <v>73</v>
      </c>
      <c r="AQ162" s="5" t="s">
        <v>73</v>
      </c>
      <c r="AW162" s="6">
        <f t="shared" ca="1" si="3"/>
        <v>87</v>
      </c>
    </row>
    <row r="163" ht="45" customHeight="1" outlineLevel="1">
      <c r="A163" s="69"/>
      <c r="B163" s="3" t="s">
        <v>47</v>
      </c>
      <c r="E163" s="2" t="s">
        <v>83</v>
      </c>
      <c r="F163" s="6" t="s">
        <v>84</v>
      </c>
      <c r="G163" s="5" t="s">
        <v>85</v>
      </c>
      <c r="H163" s="2" t="s">
        <v>508</v>
      </c>
      <c r="I163" s="3" t="s">
        <v>509</v>
      </c>
      <c r="J163" s="7">
        <v>1</v>
      </c>
      <c r="K163" s="70" t="s">
        <v>53</v>
      </c>
      <c r="L163" s="9">
        <v>0</v>
      </c>
      <c r="M163" s="3">
        <v>99</v>
      </c>
      <c r="N163" s="6">
        <v>1938</v>
      </c>
      <c r="P163" s="71"/>
      <c r="R163" s="6">
        <v>1930</v>
      </c>
      <c r="S163" s="3" t="s">
        <v>54</v>
      </c>
      <c r="T163" s="72"/>
      <c r="U163" s="73"/>
      <c r="W163" s="2" t="s">
        <v>510</v>
      </c>
      <c r="X163" s="10" t="s">
        <v>504</v>
      </c>
      <c r="Y163" s="10" t="s">
        <v>511</v>
      </c>
      <c r="Z163" s="75"/>
      <c r="AA163" s="76"/>
      <c r="AB163" s="77">
        <v>14061</v>
      </c>
      <c r="AC163" s="77">
        <v>14061</v>
      </c>
      <c r="AD163" s="10"/>
      <c r="AG163" s="7">
        <v>1938</v>
      </c>
      <c r="AH163" s="7">
        <v>1930</v>
      </c>
      <c r="AI163" s="7"/>
      <c r="AJ163" s="73"/>
      <c r="AK163" s="7"/>
      <c r="AL163" s="16"/>
      <c r="AW163" s="6">
        <f t="shared" ref="AW163:AW226" ca="1" si="4">IF(N163&lt;&gt;0,(YEAR(TODAY())-N163),(""))</f>
        <v>87</v>
      </c>
    </row>
    <row r="164" ht="45" customHeight="1" outlineLevel="1">
      <c r="A164" s="69"/>
      <c r="B164" s="3" t="s">
        <v>47</v>
      </c>
      <c r="E164" s="2" t="s">
        <v>83</v>
      </c>
      <c r="F164" s="6" t="s">
        <v>84</v>
      </c>
      <c r="G164" s="5" t="s">
        <v>85</v>
      </c>
      <c r="H164" s="2" t="s">
        <v>68</v>
      </c>
      <c r="I164" s="3" t="s">
        <v>512</v>
      </c>
      <c r="J164" s="7">
        <v>1</v>
      </c>
      <c r="K164" s="70" t="s">
        <v>53</v>
      </c>
      <c r="L164" s="9">
        <v>0</v>
      </c>
      <c r="M164" s="3">
        <v>99</v>
      </c>
      <c r="N164" s="6">
        <v>1938</v>
      </c>
      <c r="P164" s="71"/>
      <c r="R164" s="6">
        <v>1930</v>
      </c>
      <c r="S164" s="3" t="s">
        <v>54</v>
      </c>
      <c r="T164" s="72"/>
      <c r="U164" s="73"/>
      <c r="W164" s="2" t="s">
        <v>513</v>
      </c>
      <c r="X164" s="10" t="s">
        <v>56</v>
      </c>
      <c r="Y164" s="10" t="s">
        <v>68</v>
      </c>
      <c r="Z164" s="75" t="s">
        <v>260</v>
      </c>
      <c r="AA164" s="76"/>
      <c r="AB164" s="77">
        <v>14061</v>
      </c>
      <c r="AC164" s="77">
        <v>14061</v>
      </c>
      <c r="AD164" s="10"/>
      <c r="AG164" s="7">
        <v>1938</v>
      </c>
      <c r="AH164" s="7">
        <v>1930</v>
      </c>
      <c r="AI164" s="7"/>
      <c r="AJ164" s="73"/>
      <c r="AK164" s="7"/>
      <c r="AL164" s="16" t="s">
        <v>514</v>
      </c>
      <c r="AM164" s="2" t="s">
        <v>82</v>
      </c>
      <c r="AO164" s="6" t="s">
        <v>100</v>
      </c>
      <c r="AP164" s="6" t="s">
        <v>73</v>
      </c>
      <c r="AQ164" s="5" t="s">
        <v>73</v>
      </c>
      <c r="AR164" s="2" t="s">
        <v>73</v>
      </c>
      <c r="AT164" s="6">
        <v>2013</v>
      </c>
      <c r="AU164" s="16" t="s">
        <v>101</v>
      </c>
      <c r="AW164" s="6">
        <f t="shared" ca="1" si="4"/>
        <v>87</v>
      </c>
    </row>
    <row r="165" ht="45" customHeight="1" outlineLevel="1">
      <c r="A165" s="69"/>
      <c r="B165" s="3" t="s">
        <v>47</v>
      </c>
      <c r="E165" s="2" t="s">
        <v>83</v>
      </c>
      <c r="F165" s="6" t="s">
        <v>84</v>
      </c>
      <c r="G165" s="5" t="s">
        <v>85</v>
      </c>
      <c r="H165" s="2" t="s">
        <v>501</v>
      </c>
      <c r="I165" s="3" t="s">
        <v>515</v>
      </c>
      <c r="J165" s="7">
        <v>1</v>
      </c>
      <c r="K165" s="70" t="s">
        <v>53</v>
      </c>
      <c r="L165" s="9">
        <v>0</v>
      </c>
      <c r="M165" s="3">
        <v>99</v>
      </c>
      <c r="N165" s="6">
        <v>1938</v>
      </c>
      <c r="P165" s="71"/>
      <c r="R165" s="6">
        <v>1930</v>
      </c>
      <c r="S165" s="3" t="s">
        <v>54</v>
      </c>
      <c r="T165" s="72"/>
      <c r="U165" s="73"/>
      <c r="W165" s="2" t="s">
        <v>516</v>
      </c>
      <c r="X165" s="10" t="s">
        <v>504</v>
      </c>
      <c r="Y165" s="10" t="s">
        <v>501</v>
      </c>
      <c r="Z165" s="75"/>
      <c r="AA165" s="76"/>
      <c r="AB165" s="77">
        <v>14061</v>
      </c>
      <c r="AC165" s="77">
        <v>14061</v>
      </c>
      <c r="AD165" s="10"/>
      <c r="AG165" s="7">
        <v>1938</v>
      </c>
      <c r="AH165" s="7">
        <v>1930</v>
      </c>
      <c r="AI165" s="7"/>
      <c r="AJ165" s="73"/>
      <c r="AK165" s="7"/>
      <c r="AL165" s="16"/>
      <c r="AM165" s="2" t="s">
        <v>82</v>
      </c>
      <c r="AO165" s="6" t="s">
        <v>100</v>
      </c>
      <c r="AP165" s="6" t="s">
        <v>104</v>
      </c>
      <c r="AQ165" s="5" t="s">
        <v>104</v>
      </c>
      <c r="AR165" s="2" t="s">
        <v>73</v>
      </c>
      <c r="AT165" s="6">
        <v>1980</v>
      </c>
      <c r="AU165" s="16" t="s">
        <v>105</v>
      </c>
      <c r="AW165" s="6">
        <f t="shared" ca="1" si="4"/>
        <v>87</v>
      </c>
    </row>
    <row r="166" ht="45" customHeight="1">
      <c r="A166" s="69"/>
      <c r="B166" s="3" t="s">
        <v>47</v>
      </c>
      <c r="E166" s="2" t="s">
        <v>83</v>
      </c>
      <c r="F166" s="6" t="s">
        <v>84</v>
      </c>
      <c r="G166" s="5" t="s">
        <v>85</v>
      </c>
      <c r="H166" s="2" t="s">
        <v>508</v>
      </c>
      <c r="I166" s="3" t="s">
        <v>517</v>
      </c>
      <c r="J166" s="7">
        <v>1</v>
      </c>
      <c r="K166" s="70" t="s">
        <v>53</v>
      </c>
      <c r="L166" s="9">
        <v>0</v>
      </c>
      <c r="M166" s="3">
        <v>99</v>
      </c>
      <c r="N166" s="6">
        <v>1938</v>
      </c>
      <c r="P166" s="71"/>
      <c r="R166" s="6">
        <v>1930</v>
      </c>
      <c r="S166" s="3" t="s">
        <v>54</v>
      </c>
      <c r="T166" s="72"/>
      <c r="U166" s="73"/>
      <c r="W166" s="2" t="s">
        <v>518</v>
      </c>
      <c r="X166" s="10" t="s">
        <v>504</v>
      </c>
      <c r="Y166" s="10" t="s">
        <v>511</v>
      </c>
      <c r="Z166" s="75"/>
      <c r="AA166" s="76"/>
      <c r="AB166" s="77">
        <v>14061</v>
      </c>
      <c r="AC166" s="77">
        <v>14061</v>
      </c>
      <c r="AD166" s="10"/>
      <c r="AG166" s="7">
        <v>1938</v>
      </c>
      <c r="AH166" s="7">
        <v>1930</v>
      </c>
      <c r="AI166" s="7"/>
      <c r="AJ166" s="73"/>
      <c r="AK166" s="7"/>
      <c r="AL166" s="16"/>
      <c r="AW166" s="6">
        <f t="shared" ca="1" si="4"/>
        <v>87</v>
      </c>
    </row>
    <row r="167" ht="45" customHeight="1">
      <c r="A167" s="69"/>
      <c r="B167" s="3" t="s">
        <v>47</v>
      </c>
      <c r="E167" s="2" t="s">
        <v>83</v>
      </c>
      <c r="F167" s="6" t="s">
        <v>84</v>
      </c>
      <c r="G167" s="5" t="s">
        <v>85</v>
      </c>
      <c r="H167" s="2" t="s">
        <v>382</v>
      </c>
      <c r="I167" s="3" t="s">
        <v>519</v>
      </c>
      <c r="J167" s="7">
        <v>1</v>
      </c>
      <c r="K167" s="70" t="s">
        <v>53</v>
      </c>
      <c r="L167" s="9">
        <v>0</v>
      </c>
      <c r="M167" s="3">
        <v>100</v>
      </c>
      <c r="N167" s="6">
        <v>1938</v>
      </c>
      <c r="P167" s="71"/>
      <c r="R167" s="6">
        <v>1930</v>
      </c>
      <c r="S167" s="3" t="s">
        <v>54</v>
      </c>
      <c r="T167" s="72"/>
      <c r="U167" s="73"/>
      <c r="W167" s="2" t="s">
        <v>520</v>
      </c>
      <c r="X167" s="10" t="s">
        <v>91</v>
      </c>
      <c r="Y167" s="10" t="s">
        <v>385</v>
      </c>
      <c r="Z167" s="75"/>
      <c r="AA167" s="76"/>
      <c r="AB167" s="77">
        <v>13975</v>
      </c>
      <c r="AC167" s="77">
        <v>13975</v>
      </c>
      <c r="AD167" s="10"/>
      <c r="AG167" s="7">
        <v>1938</v>
      </c>
      <c r="AH167" s="7">
        <v>1930</v>
      </c>
      <c r="AI167" s="7"/>
      <c r="AJ167" s="73"/>
      <c r="AK167" s="7"/>
      <c r="AL167" s="16"/>
      <c r="AM167" s="2" t="s">
        <v>59</v>
      </c>
      <c r="AW167" s="6">
        <f t="shared" ca="1" si="4"/>
        <v>87</v>
      </c>
    </row>
    <row r="168" ht="45" customHeight="1">
      <c r="A168" s="69"/>
      <c r="B168" s="3" t="s">
        <v>47</v>
      </c>
      <c r="E168" s="2" t="s">
        <v>83</v>
      </c>
      <c r="F168" s="6" t="s">
        <v>84</v>
      </c>
      <c r="G168" s="5" t="s">
        <v>85</v>
      </c>
      <c r="H168" s="2" t="s">
        <v>491</v>
      </c>
      <c r="I168" s="3" t="s">
        <v>521</v>
      </c>
      <c r="J168" s="7">
        <v>1</v>
      </c>
      <c r="K168" s="70" t="s">
        <v>53</v>
      </c>
      <c r="L168" s="9">
        <v>1</v>
      </c>
      <c r="M168" s="3">
        <v>100</v>
      </c>
      <c r="N168" s="6">
        <v>1938</v>
      </c>
      <c r="P168" s="71"/>
      <c r="R168" s="6">
        <v>1930</v>
      </c>
      <c r="S168" s="3" t="s">
        <v>54</v>
      </c>
      <c r="T168" s="72"/>
      <c r="U168" s="73"/>
      <c r="W168" s="2" t="s">
        <v>522</v>
      </c>
      <c r="X168" s="10" t="s">
        <v>56</v>
      </c>
      <c r="Y168" s="10" t="s">
        <v>523</v>
      </c>
      <c r="Z168" s="75"/>
      <c r="AA168" s="76"/>
      <c r="AB168" s="77">
        <v>13975</v>
      </c>
      <c r="AC168" s="77">
        <v>13975</v>
      </c>
      <c r="AD168" s="10"/>
      <c r="AG168" s="7">
        <v>1938</v>
      </c>
      <c r="AH168" s="7">
        <v>1930</v>
      </c>
      <c r="AI168" s="7"/>
      <c r="AJ168" s="73"/>
      <c r="AK168" s="7"/>
      <c r="AL168" s="16" t="s">
        <v>524</v>
      </c>
      <c r="AM168" s="2" t="s">
        <v>59</v>
      </c>
      <c r="AO168" s="6" t="s">
        <v>100</v>
      </c>
      <c r="AP168" s="6" t="s">
        <v>104</v>
      </c>
      <c r="AQ168" s="5" t="s">
        <v>104</v>
      </c>
      <c r="AR168" s="2" t="s">
        <v>73</v>
      </c>
      <c r="AT168" s="6">
        <v>1980</v>
      </c>
      <c r="AU168" s="16" t="s">
        <v>525</v>
      </c>
      <c r="AW168" s="6">
        <f t="shared" ca="1" si="4"/>
        <v>87</v>
      </c>
    </row>
    <row r="169" ht="45" customHeight="1">
      <c r="A169" s="69"/>
      <c r="B169" s="3" t="s">
        <v>47</v>
      </c>
      <c r="E169" s="2" t="s">
        <v>83</v>
      </c>
      <c r="F169" s="6" t="s">
        <v>84</v>
      </c>
      <c r="G169" s="5" t="s">
        <v>85</v>
      </c>
      <c r="H169" s="2" t="s">
        <v>491</v>
      </c>
      <c r="I169" s="3" t="s">
        <v>526</v>
      </c>
      <c r="J169" s="7">
        <v>1</v>
      </c>
      <c r="K169" s="70" t="s">
        <v>53</v>
      </c>
      <c r="L169" s="9">
        <v>0</v>
      </c>
      <c r="M169" s="3">
        <v>100</v>
      </c>
      <c r="N169" s="6">
        <v>1938</v>
      </c>
      <c r="P169" s="71"/>
      <c r="R169" s="6">
        <v>1930</v>
      </c>
      <c r="S169" s="3" t="s">
        <v>54</v>
      </c>
      <c r="T169" s="72"/>
      <c r="U169" s="73"/>
      <c r="W169" s="2" t="s">
        <v>527</v>
      </c>
      <c r="X169" s="10" t="s">
        <v>56</v>
      </c>
      <c r="Y169" s="10" t="s">
        <v>523</v>
      </c>
      <c r="Z169" s="75"/>
      <c r="AA169" s="76"/>
      <c r="AB169" s="77">
        <v>13975</v>
      </c>
      <c r="AC169" s="77">
        <v>13975</v>
      </c>
      <c r="AD169" s="10"/>
      <c r="AG169" s="7">
        <v>1938</v>
      </c>
      <c r="AH169" s="7">
        <v>1930</v>
      </c>
      <c r="AI169" s="7"/>
      <c r="AJ169" s="73"/>
      <c r="AK169" s="7"/>
      <c r="AL169" s="16"/>
      <c r="AM169" s="2" t="s">
        <v>59</v>
      </c>
      <c r="AR169" s="2" t="s">
        <v>73</v>
      </c>
      <c r="AT169" s="6">
        <v>1980</v>
      </c>
      <c r="AU169" s="16" t="s">
        <v>525</v>
      </c>
      <c r="AW169" s="6">
        <f t="shared" ca="1" si="4"/>
        <v>87</v>
      </c>
    </row>
    <row r="170" ht="45" customHeight="1" outlineLevel="1">
      <c r="A170" s="69"/>
      <c r="B170" s="3" t="s">
        <v>47</v>
      </c>
      <c r="E170" s="2" t="s">
        <v>63</v>
      </c>
      <c r="F170" s="6" t="s">
        <v>64</v>
      </c>
      <c r="G170" s="5" t="s">
        <v>528</v>
      </c>
      <c r="H170" s="2" t="s">
        <v>57</v>
      </c>
      <c r="I170" s="3" t="s">
        <v>529</v>
      </c>
      <c r="J170" s="7">
        <v>1</v>
      </c>
      <c r="K170" s="70" t="s">
        <v>53</v>
      </c>
      <c r="L170" s="9">
        <v>1</v>
      </c>
      <c r="M170" s="3">
        <v>101</v>
      </c>
      <c r="N170" s="6">
        <v>1938</v>
      </c>
      <c r="P170" s="71"/>
      <c r="R170" s="6">
        <v>1930</v>
      </c>
      <c r="S170" s="3" t="s">
        <v>54</v>
      </c>
      <c r="T170" s="72"/>
      <c r="U170" s="73"/>
      <c r="W170" s="2" t="s">
        <v>530</v>
      </c>
      <c r="X170" s="10" t="s">
        <v>56</v>
      </c>
      <c r="Y170" s="10" t="s">
        <v>57</v>
      </c>
      <c r="Z170" s="75"/>
      <c r="AA170" s="76"/>
      <c r="AB170" s="77">
        <v>14024</v>
      </c>
      <c r="AC170" s="77">
        <v>14024</v>
      </c>
      <c r="AD170" s="10"/>
      <c r="AF170" s="7">
        <v>110</v>
      </c>
      <c r="AG170" s="7">
        <v>1938</v>
      </c>
      <c r="AH170" s="7">
        <v>1930</v>
      </c>
      <c r="AI170" s="7">
        <v>1984</v>
      </c>
      <c r="AJ170" s="73"/>
      <c r="AK170" s="7"/>
      <c r="AL170" s="16" t="s">
        <v>531</v>
      </c>
      <c r="AM170" s="2" t="s">
        <v>59</v>
      </c>
      <c r="AW170" s="6">
        <f t="shared" ca="1" si="4"/>
        <v>87</v>
      </c>
    </row>
    <row r="171" ht="45" customHeight="1" outlineLevel="1">
      <c r="A171" s="69"/>
      <c r="B171" s="3" t="s">
        <v>47</v>
      </c>
      <c r="E171" s="2" t="s">
        <v>48</v>
      </c>
      <c r="F171" s="6" t="s">
        <v>140</v>
      </c>
      <c r="G171" s="5" t="s">
        <v>532</v>
      </c>
      <c r="H171" s="2" t="s">
        <v>57</v>
      </c>
      <c r="I171" s="3" t="s">
        <v>533</v>
      </c>
      <c r="J171" s="7">
        <v>1</v>
      </c>
      <c r="K171" s="70" t="s">
        <v>53</v>
      </c>
      <c r="L171" s="9">
        <v>0</v>
      </c>
      <c r="M171" s="3">
        <v>101</v>
      </c>
      <c r="N171" s="6">
        <v>1938</v>
      </c>
      <c r="P171" s="71"/>
      <c r="R171" s="6">
        <v>1930</v>
      </c>
      <c r="S171" s="3" t="s">
        <v>54</v>
      </c>
      <c r="T171" s="72"/>
      <c r="U171" s="73"/>
      <c r="W171" s="2" t="s">
        <v>534</v>
      </c>
      <c r="X171" s="10" t="s">
        <v>56</v>
      </c>
      <c r="Y171" s="10" t="s">
        <v>57</v>
      </c>
      <c r="Z171" s="75"/>
      <c r="AA171" s="76"/>
      <c r="AB171" s="77">
        <v>14024</v>
      </c>
      <c r="AC171" s="77">
        <v>14024</v>
      </c>
      <c r="AD171" s="10"/>
      <c r="AF171" s="7">
        <v>110</v>
      </c>
      <c r="AG171" s="7">
        <v>1938</v>
      </c>
      <c r="AH171" s="7">
        <v>1930</v>
      </c>
      <c r="AI171" s="7">
        <v>1984</v>
      </c>
      <c r="AJ171" s="73"/>
      <c r="AK171" s="7"/>
      <c r="AL171" s="16"/>
      <c r="AM171" s="2" t="s">
        <v>59</v>
      </c>
      <c r="AO171" s="6" t="s">
        <v>59</v>
      </c>
      <c r="AU171" s="16" t="s">
        <v>535</v>
      </c>
      <c r="AW171" s="6">
        <f t="shared" ca="1" si="4"/>
        <v>87</v>
      </c>
    </row>
    <row r="172" ht="45" hidden="1" customHeight="1" outlineLevel="1">
      <c r="A172" s="69"/>
      <c r="B172" s="3" t="s">
        <v>47</v>
      </c>
      <c r="E172" s="2" t="s">
        <v>63</v>
      </c>
      <c r="F172" s="6" t="s">
        <v>64</v>
      </c>
      <c r="G172" s="5" t="s">
        <v>69</v>
      </c>
      <c r="H172" s="2" t="s">
        <v>57</v>
      </c>
      <c r="I172" s="3" t="s">
        <v>536</v>
      </c>
      <c r="J172" s="7">
        <v>1</v>
      </c>
      <c r="K172" s="70" t="s">
        <v>127</v>
      </c>
      <c r="L172" s="9">
        <v>0</v>
      </c>
      <c r="M172" s="3">
        <v>101</v>
      </c>
      <c r="N172" s="6">
        <v>1938</v>
      </c>
      <c r="P172" s="71"/>
      <c r="R172" s="6">
        <v>1930</v>
      </c>
      <c r="S172" s="3" t="s">
        <v>128</v>
      </c>
      <c r="T172" s="72"/>
      <c r="U172" s="73"/>
      <c r="X172" s="10" t="s">
        <v>56</v>
      </c>
      <c r="Y172" s="10" t="s">
        <v>57</v>
      </c>
      <c r="Z172" s="75"/>
      <c r="AA172" s="76"/>
      <c r="AB172" s="77" t="s">
        <v>129</v>
      </c>
      <c r="AC172" s="77" t="s">
        <v>129</v>
      </c>
      <c r="AD172" s="10"/>
      <c r="AG172" s="7">
        <v>1938</v>
      </c>
      <c r="AH172" s="7">
        <v>1930</v>
      </c>
      <c r="AI172" s="7"/>
      <c r="AJ172" s="73"/>
      <c r="AK172" s="7"/>
      <c r="AL172" s="16" t="s">
        <v>537</v>
      </c>
      <c r="AM172" s="2" t="s">
        <v>59</v>
      </c>
      <c r="AO172" s="6" t="s">
        <v>59</v>
      </c>
      <c r="AU172" s="16" t="s">
        <v>535</v>
      </c>
      <c r="AW172" s="6">
        <f t="shared" ca="1" si="4"/>
        <v>87</v>
      </c>
    </row>
    <row r="173" ht="45" customHeight="1">
      <c r="A173" s="69"/>
      <c r="B173" s="3" t="s">
        <v>47</v>
      </c>
      <c r="E173" s="2" t="s">
        <v>63</v>
      </c>
      <c r="F173" s="6" t="s">
        <v>64</v>
      </c>
      <c r="G173" s="5" t="s">
        <v>69</v>
      </c>
      <c r="H173" s="2" t="s">
        <v>57</v>
      </c>
      <c r="I173" s="3" t="s">
        <v>538</v>
      </c>
      <c r="J173" s="7">
        <v>1</v>
      </c>
      <c r="K173" s="70" t="s">
        <v>53</v>
      </c>
      <c r="L173" s="9">
        <v>0</v>
      </c>
      <c r="M173" s="3">
        <v>101</v>
      </c>
      <c r="N173" s="6">
        <v>1938</v>
      </c>
      <c r="P173" s="71"/>
      <c r="R173" s="6">
        <v>1930</v>
      </c>
      <c r="S173" s="3" t="s">
        <v>54</v>
      </c>
      <c r="T173" s="72"/>
      <c r="U173" s="73"/>
      <c r="W173" s="2" t="s">
        <v>539</v>
      </c>
      <c r="X173" s="10" t="s">
        <v>56</v>
      </c>
      <c r="Y173" s="10" t="s">
        <v>57</v>
      </c>
      <c r="Z173" s="75"/>
      <c r="AA173" s="76"/>
      <c r="AB173" s="77">
        <v>14024</v>
      </c>
      <c r="AC173" s="77">
        <v>14024</v>
      </c>
      <c r="AD173" s="10"/>
      <c r="AF173" s="7">
        <v>110</v>
      </c>
      <c r="AG173" s="7">
        <v>1938</v>
      </c>
      <c r="AH173" s="7">
        <v>1930</v>
      </c>
      <c r="AI173" s="7">
        <v>1984</v>
      </c>
      <c r="AJ173" s="73"/>
      <c r="AK173" s="7"/>
      <c r="AL173" s="16" t="s">
        <v>531</v>
      </c>
      <c r="AM173" s="2" t="s">
        <v>59</v>
      </c>
      <c r="AO173" s="6" t="s">
        <v>73</v>
      </c>
      <c r="AU173" s="16" t="s">
        <v>540</v>
      </c>
      <c r="AW173" s="6">
        <f t="shared" ca="1" si="4"/>
        <v>87</v>
      </c>
    </row>
    <row r="174" ht="45" customHeight="1">
      <c r="A174" s="69"/>
      <c r="B174" s="3" t="s">
        <v>47</v>
      </c>
      <c r="E174" s="2" t="s">
        <v>63</v>
      </c>
      <c r="F174" s="6" t="s">
        <v>64</v>
      </c>
      <c r="G174" s="5" t="s">
        <v>69</v>
      </c>
      <c r="H174" s="2" t="s">
        <v>57</v>
      </c>
      <c r="I174" s="3" t="s">
        <v>541</v>
      </c>
      <c r="J174" s="7">
        <v>1</v>
      </c>
      <c r="K174" s="70" t="s">
        <v>53</v>
      </c>
      <c r="L174" s="9">
        <v>0</v>
      </c>
      <c r="M174" s="3">
        <v>101</v>
      </c>
      <c r="N174" s="6">
        <v>1938</v>
      </c>
      <c r="P174" s="71"/>
      <c r="R174" s="6">
        <v>1930</v>
      </c>
      <c r="S174" s="3" t="s">
        <v>54</v>
      </c>
      <c r="T174" s="72"/>
      <c r="U174" s="73"/>
      <c r="W174" s="2" t="s">
        <v>542</v>
      </c>
      <c r="X174" s="10" t="s">
        <v>56</v>
      </c>
      <c r="Y174" s="10" t="s">
        <v>57</v>
      </c>
      <c r="Z174" s="75"/>
      <c r="AA174" s="76"/>
      <c r="AB174" s="77">
        <v>14024</v>
      </c>
      <c r="AC174" s="77">
        <v>14024</v>
      </c>
      <c r="AD174" s="10"/>
      <c r="AF174" s="7">
        <v>110</v>
      </c>
      <c r="AG174" s="7">
        <v>1938</v>
      </c>
      <c r="AH174" s="7">
        <v>1930</v>
      </c>
      <c r="AI174" s="7">
        <v>1984</v>
      </c>
      <c r="AJ174" s="73"/>
      <c r="AK174" s="7"/>
      <c r="AL174" s="16" t="s">
        <v>531</v>
      </c>
      <c r="AM174" s="2" t="s">
        <v>59</v>
      </c>
      <c r="AO174" s="6" t="s">
        <v>73</v>
      </c>
      <c r="AU174" s="16" t="s">
        <v>540</v>
      </c>
      <c r="AW174" s="6">
        <f t="shared" ca="1" si="4"/>
        <v>87</v>
      </c>
    </row>
    <row r="175" ht="45" customHeight="1">
      <c r="A175" s="69"/>
      <c r="B175" s="3" t="s">
        <v>47</v>
      </c>
      <c r="E175" s="2" t="s">
        <v>83</v>
      </c>
      <c r="F175" s="6" t="s">
        <v>84</v>
      </c>
      <c r="G175" s="5" t="s">
        <v>85</v>
      </c>
      <c r="H175" s="2" t="s">
        <v>51</v>
      </c>
      <c r="I175" s="3" t="s">
        <v>543</v>
      </c>
      <c r="J175" s="7">
        <v>1</v>
      </c>
      <c r="K175" s="70" t="s">
        <v>53</v>
      </c>
      <c r="L175" s="9">
        <v>0</v>
      </c>
      <c r="M175" s="3">
        <v>101</v>
      </c>
      <c r="N175" s="6">
        <v>1938</v>
      </c>
      <c r="P175" s="71"/>
      <c r="R175" s="6">
        <v>1930</v>
      </c>
      <c r="S175" s="3" t="s">
        <v>54</v>
      </c>
      <c r="T175" s="72"/>
      <c r="U175" s="73"/>
      <c r="W175" s="2" t="s">
        <v>427</v>
      </c>
      <c r="X175" s="10" t="s">
        <v>56</v>
      </c>
      <c r="Y175" s="10" t="s">
        <v>57</v>
      </c>
      <c r="Z175" s="75"/>
      <c r="AA175" s="76"/>
      <c r="AB175" s="77">
        <v>14011</v>
      </c>
      <c r="AC175" s="77">
        <v>14011</v>
      </c>
      <c r="AD175" s="10"/>
      <c r="AF175" s="7">
        <v>110</v>
      </c>
      <c r="AG175" s="7">
        <v>1938</v>
      </c>
      <c r="AH175" s="7">
        <v>1930</v>
      </c>
      <c r="AI175" s="7">
        <v>1984</v>
      </c>
      <c r="AJ175" s="73"/>
      <c r="AK175" s="7"/>
      <c r="AL175" s="16"/>
      <c r="AM175" s="2" t="s">
        <v>59</v>
      </c>
      <c r="AR175" s="2" t="s">
        <v>544</v>
      </c>
      <c r="AT175" s="6">
        <v>1978</v>
      </c>
      <c r="AU175" s="16" t="s">
        <v>545</v>
      </c>
      <c r="AW175" s="6">
        <f t="shared" ca="1" si="4"/>
        <v>87</v>
      </c>
    </row>
    <row r="176" ht="45" customHeight="1" outlineLevel="1">
      <c r="A176" s="69"/>
      <c r="B176" s="3" t="s">
        <v>47</v>
      </c>
      <c r="E176" s="2" t="s">
        <v>83</v>
      </c>
      <c r="F176" s="6" t="s">
        <v>84</v>
      </c>
      <c r="G176" s="5" t="s">
        <v>85</v>
      </c>
      <c r="H176" s="2" t="s">
        <v>57</v>
      </c>
      <c r="I176" s="3" t="s">
        <v>546</v>
      </c>
      <c r="J176" s="7">
        <v>1</v>
      </c>
      <c r="K176" s="70" t="s">
        <v>53</v>
      </c>
      <c r="L176" s="9">
        <v>0</v>
      </c>
      <c r="M176" s="3">
        <v>101</v>
      </c>
      <c r="N176" s="6">
        <v>1938</v>
      </c>
      <c r="P176" s="71"/>
      <c r="R176" s="6">
        <v>1930</v>
      </c>
      <c r="S176" s="3" t="s">
        <v>54</v>
      </c>
      <c r="T176" s="72"/>
      <c r="U176" s="73"/>
      <c r="W176" s="2" t="s">
        <v>547</v>
      </c>
      <c r="X176" s="10" t="s">
        <v>56</v>
      </c>
      <c r="Y176" s="10" t="s">
        <v>57</v>
      </c>
      <c r="Z176" s="75"/>
      <c r="AA176" s="76"/>
      <c r="AB176" s="77">
        <v>14024</v>
      </c>
      <c r="AC176" s="77">
        <v>14024</v>
      </c>
      <c r="AD176" s="10"/>
      <c r="AF176" s="7">
        <v>110</v>
      </c>
      <c r="AG176" s="7">
        <v>1938</v>
      </c>
      <c r="AH176" s="7">
        <v>1930</v>
      </c>
      <c r="AI176" s="7">
        <v>1984</v>
      </c>
      <c r="AJ176" s="73"/>
      <c r="AK176" s="7"/>
      <c r="AL176" s="16"/>
      <c r="AM176" s="2" t="s">
        <v>59</v>
      </c>
      <c r="AW176" s="6">
        <f t="shared" ca="1" si="4"/>
        <v>87</v>
      </c>
    </row>
    <row r="177" ht="45" customHeight="1">
      <c r="A177" s="69"/>
      <c r="B177" s="3" t="s">
        <v>47</v>
      </c>
      <c r="E177" s="2" t="s">
        <v>83</v>
      </c>
      <c r="F177" s="6" t="s">
        <v>84</v>
      </c>
      <c r="G177" s="5" t="s">
        <v>85</v>
      </c>
      <c r="H177" s="2" t="s">
        <v>57</v>
      </c>
      <c r="I177" s="3" t="s">
        <v>548</v>
      </c>
      <c r="J177" s="7">
        <v>1</v>
      </c>
      <c r="K177" s="70" t="s">
        <v>53</v>
      </c>
      <c r="L177" s="9">
        <v>0</v>
      </c>
      <c r="M177" s="3">
        <v>101</v>
      </c>
      <c r="N177" s="6">
        <v>1938</v>
      </c>
      <c r="P177" s="71"/>
      <c r="R177" s="6">
        <v>1930</v>
      </c>
      <c r="S177" s="3" t="s">
        <v>54</v>
      </c>
      <c r="T177" s="72"/>
      <c r="U177" s="73"/>
      <c r="W177" s="100" t="s">
        <v>549</v>
      </c>
      <c r="X177" s="10" t="s">
        <v>56</v>
      </c>
      <c r="Y177" s="10" t="s">
        <v>57</v>
      </c>
      <c r="Z177" s="75"/>
      <c r="AA177" s="76"/>
      <c r="AB177" s="77">
        <v>14024</v>
      </c>
      <c r="AC177" s="77">
        <v>14024</v>
      </c>
      <c r="AD177" s="10"/>
      <c r="AF177" s="7">
        <v>110</v>
      </c>
      <c r="AG177" s="7">
        <v>1938</v>
      </c>
      <c r="AH177" s="7">
        <v>1930</v>
      </c>
      <c r="AI177" s="7">
        <v>1984</v>
      </c>
      <c r="AJ177" s="73"/>
      <c r="AK177" s="7"/>
      <c r="AL177" s="16"/>
      <c r="AM177" s="2" t="s">
        <v>59</v>
      </c>
      <c r="AR177" s="2" t="s">
        <v>544</v>
      </c>
      <c r="AT177" s="6">
        <v>1978</v>
      </c>
      <c r="AU177" s="16" t="s">
        <v>545</v>
      </c>
      <c r="AW177" s="6">
        <f t="shared" ca="1" si="4"/>
        <v>87</v>
      </c>
    </row>
    <row r="178" ht="45" customHeight="1">
      <c r="A178" s="69"/>
      <c r="B178" s="3" t="s">
        <v>47</v>
      </c>
      <c r="E178" s="2" t="s">
        <v>83</v>
      </c>
      <c r="F178" s="6" t="s">
        <v>84</v>
      </c>
      <c r="G178" s="5" t="s">
        <v>85</v>
      </c>
      <c r="H178" s="2" t="s">
        <v>57</v>
      </c>
      <c r="I178" s="3" t="s">
        <v>550</v>
      </c>
      <c r="J178" s="7">
        <v>1</v>
      </c>
      <c r="K178" s="70" t="s">
        <v>53</v>
      </c>
      <c r="L178" s="9">
        <v>0</v>
      </c>
      <c r="M178" s="3">
        <v>101</v>
      </c>
      <c r="N178" s="6">
        <v>1938</v>
      </c>
      <c r="P178" s="71"/>
      <c r="R178" s="6">
        <v>1930</v>
      </c>
      <c r="S178" s="3" t="s">
        <v>54</v>
      </c>
      <c r="T178" s="72"/>
      <c r="U178" s="73"/>
      <c r="W178" s="2" t="s">
        <v>551</v>
      </c>
      <c r="X178" s="10" t="s">
        <v>56</v>
      </c>
      <c r="Y178" s="10" t="s">
        <v>57</v>
      </c>
      <c r="Z178" s="75"/>
      <c r="AA178" s="76"/>
      <c r="AB178" s="77">
        <v>14011</v>
      </c>
      <c r="AC178" s="77">
        <v>14011</v>
      </c>
      <c r="AD178" s="10"/>
      <c r="AF178" s="7">
        <v>110</v>
      </c>
      <c r="AG178" s="7">
        <v>1938</v>
      </c>
      <c r="AH178" s="7">
        <v>1930</v>
      </c>
      <c r="AI178" s="7">
        <v>1984</v>
      </c>
      <c r="AJ178" s="73"/>
      <c r="AK178" s="7"/>
      <c r="AL178" s="16"/>
      <c r="AM178" s="2" t="s">
        <v>59</v>
      </c>
      <c r="AR178" s="2" t="s">
        <v>544</v>
      </c>
      <c r="AT178" s="6">
        <v>1978</v>
      </c>
      <c r="AU178" s="16" t="s">
        <v>545</v>
      </c>
      <c r="AW178" s="6">
        <f t="shared" ca="1" si="4"/>
        <v>87</v>
      </c>
    </row>
    <row r="179" ht="45" customHeight="1">
      <c r="A179" s="69"/>
      <c r="B179" s="3" t="s">
        <v>47</v>
      </c>
      <c r="E179" s="2" t="s">
        <v>83</v>
      </c>
      <c r="F179" s="6" t="s">
        <v>84</v>
      </c>
      <c r="G179" s="5" t="s">
        <v>85</v>
      </c>
      <c r="H179" s="2" t="s">
        <v>491</v>
      </c>
      <c r="I179" s="3" t="s">
        <v>552</v>
      </c>
      <c r="J179" s="7">
        <v>1</v>
      </c>
      <c r="K179" s="70" t="s">
        <v>53</v>
      </c>
      <c r="L179" s="9">
        <v>0</v>
      </c>
      <c r="M179" s="3">
        <v>101</v>
      </c>
      <c r="N179" s="6">
        <v>1938</v>
      </c>
      <c r="P179" s="71"/>
      <c r="R179" s="6">
        <v>1930</v>
      </c>
      <c r="S179" s="3" t="s">
        <v>54</v>
      </c>
      <c r="T179" s="72"/>
      <c r="U179" s="73"/>
      <c r="W179" s="2" t="s">
        <v>553</v>
      </c>
      <c r="X179" s="10" t="s">
        <v>56</v>
      </c>
      <c r="Y179" s="10" t="s">
        <v>523</v>
      </c>
      <c r="Z179" s="75"/>
      <c r="AA179" s="76"/>
      <c r="AB179" s="77">
        <v>14011</v>
      </c>
      <c r="AC179" s="77">
        <v>14011</v>
      </c>
      <c r="AD179" s="10"/>
      <c r="AF179" s="7">
        <v>110</v>
      </c>
      <c r="AG179" s="7">
        <v>1938</v>
      </c>
      <c r="AH179" s="7">
        <v>1930</v>
      </c>
      <c r="AI179" s="7">
        <v>1984</v>
      </c>
      <c r="AJ179" s="73"/>
      <c r="AK179" s="7"/>
      <c r="AL179" s="16" t="s">
        <v>554</v>
      </c>
      <c r="AM179" s="2" t="s">
        <v>59</v>
      </c>
      <c r="AO179" s="6" t="s">
        <v>100</v>
      </c>
      <c r="AP179" s="6" t="s">
        <v>104</v>
      </c>
      <c r="AQ179" s="5" t="s">
        <v>104</v>
      </c>
      <c r="AR179" s="87" t="s">
        <v>73</v>
      </c>
      <c r="AS179" s="88"/>
      <c r="AT179" s="88">
        <v>1990</v>
      </c>
      <c r="AU179" s="89" t="s">
        <v>555</v>
      </c>
      <c r="AV179" s="90"/>
      <c r="AW179" s="6">
        <f t="shared" ca="1" si="4"/>
        <v>87</v>
      </c>
    </row>
    <row r="180" ht="45" customHeight="1">
      <c r="A180" s="69"/>
      <c r="B180" s="3" t="s">
        <v>47</v>
      </c>
      <c r="E180" s="2" t="s">
        <v>83</v>
      </c>
      <c r="F180" s="6" t="s">
        <v>84</v>
      </c>
      <c r="G180" s="5" t="s">
        <v>85</v>
      </c>
      <c r="H180" s="2" t="s">
        <v>491</v>
      </c>
      <c r="I180" s="3" t="s">
        <v>556</v>
      </c>
      <c r="J180" s="7">
        <v>1</v>
      </c>
      <c r="K180" s="70" t="s">
        <v>53</v>
      </c>
      <c r="L180" s="9">
        <v>0</v>
      </c>
      <c r="M180" s="3">
        <v>101</v>
      </c>
      <c r="N180" s="6">
        <v>1938</v>
      </c>
      <c r="P180" s="71"/>
      <c r="R180" s="6">
        <v>1930</v>
      </c>
      <c r="S180" s="3" t="s">
        <v>54</v>
      </c>
      <c r="T180" s="72"/>
      <c r="U180" s="73"/>
      <c r="W180" s="2" t="s">
        <v>557</v>
      </c>
      <c r="X180" s="10" t="s">
        <v>56</v>
      </c>
      <c r="Y180" s="10" t="s">
        <v>494</v>
      </c>
      <c r="Z180" s="75"/>
      <c r="AA180" s="76"/>
      <c r="AB180" s="77">
        <v>14011</v>
      </c>
      <c r="AC180" s="77">
        <v>14011</v>
      </c>
      <c r="AD180" s="10"/>
      <c r="AF180" s="7">
        <v>110</v>
      </c>
      <c r="AG180" s="7">
        <v>1938</v>
      </c>
      <c r="AH180" s="7">
        <v>1930</v>
      </c>
      <c r="AI180" s="7">
        <v>1984</v>
      </c>
      <c r="AJ180" s="73"/>
      <c r="AK180" s="7"/>
      <c r="AL180" s="16" t="s">
        <v>558</v>
      </c>
      <c r="AM180" s="2" t="s">
        <v>59</v>
      </c>
      <c r="AO180" s="6" t="s">
        <v>59</v>
      </c>
      <c r="AP180" s="6" t="s">
        <v>73</v>
      </c>
      <c r="AQ180" s="5" t="s">
        <v>73</v>
      </c>
      <c r="AU180" s="16" t="s">
        <v>559</v>
      </c>
      <c r="AW180" s="6">
        <f t="shared" ca="1" si="4"/>
        <v>87</v>
      </c>
    </row>
    <row r="181" ht="45" customHeight="1">
      <c r="A181" s="69"/>
      <c r="B181" s="3" t="s">
        <v>47</v>
      </c>
      <c r="E181" s="2" t="s">
        <v>83</v>
      </c>
      <c r="F181" s="6" t="s">
        <v>84</v>
      </c>
      <c r="G181" s="5" t="s">
        <v>85</v>
      </c>
      <c r="H181" s="2" t="s">
        <v>57</v>
      </c>
      <c r="I181" s="3" t="s">
        <v>560</v>
      </c>
      <c r="J181" s="7">
        <v>1</v>
      </c>
      <c r="K181" s="70" t="s">
        <v>53</v>
      </c>
      <c r="L181" s="9">
        <v>0</v>
      </c>
      <c r="M181" s="3">
        <v>101</v>
      </c>
      <c r="N181" s="6">
        <v>1938</v>
      </c>
      <c r="P181" s="71"/>
      <c r="R181" s="6">
        <v>1930</v>
      </c>
      <c r="S181" s="3" t="s">
        <v>54</v>
      </c>
      <c r="T181" s="72"/>
      <c r="U181" s="73"/>
      <c r="W181" s="2" t="s">
        <v>561</v>
      </c>
      <c r="X181" s="10" t="s">
        <v>56</v>
      </c>
      <c r="Y181" s="10" t="s">
        <v>57</v>
      </c>
      <c r="Z181" s="75"/>
      <c r="AA181" s="76"/>
      <c r="AB181" s="77">
        <v>13976</v>
      </c>
      <c r="AC181" s="77">
        <v>13976</v>
      </c>
      <c r="AD181" s="10"/>
      <c r="AF181" s="7">
        <v>110</v>
      </c>
      <c r="AG181" s="7">
        <v>1938</v>
      </c>
      <c r="AH181" s="7">
        <v>1930</v>
      </c>
      <c r="AI181" s="7">
        <v>1984</v>
      </c>
      <c r="AJ181" s="73"/>
      <c r="AK181" s="7"/>
      <c r="AL181" s="16"/>
      <c r="AM181" s="2" t="s">
        <v>59</v>
      </c>
      <c r="AW181" s="6">
        <f t="shared" ca="1" si="4"/>
        <v>87</v>
      </c>
    </row>
    <row r="182" ht="99" customHeight="1" outlineLevel="1">
      <c r="A182" s="69"/>
      <c r="B182" s="3" t="s">
        <v>47</v>
      </c>
      <c r="C182" s="4" t="s">
        <v>562</v>
      </c>
      <c r="D182" s="5" t="s">
        <v>563</v>
      </c>
      <c r="E182" s="78" t="s">
        <v>48</v>
      </c>
      <c r="F182" s="79" t="s">
        <v>564</v>
      </c>
      <c r="G182" s="80" t="s">
        <v>565</v>
      </c>
      <c r="H182" s="78" t="s">
        <v>51</v>
      </c>
      <c r="I182" s="81" t="s">
        <v>566</v>
      </c>
      <c r="J182" s="7">
        <v>1</v>
      </c>
      <c r="K182" s="70" t="s">
        <v>53</v>
      </c>
      <c r="L182" s="9">
        <v>1</v>
      </c>
      <c r="M182" s="3">
        <v>101</v>
      </c>
      <c r="N182" s="6">
        <v>1938</v>
      </c>
      <c r="P182" s="71"/>
      <c r="R182" s="6">
        <v>1930</v>
      </c>
      <c r="S182" s="3" t="s">
        <v>54</v>
      </c>
      <c r="T182" s="72"/>
      <c r="U182" s="73"/>
      <c r="W182" s="78" t="s">
        <v>567</v>
      </c>
      <c r="X182" s="82" t="s">
        <v>56</v>
      </c>
      <c r="Y182" s="82" t="s">
        <v>57</v>
      </c>
      <c r="Z182" s="83"/>
      <c r="AA182" s="76">
        <v>42431</v>
      </c>
      <c r="AB182" s="77">
        <v>14024</v>
      </c>
      <c r="AC182" s="77">
        <v>14024</v>
      </c>
      <c r="AD182" s="10"/>
      <c r="AF182" s="7">
        <v>76</v>
      </c>
      <c r="AG182" s="7">
        <v>1938</v>
      </c>
      <c r="AH182" s="7">
        <v>1930</v>
      </c>
      <c r="AI182" s="7">
        <v>2016</v>
      </c>
      <c r="AJ182" s="73"/>
      <c r="AK182" s="7"/>
      <c r="AL182" s="16" t="s">
        <v>568</v>
      </c>
      <c r="AM182" s="2" t="s">
        <v>53</v>
      </c>
      <c r="AO182" s="6" t="s">
        <v>53</v>
      </c>
      <c r="AU182" s="16" t="s">
        <v>569</v>
      </c>
      <c r="AW182" s="6">
        <f t="shared" ca="1" si="4"/>
        <v>87</v>
      </c>
    </row>
    <row r="183" ht="45" hidden="1" customHeight="1" outlineLevel="1">
      <c r="A183" s="69"/>
      <c r="B183" s="3" t="s">
        <v>47</v>
      </c>
      <c r="C183" s="4" t="s">
        <v>570</v>
      </c>
      <c r="E183" s="2" t="s">
        <v>48</v>
      </c>
      <c r="F183" s="6" t="s">
        <v>49</v>
      </c>
      <c r="G183" s="5" t="s">
        <v>468</v>
      </c>
      <c r="H183" s="2" t="s">
        <v>88</v>
      </c>
      <c r="I183" s="96" t="s">
        <v>571</v>
      </c>
      <c r="J183" s="7">
        <v>1</v>
      </c>
      <c r="K183" s="70"/>
      <c r="L183" s="9">
        <v>1</v>
      </c>
      <c r="M183" s="3">
        <v>102</v>
      </c>
      <c r="N183" s="6">
        <v>1938</v>
      </c>
      <c r="P183" s="71"/>
      <c r="R183" s="6">
        <v>1930</v>
      </c>
      <c r="S183" s="3" t="s">
        <v>236</v>
      </c>
      <c r="T183" s="72"/>
      <c r="U183" s="73"/>
      <c r="W183" s="2" t="s">
        <v>62</v>
      </c>
      <c r="X183" s="10" t="s">
        <v>91</v>
      </c>
      <c r="Y183" s="10" t="s">
        <v>214</v>
      </c>
      <c r="Z183" s="75"/>
      <c r="AA183" s="76"/>
      <c r="AB183" s="77"/>
      <c r="AC183" s="77"/>
      <c r="AD183" s="10"/>
      <c r="AI183" s="7"/>
      <c r="AJ183" s="95">
        <v>22854</v>
      </c>
      <c r="AK183" s="7">
        <v>1960</v>
      </c>
      <c r="AW183" s="6">
        <f t="shared" ca="1" si="4"/>
        <v>87</v>
      </c>
    </row>
    <row r="184" ht="45" customHeight="1" outlineLevel="1">
      <c r="A184" s="69"/>
      <c r="B184" s="3" t="s">
        <v>47</v>
      </c>
      <c r="E184" s="2" t="s">
        <v>63</v>
      </c>
      <c r="F184" s="6" t="s">
        <v>217</v>
      </c>
      <c r="G184" s="5" t="s">
        <v>221</v>
      </c>
      <c r="H184" s="2" t="s">
        <v>51</v>
      </c>
      <c r="I184" s="3" t="s">
        <v>572</v>
      </c>
      <c r="J184" s="7">
        <v>1</v>
      </c>
      <c r="K184" s="70" t="s">
        <v>53</v>
      </c>
      <c r="L184" s="9">
        <v>1</v>
      </c>
      <c r="M184" s="3">
        <v>103</v>
      </c>
      <c r="N184" s="6">
        <v>1938</v>
      </c>
      <c r="P184" s="71"/>
      <c r="R184" s="6">
        <v>1930</v>
      </c>
      <c r="S184" s="3" t="s">
        <v>54</v>
      </c>
      <c r="T184" s="72"/>
      <c r="U184" s="73"/>
      <c r="W184" s="2" t="s">
        <v>573</v>
      </c>
      <c r="X184" s="10" t="s">
        <v>56</v>
      </c>
      <c r="Y184" s="10" t="s">
        <v>57</v>
      </c>
      <c r="Z184" s="75" t="s">
        <v>58</v>
      </c>
      <c r="AA184" s="76"/>
      <c r="AB184" s="77"/>
      <c r="AC184" s="77">
        <v>13995</v>
      </c>
      <c r="AD184" s="10"/>
      <c r="AG184" s="7">
        <v>1938</v>
      </c>
      <c r="AH184" s="7">
        <v>1930</v>
      </c>
      <c r="AI184" s="7"/>
      <c r="AJ184" s="73"/>
      <c r="AK184" s="7"/>
      <c r="AL184" s="16" t="s">
        <v>224</v>
      </c>
      <c r="AM184" s="2" t="s">
        <v>59</v>
      </c>
      <c r="AO184" s="6" t="s">
        <v>59</v>
      </c>
      <c r="AP184" s="6" t="s">
        <v>104</v>
      </c>
      <c r="AQ184" s="5" t="s">
        <v>104</v>
      </c>
      <c r="AW184" s="6">
        <f t="shared" ca="1" si="4"/>
        <v>87</v>
      </c>
    </row>
    <row r="185" ht="45" customHeight="1" outlineLevel="1">
      <c r="A185" s="69"/>
      <c r="B185" s="3" t="s">
        <v>47</v>
      </c>
      <c r="C185" s="106" t="s">
        <v>574</v>
      </c>
      <c r="E185" s="2" t="s">
        <v>48</v>
      </c>
      <c r="F185" s="6" t="s">
        <v>49</v>
      </c>
      <c r="G185" s="5" t="s">
        <v>575</v>
      </c>
      <c r="H185" s="2" t="s">
        <v>57</v>
      </c>
      <c r="I185" s="3" t="s">
        <v>576</v>
      </c>
      <c r="J185" s="7">
        <v>1</v>
      </c>
      <c r="K185" s="107" t="s">
        <v>53</v>
      </c>
      <c r="L185" s="9">
        <v>1</v>
      </c>
      <c r="M185" s="3">
        <v>104</v>
      </c>
      <c r="N185" s="6">
        <v>1938</v>
      </c>
      <c r="P185" s="71"/>
      <c r="R185" s="6">
        <v>1930</v>
      </c>
      <c r="S185" s="3" t="s">
        <v>54</v>
      </c>
      <c r="T185" s="72"/>
      <c r="U185" s="73"/>
      <c r="W185" s="2" t="s">
        <v>577</v>
      </c>
      <c r="X185" s="10" t="s">
        <v>56</v>
      </c>
      <c r="Y185" s="10" t="s">
        <v>57</v>
      </c>
      <c r="Z185" s="75"/>
      <c r="AA185" s="76"/>
      <c r="AB185" s="77"/>
      <c r="AC185" s="77">
        <v>13990</v>
      </c>
      <c r="AD185" s="10"/>
      <c r="AG185" s="7">
        <v>1938</v>
      </c>
      <c r="AH185" s="7">
        <v>1930</v>
      </c>
      <c r="AI185" s="7"/>
      <c r="AJ185" s="73"/>
      <c r="AK185" s="7"/>
      <c r="AL185" s="99" t="s">
        <v>574</v>
      </c>
      <c r="AM185" s="2" t="s">
        <v>59</v>
      </c>
      <c r="AU185" s="16" t="s">
        <v>578</v>
      </c>
      <c r="AW185" s="6">
        <f t="shared" ca="1" si="4"/>
        <v>87</v>
      </c>
    </row>
    <row r="186" ht="45" customHeight="1" outlineLevel="1">
      <c r="A186" s="69"/>
      <c r="B186" s="3" t="s">
        <v>47</v>
      </c>
      <c r="E186" s="2" t="s">
        <v>63</v>
      </c>
      <c r="F186" s="6" t="s">
        <v>64</v>
      </c>
      <c r="G186" s="5" t="s">
        <v>69</v>
      </c>
      <c r="H186" s="2" t="s">
        <v>51</v>
      </c>
      <c r="I186" s="3" t="s">
        <v>579</v>
      </c>
      <c r="J186" s="7">
        <v>1</v>
      </c>
      <c r="K186" s="70" t="s">
        <v>53</v>
      </c>
      <c r="L186" s="9">
        <v>1</v>
      </c>
      <c r="M186" s="3">
        <v>105</v>
      </c>
      <c r="N186" s="6">
        <v>1938</v>
      </c>
      <c r="P186" s="71"/>
      <c r="R186" s="6">
        <v>1930</v>
      </c>
      <c r="S186" s="3" t="s">
        <v>54</v>
      </c>
      <c r="T186" s="72"/>
      <c r="U186" s="73"/>
      <c r="W186" s="2" t="s">
        <v>580</v>
      </c>
      <c r="X186" s="10" t="s">
        <v>56</v>
      </c>
      <c r="Y186" s="10" t="s">
        <v>57</v>
      </c>
      <c r="Z186" s="75" t="s">
        <v>58</v>
      </c>
      <c r="AA186" s="76"/>
      <c r="AB186" s="77"/>
      <c r="AC186" s="77">
        <v>14105</v>
      </c>
      <c r="AD186" s="10"/>
      <c r="AF186" s="7">
        <v>110</v>
      </c>
      <c r="AG186" s="7">
        <v>1938</v>
      </c>
      <c r="AH186" s="7">
        <v>1930</v>
      </c>
      <c r="AI186" s="7">
        <v>1984</v>
      </c>
      <c r="AJ186" s="73"/>
      <c r="AK186" s="7"/>
      <c r="AL186" s="16" t="s">
        <v>581</v>
      </c>
      <c r="AM186" s="2" t="s">
        <v>59</v>
      </c>
      <c r="AO186" s="6" t="s">
        <v>73</v>
      </c>
      <c r="AU186" s="16" t="s">
        <v>74</v>
      </c>
      <c r="AW186" s="6">
        <f t="shared" ca="1" si="4"/>
        <v>87</v>
      </c>
    </row>
    <row r="187" ht="45" customHeight="1" outlineLevel="1">
      <c r="A187" s="69"/>
      <c r="B187" s="3" t="s">
        <v>47</v>
      </c>
      <c r="E187" s="2" t="s">
        <v>48</v>
      </c>
      <c r="F187" s="6" t="s">
        <v>140</v>
      </c>
      <c r="G187" s="5" t="s">
        <v>146</v>
      </c>
      <c r="H187" s="2" t="s">
        <v>57</v>
      </c>
      <c r="I187" s="3" t="s">
        <v>582</v>
      </c>
      <c r="J187" s="7">
        <v>1</v>
      </c>
      <c r="K187" s="70" t="s">
        <v>53</v>
      </c>
      <c r="L187" s="9">
        <v>1</v>
      </c>
      <c r="M187" s="3">
        <v>106</v>
      </c>
      <c r="N187" s="6">
        <v>1938</v>
      </c>
      <c r="P187" s="71"/>
      <c r="R187" s="6">
        <v>1930</v>
      </c>
      <c r="S187" s="3" t="s">
        <v>54</v>
      </c>
      <c r="T187" s="72"/>
      <c r="U187" s="73"/>
      <c r="W187" s="2" t="s">
        <v>583</v>
      </c>
      <c r="X187" s="10" t="s">
        <v>56</v>
      </c>
      <c r="Y187" s="10" t="s">
        <v>57</v>
      </c>
      <c r="Z187" s="75"/>
      <c r="AA187" s="76"/>
      <c r="AB187" s="77">
        <v>14745</v>
      </c>
      <c r="AC187" s="77"/>
      <c r="AD187" s="6"/>
      <c r="AF187" s="7">
        <v>105</v>
      </c>
      <c r="AG187" s="7">
        <v>1940</v>
      </c>
      <c r="AH187" s="7">
        <v>1940</v>
      </c>
      <c r="AI187" s="7">
        <v>1984</v>
      </c>
      <c r="AJ187" s="73"/>
      <c r="AK187" s="7"/>
      <c r="AL187" s="16" t="s">
        <v>584</v>
      </c>
      <c r="AM187" s="2" t="s">
        <v>59</v>
      </c>
      <c r="AO187" s="6" t="s">
        <v>59</v>
      </c>
      <c r="AW187" s="6">
        <f t="shared" ca="1" si="4"/>
        <v>87</v>
      </c>
    </row>
    <row r="188" ht="45" hidden="1" customHeight="1" outlineLevel="1">
      <c r="A188" s="69"/>
      <c r="B188" s="3" t="s">
        <v>47</v>
      </c>
      <c r="C188" s="4" t="s">
        <v>570</v>
      </c>
      <c r="E188" s="2" t="s">
        <v>48</v>
      </c>
      <c r="F188" s="6" t="s">
        <v>140</v>
      </c>
      <c r="G188" s="5" t="s">
        <v>585</v>
      </c>
      <c r="H188" s="2" t="s">
        <v>257</v>
      </c>
      <c r="I188" s="3" t="s">
        <v>586</v>
      </c>
      <c r="J188" s="7">
        <v>1</v>
      </c>
      <c r="K188" s="70"/>
      <c r="L188" s="9">
        <v>1</v>
      </c>
      <c r="M188" s="3">
        <v>107</v>
      </c>
      <c r="N188" s="6">
        <v>1938</v>
      </c>
      <c r="P188" s="71"/>
      <c r="R188" s="6">
        <v>1930</v>
      </c>
      <c r="S188" s="3" t="s">
        <v>236</v>
      </c>
      <c r="T188" s="72"/>
      <c r="U188" s="73"/>
      <c r="W188" s="2" t="s">
        <v>62</v>
      </c>
      <c r="X188" s="10" t="s">
        <v>56</v>
      </c>
      <c r="Y188" s="10" t="s">
        <v>68</v>
      </c>
      <c r="Z188" s="75" t="s">
        <v>260</v>
      </c>
      <c r="AA188" s="76"/>
      <c r="AB188" s="77"/>
      <c r="AC188" s="77"/>
      <c r="AD188" s="6"/>
      <c r="AI188" s="7"/>
      <c r="AJ188" s="10">
        <v>22854</v>
      </c>
      <c r="AK188" s="7">
        <v>1960</v>
      </c>
      <c r="AL188" s="16"/>
      <c r="AW188" s="6">
        <f t="shared" ca="1" si="4"/>
        <v>87</v>
      </c>
    </row>
    <row r="189" ht="45" customHeight="1" outlineLevel="1">
      <c r="A189" s="69"/>
      <c r="B189" s="3" t="s">
        <v>47</v>
      </c>
      <c r="E189" s="2" t="s">
        <v>48</v>
      </c>
      <c r="F189" s="6" t="s">
        <v>140</v>
      </c>
      <c r="G189" s="5" t="s">
        <v>146</v>
      </c>
      <c r="H189" s="2" t="s">
        <v>57</v>
      </c>
      <c r="I189" s="3" t="s">
        <v>587</v>
      </c>
      <c r="J189" s="7">
        <v>1</v>
      </c>
      <c r="K189" s="70" t="s">
        <v>53</v>
      </c>
      <c r="L189" s="9">
        <v>1</v>
      </c>
      <c r="M189" s="3">
        <v>108</v>
      </c>
      <c r="N189" s="6">
        <v>1938</v>
      </c>
      <c r="P189" s="71"/>
      <c r="R189" s="6">
        <v>1930</v>
      </c>
      <c r="S189" s="3" t="s">
        <v>54</v>
      </c>
      <c r="T189" s="72"/>
      <c r="U189" s="73"/>
      <c r="W189" s="2" t="s">
        <v>588</v>
      </c>
      <c r="X189" s="10" t="s">
        <v>56</v>
      </c>
      <c r="Y189" s="10" t="s">
        <v>57</v>
      </c>
      <c r="Z189" s="75"/>
      <c r="AA189" s="76"/>
      <c r="AB189" s="77"/>
      <c r="AC189" s="77">
        <v>13990</v>
      </c>
      <c r="AD189" s="10"/>
      <c r="AG189" s="7">
        <v>1938</v>
      </c>
      <c r="AH189" s="7">
        <v>1930</v>
      </c>
      <c r="AI189" s="7"/>
      <c r="AJ189" s="73"/>
      <c r="AK189" s="7"/>
      <c r="AL189" s="16"/>
      <c r="AM189" s="2" t="s">
        <v>59</v>
      </c>
      <c r="AO189" s="6" t="s">
        <v>59</v>
      </c>
      <c r="AW189" s="6">
        <f t="shared" ca="1" si="4"/>
        <v>87</v>
      </c>
    </row>
    <row r="190" ht="45" customHeight="1" outlineLevel="1">
      <c r="A190" s="69"/>
      <c r="B190" s="3" t="s">
        <v>47</v>
      </c>
      <c r="E190" s="2" t="s">
        <v>63</v>
      </c>
      <c r="F190" s="6" t="s">
        <v>217</v>
      </c>
      <c r="G190" s="5" t="s">
        <v>589</v>
      </c>
      <c r="H190" s="2" t="s">
        <v>51</v>
      </c>
      <c r="I190" s="3" t="s">
        <v>590</v>
      </c>
      <c r="J190" s="7">
        <v>1</v>
      </c>
      <c r="K190" s="70" t="s">
        <v>53</v>
      </c>
      <c r="L190" s="9">
        <v>1</v>
      </c>
      <c r="M190" s="3">
        <v>109</v>
      </c>
      <c r="N190" s="6">
        <v>1938</v>
      </c>
      <c r="P190" s="71"/>
      <c r="R190" s="6">
        <v>1930</v>
      </c>
      <c r="S190" s="3" t="s">
        <v>54</v>
      </c>
      <c r="T190" s="72"/>
      <c r="U190" s="73"/>
      <c r="W190" s="2" t="s">
        <v>591</v>
      </c>
      <c r="X190" s="10" t="s">
        <v>56</v>
      </c>
      <c r="Y190" s="10" t="s">
        <v>57</v>
      </c>
      <c r="Z190" s="75" t="s">
        <v>58</v>
      </c>
      <c r="AA190" s="76"/>
      <c r="AB190" s="77"/>
      <c r="AC190" s="77">
        <v>14076</v>
      </c>
      <c r="AD190" s="10"/>
      <c r="AG190" s="7">
        <v>1938</v>
      </c>
      <c r="AH190" s="7">
        <v>1930</v>
      </c>
      <c r="AI190" s="7"/>
      <c r="AJ190" s="73"/>
      <c r="AK190" s="7"/>
      <c r="AL190" s="16" t="s">
        <v>176</v>
      </c>
      <c r="AM190" s="2" t="s">
        <v>59</v>
      </c>
      <c r="AW190" s="6">
        <f t="shared" ca="1" si="4"/>
        <v>87</v>
      </c>
    </row>
    <row r="191" ht="45" customHeight="1" outlineLevel="1">
      <c r="A191" s="69"/>
      <c r="B191" s="3" t="s">
        <v>47</v>
      </c>
      <c r="E191" s="2" t="s">
        <v>63</v>
      </c>
      <c r="F191" s="6" t="s">
        <v>217</v>
      </c>
      <c r="G191" s="5" t="s">
        <v>589</v>
      </c>
      <c r="H191" s="2" t="s">
        <v>51</v>
      </c>
      <c r="I191" s="3" t="s">
        <v>592</v>
      </c>
      <c r="J191" s="7">
        <v>1</v>
      </c>
      <c r="K191" s="70" t="s">
        <v>53</v>
      </c>
      <c r="L191" s="9">
        <v>0</v>
      </c>
      <c r="M191" s="3">
        <v>109</v>
      </c>
      <c r="N191" s="6">
        <v>1938</v>
      </c>
      <c r="P191" s="71"/>
      <c r="R191" s="6">
        <v>1930</v>
      </c>
      <c r="S191" s="3" t="s">
        <v>54</v>
      </c>
      <c r="T191" s="72"/>
      <c r="U191" s="73"/>
      <c r="W191" s="2" t="s">
        <v>593</v>
      </c>
      <c r="X191" s="10" t="s">
        <v>56</v>
      </c>
      <c r="Y191" s="10" t="s">
        <v>57</v>
      </c>
      <c r="Z191" s="75" t="s">
        <v>58</v>
      </c>
      <c r="AA191" s="76"/>
      <c r="AB191" s="77"/>
      <c r="AC191" s="77">
        <v>14076</v>
      </c>
      <c r="AD191" s="10"/>
      <c r="AG191" s="7">
        <v>1938</v>
      </c>
      <c r="AH191" s="7">
        <v>1930</v>
      </c>
      <c r="AI191" s="7"/>
      <c r="AJ191" s="73"/>
      <c r="AK191" s="7"/>
      <c r="AL191" s="16" t="s">
        <v>176</v>
      </c>
      <c r="AM191" s="2" t="s">
        <v>59</v>
      </c>
      <c r="AW191" s="6">
        <f t="shared" ca="1" si="4"/>
        <v>87</v>
      </c>
    </row>
    <row r="192" ht="45" customHeight="1" outlineLevel="1">
      <c r="A192" s="69"/>
      <c r="B192" s="3" t="s">
        <v>47</v>
      </c>
      <c r="E192" s="2" t="s">
        <v>83</v>
      </c>
      <c r="F192" s="6" t="s">
        <v>179</v>
      </c>
      <c r="G192" s="5" t="s">
        <v>180</v>
      </c>
      <c r="H192" s="2" t="s">
        <v>51</v>
      </c>
      <c r="I192" s="3" t="s">
        <v>594</v>
      </c>
      <c r="J192" s="7">
        <v>1</v>
      </c>
      <c r="K192" s="70" t="s">
        <v>53</v>
      </c>
      <c r="L192" s="9">
        <v>1</v>
      </c>
      <c r="M192" s="3">
        <v>110</v>
      </c>
      <c r="N192" s="6">
        <v>1938</v>
      </c>
      <c r="P192" s="71"/>
      <c r="R192" s="6">
        <v>1930</v>
      </c>
      <c r="S192" s="3" t="s">
        <v>54</v>
      </c>
      <c r="T192" s="72"/>
      <c r="U192" s="73"/>
      <c r="W192" s="2" t="s">
        <v>595</v>
      </c>
      <c r="X192" s="10" t="s">
        <v>56</v>
      </c>
      <c r="Y192" s="10" t="s">
        <v>57</v>
      </c>
      <c r="Z192" s="75" t="s">
        <v>58</v>
      </c>
      <c r="AA192" s="76"/>
      <c r="AB192" s="77"/>
      <c r="AC192" s="77">
        <v>13990</v>
      </c>
      <c r="AD192" s="10"/>
      <c r="AG192" s="7">
        <v>1938</v>
      </c>
      <c r="AH192" s="7">
        <v>1930</v>
      </c>
      <c r="AI192" s="7"/>
      <c r="AJ192" s="73"/>
      <c r="AK192" s="7"/>
      <c r="AL192" s="16"/>
      <c r="AM192" s="2" t="s">
        <v>59</v>
      </c>
      <c r="AW192" s="6">
        <f t="shared" ca="1" si="4"/>
        <v>87</v>
      </c>
    </row>
    <row r="193" ht="45" customHeight="1" outlineLevel="1">
      <c r="A193" s="69"/>
      <c r="B193" s="3" t="s">
        <v>47</v>
      </c>
      <c r="E193" s="2" t="s">
        <v>83</v>
      </c>
      <c r="F193" s="6" t="s">
        <v>179</v>
      </c>
      <c r="G193" s="5" t="s">
        <v>180</v>
      </c>
      <c r="H193" s="2" t="s">
        <v>51</v>
      </c>
      <c r="I193" s="3" t="s">
        <v>328</v>
      </c>
      <c r="J193" s="7">
        <v>1</v>
      </c>
      <c r="K193" s="70" t="s">
        <v>53</v>
      </c>
      <c r="L193" s="9">
        <v>1</v>
      </c>
      <c r="M193" s="3">
        <v>111</v>
      </c>
      <c r="N193" s="6">
        <v>1938</v>
      </c>
      <c r="P193" s="71"/>
      <c r="R193" s="6">
        <v>1930</v>
      </c>
      <c r="S193" s="3" t="s">
        <v>54</v>
      </c>
      <c r="T193" s="72"/>
      <c r="U193" s="73"/>
      <c r="W193" s="2" t="s">
        <v>596</v>
      </c>
      <c r="X193" s="10" t="s">
        <v>56</v>
      </c>
      <c r="Y193" s="10" t="s">
        <v>57</v>
      </c>
      <c r="Z193" s="75" t="s">
        <v>58</v>
      </c>
      <c r="AA193" s="76"/>
      <c r="AB193" s="77"/>
      <c r="AC193" s="77">
        <v>14035</v>
      </c>
      <c r="AD193" s="10"/>
      <c r="AG193" s="7">
        <v>1938</v>
      </c>
      <c r="AH193" s="7">
        <v>1930</v>
      </c>
      <c r="AI193" s="7"/>
      <c r="AJ193" s="73"/>
      <c r="AK193" s="7"/>
      <c r="AL193" s="16"/>
      <c r="AM193" s="2" t="s">
        <v>59</v>
      </c>
      <c r="AW193" s="6">
        <f t="shared" ca="1" si="4"/>
        <v>87</v>
      </c>
    </row>
    <row r="194" ht="45" customHeight="1" outlineLevel="1">
      <c r="A194" s="69"/>
      <c r="B194" s="3" t="s">
        <v>47</v>
      </c>
      <c r="E194" s="2" t="s">
        <v>63</v>
      </c>
      <c r="F194" s="6" t="s">
        <v>172</v>
      </c>
      <c r="G194" s="5" t="s">
        <v>173</v>
      </c>
      <c r="H194" s="2" t="s">
        <v>57</v>
      </c>
      <c r="I194" s="3" t="s">
        <v>597</v>
      </c>
      <c r="J194" s="7">
        <v>1</v>
      </c>
      <c r="K194" s="70" t="s">
        <v>53</v>
      </c>
      <c r="L194" s="9">
        <v>1</v>
      </c>
      <c r="M194" s="3">
        <v>112</v>
      </c>
      <c r="N194" s="6">
        <v>1938</v>
      </c>
      <c r="P194" s="71"/>
      <c r="R194" s="6">
        <v>1930</v>
      </c>
      <c r="S194" s="3" t="s">
        <v>54</v>
      </c>
      <c r="T194" s="72"/>
      <c r="U194" s="73"/>
      <c r="W194" s="2" t="s">
        <v>598</v>
      </c>
      <c r="X194" s="10" t="s">
        <v>56</v>
      </c>
      <c r="Y194" s="10" t="s">
        <v>57</v>
      </c>
      <c r="Z194" s="75"/>
      <c r="AA194" s="76"/>
      <c r="AB194" s="77"/>
      <c r="AC194" s="77">
        <v>14044</v>
      </c>
      <c r="AD194" s="10"/>
      <c r="AG194" s="7">
        <v>1938</v>
      </c>
      <c r="AH194" s="7">
        <v>1930</v>
      </c>
      <c r="AI194" s="7"/>
      <c r="AJ194" s="73"/>
      <c r="AK194" s="7"/>
      <c r="AL194" s="16"/>
      <c r="AM194" s="2" t="s">
        <v>59</v>
      </c>
      <c r="AW194" s="6">
        <f t="shared" ca="1" si="4"/>
        <v>87</v>
      </c>
    </row>
    <row r="195" ht="45" customHeight="1" outlineLevel="1">
      <c r="A195" s="69"/>
      <c r="B195" s="3" t="s">
        <v>47</v>
      </c>
      <c r="E195" s="2" t="s">
        <v>63</v>
      </c>
      <c r="F195" s="6" t="s">
        <v>172</v>
      </c>
      <c r="G195" s="5" t="s">
        <v>173</v>
      </c>
      <c r="H195" s="2" t="s">
        <v>57</v>
      </c>
      <c r="I195" s="3" t="s">
        <v>599</v>
      </c>
      <c r="J195" s="7">
        <v>1</v>
      </c>
      <c r="K195" s="70" t="s">
        <v>53</v>
      </c>
      <c r="L195" s="9">
        <v>1</v>
      </c>
      <c r="M195" s="3">
        <v>113</v>
      </c>
      <c r="N195" s="6">
        <v>1938</v>
      </c>
      <c r="P195" s="71"/>
      <c r="R195" s="6">
        <v>1930</v>
      </c>
      <c r="S195" s="3" t="s">
        <v>54</v>
      </c>
      <c r="T195" s="72"/>
      <c r="U195" s="73"/>
      <c r="W195" s="2" t="s">
        <v>600</v>
      </c>
      <c r="X195" s="10" t="s">
        <v>56</v>
      </c>
      <c r="Y195" s="10" t="s">
        <v>57</v>
      </c>
      <c r="Z195" s="75"/>
      <c r="AA195" s="76"/>
      <c r="AB195" s="77"/>
      <c r="AC195" s="77">
        <v>14058</v>
      </c>
      <c r="AD195" s="10"/>
      <c r="AG195" s="7">
        <v>1938</v>
      </c>
      <c r="AH195" s="7">
        <v>1930</v>
      </c>
      <c r="AI195" s="7"/>
      <c r="AJ195" s="73"/>
      <c r="AK195" s="7"/>
      <c r="AL195" s="16"/>
      <c r="AM195" s="2" t="s">
        <v>59</v>
      </c>
      <c r="AW195" s="6">
        <f t="shared" ca="1" si="4"/>
        <v>87</v>
      </c>
    </row>
    <row r="196" ht="45" customHeight="1" outlineLevel="1">
      <c r="A196" s="69"/>
      <c r="B196" s="3" t="s">
        <v>47</v>
      </c>
      <c r="E196" s="2" t="s">
        <v>63</v>
      </c>
      <c r="F196" s="6" t="s">
        <v>172</v>
      </c>
      <c r="G196" s="5" t="s">
        <v>173</v>
      </c>
      <c r="H196" s="2" t="s">
        <v>57</v>
      </c>
      <c r="I196" s="3" t="s">
        <v>601</v>
      </c>
      <c r="J196" s="7">
        <v>1</v>
      </c>
      <c r="K196" s="70" t="s">
        <v>53</v>
      </c>
      <c r="L196" s="9">
        <v>1</v>
      </c>
      <c r="M196" s="3">
        <v>114</v>
      </c>
      <c r="P196" s="71"/>
      <c r="R196" s="6">
        <v>1930</v>
      </c>
      <c r="S196" s="3" t="s">
        <v>54</v>
      </c>
      <c r="T196" s="72"/>
      <c r="U196" s="73"/>
      <c r="W196" s="2" t="s">
        <v>602</v>
      </c>
      <c r="X196" s="10" t="s">
        <v>56</v>
      </c>
      <c r="Y196" s="10" t="s">
        <v>57</v>
      </c>
      <c r="Z196" s="75"/>
      <c r="AA196" s="76"/>
      <c r="AB196" s="77"/>
      <c r="AC196" s="77">
        <v>14079</v>
      </c>
      <c r="AD196" s="10"/>
      <c r="AG196" s="7">
        <v>1938</v>
      </c>
      <c r="AH196" s="7">
        <v>1930</v>
      </c>
      <c r="AI196" s="7"/>
      <c r="AJ196" s="73"/>
      <c r="AK196" s="7"/>
      <c r="AL196" s="16"/>
      <c r="AM196" s="2" t="s">
        <v>59</v>
      </c>
      <c r="AU196" s="16" t="s">
        <v>603</v>
      </c>
      <c r="AW196" s="6" t="str">
        <f t="shared" ca="1" si="4"/>
        <v/>
      </c>
    </row>
    <row r="197" ht="45" hidden="1" customHeight="1" outlineLevel="1">
      <c r="A197" s="69"/>
      <c r="B197" s="3" t="s">
        <v>47</v>
      </c>
      <c r="E197" s="2" t="s">
        <v>63</v>
      </c>
      <c r="F197" s="6" t="s">
        <v>172</v>
      </c>
      <c r="G197" s="5" t="s">
        <v>173</v>
      </c>
      <c r="H197" s="2" t="s">
        <v>57</v>
      </c>
      <c r="I197" s="3" t="s">
        <v>604</v>
      </c>
      <c r="J197" s="7">
        <v>1</v>
      </c>
      <c r="K197" s="70" t="s">
        <v>127</v>
      </c>
      <c r="L197" s="9">
        <v>1</v>
      </c>
      <c r="M197" s="3">
        <v>115</v>
      </c>
      <c r="N197" s="6">
        <v>1938</v>
      </c>
      <c r="P197" s="71"/>
      <c r="R197" s="6">
        <v>1930</v>
      </c>
      <c r="S197" s="3" t="s">
        <v>128</v>
      </c>
      <c r="T197" s="72"/>
      <c r="U197" s="73"/>
      <c r="W197" s="2" t="s">
        <v>62</v>
      </c>
      <c r="X197" s="10" t="s">
        <v>56</v>
      </c>
      <c r="Y197" s="10" t="s">
        <v>57</v>
      </c>
      <c r="Z197" s="75"/>
      <c r="AA197" s="76"/>
      <c r="AB197" s="77"/>
      <c r="AC197" s="77" t="s">
        <v>129</v>
      </c>
      <c r="AD197" s="10"/>
      <c r="AG197" s="7">
        <v>1938</v>
      </c>
      <c r="AI197" s="7"/>
      <c r="AJ197" s="73"/>
      <c r="AK197" s="7"/>
      <c r="AL197" s="16" t="s">
        <v>605</v>
      </c>
      <c r="AM197" s="2" t="s">
        <v>59</v>
      </c>
      <c r="AW197" s="6">
        <f t="shared" ca="1" si="4"/>
        <v>87</v>
      </c>
    </row>
    <row r="198" ht="45" customHeight="1" outlineLevel="1">
      <c r="A198" s="69"/>
      <c r="B198" s="3" t="s">
        <v>47</v>
      </c>
      <c r="E198" s="2" t="s">
        <v>63</v>
      </c>
      <c r="F198" s="6" t="s">
        <v>172</v>
      </c>
      <c r="G198" s="5" t="s">
        <v>173</v>
      </c>
      <c r="H198" s="2" t="s">
        <v>57</v>
      </c>
      <c r="I198" s="3" t="s">
        <v>606</v>
      </c>
      <c r="J198" s="7">
        <v>1</v>
      </c>
      <c r="K198" s="70" t="s">
        <v>53</v>
      </c>
      <c r="L198" s="9">
        <v>1</v>
      </c>
      <c r="M198" s="3">
        <v>116</v>
      </c>
      <c r="N198" s="6">
        <v>1938</v>
      </c>
      <c r="P198" s="71"/>
      <c r="R198" s="6">
        <v>1930</v>
      </c>
      <c r="S198" s="3" t="s">
        <v>54</v>
      </c>
      <c r="T198" s="72"/>
      <c r="U198" s="73"/>
      <c r="W198" s="2" t="s">
        <v>607</v>
      </c>
      <c r="X198" s="10" t="s">
        <v>56</v>
      </c>
      <c r="Y198" s="10" t="s">
        <v>57</v>
      </c>
      <c r="Z198" s="75"/>
      <c r="AA198" s="76"/>
      <c r="AB198" s="77"/>
      <c r="AC198" s="77">
        <v>14049</v>
      </c>
      <c r="AD198" s="10"/>
      <c r="AG198" s="7">
        <v>1938</v>
      </c>
      <c r="AH198" s="7">
        <v>1930</v>
      </c>
      <c r="AI198" s="7"/>
      <c r="AJ198" s="73"/>
      <c r="AK198" s="7"/>
      <c r="AL198" s="16"/>
      <c r="AM198" s="2" t="s">
        <v>59</v>
      </c>
      <c r="AW198" s="6">
        <f t="shared" ca="1" si="4"/>
        <v>87</v>
      </c>
    </row>
    <row r="199" ht="45" customHeight="1" outlineLevel="1">
      <c r="A199" s="69"/>
      <c r="B199" s="3" t="s">
        <v>47</v>
      </c>
      <c r="E199" s="2" t="s">
        <v>63</v>
      </c>
      <c r="F199" s="6" t="s">
        <v>172</v>
      </c>
      <c r="G199" s="5" t="s">
        <v>173</v>
      </c>
      <c r="H199" s="2" t="s">
        <v>57</v>
      </c>
      <c r="I199" s="3" t="s">
        <v>608</v>
      </c>
      <c r="J199" s="7">
        <v>1</v>
      </c>
      <c r="K199" s="70" t="s">
        <v>53</v>
      </c>
      <c r="L199" s="9">
        <v>1</v>
      </c>
      <c r="M199" s="3">
        <v>117</v>
      </c>
      <c r="N199" s="6">
        <v>1938</v>
      </c>
      <c r="P199" s="71"/>
      <c r="R199" s="6">
        <v>1930</v>
      </c>
      <c r="S199" s="3" t="s">
        <v>54</v>
      </c>
      <c r="T199" s="72"/>
      <c r="U199" s="73"/>
      <c r="W199" s="2" t="s">
        <v>609</v>
      </c>
      <c r="X199" s="10" t="s">
        <v>56</v>
      </c>
      <c r="Y199" s="10" t="s">
        <v>57</v>
      </c>
      <c r="Z199" s="75"/>
      <c r="AA199" s="76"/>
      <c r="AB199" s="77">
        <v>15759</v>
      </c>
      <c r="AC199" s="77">
        <v>13972</v>
      </c>
      <c r="AD199" s="10"/>
      <c r="AG199" s="7">
        <v>1938</v>
      </c>
      <c r="AH199" s="7">
        <v>1930</v>
      </c>
      <c r="AI199" s="7">
        <v>1943</v>
      </c>
      <c r="AJ199" s="73"/>
      <c r="AK199" s="7"/>
      <c r="AL199" s="16"/>
      <c r="AM199" s="2" t="s">
        <v>59</v>
      </c>
      <c r="AW199" s="6">
        <f t="shared" ca="1" si="4"/>
        <v>87</v>
      </c>
    </row>
    <row r="200" ht="45" customHeight="1" outlineLevel="1">
      <c r="A200" s="69"/>
      <c r="B200" s="3" t="s">
        <v>47</v>
      </c>
      <c r="E200" s="2" t="s">
        <v>63</v>
      </c>
      <c r="F200" s="6" t="s">
        <v>172</v>
      </c>
      <c r="G200" s="5" t="s">
        <v>173</v>
      </c>
      <c r="H200" s="2" t="s">
        <v>57</v>
      </c>
      <c r="I200" s="3" t="s">
        <v>610</v>
      </c>
      <c r="J200" s="7">
        <v>1</v>
      </c>
      <c r="K200" s="70" t="s">
        <v>53</v>
      </c>
      <c r="L200" s="9">
        <v>1</v>
      </c>
      <c r="M200" s="3">
        <v>118</v>
      </c>
      <c r="N200" s="6">
        <v>1938</v>
      </c>
      <c r="P200" s="71"/>
      <c r="R200" s="6">
        <v>1930</v>
      </c>
      <c r="S200" s="3" t="s">
        <v>54</v>
      </c>
      <c r="T200" s="72"/>
      <c r="U200" s="73"/>
      <c r="W200" s="2" t="s">
        <v>611</v>
      </c>
      <c r="X200" s="10" t="s">
        <v>56</v>
      </c>
      <c r="Y200" s="10" t="s">
        <v>57</v>
      </c>
      <c r="Z200" s="75"/>
      <c r="AA200" s="76"/>
      <c r="AB200" s="77"/>
      <c r="AC200" s="77">
        <v>13990</v>
      </c>
      <c r="AD200" s="10"/>
      <c r="AG200" s="7">
        <v>1938</v>
      </c>
      <c r="AH200" s="7">
        <v>1930</v>
      </c>
      <c r="AI200" s="7"/>
      <c r="AJ200" s="73"/>
      <c r="AK200" s="7"/>
      <c r="AL200" s="16"/>
      <c r="AM200" s="2" t="s">
        <v>59</v>
      </c>
      <c r="AW200" s="6">
        <f t="shared" ca="1" si="4"/>
        <v>87</v>
      </c>
    </row>
    <row r="201" ht="45" customHeight="1" outlineLevel="1">
      <c r="A201" s="69"/>
      <c r="B201" s="3" t="s">
        <v>47</v>
      </c>
      <c r="E201" s="2" t="s">
        <v>63</v>
      </c>
      <c r="F201" s="6" t="s">
        <v>172</v>
      </c>
      <c r="G201" s="5" t="s">
        <v>173</v>
      </c>
      <c r="H201" s="2" t="s">
        <v>57</v>
      </c>
      <c r="I201" s="3" t="s">
        <v>612</v>
      </c>
      <c r="J201" s="7">
        <v>1</v>
      </c>
      <c r="K201" s="70" t="s">
        <v>53</v>
      </c>
      <c r="L201" s="9">
        <v>1</v>
      </c>
      <c r="M201" s="3">
        <v>119</v>
      </c>
      <c r="N201" s="6">
        <v>1938</v>
      </c>
      <c r="P201" s="71"/>
      <c r="R201" s="6">
        <v>1930</v>
      </c>
      <c r="S201" s="3" t="s">
        <v>54</v>
      </c>
      <c r="T201" s="72"/>
      <c r="U201" s="73"/>
      <c r="W201" s="2" t="s">
        <v>613</v>
      </c>
      <c r="X201" s="10" t="s">
        <v>56</v>
      </c>
      <c r="Y201" s="10" t="s">
        <v>57</v>
      </c>
      <c r="Z201" s="75"/>
      <c r="AA201" s="76"/>
      <c r="AB201" s="77"/>
      <c r="AC201" s="77">
        <v>14042</v>
      </c>
      <c r="AD201" s="10"/>
      <c r="AG201" s="7">
        <v>1938</v>
      </c>
      <c r="AH201" s="7">
        <v>1930</v>
      </c>
      <c r="AI201" s="7"/>
      <c r="AJ201" s="73"/>
      <c r="AK201" s="7"/>
      <c r="AL201" s="16"/>
      <c r="AM201" s="2" t="s">
        <v>59</v>
      </c>
      <c r="AW201" s="6">
        <f t="shared" ca="1" si="4"/>
        <v>87</v>
      </c>
    </row>
    <row r="202" ht="45" customHeight="1" outlineLevel="1">
      <c r="A202" s="69"/>
      <c r="B202" s="3" t="s">
        <v>47</v>
      </c>
      <c r="E202" s="2" t="s">
        <v>63</v>
      </c>
      <c r="F202" s="6" t="s">
        <v>172</v>
      </c>
      <c r="G202" s="5" t="s">
        <v>173</v>
      </c>
      <c r="H202" s="2" t="s">
        <v>57</v>
      </c>
      <c r="I202" s="3" t="s">
        <v>614</v>
      </c>
      <c r="J202" s="7">
        <v>1</v>
      </c>
      <c r="K202" s="70" t="s">
        <v>53</v>
      </c>
      <c r="L202" s="9">
        <v>1</v>
      </c>
      <c r="M202" s="3">
        <v>120</v>
      </c>
      <c r="N202" s="6">
        <v>1938</v>
      </c>
      <c r="P202" s="71"/>
      <c r="R202" s="6">
        <v>1930</v>
      </c>
      <c r="S202" s="3" t="s">
        <v>54</v>
      </c>
      <c r="T202" s="72"/>
      <c r="U202" s="73"/>
      <c r="W202" s="2" t="s">
        <v>615</v>
      </c>
      <c r="X202" s="10" t="s">
        <v>56</v>
      </c>
      <c r="Y202" s="10" t="s">
        <v>57</v>
      </c>
      <c r="Z202" s="75"/>
      <c r="AA202" s="76"/>
      <c r="AB202" s="77"/>
      <c r="AC202" s="77">
        <v>14058</v>
      </c>
      <c r="AD202" s="10"/>
      <c r="AG202" s="7">
        <v>1938</v>
      </c>
      <c r="AH202" s="7">
        <v>1930</v>
      </c>
      <c r="AI202" s="7"/>
      <c r="AJ202" s="73"/>
      <c r="AK202" s="7"/>
      <c r="AL202" s="16"/>
      <c r="AM202" s="2" t="s">
        <v>59</v>
      </c>
      <c r="AW202" s="6">
        <f t="shared" ca="1" si="4"/>
        <v>87</v>
      </c>
    </row>
    <row r="203" ht="45" customHeight="1">
      <c r="A203" s="69"/>
      <c r="B203" s="3" t="s">
        <v>47</v>
      </c>
      <c r="E203" s="2" t="s">
        <v>63</v>
      </c>
      <c r="F203" s="6" t="s">
        <v>172</v>
      </c>
      <c r="G203" s="5" t="s">
        <v>173</v>
      </c>
      <c r="H203" s="2" t="s">
        <v>57</v>
      </c>
      <c r="I203" s="3" t="s">
        <v>616</v>
      </c>
      <c r="J203" s="7">
        <v>1</v>
      </c>
      <c r="K203" s="70" t="s">
        <v>53</v>
      </c>
      <c r="L203" s="9">
        <v>1</v>
      </c>
      <c r="M203" s="3">
        <v>121</v>
      </c>
      <c r="N203" s="6">
        <v>1938</v>
      </c>
      <c r="P203" s="71"/>
      <c r="R203" s="6">
        <v>1930</v>
      </c>
      <c r="S203" s="3" t="s">
        <v>54</v>
      </c>
      <c r="T203" s="72"/>
      <c r="U203" s="73"/>
      <c r="W203" s="2" t="s">
        <v>617</v>
      </c>
      <c r="X203" s="10" t="s">
        <v>56</v>
      </c>
      <c r="Y203" s="10" t="s">
        <v>57</v>
      </c>
      <c r="Z203" s="75"/>
      <c r="AA203" s="76"/>
      <c r="AB203" s="77"/>
      <c r="AC203" s="77">
        <v>14056</v>
      </c>
      <c r="AD203" s="10"/>
      <c r="AG203" s="7">
        <v>1938</v>
      </c>
      <c r="AH203" s="7">
        <v>1930</v>
      </c>
      <c r="AI203" s="7"/>
      <c r="AJ203" s="73"/>
      <c r="AK203" s="7"/>
      <c r="AL203" s="16"/>
      <c r="AM203" s="2" t="s">
        <v>59</v>
      </c>
      <c r="AW203" s="6">
        <f t="shared" ca="1" si="4"/>
        <v>87</v>
      </c>
    </row>
    <row r="204" ht="45" customHeight="1">
      <c r="A204" s="69"/>
      <c r="B204" s="3" t="s">
        <v>47</v>
      </c>
      <c r="E204" s="2" t="s">
        <v>63</v>
      </c>
      <c r="F204" s="6" t="s">
        <v>172</v>
      </c>
      <c r="G204" s="5" t="s">
        <v>618</v>
      </c>
      <c r="H204" s="2" t="s">
        <v>51</v>
      </c>
      <c r="I204" s="3" t="s">
        <v>619</v>
      </c>
      <c r="J204" s="7">
        <v>1</v>
      </c>
      <c r="K204" s="70" t="s">
        <v>53</v>
      </c>
      <c r="L204" s="9">
        <v>1</v>
      </c>
      <c r="M204" s="3">
        <v>122</v>
      </c>
      <c r="N204" s="6">
        <v>1938</v>
      </c>
      <c r="P204" s="71"/>
      <c r="R204" s="6">
        <v>1930</v>
      </c>
      <c r="S204" s="3" t="s">
        <v>54</v>
      </c>
      <c r="T204" s="72"/>
      <c r="U204" s="73"/>
      <c r="W204" s="2" t="s">
        <v>620</v>
      </c>
      <c r="X204" s="10" t="s">
        <v>56</v>
      </c>
      <c r="Y204" s="10" t="s">
        <v>57</v>
      </c>
      <c r="Z204" s="75" t="s">
        <v>58</v>
      </c>
      <c r="AA204" s="76"/>
      <c r="AB204" s="77"/>
      <c r="AC204" s="77">
        <v>14048</v>
      </c>
      <c r="AD204" s="10"/>
      <c r="AG204" s="7">
        <v>1938</v>
      </c>
      <c r="AH204" s="7">
        <v>1930</v>
      </c>
      <c r="AI204" s="7"/>
      <c r="AJ204" s="73"/>
      <c r="AK204" s="7"/>
      <c r="AL204" s="16"/>
      <c r="AM204" s="2" t="s">
        <v>59</v>
      </c>
      <c r="AU204" s="16" t="s">
        <v>447</v>
      </c>
      <c r="AW204" s="6">
        <f t="shared" ca="1" si="4"/>
        <v>87</v>
      </c>
    </row>
    <row r="205" ht="45" customHeight="1">
      <c r="A205" s="69"/>
      <c r="B205" s="3" t="s">
        <v>47</v>
      </c>
      <c r="E205" s="2" t="s">
        <v>63</v>
      </c>
      <c r="F205" s="6" t="s">
        <v>172</v>
      </c>
      <c r="G205" s="5" t="s">
        <v>173</v>
      </c>
      <c r="H205" s="2" t="s">
        <v>51</v>
      </c>
      <c r="I205" s="3" t="s">
        <v>621</v>
      </c>
      <c r="J205" s="7">
        <v>1</v>
      </c>
      <c r="K205" s="70" t="s">
        <v>53</v>
      </c>
      <c r="L205" s="9">
        <v>0</v>
      </c>
      <c r="M205" s="3">
        <v>122</v>
      </c>
      <c r="N205" s="6">
        <v>1938</v>
      </c>
      <c r="P205" s="71"/>
      <c r="R205" s="6">
        <v>1930</v>
      </c>
      <c r="S205" s="3" t="s">
        <v>54</v>
      </c>
      <c r="T205" s="72"/>
      <c r="U205" s="73"/>
      <c r="W205" s="2" t="s">
        <v>622</v>
      </c>
      <c r="X205" s="10" t="s">
        <v>56</v>
      </c>
      <c r="Y205" s="10" t="s">
        <v>57</v>
      </c>
      <c r="Z205" s="75" t="s">
        <v>58</v>
      </c>
      <c r="AA205" s="76"/>
      <c r="AB205" s="77"/>
      <c r="AC205" s="77">
        <v>14048</v>
      </c>
      <c r="AD205" s="10"/>
      <c r="AG205" s="7">
        <v>1938</v>
      </c>
      <c r="AH205" s="7">
        <v>1930</v>
      </c>
      <c r="AI205" s="7"/>
      <c r="AJ205" s="73"/>
      <c r="AK205" s="7"/>
      <c r="AL205" s="16"/>
      <c r="AM205" s="2" t="s">
        <v>59</v>
      </c>
      <c r="AW205" s="6">
        <f t="shared" ca="1" si="4"/>
        <v>87</v>
      </c>
    </row>
    <row r="206" ht="45" customHeight="1" outlineLevel="1">
      <c r="A206" s="69"/>
      <c r="B206" s="3" t="s">
        <v>47</v>
      </c>
      <c r="E206" s="2" t="s">
        <v>63</v>
      </c>
      <c r="F206" s="6" t="s">
        <v>172</v>
      </c>
      <c r="G206" s="5" t="s">
        <v>173</v>
      </c>
      <c r="H206" s="2" t="s">
        <v>51</v>
      </c>
      <c r="I206" s="3" t="s">
        <v>623</v>
      </c>
      <c r="J206" s="7">
        <v>1</v>
      </c>
      <c r="K206" s="70" t="s">
        <v>53</v>
      </c>
      <c r="L206" s="9">
        <v>0</v>
      </c>
      <c r="M206" s="3">
        <v>122</v>
      </c>
      <c r="N206" s="6">
        <v>1938</v>
      </c>
      <c r="P206" s="71"/>
      <c r="R206" s="6">
        <v>1930</v>
      </c>
      <c r="S206" s="3" t="s">
        <v>54</v>
      </c>
      <c r="T206" s="72"/>
      <c r="U206" s="73"/>
      <c r="W206" s="2" t="s">
        <v>624</v>
      </c>
      <c r="X206" s="10" t="s">
        <v>56</v>
      </c>
      <c r="Y206" s="10" t="s">
        <v>57</v>
      </c>
      <c r="Z206" s="75"/>
      <c r="AA206" s="76"/>
      <c r="AB206" s="77"/>
      <c r="AC206" s="77">
        <v>14048</v>
      </c>
      <c r="AD206" s="10"/>
      <c r="AG206" s="7">
        <v>1938</v>
      </c>
      <c r="AH206" s="7">
        <v>1930</v>
      </c>
      <c r="AI206" s="7"/>
      <c r="AJ206" s="73"/>
      <c r="AK206" s="7"/>
      <c r="AL206" s="16"/>
      <c r="AM206" s="2" t="s">
        <v>59</v>
      </c>
      <c r="AW206" s="6">
        <f t="shared" ca="1" si="4"/>
        <v>87</v>
      </c>
    </row>
    <row r="207" ht="45" customHeight="1" outlineLevel="1">
      <c r="A207" s="69"/>
      <c r="B207" s="3" t="s">
        <v>47</v>
      </c>
      <c r="E207" s="2" t="s">
        <v>63</v>
      </c>
      <c r="F207" s="6" t="s">
        <v>172</v>
      </c>
      <c r="G207" s="5" t="s">
        <v>173</v>
      </c>
      <c r="H207" s="2" t="s">
        <v>51</v>
      </c>
      <c r="I207" s="3" t="s">
        <v>625</v>
      </c>
      <c r="J207" s="7">
        <v>1</v>
      </c>
      <c r="K207" s="70" t="s">
        <v>53</v>
      </c>
      <c r="L207" s="9">
        <v>0</v>
      </c>
      <c r="M207" s="3">
        <v>122</v>
      </c>
      <c r="N207" s="6">
        <v>1938</v>
      </c>
      <c r="P207" s="71"/>
      <c r="R207" s="6">
        <v>1930</v>
      </c>
      <c r="S207" s="3" t="s">
        <v>54</v>
      </c>
      <c r="T207" s="72"/>
      <c r="U207" s="73"/>
      <c r="W207" s="2" t="s">
        <v>626</v>
      </c>
      <c r="X207" s="10" t="s">
        <v>56</v>
      </c>
      <c r="Y207" s="10" t="s">
        <v>57</v>
      </c>
      <c r="Z207" s="75" t="s">
        <v>58</v>
      </c>
      <c r="AA207" s="76"/>
      <c r="AB207" s="77"/>
      <c r="AC207" s="77">
        <v>14048</v>
      </c>
      <c r="AD207" s="10"/>
      <c r="AG207" s="7">
        <v>1938</v>
      </c>
      <c r="AH207" s="7">
        <v>1930</v>
      </c>
      <c r="AI207" s="7"/>
      <c r="AJ207" s="73"/>
      <c r="AK207" s="7"/>
      <c r="AL207" s="16"/>
      <c r="AM207" s="2" t="s">
        <v>59</v>
      </c>
      <c r="AW207" s="6">
        <f t="shared" ca="1" si="4"/>
        <v>87</v>
      </c>
    </row>
    <row r="208" ht="45" customHeight="1" outlineLevel="1">
      <c r="A208" s="69"/>
      <c r="B208" s="3" t="s">
        <v>47</v>
      </c>
      <c r="E208" s="2" t="s">
        <v>63</v>
      </c>
      <c r="F208" s="6" t="s">
        <v>172</v>
      </c>
      <c r="G208" s="5" t="s">
        <v>173</v>
      </c>
      <c r="H208" s="2" t="s">
        <v>382</v>
      </c>
      <c r="I208" s="3" t="s">
        <v>627</v>
      </c>
      <c r="J208" s="7">
        <v>1</v>
      </c>
      <c r="K208" s="70" t="s">
        <v>53</v>
      </c>
      <c r="L208" s="9">
        <v>0</v>
      </c>
      <c r="M208" s="3">
        <v>122</v>
      </c>
      <c r="N208" s="6">
        <v>1938</v>
      </c>
      <c r="P208" s="71"/>
      <c r="R208" s="6">
        <v>1930</v>
      </c>
      <c r="S208" s="3" t="s">
        <v>54</v>
      </c>
      <c r="T208" s="72"/>
      <c r="U208" s="73"/>
      <c r="W208" s="2" t="s">
        <v>628</v>
      </c>
      <c r="X208" s="10" t="s">
        <v>91</v>
      </c>
      <c r="Y208" s="10" t="s">
        <v>385</v>
      </c>
      <c r="Z208" s="75"/>
      <c r="AA208" s="76"/>
      <c r="AB208" s="77"/>
      <c r="AC208" s="77">
        <v>14048</v>
      </c>
      <c r="AD208" s="10"/>
      <c r="AG208" s="7">
        <v>1938</v>
      </c>
      <c r="AH208" s="7">
        <v>1930</v>
      </c>
      <c r="AI208" s="7"/>
      <c r="AJ208" s="73"/>
      <c r="AK208" s="7"/>
      <c r="AL208" s="16"/>
      <c r="AM208" s="2" t="s">
        <v>59</v>
      </c>
      <c r="AO208" s="6" t="s">
        <v>59</v>
      </c>
      <c r="AW208" s="6">
        <f t="shared" ca="1" si="4"/>
        <v>87</v>
      </c>
    </row>
    <row r="209" ht="45" customHeight="1" outlineLevel="1">
      <c r="A209" s="69"/>
      <c r="B209" s="3" t="s">
        <v>47</v>
      </c>
      <c r="E209" s="2" t="s">
        <v>63</v>
      </c>
      <c r="F209" s="6" t="s">
        <v>172</v>
      </c>
      <c r="G209" s="5" t="s">
        <v>173</v>
      </c>
      <c r="H209" s="2" t="s">
        <v>51</v>
      </c>
      <c r="I209" s="3" t="s">
        <v>629</v>
      </c>
      <c r="J209" s="7">
        <v>1</v>
      </c>
      <c r="K209" s="70" t="s">
        <v>53</v>
      </c>
      <c r="L209" s="9">
        <v>0</v>
      </c>
      <c r="M209" s="3">
        <v>122</v>
      </c>
      <c r="N209" s="6">
        <v>1938</v>
      </c>
      <c r="P209" s="71"/>
      <c r="R209" s="6">
        <v>1930</v>
      </c>
      <c r="S209" s="3" t="s">
        <v>54</v>
      </c>
      <c r="T209" s="72"/>
      <c r="U209" s="73"/>
      <c r="W209" s="2" t="s">
        <v>630</v>
      </c>
      <c r="X209" s="10" t="s">
        <v>56</v>
      </c>
      <c r="Y209" s="10" t="s">
        <v>57</v>
      </c>
      <c r="Z209" s="75" t="s">
        <v>58</v>
      </c>
      <c r="AA209" s="76"/>
      <c r="AB209" s="77"/>
      <c r="AC209" s="77">
        <v>14048</v>
      </c>
      <c r="AD209" s="10"/>
      <c r="AG209" s="7">
        <v>1938</v>
      </c>
      <c r="AH209" s="7">
        <v>1930</v>
      </c>
      <c r="AI209" s="7"/>
      <c r="AJ209" s="73"/>
      <c r="AK209" s="7"/>
      <c r="AL209" s="16"/>
      <c r="AM209" s="2" t="s">
        <v>59</v>
      </c>
      <c r="AW209" s="6">
        <f t="shared" ca="1" si="4"/>
        <v>87</v>
      </c>
    </row>
    <row r="210" ht="45" customHeight="1">
      <c r="A210" s="69"/>
      <c r="B210" s="3" t="s">
        <v>47</v>
      </c>
      <c r="E210" s="78" t="s">
        <v>63</v>
      </c>
      <c r="F210" s="79" t="s">
        <v>172</v>
      </c>
      <c r="G210" s="80" t="s">
        <v>173</v>
      </c>
      <c r="H210" s="78" t="s">
        <v>51</v>
      </c>
      <c r="I210" s="81" t="s">
        <v>188</v>
      </c>
      <c r="J210" s="7">
        <v>1</v>
      </c>
      <c r="K210" s="70" t="s">
        <v>53</v>
      </c>
      <c r="L210" s="9">
        <v>0</v>
      </c>
      <c r="M210" s="3">
        <v>122</v>
      </c>
      <c r="N210" s="6">
        <v>1938</v>
      </c>
      <c r="P210" s="71"/>
      <c r="R210" s="6">
        <v>1930</v>
      </c>
      <c r="S210" s="3" t="s">
        <v>54</v>
      </c>
      <c r="T210" s="72"/>
      <c r="U210" s="73"/>
      <c r="W210" s="78" t="s">
        <v>631</v>
      </c>
      <c r="X210" s="82" t="s">
        <v>56</v>
      </c>
      <c r="Y210" s="82" t="s">
        <v>57</v>
      </c>
      <c r="Z210" s="83" t="s">
        <v>58</v>
      </c>
      <c r="AA210" s="76"/>
      <c r="AB210" s="77"/>
      <c r="AC210" s="77">
        <v>14048</v>
      </c>
      <c r="AD210" s="10"/>
      <c r="AG210" s="7">
        <v>1938</v>
      </c>
      <c r="AH210" s="7">
        <v>1930</v>
      </c>
      <c r="AI210" s="7"/>
      <c r="AJ210" s="73"/>
      <c r="AK210" s="7"/>
      <c r="AL210" s="16"/>
      <c r="AM210" s="2" t="s">
        <v>59</v>
      </c>
      <c r="AW210" s="6">
        <f t="shared" ca="1" si="4"/>
        <v>87</v>
      </c>
    </row>
    <row r="211" ht="45" customHeight="1">
      <c r="A211" s="69"/>
      <c r="B211" s="3" t="s">
        <v>47</v>
      </c>
      <c r="E211" s="2" t="s">
        <v>63</v>
      </c>
      <c r="F211" s="6" t="s">
        <v>172</v>
      </c>
      <c r="G211" s="5" t="s">
        <v>173</v>
      </c>
      <c r="H211" s="2" t="s">
        <v>51</v>
      </c>
      <c r="I211" s="3" t="s">
        <v>632</v>
      </c>
      <c r="J211" s="7">
        <v>1</v>
      </c>
      <c r="K211" s="70" t="s">
        <v>53</v>
      </c>
      <c r="L211" s="9">
        <v>0</v>
      </c>
      <c r="M211" s="3">
        <v>122</v>
      </c>
      <c r="N211" s="6">
        <v>1938</v>
      </c>
      <c r="P211" s="71"/>
      <c r="R211" s="6">
        <v>1930</v>
      </c>
      <c r="S211" s="3" t="s">
        <v>54</v>
      </c>
      <c r="T211" s="72"/>
      <c r="U211" s="73"/>
      <c r="W211" s="2" t="s">
        <v>633</v>
      </c>
      <c r="X211" s="10" t="s">
        <v>56</v>
      </c>
      <c r="Y211" s="10" t="s">
        <v>57</v>
      </c>
      <c r="Z211" s="75" t="s">
        <v>58</v>
      </c>
      <c r="AA211" s="76"/>
      <c r="AB211" s="77"/>
      <c r="AC211" s="77">
        <v>14048</v>
      </c>
      <c r="AD211" s="10"/>
      <c r="AG211" s="7">
        <v>1938</v>
      </c>
      <c r="AH211" s="7">
        <v>1930</v>
      </c>
      <c r="AI211" s="7"/>
      <c r="AJ211" s="73"/>
      <c r="AK211" s="7"/>
      <c r="AL211" s="16"/>
      <c r="AM211" s="2" t="s">
        <v>59</v>
      </c>
      <c r="AW211" s="6">
        <f t="shared" ca="1" si="4"/>
        <v>87</v>
      </c>
    </row>
    <row r="212" ht="45" customHeight="1" outlineLevel="1">
      <c r="A212" s="69"/>
      <c r="B212" s="3" t="s">
        <v>47</v>
      </c>
      <c r="E212" s="2" t="s">
        <v>63</v>
      </c>
      <c r="F212" s="6" t="s">
        <v>172</v>
      </c>
      <c r="G212" s="5" t="s">
        <v>173</v>
      </c>
      <c r="H212" s="2" t="s">
        <v>51</v>
      </c>
      <c r="I212" s="3" t="s">
        <v>634</v>
      </c>
      <c r="J212" s="7">
        <v>1</v>
      </c>
      <c r="K212" s="70" t="s">
        <v>53</v>
      </c>
      <c r="L212" s="9">
        <v>0</v>
      </c>
      <c r="M212" s="3">
        <v>122</v>
      </c>
      <c r="N212" s="6">
        <v>1938</v>
      </c>
      <c r="P212" s="71"/>
      <c r="R212" s="6">
        <v>1930</v>
      </c>
      <c r="S212" s="3" t="s">
        <v>54</v>
      </c>
      <c r="T212" s="72"/>
      <c r="U212" s="73"/>
      <c r="W212" s="2" t="s">
        <v>635</v>
      </c>
      <c r="X212" s="10" t="s">
        <v>56</v>
      </c>
      <c r="Y212" s="10" t="s">
        <v>57</v>
      </c>
      <c r="Z212" s="75" t="s">
        <v>58</v>
      </c>
      <c r="AA212" s="76"/>
      <c r="AB212" s="77"/>
      <c r="AC212" s="77">
        <v>14048</v>
      </c>
      <c r="AD212" s="10"/>
      <c r="AG212" s="7">
        <v>1938</v>
      </c>
      <c r="AH212" s="7">
        <v>1930</v>
      </c>
      <c r="AI212" s="7"/>
      <c r="AJ212" s="73"/>
      <c r="AK212" s="7"/>
      <c r="AL212" s="16"/>
      <c r="AM212" s="2" t="s">
        <v>59</v>
      </c>
      <c r="AW212" s="6">
        <f t="shared" ca="1" si="4"/>
        <v>87</v>
      </c>
    </row>
    <row r="213" ht="45" customHeight="1" outlineLevel="1">
      <c r="A213" s="69"/>
      <c r="B213" s="3" t="s">
        <v>47</v>
      </c>
      <c r="E213" s="2" t="s">
        <v>63</v>
      </c>
      <c r="F213" s="6" t="s">
        <v>172</v>
      </c>
      <c r="G213" s="5" t="s">
        <v>173</v>
      </c>
      <c r="H213" s="2" t="s">
        <v>51</v>
      </c>
      <c r="I213" s="3" t="s">
        <v>636</v>
      </c>
      <c r="J213" s="7">
        <v>1</v>
      </c>
      <c r="K213" s="70" t="s">
        <v>53</v>
      </c>
      <c r="L213" s="9">
        <v>0</v>
      </c>
      <c r="M213" s="3">
        <v>122</v>
      </c>
      <c r="N213" s="6">
        <v>1938</v>
      </c>
      <c r="P213" s="71"/>
      <c r="R213" s="6">
        <v>1930</v>
      </c>
      <c r="S213" s="3" t="s">
        <v>54</v>
      </c>
      <c r="T213" s="72"/>
      <c r="U213" s="73"/>
      <c r="W213" s="2" t="s">
        <v>637</v>
      </c>
      <c r="X213" s="10" t="s">
        <v>56</v>
      </c>
      <c r="Y213" s="10" t="s">
        <v>57</v>
      </c>
      <c r="Z213" s="75" t="s">
        <v>58</v>
      </c>
      <c r="AA213" s="76"/>
      <c r="AB213" s="77"/>
      <c r="AC213" s="77">
        <v>14048</v>
      </c>
      <c r="AD213" s="10"/>
      <c r="AG213" s="7">
        <v>1938</v>
      </c>
      <c r="AH213" s="7">
        <v>1930</v>
      </c>
      <c r="AI213" s="7"/>
      <c r="AJ213" s="73"/>
      <c r="AK213" s="7"/>
      <c r="AL213" s="16"/>
      <c r="AM213" s="2" t="s">
        <v>59</v>
      </c>
      <c r="AW213" s="6">
        <f t="shared" ca="1" si="4"/>
        <v>87</v>
      </c>
    </row>
    <row r="214" ht="45" customHeight="1" outlineLevel="1">
      <c r="A214" s="69"/>
      <c r="B214" s="3" t="s">
        <v>47</v>
      </c>
      <c r="E214" s="2" t="s">
        <v>63</v>
      </c>
      <c r="F214" s="6" t="s">
        <v>172</v>
      </c>
      <c r="G214" s="5" t="s">
        <v>173</v>
      </c>
      <c r="H214" s="2" t="s">
        <v>382</v>
      </c>
      <c r="I214" s="3" t="s">
        <v>638</v>
      </c>
      <c r="J214" s="7">
        <v>1</v>
      </c>
      <c r="K214" s="70" t="s">
        <v>53</v>
      </c>
      <c r="L214" s="9">
        <v>0</v>
      </c>
      <c r="M214" s="3">
        <v>122</v>
      </c>
      <c r="N214" s="6">
        <v>1938</v>
      </c>
      <c r="P214" s="71"/>
      <c r="R214" s="6">
        <v>1930</v>
      </c>
      <c r="S214" s="3" t="s">
        <v>54</v>
      </c>
      <c r="T214" s="72"/>
      <c r="U214" s="73"/>
      <c r="W214" s="2" t="s">
        <v>639</v>
      </c>
      <c r="X214" s="10" t="s">
        <v>91</v>
      </c>
      <c r="Y214" s="10" t="s">
        <v>385</v>
      </c>
      <c r="Z214" s="75"/>
      <c r="AA214" s="76"/>
      <c r="AB214" s="77"/>
      <c r="AC214" s="77">
        <v>14048</v>
      </c>
      <c r="AD214" s="10"/>
      <c r="AG214" s="7">
        <v>1938</v>
      </c>
      <c r="AH214" s="7">
        <v>1930</v>
      </c>
      <c r="AI214" s="7"/>
      <c r="AJ214" s="73"/>
      <c r="AK214" s="7"/>
      <c r="AL214" s="16"/>
      <c r="AM214" s="2" t="s">
        <v>59</v>
      </c>
      <c r="AO214" s="6" t="s">
        <v>59</v>
      </c>
      <c r="AW214" s="6">
        <f t="shared" ca="1" si="4"/>
        <v>87</v>
      </c>
    </row>
    <row r="215" ht="45" customHeight="1" outlineLevel="1">
      <c r="A215" s="69"/>
      <c r="B215" s="3" t="s">
        <v>47</v>
      </c>
      <c r="E215" s="2" t="s">
        <v>63</v>
      </c>
      <c r="F215" s="6" t="s">
        <v>172</v>
      </c>
      <c r="G215" s="5" t="s">
        <v>173</v>
      </c>
      <c r="H215" s="2" t="s">
        <v>51</v>
      </c>
      <c r="I215" s="3" t="s">
        <v>640</v>
      </c>
      <c r="J215" s="7">
        <v>1</v>
      </c>
      <c r="K215" s="70" t="s">
        <v>53</v>
      </c>
      <c r="L215" s="9">
        <v>0</v>
      </c>
      <c r="M215" s="3">
        <v>122</v>
      </c>
      <c r="N215" s="6">
        <v>1938</v>
      </c>
      <c r="P215" s="71"/>
      <c r="R215" s="6">
        <v>1930</v>
      </c>
      <c r="S215" s="3" t="s">
        <v>54</v>
      </c>
      <c r="T215" s="72"/>
      <c r="U215" s="73"/>
      <c r="W215" s="2" t="s">
        <v>641</v>
      </c>
      <c r="X215" s="10" t="s">
        <v>56</v>
      </c>
      <c r="Y215" s="10" t="s">
        <v>57</v>
      </c>
      <c r="Z215" s="75"/>
      <c r="AA215" s="76"/>
      <c r="AB215" s="77"/>
      <c r="AC215" s="77">
        <v>14048</v>
      </c>
      <c r="AD215" s="10"/>
      <c r="AG215" s="7">
        <v>1938</v>
      </c>
      <c r="AH215" s="7">
        <v>1930</v>
      </c>
      <c r="AI215" s="7"/>
      <c r="AJ215" s="73"/>
      <c r="AK215" s="7"/>
      <c r="AL215" s="16"/>
      <c r="AM215" s="2" t="s">
        <v>59</v>
      </c>
      <c r="AW215" s="6">
        <f t="shared" ca="1" si="4"/>
        <v>87</v>
      </c>
    </row>
    <row r="216" ht="45" customHeight="1" outlineLevel="1">
      <c r="A216" s="69"/>
      <c r="B216" s="3" t="s">
        <v>47</v>
      </c>
      <c r="E216" s="2" t="s">
        <v>63</v>
      </c>
      <c r="F216" s="6" t="s">
        <v>172</v>
      </c>
      <c r="G216" s="5" t="s">
        <v>173</v>
      </c>
      <c r="H216" s="2" t="s">
        <v>51</v>
      </c>
      <c r="I216" s="3" t="s">
        <v>642</v>
      </c>
      <c r="J216" s="7">
        <v>1</v>
      </c>
      <c r="K216" s="70" t="s">
        <v>53</v>
      </c>
      <c r="L216" s="9">
        <v>0</v>
      </c>
      <c r="M216" s="3">
        <v>122</v>
      </c>
      <c r="N216" s="6">
        <v>1938</v>
      </c>
      <c r="P216" s="71"/>
      <c r="R216" s="6">
        <v>1930</v>
      </c>
      <c r="S216" s="3" t="s">
        <v>54</v>
      </c>
      <c r="T216" s="72"/>
      <c r="U216" s="73"/>
      <c r="W216" s="2" t="s">
        <v>643</v>
      </c>
      <c r="X216" s="10" t="s">
        <v>56</v>
      </c>
      <c r="Y216" s="10" t="s">
        <v>57</v>
      </c>
      <c r="Z216" s="75" t="s">
        <v>58</v>
      </c>
      <c r="AA216" s="76"/>
      <c r="AB216" s="77"/>
      <c r="AC216" s="77">
        <v>14048</v>
      </c>
      <c r="AD216" s="10"/>
      <c r="AG216" s="7">
        <v>1938</v>
      </c>
      <c r="AH216" s="7">
        <v>1930</v>
      </c>
      <c r="AI216" s="7"/>
      <c r="AJ216" s="73"/>
      <c r="AK216" s="7"/>
      <c r="AL216" s="16"/>
      <c r="AM216" s="2" t="s">
        <v>59</v>
      </c>
      <c r="AW216" s="6">
        <f t="shared" ca="1" si="4"/>
        <v>87</v>
      </c>
    </row>
    <row r="217" ht="45" customHeight="1" outlineLevel="1">
      <c r="A217" s="69"/>
      <c r="B217" s="3" t="s">
        <v>47</v>
      </c>
      <c r="E217" s="2" t="s">
        <v>63</v>
      </c>
      <c r="F217" s="6" t="s">
        <v>172</v>
      </c>
      <c r="G217" s="5" t="s">
        <v>173</v>
      </c>
      <c r="H217" s="2" t="s">
        <v>51</v>
      </c>
      <c r="I217" s="3" t="s">
        <v>644</v>
      </c>
      <c r="J217" s="7">
        <v>1</v>
      </c>
      <c r="K217" s="70" t="s">
        <v>53</v>
      </c>
      <c r="L217" s="9">
        <v>0</v>
      </c>
      <c r="M217" s="3">
        <v>122</v>
      </c>
      <c r="N217" s="6">
        <v>1938</v>
      </c>
      <c r="P217" s="71"/>
      <c r="R217" s="6">
        <v>1930</v>
      </c>
      <c r="S217" s="3" t="s">
        <v>54</v>
      </c>
      <c r="T217" s="72"/>
      <c r="U217" s="73"/>
      <c r="W217" s="2" t="s">
        <v>645</v>
      </c>
      <c r="X217" s="10" t="s">
        <v>56</v>
      </c>
      <c r="Y217" s="10" t="s">
        <v>57</v>
      </c>
      <c r="Z217" s="75" t="s">
        <v>58</v>
      </c>
      <c r="AA217" s="76"/>
      <c r="AB217" s="77"/>
      <c r="AC217" s="77">
        <v>14048</v>
      </c>
      <c r="AD217" s="10"/>
      <c r="AG217" s="7">
        <v>1938</v>
      </c>
      <c r="AH217" s="7">
        <v>1930</v>
      </c>
      <c r="AI217" s="7"/>
      <c r="AJ217" s="73"/>
      <c r="AK217" s="7"/>
      <c r="AL217" s="16"/>
      <c r="AM217" s="2" t="s">
        <v>59</v>
      </c>
      <c r="AW217" s="6">
        <f t="shared" ca="1" si="4"/>
        <v>87</v>
      </c>
    </row>
    <row r="218" ht="45" customHeight="1" outlineLevel="1">
      <c r="A218" s="69"/>
      <c r="B218" s="3" t="s">
        <v>47</v>
      </c>
      <c r="E218" s="2" t="s">
        <v>63</v>
      </c>
      <c r="F218" s="6" t="s">
        <v>172</v>
      </c>
      <c r="G218" s="5" t="s">
        <v>173</v>
      </c>
      <c r="H218" s="2" t="s">
        <v>51</v>
      </c>
      <c r="I218" s="3" t="s">
        <v>646</v>
      </c>
      <c r="J218" s="7">
        <v>1</v>
      </c>
      <c r="K218" s="70" t="s">
        <v>53</v>
      </c>
      <c r="L218" s="9">
        <v>0</v>
      </c>
      <c r="M218" s="3">
        <v>122</v>
      </c>
      <c r="N218" s="6">
        <v>1938</v>
      </c>
      <c r="P218" s="71"/>
      <c r="R218" s="6">
        <v>1930</v>
      </c>
      <c r="S218" s="3" t="s">
        <v>54</v>
      </c>
      <c r="T218" s="72"/>
      <c r="U218" s="73"/>
      <c r="W218" s="2" t="s">
        <v>647</v>
      </c>
      <c r="X218" s="10" t="s">
        <v>56</v>
      </c>
      <c r="Y218" s="10" t="s">
        <v>57</v>
      </c>
      <c r="Z218" s="75" t="s">
        <v>58</v>
      </c>
      <c r="AA218" s="76"/>
      <c r="AB218" s="77"/>
      <c r="AC218" s="77">
        <v>14048</v>
      </c>
      <c r="AD218" s="10"/>
      <c r="AG218" s="7">
        <v>1938</v>
      </c>
      <c r="AH218" s="7">
        <v>1930</v>
      </c>
      <c r="AI218" s="7"/>
      <c r="AJ218" s="73"/>
      <c r="AK218" s="7"/>
      <c r="AL218" s="16"/>
      <c r="AM218" s="2" t="s">
        <v>59</v>
      </c>
      <c r="AW218" s="6">
        <f t="shared" ca="1" si="4"/>
        <v>87</v>
      </c>
    </row>
    <row r="219" ht="45" customHeight="1" outlineLevel="1">
      <c r="A219" s="69"/>
      <c r="B219" s="3" t="s">
        <v>47</v>
      </c>
      <c r="E219" s="2" t="s">
        <v>63</v>
      </c>
      <c r="F219" s="6" t="s">
        <v>172</v>
      </c>
      <c r="G219" s="5" t="s">
        <v>173</v>
      </c>
      <c r="H219" s="2" t="s">
        <v>51</v>
      </c>
      <c r="I219" s="3" t="s">
        <v>648</v>
      </c>
      <c r="J219" s="7">
        <v>1</v>
      </c>
      <c r="K219" s="70" t="s">
        <v>53</v>
      </c>
      <c r="L219" s="9">
        <v>0</v>
      </c>
      <c r="M219" s="3">
        <v>122</v>
      </c>
      <c r="N219" s="6">
        <v>1938</v>
      </c>
      <c r="P219" s="71"/>
      <c r="R219" s="6">
        <v>1930</v>
      </c>
      <c r="S219" s="3" t="s">
        <v>54</v>
      </c>
      <c r="T219" s="72"/>
      <c r="U219" s="73"/>
      <c r="W219" s="2" t="s">
        <v>649</v>
      </c>
      <c r="X219" s="10" t="s">
        <v>56</v>
      </c>
      <c r="Y219" s="10" t="s">
        <v>57</v>
      </c>
      <c r="Z219" s="75" t="s">
        <v>58</v>
      </c>
      <c r="AA219" s="76"/>
      <c r="AB219" s="77"/>
      <c r="AC219" s="77">
        <v>14048</v>
      </c>
      <c r="AD219" s="10"/>
      <c r="AG219" s="7">
        <v>1938</v>
      </c>
      <c r="AH219" s="7">
        <v>1930</v>
      </c>
      <c r="AI219" s="7"/>
      <c r="AJ219" s="73"/>
      <c r="AK219" s="7"/>
      <c r="AL219" s="16"/>
      <c r="AM219" s="2" t="s">
        <v>59</v>
      </c>
      <c r="AW219" s="6">
        <f t="shared" ca="1" si="4"/>
        <v>87</v>
      </c>
    </row>
    <row r="220" ht="45" customHeight="1" outlineLevel="1">
      <c r="A220" s="69"/>
      <c r="B220" s="3" t="s">
        <v>47</v>
      </c>
      <c r="E220" s="2" t="s">
        <v>63</v>
      </c>
      <c r="F220" s="6" t="s">
        <v>172</v>
      </c>
      <c r="G220" s="5" t="s">
        <v>173</v>
      </c>
      <c r="H220" s="2" t="s">
        <v>51</v>
      </c>
      <c r="I220" s="3" t="s">
        <v>650</v>
      </c>
      <c r="J220" s="7">
        <v>1</v>
      </c>
      <c r="K220" s="70" t="s">
        <v>53</v>
      </c>
      <c r="L220" s="9">
        <v>0</v>
      </c>
      <c r="M220" s="3">
        <v>122</v>
      </c>
      <c r="N220" s="6">
        <v>1938</v>
      </c>
      <c r="P220" s="71"/>
      <c r="R220" s="6">
        <v>1930</v>
      </c>
      <c r="S220" s="3" t="s">
        <v>54</v>
      </c>
      <c r="T220" s="72"/>
      <c r="U220" s="73"/>
      <c r="W220" s="2" t="s">
        <v>651</v>
      </c>
      <c r="X220" s="10" t="s">
        <v>56</v>
      </c>
      <c r="Y220" s="10" t="s">
        <v>57</v>
      </c>
      <c r="Z220" s="75" t="s">
        <v>58</v>
      </c>
      <c r="AA220" s="76"/>
      <c r="AB220" s="77"/>
      <c r="AC220" s="77">
        <v>14048</v>
      </c>
      <c r="AD220" s="10"/>
      <c r="AG220" s="7">
        <v>1938</v>
      </c>
      <c r="AH220" s="7">
        <v>1930</v>
      </c>
      <c r="AI220" s="7"/>
      <c r="AJ220" s="73"/>
      <c r="AK220" s="7"/>
      <c r="AL220" s="16"/>
      <c r="AM220" s="2" t="s">
        <v>59</v>
      </c>
      <c r="AW220" s="6">
        <f t="shared" ca="1" si="4"/>
        <v>87</v>
      </c>
    </row>
    <row r="221" ht="45" customHeight="1" outlineLevel="1">
      <c r="A221" s="69"/>
      <c r="B221" s="3" t="s">
        <v>47</v>
      </c>
      <c r="E221" s="78" t="s">
        <v>63</v>
      </c>
      <c r="F221" s="79" t="s">
        <v>64</v>
      </c>
      <c r="G221" s="80" t="s">
        <v>69</v>
      </c>
      <c r="H221" s="78" t="s">
        <v>68</v>
      </c>
      <c r="I221" s="81" t="s">
        <v>652</v>
      </c>
      <c r="J221" s="7">
        <v>1</v>
      </c>
      <c r="K221" s="70" t="s">
        <v>53</v>
      </c>
      <c r="L221" s="9">
        <v>1</v>
      </c>
      <c r="M221" s="3">
        <v>123</v>
      </c>
      <c r="N221" s="6">
        <v>1938</v>
      </c>
      <c r="P221" s="71"/>
      <c r="R221" s="6">
        <v>1930</v>
      </c>
      <c r="S221" s="3" t="s">
        <v>54</v>
      </c>
      <c r="T221" s="72"/>
      <c r="U221" s="73"/>
      <c r="W221" s="78" t="s">
        <v>653</v>
      </c>
      <c r="X221" s="82" t="s">
        <v>56</v>
      </c>
      <c r="Y221" s="82" t="s">
        <v>68</v>
      </c>
      <c r="Z221" s="83"/>
      <c r="AA221" s="76"/>
      <c r="AB221" s="108" t="s">
        <v>208</v>
      </c>
      <c r="AC221" s="77">
        <v>14081</v>
      </c>
      <c r="AD221" s="10"/>
      <c r="AF221" s="7" t="s">
        <v>654</v>
      </c>
      <c r="AG221" s="7">
        <v>1938</v>
      </c>
      <c r="AH221" s="7">
        <v>1930</v>
      </c>
      <c r="AI221" s="7" t="s">
        <v>655</v>
      </c>
      <c r="AJ221" s="73"/>
      <c r="AK221" s="7"/>
      <c r="AL221" s="101" t="s">
        <v>656</v>
      </c>
      <c r="AM221" s="2" t="s">
        <v>73</v>
      </c>
      <c r="AO221" s="6" t="s">
        <v>73</v>
      </c>
      <c r="AU221" s="16" t="s">
        <v>657</v>
      </c>
      <c r="AW221" s="6">
        <f t="shared" ca="1" si="4"/>
        <v>87</v>
      </c>
    </row>
    <row r="222" ht="45" customHeight="1" outlineLevel="1">
      <c r="A222" s="69"/>
      <c r="B222" s="3" t="s">
        <v>47</v>
      </c>
      <c r="E222" s="2" t="s">
        <v>63</v>
      </c>
      <c r="F222" s="6" t="s">
        <v>64</v>
      </c>
      <c r="G222" s="5" t="s">
        <v>243</v>
      </c>
      <c r="H222" s="2" t="s">
        <v>51</v>
      </c>
      <c r="I222" s="3" t="s">
        <v>572</v>
      </c>
      <c r="J222" s="7">
        <v>1</v>
      </c>
      <c r="K222" s="70" t="s">
        <v>53</v>
      </c>
      <c r="L222" s="9">
        <v>1</v>
      </c>
      <c r="M222" s="3">
        <v>124</v>
      </c>
      <c r="N222" s="6">
        <v>1938</v>
      </c>
      <c r="P222" s="71"/>
      <c r="R222" s="6">
        <v>1930</v>
      </c>
      <c r="S222" s="3" t="s">
        <v>54</v>
      </c>
      <c r="T222" s="72"/>
      <c r="U222" s="73"/>
      <c r="W222" s="2" t="s">
        <v>658</v>
      </c>
      <c r="X222" s="10" t="s">
        <v>56</v>
      </c>
      <c r="Y222" s="10" t="s">
        <v>57</v>
      </c>
      <c r="Z222" s="75" t="s">
        <v>58</v>
      </c>
      <c r="AA222" s="76"/>
      <c r="AB222" s="77"/>
      <c r="AC222" s="77">
        <v>14097</v>
      </c>
      <c r="AD222" s="10"/>
      <c r="AG222" s="7">
        <v>1938</v>
      </c>
      <c r="AH222" s="7">
        <v>1930</v>
      </c>
      <c r="AI222" s="7"/>
      <c r="AJ222" s="73"/>
      <c r="AK222" s="7"/>
      <c r="AL222" s="16"/>
      <c r="AM222" s="2" t="s">
        <v>59</v>
      </c>
      <c r="AW222" s="6">
        <f t="shared" ca="1" si="4"/>
        <v>87</v>
      </c>
    </row>
    <row r="223" ht="45" customHeight="1" outlineLevel="1">
      <c r="A223" s="69"/>
      <c r="B223" s="3" t="s">
        <v>47</v>
      </c>
      <c r="E223" s="2" t="s">
        <v>63</v>
      </c>
      <c r="F223" s="6" t="s">
        <v>172</v>
      </c>
      <c r="G223" s="5" t="s">
        <v>173</v>
      </c>
      <c r="H223" s="2" t="s">
        <v>57</v>
      </c>
      <c r="I223" s="3" t="s">
        <v>659</v>
      </c>
      <c r="J223" s="7">
        <v>1</v>
      </c>
      <c r="K223" s="70" t="s">
        <v>53</v>
      </c>
      <c r="L223" s="9">
        <v>0</v>
      </c>
      <c r="M223" s="3">
        <v>124</v>
      </c>
      <c r="N223" s="6">
        <v>1938</v>
      </c>
      <c r="P223" s="71"/>
      <c r="R223" s="6">
        <v>1930</v>
      </c>
      <c r="S223" s="3" t="s">
        <v>54</v>
      </c>
      <c r="T223" s="72"/>
      <c r="U223" s="73"/>
      <c r="W223" s="2" t="s">
        <v>660</v>
      </c>
      <c r="X223" s="10" t="s">
        <v>56</v>
      </c>
      <c r="Y223" s="10" t="s">
        <v>57</v>
      </c>
      <c r="Z223" s="75"/>
      <c r="AA223" s="76"/>
      <c r="AB223" s="77"/>
      <c r="AC223" s="77">
        <v>14045</v>
      </c>
      <c r="AD223" s="10"/>
      <c r="AG223" s="7">
        <v>1938</v>
      </c>
      <c r="AH223" s="7">
        <v>1930</v>
      </c>
      <c r="AI223" s="7"/>
      <c r="AJ223" s="73"/>
      <c r="AK223" s="7"/>
      <c r="AL223" s="16"/>
      <c r="AM223" s="2" t="s">
        <v>59</v>
      </c>
      <c r="AU223" s="16" t="s">
        <v>661</v>
      </c>
      <c r="AW223" s="6">
        <f t="shared" ca="1" si="4"/>
        <v>87</v>
      </c>
    </row>
    <row r="224" ht="45" customHeight="1" outlineLevel="1">
      <c r="A224" s="69"/>
      <c r="B224" s="3" t="s">
        <v>47</v>
      </c>
      <c r="E224" s="2" t="s">
        <v>63</v>
      </c>
      <c r="F224" s="6" t="s">
        <v>64</v>
      </c>
      <c r="G224" s="5" t="s">
        <v>69</v>
      </c>
      <c r="H224" s="2" t="s">
        <v>51</v>
      </c>
      <c r="I224" s="3" t="s">
        <v>662</v>
      </c>
      <c r="J224" s="7">
        <v>1</v>
      </c>
      <c r="K224" s="70" t="s">
        <v>53</v>
      </c>
      <c r="L224" s="9">
        <v>1</v>
      </c>
      <c r="M224" s="3">
        <v>125</v>
      </c>
      <c r="N224" s="6">
        <v>1938</v>
      </c>
      <c r="P224" s="71"/>
      <c r="R224" s="6">
        <v>1930</v>
      </c>
      <c r="S224" s="3" t="s">
        <v>54</v>
      </c>
      <c r="T224" s="72"/>
      <c r="U224" s="73"/>
      <c r="W224" s="2" t="s">
        <v>663</v>
      </c>
      <c r="X224" s="10" t="s">
        <v>56</v>
      </c>
      <c r="Y224" s="10" t="s">
        <v>57</v>
      </c>
      <c r="Z224" s="75" t="s">
        <v>58</v>
      </c>
      <c r="AA224" s="76"/>
      <c r="AB224" s="77"/>
      <c r="AC224" s="77">
        <v>14030</v>
      </c>
      <c r="AD224" s="10"/>
      <c r="AF224" s="7">
        <v>110</v>
      </c>
      <c r="AG224" s="7">
        <v>1938</v>
      </c>
      <c r="AH224" s="7">
        <v>1930</v>
      </c>
      <c r="AI224" s="7">
        <v>1984</v>
      </c>
      <c r="AJ224" s="73"/>
      <c r="AK224" s="7"/>
      <c r="AL224" s="16" t="s">
        <v>664</v>
      </c>
      <c r="AM224" s="2" t="s">
        <v>59</v>
      </c>
      <c r="AO224" s="6" t="s">
        <v>73</v>
      </c>
      <c r="AU224" s="16" t="s">
        <v>74</v>
      </c>
      <c r="AW224" s="6">
        <f t="shared" ca="1" si="4"/>
        <v>87</v>
      </c>
    </row>
    <row r="225" ht="45" customHeight="1" outlineLevel="1">
      <c r="A225" s="69"/>
      <c r="B225" s="3" t="s">
        <v>47</v>
      </c>
      <c r="E225" s="2" t="s">
        <v>63</v>
      </c>
      <c r="F225" s="6" t="s">
        <v>172</v>
      </c>
      <c r="G225" s="5" t="s">
        <v>173</v>
      </c>
      <c r="H225" s="2" t="s">
        <v>57</v>
      </c>
      <c r="I225" s="3" t="s">
        <v>665</v>
      </c>
      <c r="J225" s="7">
        <v>1</v>
      </c>
      <c r="K225" s="70" t="s">
        <v>53</v>
      </c>
      <c r="L225" s="9">
        <v>1</v>
      </c>
      <c r="M225" s="3">
        <v>126</v>
      </c>
      <c r="N225" s="6">
        <v>1938</v>
      </c>
      <c r="P225" s="71"/>
      <c r="R225" s="6">
        <v>1930</v>
      </c>
      <c r="S225" s="3" t="s">
        <v>54</v>
      </c>
      <c r="T225" s="72"/>
      <c r="U225" s="73"/>
      <c r="W225" s="2" t="s">
        <v>666</v>
      </c>
      <c r="X225" s="10" t="s">
        <v>56</v>
      </c>
      <c r="Y225" s="10" t="s">
        <v>57</v>
      </c>
      <c r="Z225" s="75"/>
      <c r="AA225" s="76"/>
      <c r="AB225" s="77">
        <v>14073</v>
      </c>
      <c r="AC225" s="77"/>
      <c r="AD225" s="6"/>
      <c r="AG225" s="7">
        <v>1938</v>
      </c>
      <c r="AH225" s="7">
        <v>1930</v>
      </c>
      <c r="AI225" s="7"/>
      <c r="AJ225" s="73"/>
      <c r="AK225" s="7"/>
      <c r="AL225" s="16"/>
      <c r="AM225" s="2" t="s">
        <v>59</v>
      </c>
      <c r="AW225" s="6">
        <f t="shared" ca="1" si="4"/>
        <v>87</v>
      </c>
    </row>
    <row r="226" ht="45" customHeight="1">
      <c r="A226" s="69"/>
      <c r="B226" s="3" t="s">
        <v>47</v>
      </c>
      <c r="E226" s="2" t="s">
        <v>63</v>
      </c>
      <c r="F226" s="6" t="s">
        <v>217</v>
      </c>
      <c r="G226" s="5" t="s">
        <v>221</v>
      </c>
      <c r="H226" s="2" t="s">
        <v>57</v>
      </c>
      <c r="I226" s="3" t="s">
        <v>667</v>
      </c>
      <c r="J226" s="7">
        <v>1</v>
      </c>
      <c r="K226" s="70" t="s">
        <v>53</v>
      </c>
      <c r="L226" s="9">
        <v>1</v>
      </c>
      <c r="M226" s="3">
        <v>127</v>
      </c>
      <c r="N226" s="6">
        <v>1938</v>
      </c>
      <c r="P226" s="71"/>
      <c r="R226" s="6">
        <v>1930</v>
      </c>
      <c r="S226" s="3" t="s">
        <v>54</v>
      </c>
      <c r="T226" s="72"/>
      <c r="U226" s="73"/>
      <c r="W226" s="2" t="s">
        <v>668</v>
      </c>
      <c r="X226" s="10" t="s">
        <v>56</v>
      </c>
      <c r="Y226" s="10" t="s">
        <v>57</v>
      </c>
      <c r="Z226" s="75"/>
      <c r="AA226" s="76"/>
      <c r="AB226" s="77">
        <v>15245</v>
      </c>
      <c r="AC226" s="77"/>
      <c r="AD226" s="6"/>
      <c r="AG226" s="7">
        <v>1941</v>
      </c>
      <c r="AH226" s="7">
        <v>1940</v>
      </c>
      <c r="AI226" s="7"/>
      <c r="AJ226" s="73"/>
      <c r="AK226" s="7"/>
      <c r="AL226" s="16"/>
      <c r="AM226" s="2" t="s">
        <v>59</v>
      </c>
      <c r="AO226" s="6" t="s">
        <v>136</v>
      </c>
      <c r="AP226" s="6" t="s">
        <v>104</v>
      </c>
      <c r="AQ226" s="5" t="s">
        <v>104</v>
      </c>
      <c r="AW226" s="6">
        <f t="shared" ca="1" si="4"/>
        <v>87</v>
      </c>
    </row>
    <row r="227" ht="45" customHeight="1">
      <c r="A227" s="69"/>
      <c r="B227" s="3" t="s">
        <v>47</v>
      </c>
      <c r="E227" s="2" t="s">
        <v>63</v>
      </c>
      <c r="F227" s="6" t="s">
        <v>172</v>
      </c>
      <c r="G227" s="5" t="s">
        <v>669</v>
      </c>
      <c r="H227" s="2" t="s">
        <v>181</v>
      </c>
      <c r="I227" s="3" t="s">
        <v>670</v>
      </c>
      <c r="J227" s="7">
        <v>1</v>
      </c>
      <c r="K227" s="70" t="s">
        <v>53</v>
      </c>
      <c r="L227" s="9">
        <v>1</v>
      </c>
      <c r="M227" s="3">
        <v>128</v>
      </c>
      <c r="N227" s="6">
        <v>1938</v>
      </c>
      <c r="P227" s="71"/>
      <c r="R227" s="6">
        <v>1930</v>
      </c>
      <c r="S227" s="3" t="s">
        <v>54</v>
      </c>
      <c r="T227" s="72"/>
      <c r="U227" s="73"/>
      <c r="W227" s="2" t="s">
        <v>671</v>
      </c>
      <c r="X227" s="10" t="s">
        <v>56</v>
      </c>
      <c r="Y227" s="10" t="s">
        <v>181</v>
      </c>
      <c r="Z227" s="75"/>
      <c r="AA227" s="76"/>
      <c r="AB227" s="77"/>
      <c r="AC227" s="77">
        <v>14000</v>
      </c>
      <c r="AD227" s="6"/>
      <c r="AF227" s="7">
        <v>77</v>
      </c>
      <c r="AG227" s="7">
        <v>1938</v>
      </c>
      <c r="AH227" s="7">
        <v>1930</v>
      </c>
      <c r="AI227" s="7">
        <v>1977</v>
      </c>
      <c r="AJ227" s="73"/>
      <c r="AK227" s="7"/>
      <c r="AL227" s="16" t="s">
        <v>672</v>
      </c>
      <c r="AM227" s="2" t="s">
        <v>82</v>
      </c>
      <c r="AU227" s="16" t="s">
        <v>673</v>
      </c>
      <c r="AW227" s="6">
        <f t="shared" ref="AW227:AW290" ca="1" si="5">IF(N227&lt;&gt;0,(YEAR(TODAY())-N227),(""))</f>
        <v>87</v>
      </c>
    </row>
    <row r="228" ht="45" customHeight="1">
      <c r="A228" s="69"/>
      <c r="B228" s="3" t="s">
        <v>47</v>
      </c>
      <c r="E228" s="2" t="s">
        <v>63</v>
      </c>
      <c r="F228" s="6" t="s">
        <v>64</v>
      </c>
      <c r="G228" s="5" t="s">
        <v>69</v>
      </c>
      <c r="H228" s="2" t="s">
        <v>382</v>
      </c>
      <c r="I228" s="3" t="s">
        <v>674</v>
      </c>
      <c r="J228" s="7">
        <v>1</v>
      </c>
      <c r="K228" s="70" t="s">
        <v>53</v>
      </c>
      <c r="L228" s="9">
        <v>1</v>
      </c>
      <c r="M228" s="3">
        <v>129</v>
      </c>
      <c r="N228" s="6">
        <v>1938</v>
      </c>
      <c r="P228" s="71"/>
      <c r="R228" s="6">
        <v>1930</v>
      </c>
      <c r="S228" s="3" t="s">
        <v>54</v>
      </c>
      <c r="T228" s="72"/>
      <c r="U228" s="73"/>
      <c r="W228" s="98" t="s">
        <v>675</v>
      </c>
      <c r="X228" s="10" t="s">
        <v>91</v>
      </c>
      <c r="Y228" s="10" t="s">
        <v>385</v>
      </c>
      <c r="Z228" s="75"/>
      <c r="AA228" s="76"/>
      <c r="AB228" s="77"/>
      <c r="AC228" s="77">
        <v>13990</v>
      </c>
      <c r="AD228" s="10"/>
      <c r="AG228" s="7">
        <v>1938</v>
      </c>
      <c r="AH228" s="7">
        <v>1930</v>
      </c>
      <c r="AI228" s="7"/>
      <c r="AJ228" s="73"/>
      <c r="AK228" s="7"/>
      <c r="AL228" s="16"/>
      <c r="AM228" s="2" t="s">
        <v>59</v>
      </c>
      <c r="AO228" s="6" t="s">
        <v>59</v>
      </c>
      <c r="AU228" s="16" t="s">
        <v>676</v>
      </c>
      <c r="AW228" s="6">
        <f t="shared" ca="1" si="5"/>
        <v>87</v>
      </c>
    </row>
    <row r="229" ht="45" customHeight="1">
      <c r="A229" s="69"/>
      <c r="B229" s="3" t="s">
        <v>47</v>
      </c>
      <c r="E229" s="2" t="s">
        <v>63</v>
      </c>
      <c r="F229" s="6" t="s">
        <v>64</v>
      </c>
      <c r="G229" s="5" t="s">
        <v>69</v>
      </c>
      <c r="H229" s="2" t="s">
        <v>57</v>
      </c>
      <c r="I229" s="3" t="s">
        <v>677</v>
      </c>
      <c r="J229" s="7">
        <v>1</v>
      </c>
      <c r="K229" s="70" t="s">
        <v>53</v>
      </c>
      <c r="L229" s="9">
        <v>1</v>
      </c>
      <c r="M229" s="3">
        <v>130</v>
      </c>
      <c r="N229" s="6">
        <v>1938</v>
      </c>
      <c r="P229" s="71"/>
      <c r="R229" s="6">
        <v>1930</v>
      </c>
      <c r="S229" s="3" t="s">
        <v>54</v>
      </c>
      <c r="T229" s="72"/>
      <c r="U229" s="73"/>
      <c r="W229" s="2" t="s">
        <v>678</v>
      </c>
      <c r="X229" s="10" t="s">
        <v>56</v>
      </c>
      <c r="Y229" s="10" t="s">
        <v>57</v>
      </c>
      <c r="Z229" s="75"/>
      <c r="AA229" s="76"/>
      <c r="AB229" s="77"/>
      <c r="AC229" s="77">
        <v>14079</v>
      </c>
      <c r="AD229" s="10"/>
      <c r="AF229" s="7">
        <v>110</v>
      </c>
      <c r="AG229" s="7">
        <v>1938</v>
      </c>
      <c r="AH229" s="7">
        <v>1930</v>
      </c>
      <c r="AI229" s="7">
        <v>1984</v>
      </c>
      <c r="AJ229" s="73"/>
      <c r="AK229" s="7"/>
      <c r="AL229" s="16" t="s">
        <v>664</v>
      </c>
      <c r="AM229" s="2" t="s">
        <v>59</v>
      </c>
      <c r="AW229" s="6">
        <f t="shared" ca="1" si="5"/>
        <v>87</v>
      </c>
    </row>
    <row r="230" ht="45" customHeight="1">
      <c r="A230" s="69"/>
      <c r="B230" s="3" t="s">
        <v>47</v>
      </c>
      <c r="E230" s="78" t="s">
        <v>63</v>
      </c>
      <c r="F230" s="79" t="s">
        <v>64</v>
      </c>
      <c r="G230" s="80" t="s">
        <v>679</v>
      </c>
      <c r="H230" s="78" t="s">
        <v>51</v>
      </c>
      <c r="I230" s="81" t="s">
        <v>66</v>
      </c>
      <c r="J230" s="7">
        <v>1</v>
      </c>
      <c r="K230" s="70" t="s">
        <v>53</v>
      </c>
      <c r="L230" s="9">
        <v>1</v>
      </c>
      <c r="M230" s="3">
        <v>131</v>
      </c>
      <c r="N230" s="6">
        <v>1938</v>
      </c>
      <c r="P230" s="71"/>
      <c r="R230" s="6">
        <v>1930</v>
      </c>
      <c r="S230" s="3" t="s">
        <v>54</v>
      </c>
      <c r="T230" s="72"/>
      <c r="U230" s="73"/>
      <c r="W230" s="78" t="s">
        <v>680</v>
      </c>
      <c r="X230" s="82" t="s">
        <v>56</v>
      </c>
      <c r="Y230" s="82" t="s">
        <v>57</v>
      </c>
      <c r="Z230" s="83" t="s">
        <v>58</v>
      </c>
      <c r="AA230" s="76"/>
      <c r="AB230" s="77"/>
      <c r="AC230" s="77">
        <v>14017</v>
      </c>
      <c r="AD230" s="10"/>
      <c r="AG230" s="7">
        <v>1938</v>
      </c>
      <c r="AH230" s="7">
        <v>1930</v>
      </c>
      <c r="AI230" s="7"/>
      <c r="AJ230" s="73"/>
      <c r="AK230" s="7"/>
      <c r="AL230" s="16"/>
      <c r="AM230" s="2" t="s">
        <v>59</v>
      </c>
      <c r="AW230" s="6">
        <f t="shared" ca="1" si="5"/>
        <v>87</v>
      </c>
    </row>
    <row r="231" ht="45" customHeight="1">
      <c r="A231" s="69"/>
      <c r="B231" s="3" t="s">
        <v>47</v>
      </c>
      <c r="E231" s="78" t="s">
        <v>63</v>
      </c>
      <c r="F231" s="79" t="s">
        <v>64</v>
      </c>
      <c r="G231" s="80" t="s">
        <v>243</v>
      </c>
      <c r="H231" s="78" t="s">
        <v>51</v>
      </c>
      <c r="I231" s="81" t="s">
        <v>681</v>
      </c>
      <c r="J231" s="7">
        <v>1</v>
      </c>
      <c r="K231" s="70" t="s">
        <v>53</v>
      </c>
      <c r="L231" s="9">
        <v>0</v>
      </c>
      <c r="M231" s="3">
        <v>131</v>
      </c>
      <c r="N231" s="6">
        <v>1938</v>
      </c>
      <c r="P231" s="71"/>
      <c r="R231" s="6">
        <v>1930</v>
      </c>
      <c r="S231" s="3" t="s">
        <v>54</v>
      </c>
      <c r="T231" s="72"/>
      <c r="U231" s="73"/>
      <c r="W231" s="78" t="s">
        <v>682</v>
      </c>
      <c r="X231" s="82" t="s">
        <v>56</v>
      </c>
      <c r="Y231" s="82" t="s">
        <v>57</v>
      </c>
      <c r="Z231" s="83" t="s">
        <v>58</v>
      </c>
      <c r="AA231" s="76"/>
      <c r="AB231" s="77"/>
      <c r="AC231" s="77">
        <v>14017</v>
      </c>
      <c r="AD231" s="10"/>
      <c r="AG231" s="7">
        <v>1938</v>
      </c>
      <c r="AH231" s="7">
        <v>1930</v>
      </c>
      <c r="AI231" s="7"/>
      <c r="AJ231" s="73"/>
      <c r="AK231" s="7"/>
      <c r="AL231" s="16" t="s">
        <v>176</v>
      </c>
      <c r="AM231" s="2" t="s">
        <v>59</v>
      </c>
      <c r="AW231" s="6">
        <f t="shared" ca="1" si="5"/>
        <v>87</v>
      </c>
    </row>
    <row r="232" ht="45" customHeight="1" outlineLevel="1">
      <c r="A232" s="69"/>
      <c r="B232" s="3" t="s">
        <v>47</v>
      </c>
      <c r="E232" s="2" t="s">
        <v>63</v>
      </c>
      <c r="F232" s="6" t="s">
        <v>64</v>
      </c>
      <c r="G232" s="5" t="s">
        <v>243</v>
      </c>
      <c r="H232" s="2" t="s">
        <v>57</v>
      </c>
      <c r="I232" s="3" t="s">
        <v>683</v>
      </c>
      <c r="J232" s="7">
        <v>1</v>
      </c>
      <c r="K232" s="70" t="s">
        <v>53</v>
      </c>
      <c r="L232" s="9">
        <v>0</v>
      </c>
      <c r="M232" s="3">
        <v>131</v>
      </c>
      <c r="N232" s="6">
        <v>1938</v>
      </c>
      <c r="P232" s="71"/>
      <c r="R232" s="6">
        <v>1930</v>
      </c>
      <c r="S232" s="3" t="s">
        <v>54</v>
      </c>
      <c r="T232" s="72"/>
      <c r="U232" s="73"/>
      <c r="W232" s="2" t="s">
        <v>684</v>
      </c>
      <c r="X232" s="10" t="s">
        <v>56</v>
      </c>
      <c r="Y232" s="10" t="s">
        <v>57</v>
      </c>
      <c r="Z232" s="75"/>
      <c r="AA232" s="76"/>
      <c r="AB232" s="77"/>
      <c r="AC232" s="77">
        <v>14017</v>
      </c>
      <c r="AD232" s="10"/>
      <c r="AE232" s="7">
        <v>1938</v>
      </c>
      <c r="AF232" s="7">
        <v>1</v>
      </c>
      <c r="AG232" s="7">
        <v>1938</v>
      </c>
      <c r="AH232" s="7">
        <v>1930</v>
      </c>
      <c r="AI232" s="7"/>
      <c r="AJ232" s="73"/>
      <c r="AK232" s="7"/>
      <c r="AL232" s="16"/>
      <c r="AM232" s="2" t="s">
        <v>59</v>
      </c>
      <c r="AW232" s="6">
        <f t="shared" ca="1" si="5"/>
        <v>87</v>
      </c>
    </row>
    <row r="233" ht="45" hidden="1" customHeight="1" outlineLevel="1">
      <c r="A233" s="69"/>
      <c r="B233" s="3" t="s">
        <v>47</v>
      </c>
      <c r="E233" s="2" t="s">
        <v>63</v>
      </c>
      <c r="F233" s="6" t="s">
        <v>172</v>
      </c>
      <c r="G233" s="5" t="s">
        <v>173</v>
      </c>
      <c r="H233" s="2" t="s">
        <v>57</v>
      </c>
      <c r="I233" s="3" t="s">
        <v>685</v>
      </c>
      <c r="J233" s="7">
        <v>1</v>
      </c>
      <c r="K233" s="70" t="s">
        <v>127</v>
      </c>
      <c r="L233" s="9">
        <v>1</v>
      </c>
      <c r="M233" s="3">
        <v>132</v>
      </c>
      <c r="N233" s="6">
        <v>1938</v>
      </c>
      <c r="P233" s="71"/>
      <c r="R233" s="6">
        <v>1930</v>
      </c>
      <c r="S233" s="3" t="s">
        <v>128</v>
      </c>
      <c r="T233" s="72"/>
      <c r="U233" s="73"/>
      <c r="W233" s="2" t="s">
        <v>62</v>
      </c>
      <c r="X233" s="10" t="s">
        <v>56</v>
      </c>
      <c r="Y233" s="10" t="s">
        <v>57</v>
      </c>
      <c r="Z233" s="75"/>
      <c r="AA233" s="76"/>
      <c r="AB233" s="77"/>
      <c r="AC233" s="77"/>
      <c r="AD233" s="10"/>
      <c r="AG233" s="7">
        <v>1938</v>
      </c>
      <c r="AH233" s="7">
        <v>1930</v>
      </c>
      <c r="AI233" s="7"/>
      <c r="AJ233" s="73"/>
      <c r="AK233" s="7"/>
      <c r="AL233" s="16" t="s">
        <v>686</v>
      </c>
      <c r="AW233" s="6">
        <f t="shared" ca="1" si="5"/>
        <v>87</v>
      </c>
    </row>
    <row r="234" ht="45" customHeight="1" outlineLevel="1">
      <c r="A234" s="69"/>
      <c r="B234" s="3" t="s">
        <v>47</v>
      </c>
      <c r="E234" s="2" t="s">
        <v>63</v>
      </c>
      <c r="F234" s="6" t="s">
        <v>64</v>
      </c>
      <c r="G234" s="5" t="s">
        <v>69</v>
      </c>
      <c r="H234" s="2" t="s">
        <v>51</v>
      </c>
      <c r="I234" s="3" t="s">
        <v>687</v>
      </c>
      <c r="J234" s="7">
        <v>1</v>
      </c>
      <c r="K234" s="70" t="s">
        <v>53</v>
      </c>
      <c r="L234" s="9">
        <v>1</v>
      </c>
      <c r="M234" s="3">
        <v>133</v>
      </c>
      <c r="N234" s="6">
        <v>1938</v>
      </c>
      <c r="P234" s="71"/>
      <c r="R234" s="6">
        <v>1930</v>
      </c>
      <c r="S234" s="3" t="s">
        <v>54</v>
      </c>
      <c r="T234" s="72"/>
      <c r="U234" s="73"/>
      <c r="W234" s="2" t="s">
        <v>688</v>
      </c>
      <c r="X234" s="10" t="s">
        <v>56</v>
      </c>
      <c r="Y234" s="10" t="s">
        <v>57</v>
      </c>
      <c r="Z234" s="75" t="s">
        <v>58</v>
      </c>
      <c r="AA234" s="76"/>
      <c r="AB234" s="77"/>
      <c r="AC234" s="77">
        <v>14068</v>
      </c>
      <c r="AD234" s="10"/>
      <c r="AE234" s="7">
        <v>1938</v>
      </c>
      <c r="AF234" s="7" t="s">
        <v>689</v>
      </c>
      <c r="AG234" s="7">
        <v>1938</v>
      </c>
      <c r="AH234" s="7">
        <v>1930</v>
      </c>
      <c r="AI234" s="7">
        <v>1984</v>
      </c>
      <c r="AJ234" s="73"/>
      <c r="AK234" s="7"/>
      <c r="AL234" s="16" t="s">
        <v>690</v>
      </c>
      <c r="AM234" s="2" t="s">
        <v>59</v>
      </c>
      <c r="AU234" s="16" t="s">
        <v>691</v>
      </c>
      <c r="AW234" s="6">
        <f t="shared" ca="1" si="5"/>
        <v>87</v>
      </c>
    </row>
    <row r="235" ht="45" customHeight="1" outlineLevel="1">
      <c r="A235" s="69"/>
      <c r="B235" s="3" t="s">
        <v>47</v>
      </c>
      <c r="E235" s="2" t="s">
        <v>63</v>
      </c>
      <c r="F235" s="6" t="s">
        <v>64</v>
      </c>
      <c r="G235" s="5" t="s">
        <v>69</v>
      </c>
      <c r="H235" s="2" t="s">
        <v>51</v>
      </c>
      <c r="I235" s="3" t="s">
        <v>692</v>
      </c>
      <c r="J235" s="7">
        <v>1</v>
      </c>
      <c r="K235" s="70" t="s">
        <v>53</v>
      </c>
      <c r="L235" s="9">
        <v>1</v>
      </c>
      <c r="M235" s="3">
        <v>134</v>
      </c>
      <c r="N235" s="6">
        <v>1938</v>
      </c>
      <c r="P235" s="71"/>
      <c r="R235" s="6">
        <v>1930</v>
      </c>
      <c r="S235" s="3" t="s">
        <v>54</v>
      </c>
      <c r="T235" s="72"/>
      <c r="U235" s="73"/>
      <c r="W235" s="2" t="s">
        <v>693</v>
      </c>
      <c r="X235" s="10" t="s">
        <v>56</v>
      </c>
      <c r="Y235" s="10" t="s">
        <v>57</v>
      </c>
      <c r="Z235" s="75" t="s">
        <v>58</v>
      </c>
      <c r="AA235" s="76"/>
      <c r="AB235" s="77"/>
      <c r="AC235" s="77">
        <v>14081</v>
      </c>
      <c r="AD235" s="10"/>
      <c r="AF235" s="7">
        <v>110</v>
      </c>
      <c r="AG235" s="7">
        <v>1938</v>
      </c>
      <c r="AH235" s="7">
        <v>1930</v>
      </c>
      <c r="AI235" s="7">
        <v>1984</v>
      </c>
      <c r="AJ235" s="73"/>
      <c r="AK235" s="7"/>
      <c r="AL235" s="16" t="s">
        <v>664</v>
      </c>
      <c r="AM235" s="2" t="s">
        <v>59</v>
      </c>
      <c r="AW235" s="6">
        <f t="shared" ca="1" si="5"/>
        <v>87</v>
      </c>
    </row>
    <row r="236" ht="45" customHeight="1" outlineLevel="1">
      <c r="A236" s="69"/>
      <c r="B236" s="3" t="s">
        <v>47</v>
      </c>
      <c r="E236" s="2" t="s">
        <v>694</v>
      </c>
      <c r="F236" s="6" t="s">
        <v>695</v>
      </c>
      <c r="G236" s="5" t="s">
        <v>696</v>
      </c>
      <c r="H236" s="2" t="s">
        <v>88</v>
      </c>
      <c r="I236" s="3" t="s">
        <v>697</v>
      </c>
      <c r="J236" s="7">
        <v>1</v>
      </c>
      <c r="K236" s="70" t="s">
        <v>53</v>
      </c>
      <c r="L236" s="9">
        <v>1</v>
      </c>
      <c r="M236" s="3">
        <v>135</v>
      </c>
      <c r="N236" s="6">
        <v>1938</v>
      </c>
      <c r="P236" s="71"/>
      <c r="R236" s="6">
        <v>1930</v>
      </c>
      <c r="S236" s="3" t="s">
        <v>54</v>
      </c>
      <c r="T236" s="72"/>
      <c r="U236" s="73"/>
      <c r="W236" s="2" t="s">
        <v>698</v>
      </c>
      <c r="X236" s="10" t="s">
        <v>213</v>
      </c>
      <c r="Y236" s="10" t="s">
        <v>214</v>
      </c>
      <c r="Z236" s="75"/>
      <c r="AA236" s="76">
        <v>14761</v>
      </c>
      <c r="AB236" s="77"/>
      <c r="AC236" s="77"/>
      <c r="AD236" s="6"/>
      <c r="AG236" s="7">
        <v>1940</v>
      </c>
      <c r="AH236" s="7">
        <v>1940</v>
      </c>
      <c r="AI236" s="7"/>
      <c r="AJ236" s="73"/>
      <c r="AK236" s="7"/>
      <c r="AM236" s="2" t="s">
        <v>59</v>
      </c>
      <c r="AO236" s="6" t="s">
        <v>59</v>
      </c>
      <c r="AW236" s="6">
        <f t="shared" ca="1" si="5"/>
        <v>87</v>
      </c>
    </row>
    <row r="237" ht="45" hidden="1" customHeight="1" outlineLevel="1">
      <c r="A237" s="69"/>
      <c r="B237" s="3" t="s">
        <v>60</v>
      </c>
      <c r="I237" s="3" t="s">
        <v>61</v>
      </c>
      <c r="J237" s="7">
        <v>0</v>
      </c>
      <c r="K237" s="70"/>
      <c r="L237" s="9">
        <v>1</v>
      </c>
      <c r="M237" s="3">
        <v>136</v>
      </c>
      <c r="P237" s="71"/>
      <c r="R237" s="6" t="s">
        <v>60</v>
      </c>
      <c r="S237" s="3" t="s">
        <v>60</v>
      </c>
      <c r="T237" s="72"/>
      <c r="U237" s="73"/>
      <c r="W237" s="74" t="s">
        <v>62</v>
      </c>
      <c r="X237" s="10"/>
      <c r="Y237" s="10"/>
      <c r="Z237" s="75"/>
      <c r="AA237" s="76"/>
      <c r="AB237" s="77"/>
      <c r="AC237" s="77"/>
      <c r="AD237" s="6"/>
      <c r="AI237" s="7"/>
      <c r="AJ237" s="73"/>
      <c r="AK237" s="7"/>
      <c r="AL237" s="16"/>
      <c r="AW237" s="6" t="str">
        <f t="shared" ca="1" si="5"/>
        <v/>
      </c>
    </row>
    <row r="238" ht="45" customHeight="1" outlineLevel="1">
      <c r="A238" s="69"/>
      <c r="B238" s="3" t="s">
        <v>47</v>
      </c>
      <c r="E238" s="2" t="s">
        <v>63</v>
      </c>
      <c r="F238" s="6" t="s">
        <v>64</v>
      </c>
      <c r="G238" s="5" t="s">
        <v>69</v>
      </c>
      <c r="H238" s="2" t="s">
        <v>88</v>
      </c>
      <c r="I238" s="3" t="s">
        <v>699</v>
      </c>
      <c r="J238" s="7">
        <v>1</v>
      </c>
      <c r="K238" s="70" t="s">
        <v>53</v>
      </c>
      <c r="L238" s="9">
        <v>1</v>
      </c>
      <c r="M238" s="3">
        <v>137</v>
      </c>
      <c r="N238" s="6">
        <v>1938</v>
      </c>
      <c r="P238" s="71"/>
      <c r="R238" s="6">
        <v>1930</v>
      </c>
      <c r="S238" s="3" t="s">
        <v>54</v>
      </c>
      <c r="T238" s="72"/>
      <c r="U238" s="73"/>
      <c r="W238" s="2" t="s">
        <v>700</v>
      </c>
      <c r="X238" s="10" t="s">
        <v>91</v>
      </c>
      <c r="Y238" s="10" t="s">
        <v>92</v>
      </c>
      <c r="Z238" s="75"/>
      <c r="AA238" s="76"/>
      <c r="AB238" s="77"/>
      <c r="AC238" s="77">
        <v>13990</v>
      </c>
      <c r="AD238" s="10"/>
      <c r="AG238" s="7">
        <v>1938</v>
      </c>
      <c r="AH238" s="7">
        <v>1930</v>
      </c>
      <c r="AI238" s="7"/>
      <c r="AJ238" s="73"/>
      <c r="AK238" s="7"/>
      <c r="AM238" s="2" t="s">
        <v>59</v>
      </c>
      <c r="AO238" s="6" t="s">
        <v>59</v>
      </c>
      <c r="AU238" s="16" t="s">
        <v>701</v>
      </c>
      <c r="AW238" s="6">
        <f t="shared" ca="1" si="5"/>
        <v>87</v>
      </c>
    </row>
    <row r="239" ht="45" customHeight="1" outlineLevel="1">
      <c r="A239" s="69"/>
      <c r="B239" s="3" t="s">
        <v>47</v>
      </c>
      <c r="E239" s="2" t="s">
        <v>63</v>
      </c>
      <c r="F239" s="6" t="s">
        <v>64</v>
      </c>
      <c r="G239" s="5" t="s">
        <v>69</v>
      </c>
      <c r="H239" s="2" t="s">
        <v>51</v>
      </c>
      <c r="I239" s="3" t="s">
        <v>702</v>
      </c>
      <c r="J239" s="7">
        <v>1</v>
      </c>
      <c r="K239" s="70" t="s">
        <v>53</v>
      </c>
      <c r="L239" s="9">
        <v>1</v>
      </c>
      <c r="M239" s="3">
        <v>138</v>
      </c>
      <c r="N239" s="6">
        <v>1938</v>
      </c>
      <c r="P239" s="71"/>
      <c r="R239" s="6">
        <v>1930</v>
      </c>
      <c r="S239" s="3" t="s">
        <v>54</v>
      </c>
      <c r="T239" s="72"/>
      <c r="U239" s="73"/>
      <c r="W239" s="2" t="s">
        <v>703</v>
      </c>
      <c r="X239" s="10" t="s">
        <v>56</v>
      </c>
      <c r="Y239" s="10" t="s">
        <v>57</v>
      </c>
      <c r="Z239" s="75" t="s">
        <v>58</v>
      </c>
      <c r="AA239" s="76"/>
      <c r="AB239" s="77"/>
      <c r="AC239" s="77">
        <v>14076</v>
      </c>
      <c r="AD239" s="10"/>
      <c r="AF239" s="7">
        <v>110</v>
      </c>
      <c r="AG239" s="7">
        <v>1938</v>
      </c>
      <c r="AH239" s="7">
        <v>1930</v>
      </c>
      <c r="AI239" s="7">
        <v>1984</v>
      </c>
      <c r="AJ239" s="73"/>
      <c r="AK239" s="7"/>
      <c r="AL239" s="16" t="s">
        <v>664</v>
      </c>
      <c r="AM239" s="2" t="s">
        <v>59</v>
      </c>
      <c r="AW239" s="6">
        <f t="shared" ca="1" si="5"/>
        <v>87</v>
      </c>
    </row>
    <row r="240" ht="45" customHeight="1">
      <c r="A240" s="69"/>
      <c r="B240" s="3" t="s">
        <v>47</v>
      </c>
      <c r="E240" s="2" t="s">
        <v>83</v>
      </c>
      <c r="F240" s="6" t="s">
        <v>704</v>
      </c>
      <c r="G240" s="5" t="s">
        <v>705</v>
      </c>
      <c r="H240" s="2" t="s">
        <v>88</v>
      </c>
      <c r="I240" s="3" t="s">
        <v>706</v>
      </c>
      <c r="J240" s="7">
        <v>1</v>
      </c>
      <c r="K240" s="70" t="s">
        <v>53</v>
      </c>
      <c r="L240" s="9">
        <v>1</v>
      </c>
      <c r="M240" s="3">
        <v>139</v>
      </c>
      <c r="N240" s="6">
        <v>1938</v>
      </c>
      <c r="P240" s="71"/>
      <c r="R240" s="6">
        <v>1930</v>
      </c>
      <c r="S240" s="3" t="s">
        <v>54</v>
      </c>
      <c r="T240" s="72"/>
      <c r="U240" s="73"/>
      <c r="W240" s="109" t="s">
        <v>707</v>
      </c>
      <c r="X240" s="10" t="s">
        <v>91</v>
      </c>
      <c r="Y240" s="10" t="s">
        <v>214</v>
      </c>
      <c r="Z240" s="75"/>
      <c r="AA240" s="76"/>
      <c r="AB240" s="77"/>
      <c r="AC240" s="77">
        <v>13985</v>
      </c>
      <c r="AD240" s="10"/>
      <c r="AG240" s="7">
        <v>1938</v>
      </c>
      <c r="AH240" s="7">
        <v>1930</v>
      </c>
      <c r="AI240" s="7"/>
      <c r="AJ240" s="73"/>
      <c r="AK240" s="7"/>
      <c r="AM240" s="2" t="s">
        <v>59</v>
      </c>
      <c r="AO240" s="6" t="s">
        <v>59</v>
      </c>
      <c r="AW240" s="6">
        <f t="shared" ca="1" si="5"/>
        <v>87</v>
      </c>
    </row>
    <row r="241" ht="45" customHeight="1" outlineLevel="1">
      <c r="A241" s="69"/>
      <c r="B241" s="3" t="s">
        <v>47</v>
      </c>
      <c r="E241" s="2" t="s">
        <v>48</v>
      </c>
      <c r="F241" s="6" t="s">
        <v>140</v>
      </c>
      <c r="G241" s="5" t="s">
        <v>210</v>
      </c>
      <c r="H241" s="2" t="s">
        <v>88</v>
      </c>
      <c r="I241" s="3" t="s">
        <v>708</v>
      </c>
      <c r="J241" s="7">
        <v>1</v>
      </c>
      <c r="K241" s="70" t="s">
        <v>53</v>
      </c>
      <c r="L241" s="9">
        <v>1</v>
      </c>
      <c r="M241" s="3">
        <v>140</v>
      </c>
      <c r="N241" s="6">
        <v>1938</v>
      </c>
      <c r="P241" s="71"/>
      <c r="R241" s="6">
        <v>1930</v>
      </c>
      <c r="S241" s="3" t="s">
        <v>54</v>
      </c>
      <c r="T241" s="72"/>
      <c r="U241" s="73"/>
      <c r="W241" s="2" t="s">
        <v>709</v>
      </c>
      <c r="X241" s="10" t="s">
        <v>213</v>
      </c>
      <c r="Y241" s="10" t="s">
        <v>214</v>
      </c>
      <c r="Z241" s="75"/>
      <c r="AA241" s="76">
        <v>15081</v>
      </c>
      <c r="AB241" s="77">
        <v>15081</v>
      </c>
      <c r="AC241" s="77">
        <v>15081</v>
      </c>
      <c r="AD241" s="10"/>
      <c r="AG241" s="7">
        <v>1941</v>
      </c>
      <c r="AH241" s="7">
        <v>1940</v>
      </c>
      <c r="AI241" s="7"/>
      <c r="AJ241" s="73"/>
      <c r="AK241" s="7"/>
      <c r="AM241" s="2" t="s">
        <v>59</v>
      </c>
      <c r="AO241" s="6" t="s">
        <v>59</v>
      </c>
      <c r="AW241" s="6">
        <f t="shared" ca="1" si="5"/>
        <v>87</v>
      </c>
    </row>
    <row r="242" ht="45" customHeight="1">
      <c r="A242" s="69"/>
      <c r="B242" s="3" t="s">
        <v>47</v>
      </c>
      <c r="E242" s="2" t="s">
        <v>48</v>
      </c>
      <c r="F242" s="6" t="s">
        <v>49</v>
      </c>
      <c r="G242" s="5" t="s">
        <v>710</v>
      </c>
      <c r="H242" s="2" t="s">
        <v>57</v>
      </c>
      <c r="I242" s="3" t="s">
        <v>711</v>
      </c>
      <c r="J242" s="7">
        <v>1</v>
      </c>
      <c r="K242" s="70" t="s">
        <v>53</v>
      </c>
      <c r="L242" s="9">
        <v>1</v>
      </c>
      <c r="M242" s="3">
        <v>141</v>
      </c>
      <c r="N242" s="6">
        <v>1938</v>
      </c>
      <c r="P242" s="71"/>
      <c r="R242" s="6">
        <v>1930</v>
      </c>
      <c r="S242" s="3" t="s">
        <v>54</v>
      </c>
      <c r="T242" s="72"/>
      <c r="U242" s="73"/>
      <c r="W242" s="110" t="s">
        <v>712</v>
      </c>
      <c r="X242" s="10" t="s">
        <v>56</v>
      </c>
      <c r="Y242" s="10" t="s">
        <v>57</v>
      </c>
      <c r="Z242" s="75"/>
      <c r="AA242" s="76"/>
      <c r="AB242" s="77"/>
      <c r="AC242" s="77">
        <v>14016</v>
      </c>
      <c r="AD242" s="10"/>
      <c r="AG242" s="7">
        <v>1938</v>
      </c>
      <c r="AH242" s="7">
        <v>1930</v>
      </c>
      <c r="AI242" s="7"/>
      <c r="AJ242" s="73"/>
      <c r="AK242" s="7"/>
      <c r="AL242" s="16"/>
      <c r="AM242" s="2" t="s">
        <v>59</v>
      </c>
      <c r="AW242" s="6">
        <f t="shared" ca="1" si="5"/>
        <v>87</v>
      </c>
    </row>
    <row r="243" ht="45" customHeight="1">
      <c r="A243" s="69"/>
      <c r="B243" s="3" t="s">
        <v>47</v>
      </c>
      <c r="E243" s="2" t="s">
        <v>48</v>
      </c>
      <c r="F243" s="6" t="s">
        <v>49</v>
      </c>
      <c r="G243" s="5" t="s">
        <v>468</v>
      </c>
      <c r="H243" s="2" t="s">
        <v>88</v>
      </c>
      <c r="I243" s="3" t="s">
        <v>713</v>
      </c>
      <c r="J243" s="7">
        <v>1</v>
      </c>
      <c r="K243" s="70" t="s">
        <v>53</v>
      </c>
      <c r="L243" s="9">
        <v>0</v>
      </c>
      <c r="M243" s="3">
        <v>141</v>
      </c>
      <c r="N243" s="6">
        <v>1938</v>
      </c>
      <c r="P243" s="71"/>
      <c r="R243" s="6">
        <v>1930</v>
      </c>
      <c r="S243" s="3" t="s">
        <v>54</v>
      </c>
      <c r="T243" s="72"/>
      <c r="U243" s="73"/>
      <c r="W243" s="109" t="s">
        <v>714</v>
      </c>
      <c r="X243" s="10" t="s">
        <v>213</v>
      </c>
      <c r="Y243" s="10" t="s">
        <v>214</v>
      </c>
      <c r="Z243" s="75"/>
      <c r="AA243" s="76"/>
      <c r="AB243" s="77"/>
      <c r="AC243" s="77">
        <v>14016</v>
      </c>
      <c r="AD243" s="10"/>
      <c r="AG243" s="7">
        <v>1938</v>
      </c>
      <c r="AH243" s="7">
        <v>1930</v>
      </c>
      <c r="AI243" s="7"/>
      <c r="AJ243" s="73"/>
      <c r="AK243" s="7"/>
      <c r="AM243" s="2" t="s">
        <v>59</v>
      </c>
      <c r="AO243" s="6" t="s">
        <v>59</v>
      </c>
      <c r="AW243" s="6">
        <f t="shared" ca="1" si="5"/>
        <v>87</v>
      </c>
    </row>
    <row r="244" ht="45" customHeight="1">
      <c r="A244" s="69"/>
      <c r="B244" s="3" t="s">
        <v>47</v>
      </c>
      <c r="E244" s="2" t="s">
        <v>48</v>
      </c>
      <c r="F244" s="6" t="s">
        <v>49</v>
      </c>
      <c r="G244" s="5" t="s">
        <v>715</v>
      </c>
      <c r="H244" s="2" t="s">
        <v>181</v>
      </c>
      <c r="I244" s="3" t="s">
        <v>716</v>
      </c>
      <c r="J244" s="7">
        <v>1</v>
      </c>
      <c r="K244" s="70" t="s">
        <v>53</v>
      </c>
      <c r="L244" s="9">
        <v>0</v>
      </c>
      <c r="M244" s="3">
        <v>141</v>
      </c>
      <c r="N244" s="6">
        <v>1938</v>
      </c>
      <c r="P244" s="71"/>
      <c r="R244" s="6">
        <v>1930</v>
      </c>
      <c r="S244" s="3" t="s">
        <v>54</v>
      </c>
      <c r="T244" s="72"/>
      <c r="U244" s="73"/>
      <c r="W244" s="2" t="s">
        <v>717</v>
      </c>
      <c r="X244" s="10" t="s">
        <v>56</v>
      </c>
      <c r="Y244" s="10" t="s">
        <v>181</v>
      </c>
      <c r="Z244" s="75"/>
      <c r="AA244" s="76"/>
      <c r="AC244" s="77">
        <v>14016</v>
      </c>
      <c r="AD244" s="6"/>
      <c r="AG244" s="7">
        <v>1938</v>
      </c>
      <c r="AH244" s="7">
        <v>1930</v>
      </c>
      <c r="AI244" s="7"/>
      <c r="AJ244" s="73"/>
      <c r="AK244" s="7"/>
      <c r="AL244" s="16"/>
      <c r="AM244" s="2" t="s">
        <v>73</v>
      </c>
      <c r="AO244" s="6" t="s">
        <v>73</v>
      </c>
      <c r="AU244" s="16" t="s">
        <v>718</v>
      </c>
      <c r="AW244" s="6">
        <f t="shared" ca="1" si="5"/>
        <v>87</v>
      </c>
    </row>
    <row r="245" ht="45" customHeight="1">
      <c r="A245" s="69"/>
      <c r="B245" s="3" t="s">
        <v>47</v>
      </c>
      <c r="E245" s="2" t="s">
        <v>63</v>
      </c>
      <c r="F245" s="6" t="s">
        <v>64</v>
      </c>
      <c r="G245" s="5" t="s">
        <v>243</v>
      </c>
      <c r="H245" s="2" t="s">
        <v>51</v>
      </c>
      <c r="I245" s="3" t="s">
        <v>572</v>
      </c>
      <c r="J245" s="7">
        <v>1</v>
      </c>
      <c r="K245" s="70" t="s">
        <v>53</v>
      </c>
      <c r="L245" s="9">
        <v>1</v>
      </c>
      <c r="M245" s="3">
        <v>142</v>
      </c>
      <c r="N245" s="6">
        <v>1938</v>
      </c>
      <c r="P245" s="71"/>
      <c r="R245" s="6">
        <v>1930</v>
      </c>
      <c r="S245" s="3" t="s">
        <v>54</v>
      </c>
      <c r="T245" s="72"/>
      <c r="U245" s="73"/>
      <c r="W245" s="2" t="s">
        <v>660</v>
      </c>
      <c r="X245" s="10" t="s">
        <v>56</v>
      </c>
      <c r="Y245" s="10" t="s">
        <v>57</v>
      </c>
      <c r="Z245" s="75" t="s">
        <v>58</v>
      </c>
      <c r="AA245" s="76"/>
      <c r="AB245" s="77"/>
      <c r="AC245" s="77">
        <v>14097</v>
      </c>
      <c r="AD245" s="10"/>
      <c r="AG245" s="7">
        <v>1938</v>
      </c>
      <c r="AH245" s="7">
        <v>1930</v>
      </c>
      <c r="AI245" s="7"/>
      <c r="AJ245" s="73"/>
      <c r="AK245" s="7"/>
      <c r="AL245" s="16" t="s">
        <v>176</v>
      </c>
      <c r="AM245" s="2" t="s">
        <v>59</v>
      </c>
      <c r="AW245" s="6">
        <f t="shared" ca="1" si="5"/>
        <v>87</v>
      </c>
    </row>
    <row r="246" ht="45" customHeight="1">
      <c r="A246" s="69"/>
      <c r="B246" s="3" t="s">
        <v>47</v>
      </c>
      <c r="E246" s="2" t="s">
        <v>63</v>
      </c>
      <c r="F246" s="6" t="s">
        <v>64</v>
      </c>
      <c r="G246" s="5" t="s">
        <v>243</v>
      </c>
      <c r="H246" s="2" t="s">
        <v>51</v>
      </c>
      <c r="I246" s="3" t="s">
        <v>719</v>
      </c>
      <c r="J246" s="7">
        <v>1</v>
      </c>
      <c r="K246" s="70" t="s">
        <v>53</v>
      </c>
      <c r="L246" s="9">
        <v>0</v>
      </c>
      <c r="M246" s="3">
        <v>142</v>
      </c>
      <c r="N246" s="6">
        <v>1938</v>
      </c>
      <c r="P246" s="71"/>
      <c r="R246" s="6">
        <v>1930</v>
      </c>
      <c r="S246" s="3" t="s">
        <v>54</v>
      </c>
      <c r="T246" s="72"/>
      <c r="U246" s="73"/>
      <c r="W246" s="2" t="s">
        <v>720</v>
      </c>
      <c r="X246" s="10" t="s">
        <v>56</v>
      </c>
      <c r="Y246" s="10" t="s">
        <v>57</v>
      </c>
      <c r="Z246" s="75" t="s">
        <v>58</v>
      </c>
      <c r="AA246" s="76"/>
      <c r="AB246" s="77"/>
      <c r="AC246" s="77">
        <v>14097</v>
      </c>
      <c r="AD246" s="10"/>
      <c r="AG246" s="7">
        <v>1938</v>
      </c>
      <c r="AH246" s="7">
        <v>1930</v>
      </c>
      <c r="AI246" s="7"/>
      <c r="AJ246" s="73"/>
      <c r="AK246" s="7"/>
      <c r="AL246" s="16" t="s">
        <v>176</v>
      </c>
      <c r="AM246" s="2" t="s">
        <v>59</v>
      </c>
      <c r="AW246" s="6">
        <f t="shared" ca="1" si="5"/>
        <v>87</v>
      </c>
    </row>
    <row r="247" ht="45" customHeight="1">
      <c r="A247" s="69"/>
      <c r="B247" s="3" t="s">
        <v>47</v>
      </c>
      <c r="E247" s="78" t="s">
        <v>63</v>
      </c>
      <c r="F247" s="79" t="s">
        <v>64</v>
      </c>
      <c r="G247" s="80" t="s">
        <v>243</v>
      </c>
      <c r="H247" s="78" t="s">
        <v>68</v>
      </c>
      <c r="I247" s="81" t="s">
        <v>721</v>
      </c>
      <c r="J247" s="7">
        <v>1</v>
      </c>
      <c r="K247" s="70" t="s">
        <v>53</v>
      </c>
      <c r="L247" s="9">
        <v>1</v>
      </c>
      <c r="M247" s="3">
        <v>143</v>
      </c>
      <c r="N247" s="6">
        <v>1938</v>
      </c>
      <c r="P247" s="71"/>
      <c r="R247" s="6">
        <v>1930</v>
      </c>
      <c r="S247" s="3" t="s">
        <v>54</v>
      </c>
      <c r="T247" s="72"/>
      <c r="U247" s="73"/>
      <c r="W247" s="78" t="s">
        <v>722</v>
      </c>
      <c r="X247" s="82" t="s">
        <v>56</v>
      </c>
      <c r="Y247" s="82" t="s">
        <v>68</v>
      </c>
      <c r="Z247" s="83" t="s">
        <v>58</v>
      </c>
      <c r="AA247" s="76"/>
      <c r="AB247" s="77"/>
      <c r="AC247" s="77">
        <v>14083</v>
      </c>
      <c r="AD247" s="10"/>
      <c r="AG247" s="7">
        <v>1938</v>
      </c>
      <c r="AH247" s="7">
        <v>1930</v>
      </c>
      <c r="AI247" s="7"/>
      <c r="AJ247" s="73"/>
      <c r="AK247" s="7"/>
      <c r="AL247" s="16"/>
      <c r="AM247" s="2" t="s">
        <v>82</v>
      </c>
      <c r="AW247" s="6">
        <f t="shared" ca="1" si="5"/>
        <v>87</v>
      </c>
    </row>
    <row r="248" ht="45" customHeight="1">
      <c r="A248" s="69"/>
      <c r="B248" s="3" t="s">
        <v>47</v>
      </c>
      <c r="E248" s="78" t="s">
        <v>63</v>
      </c>
      <c r="F248" s="79" t="s">
        <v>64</v>
      </c>
      <c r="G248" s="80" t="s">
        <v>69</v>
      </c>
      <c r="H248" s="78" t="s">
        <v>51</v>
      </c>
      <c r="I248" s="81" t="s">
        <v>66</v>
      </c>
      <c r="J248" s="7">
        <v>1</v>
      </c>
      <c r="K248" s="70" t="s">
        <v>53</v>
      </c>
      <c r="L248" s="9">
        <v>1</v>
      </c>
      <c r="M248" s="3">
        <v>144</v>
      </c>
      <c r="N248" s="6">
        <v>1938</v>
      </c>
      <c r="P248" s="71"/>
      <c r="R248" s="6">
        <v>1930</v>
      </c>
      <c r="S248" s="3" t="s">
        <v>54</v>
      </c>
      <c r="T248" s="72"/>
      <c r="U248" s="73"/>
      <c r="W248" s="78" t="s">
        <v>723</v>
      </c>
      <c r="X248" s="82" t="s">
        <v>56</v>
      </c>
      <c r="Y248" s="82" t="s">
        <v>57</v>
      </c>
      <c r="Z248" s="83" t="s">
        <v>58</v>
      </c>
      <c r="AA248" s="76"/>
      <c r="AB248" s="77"/>
      <c r="AC248" s="77">
        <v>14081</v>
      </c>
      <c r="AD248" s="10"/>
      <c r="AF248" s="7">
        <v>110</v>
      </c>
      <c r="AG248" s="7">
        <v>1938</v>
      </c>
      <c r="AH248" s="7">
        <v>1930</v>
      </c>
      <c r="AI248" s="7">
        <v>1984</v>
      </c>
      <c r="AJ248" s="73"/>
      <c r="AK248" s="7"/>
      <c r="AL248" s="16" t="s">
        <v>664</v>
      </c>
      <c r="AM248" s="2" t="s">
        <v>59</v>
      </c>
      <c r="AO248" s="6" t="s">
        <v>73</v>
      </c>
      <c r="AU248" s="16" t="s">
        <v>74</v>
      </c>
      <c r="AW248" s="6">
        <f t="shared" ca="1" si="5"/>
        <v>87</v>
      </c>
    </row>
    <row r="249" ht="45" customHeight="1" outlineLevel="1">
      <c r="A249" s="69"/>
      <c r="B249" s="3" t="s">
        <v>47</v>
      </c>
      <c r="E249" s="2" t="s">
        <v>63</v>
      </c>
      <c r="F249" s="6" t="s">
        <v>64</v>
      </c>
      <c r="G249" s="5" t="s">
        <v>724</v>
      </c>
      <c r="H249" s="2" t="s">
        <v>51</v>
      </c>
      <c r="I249" s="3" t="s">
        <v>725</v>
      </c>
      <c r="J249" s="7">
        <v>1</v>
      </c>
      <c r="K249" s="70" t="s">
        <v>53</v>
      </c>
      <c r="L249" s="9">
        <v>1</v>
      </c>
      <c r="M249" s="3">
        <v>145</v>
      </c>
      <c r="N249" s="6">
        <v>1938</v>
      </c>
      <c r="P249" s="71"/>
      <c r="R249" s="6">
        <v>1930</v>
      </c>
      <c r="S249" s="3" t="s">
        <v>54</v>
      </c>
      <c r="T249" s="72"/>
      <c r="U249" s="73"/>
      <c r="W249" s="2" t="s">
        <v>726</v>
      </c>
      <c r="X249" s="10" t="s">
        <v>56</v>
      </c>
      <c r="Y249" s="10" t="s">
        <v>57</v>
      </c>
      <c r="Z249" s="75" t="s">
        <v>58</v>
      </c>
      <c r="AA249" s="76"/>
      <c r="AB249" s="77">
        <v>14800</v>
      </c>
      <c r="AC249" s="77">
        <v>14800</v>
      </c>
      <c r="AD249" s="10"/>
      <c r="AG249" s="7">
        <v>1940</v>
      </c>
      <c r="AH249" s="7">
        <v>1940</v>
      </c>
      <c r="AI249" s="7"/>
      <c r="AJ249" s="73"/>
      <c r="AK249" s="7"/>
      <c r="AL249" s="16"/>
      <c r="AM249" s="2" t="s">
        <v>59</v>
      </c>
      <c r="AW249" s="6">
        <f t="shared" ca="1" si="5"/>
        <v>87</v>
      </c>
    </row>
    <row r="250" ht="45" hidden="1" customHeight="1" outlineLevel="1">
      <c r="A250" s="69"/>
      <c r="B250" s="3" t="s">
        <v>60</v>
      </c>
      <c r="I250" s="3" t="s">
        <v>61</v>
      </c>
      <c r="J250" s="7">
        <v>0</v>
      </c>
      <c r="K250" s="70"/>
      <c r="L250" s="9">
        <v>1</v>
      </c>
      <c r="M250" s="3">
        <v>146</v>
      </c>
      <c r="P250" s="71"/>
      <c r="R250" s="6" t="s">
        <v>60</v>
      </c>
      <c r="S250" s="3" t="s">
        <v>60</v>
      </c>
      <c r="T250" s="72"/>
      <c r="U250" s="73"/>
      <c r="W250" s="74" t="s">
        <v>62</v>
      </c>
      <c r="X250" s="10"/>
      <c r="Y250" s="10"/>
      <c r="Z250" s="75"/>
      <c r="AA250" s="76"/>
      <c r="AB250" s="77"/>
      <c r="AC250" s="77"/>
      <c r="AD250" s="10"/>
      <c r="AI250" s="7"/>
      <c r="AJ250" s="73"/>
      <c r="AK250" s="7"/>
      <c r="AL250" s="16"/>
      <c r="AW250" s="6" t="str">
        <f t="shared" ca="1" si="5"/>
        <v/>
      </c>
    </row>
    <row r="251" ht="45" customHeight="1" outlineLevel="1">
      <c r="A251" s="69"/>
      <c r="B251" s="3" t="s">
        <v>47</v>
      </c>
      <c r="C251" s="4" t="s">
        <v>727</v>
      </c>
      <c r="E251" s="2" t="s">
        <v>63</v>
      </c>
      <c r="F251" s="6" t="s">
        <v>64</v>
      </c>
      <c r="G251" s="5" t="s">
        <v>728</v>
      </c>
      <c r="H251" s="2" t="s">
        <v>51</v>
      </c>
      <c r="I251" s="3" t="s">
        <v>729</v>
      </c>
      <c r="J251" s="7">
        <v>1</v>
      </c>
      <c r="K251" s="70" t="s">
        <v>53</v>
      </c>
      <c r="L251" s="9">
        <v>1</v>
      </c>
      <c r="M251" s="3">
        <v>147</v>
      </c>
      <c r="N251" s="6">
        <v>1938</v>
      </c>
      <c r="P251" s="71"/>
      <c r="R251" s="6">
        <v>1930</v>
      </c>
      <c r="S251" s="3" t="s">
        <v>54</v>
      </c>
      <c r="T251" s="72"/>
      <c r="U251" s="73"/>
      <c r="W251" s="2" t="s">
        <v>730</v>
      </c>
      <c r="X251" s="10" t="s">
        <v>56</v>
      </c>
      <c r="Y251" s="10" t="s">
        <v>57</v>
      </c>
      <c r="Z251" s="75" t="s">
        <v>58</v>
      </c>
      <c r="AA251" s="76"/>
      <c r="AB251" s="77"/>
      <c r="AC251" s="77">
        <v>14178</v>
      </c>
      <c r="AD251" s="10"/>
      <c r="AG251" s="7">
        <v>1938</v>
      </c>
      <c r="AH251" s="7">
        <v>1930</v>
      </c>
      <c r="AI251" s="7"/>
      <c r="AJ251" s="73"/>
      <c r="AK251" s="7"/>
      <c r="AL251" s="16"/>
      <c r="AM251" s="2" t="s">
        <v>59</v>
      </c>
      <c r="AW251" s="6">
        <f t="shared" ca="1" si="5"/>
        <v>87</v>
      </c>
    </row>
    <row r="252" ht="45" customHeight="1" outlineLevel="1">
      <c r="A252" s="69"/>
      <c r="B252" s="3" t="s">
        <v>47</v>
      </c>
      <c r="C252" s="4" t="s">
        <v>727</v>
      </c>
      <c r="E252" s="2" t="s">
        <v>63</v>
      </c>
      <c r="F252" s="6" t="s">
        <v>64</v>
      </c>
      <c r="G252" s="5" t="s">
        <v>728</v>
      </c>
      <c r="H252" s="2" t="s">
        <v>51</v>
      </c>
      <c r="I252" s="3" t="s">
        <v>662</v>
      </c>
      <c r="J252" s="7">
        <v>1</v>
      </c>
      <c r="K252" s="70" t="s">
        <v>53</v>
      </c>
      <c r="L252" s="9">
        <v>0</v>
      </c>
      <c r="M252" s="3">
        <v>147</v>
      </c>
      <c r="N252" s="6">
        <v>1938</v>
      </c>
      <c r="P252" s="71"/>
      <c r="R252" s="6">
        <v>1930</v>
      </c>
      <c r="S252" s="3" t="s">
        <v>54</v>
      </c>
      <c r="T252" s="72"/>
      <c r="U252" s="73"/>
      <c r="W252" s="2" t="s">
        <v>731</v>
      </c>
      <c r="X252" s="10" t="s">
        <v>56</v>
      </c>
      <c r="Y252" s="10" t="s">
        <v>57</v>
      </c>
      <c r="Z252" s="75" t="s">
        <v>58</v>
      </c>
      <c r="AA252" s="76"/>
      <c r="AB252" s="77"/>
      <c r="AC252" s="77">
        <v>14178</v>
      </c>
      <c r="AD252" s="10"/>
      <c r="AG252" s="7">
        <v>1938</v>
      </c>
      <c r="AH252" s="7">
        <v>1930</v>
      </c>
      <c r="AI252" s="7"/>
      <c r="AJ252" s="73"/>
      <c r="AK252" s="7"/>
      <c r="AL252" s="16"/>
      <c r="AM252" s="2" t="s">
        <v>59</v>
      </c>
      <c r="AW252" s="6">
        <f t="shared" ca="1" si="5"/>
        <v>87</v>
      </c>
    </row>
    <row r="253" ht="45" customHeight="1" outlineLevel="1">
      <c r="A253" s="69"/>
      <c r="B253" s="3" t="s">
        <v>47</v>
      </c>
      <c r="C253" s="4" t="s">
        <v>727</v>
      </c>
      <c r="E253" s="2" t="s">
        <v>63</v>
      </c>
      <c r="F253" s="6" t="s">
        <v>64</v>
      </c>
      <c r="G253" s="5" t="s">
        <v>728</v>
      </c>
      <c r="H253" s="2" t="s">
        <v>51</v>
      </c>
      <c r="I253" s="3" t="s">
        <v>317</v>
      </c>
      <c r="J253" s="7">
        <v>1</v>
      </c>
      <c r="K253" s="70" t="s">
        <v>53</v>
      </c>
      <c r="L253" s="9">
        <v>0</v>
      </c>
      <c r="M253" s="3">
        <v>147</v>
      </c>
      <c r="N253" s="6">
        <v>1938</v>
      </c>
      <c r="P253" s="71"/>
      <c r="R253" s="6">
        <v>1930</v>
      </c>
      <c r="S253" s="3" t="s">
        <v>54</v>
      </c>
      <c r="T253" s="72"/>
      <c r="U253" s="73"/>
      <c r="W253" s="2" t="s">
        <v>732</v>
      </c>
      <c r="X253" s="10" t="s">
        <v>56</v>
      </c>
      <c r="Y253" s="10" t="s">
        <v>57</v>
      </c>
      <c r="Z253" s="75" t="s">
        <v>58</v>
      </c>
      <c r="AA253" s="76"/>
      <c r="AB253" s="77"/>
      <c r="AC253" s="77">
        <v>14178</v>
      </c>
      <c r="AD253" s="10"/>
      <c r="AG253" s="7">
        <v>1938</v>
      </c>
      <c r="AH253" s="7">
        <v>1930</v>
      </c>
      <c r="AI253" s="7"/>
      <c r="AJ253" s="73"/>
      <c r="AK253" s="7"/>
      <c r="AL253" s="16"/>
      <c r="AM253" s="2" t="s">
        <v>59</v>
      </c>
      <c r="AW253" s="6">
        <f t="shared" ca="1" si="5"/>
        <v>87</v>
      </c>
    </row>
    <row r="254" ht="45" customHeight="1" outlineLevel="1">
      <c r="A254" s="69"/>
      <c r="B254" s="3" t="s">
        <v>47</v>
      </c>
      <c r="C254" s="4" t="s">
        <v>727</v>
      </c>
      <c r="E254" s="2" t="s">
        <v>63</v>
      </c>
      <c r="F254" s="6" t="s">
        <v>64</v>
      </c>
      <c r="G254" s="5" t="s">
        <v>728</v>
      </c>
      <c r="H254" s="2" t="s">
        <v>51</v>
      </c>
      <c r="I254" s="3" t="s">
        <v>733</v>
      </c>
      <c r="J254" s="7">
        <v>1</v>
      </c>
      <c r="K254" s="70" t="s">
        <v>53</v>
      </c>
      <c r="L254" s="9">
        <v>0</v>
      </c>
      <c r="M254" s="3">
        <v>147</v>
      </c>
      <c r="N254" s="6">
        <v>1938</v>
      </c>
      <c r="P254" s="71"/>
      <c r="R254" s="6">
        <v>1930</v>
      </c>
      <c r="S254" s="3" t="s">
        <v>54</v>
      </c>
      <c r="T254" s="72"/>
      <c r="U254" s="73"/>
      <c r="W254" s="2" t="s">
        <v>734</v>
      </c>
      <c r="X254" s="10" t="s">
        <v>56</v>
      </c>
      <c r="Y254" s="10" t="s">
        <v>57</v>
      </c>
      <c r="Z254" s="75" t="s">
        <v>58</v>
      </c>
      <c r="AA254" s="76"/>
      <c r="AB254" s="77"/>
      <c r="AC254" s="77">
        <v>14178</v>
      </c>
      <c r="AD254" s="10"/>
      <c r="AG254" s="7">
        <v>1938</v>
      </c>
      <c r="AH254" s="7">
        <v>1930</v>
      </c>
      <c r="AI254" s="7"/>
      <c r="AJ254" s="73"/>
      <c r="AK254" s="7"/>
      <c r="AL254" s="16"/>
      <c r="AM254" s="2" t="s">
        <v>59</v>
      </c>
      <c r="AW254" s="6">
        <f t="shared" ca="1" si="5"/>
        <v>87</v>
      </c>
    </row>
    <row r="255" ht="45" customHeight="1" outlineLevel="1">
      <c r="A255" s="69"/>
      <c r="B255" s="3" t="s">
        <v>47</v>
      </c>
      <c r="C255" s="4" t="s">
        <v>727</v>
      </c>
      <c r="E255" s="2" t="s">
        <v>63</v>
      </c>
      <c r="F255" s="6" t="s">
        <v>64</v>
      </c>
      <c r="G255" s="5" t="s">
        <v>728</v>
      </c>
      <c r="H255" s="2" t="s">
        <v>51</v>
      </c>
      <c r="I255" s="3" t="s">
        <v>735</v>
      </c>
      <c r="J255" s="7">
        <v>1</v>
      </c>
      <c r="K255" s="70" t="s">
        <v>53</v>
      </c>
      <c r="L255" s="9">
        <v>0</v>
      </c>
      <c r="M255" s="3">
        <v>147</v>
      </c>
      <c r="N255" s="6">
        <v>1938</v>
      </c>
      <c r="P255" s="71"/>
      <c r="R255" s="6">
        <v>1930</v>
      </c>
      <c r="S255" s="3" t="s">
        <v>54</v>
      </c>
      <c r="T255" s="72"/>
      <c r="U255" s="73"/>
      <c r="W255" s="2" t="s">
        <v>736</v>
      </c>
      <c r="X255" s="10" t="s">
        <v>56</v>
      </c>
      <c r="Y255" s="10" t="s">
        <v>57</v>
      </c>
      <c r="Z255" s="75" t="s">
        <v>58</v>
      </c>
      <c r="AA255" s="76"/>
      <c r="AB255" s="77"/>
      <c r="AC255" s="77">
        <v>14178</v>
      </c>
      <c r="AD255" s="10"/>
      <c r="AG255" s="7">
        <v>1938</v>
      </c>
      <c r="AH255" s="7">
        <v>1930</v>
      </c>
      <c r="AI255" s="7"/>
      <c r="AJ255" s="73"/>
      <c r="AK255" s="7"/>
      <c r="AL255" s="16"/>
      <c r="AM255" s="2" t="s">
        <v>59</v>
      </c>
      <c r="AW255" s="6">
        <f t="shared" ca="1" si="5"/>
        <v>87</v>
      </c>
    </row>
    <row r="256" ht="45" customHeight="1" outlineLevel="1">
      <c r="A256" s="69"/>
      <c r="B256" s="3" t="s">
        <v>47</v>
      </c>
      <c r="C256" s="4" t="s">
        <v>727</v>
      </c>
      <c r="E256" s="2" t="s">
        <v>63</v>
      </c>
      <c r="F256" s="6" t="s">
        <v>64</v>
      </c>
      <c r="G256" s="5" t="s">
        <v>728</v>
      </c>
      <c r="H256" s="2" t="s">
        <v>51</v>
      </c>
      <c r="I256" s="3" t="s">
        <v>372</v>
      </c>
      <c r="J256" s="7">
        <v>1</v>
      </c>
      <c r="K256" s="70" t="s">
        <v>53</v>
      </c>
      <c r="L256" s="9">
        <v>0</v>
      </c>
      <c r="M256" s="3">
        <v>147</v>
      </c>
      <c r="N256" s="6">
        <v>1938</v>
      </c>
      <c r="P256" s="71"/>
      <c r="R256" s="6">
        <v>1930</v>
      </c>
      <c r="S256" s="3" t="s">
        <v>54</v>
      </c>
      <c r="T256" s="72"/>
      <c r="U256" s="73"/>
      <c r="W256" s="2" t="s">
        <v>737</v>
      </c>
      <c r="X256" s="10" t="s">
        <v>56</v>
      </c>
      <c r="Y256" s="10" t="s">
        <v>57</v>
      </c>
      <c r="Z256" s="75" t="s">
        <v>58</v>
      </c>
      <c r="AA256" s="76"/>
      <c r="AB256" s="77"/>
      <c r="AC256" s="77">
        <v>14178</v>
      </c>
      <c r="AD256" s="10"/>
      <c r="AG256" s="7">
        <v>1938</v>
      </c>
      <c r="AH256" s="7">
        <v>1930</v>
      </c>
      <c r="AI256" s="7"/>
      <c r="AJ256" s="73"/>
      <c r="AK256" s="7"/>
      <c r="AL256" s="16"/>
      <c r="AM256" s="2" t="s">
        <v>59</v>
      </c>
      <c r="AW256" s="6">
        <f t="shared" ca="1" si="5"/>
        <v>87</v>
      </c>
    </row>
    <row r="257" ht="45" customHeight="1" outlineLevel="1">
      <c r="A257" s="69"/>
      <c r="B257" s="3" t="s">
        <v>47</v>
      </c>
      <c r="C257" s="4" t="s">
        <v>727</v>
      </c>
      <c r="E257" s="2" t="s">
        <v>63</v>
      </c>
      <c r="F257" s="6" t="s">
        <v>64</v>
      </c>
      <c r="G257" s="5" t="s">
        <v>728</v>
      </c>
      <c r="H257" s="2" t="s">
        <v>51</v>
      </c>
      <c r="I257" s="3" t="s">
        <v>738</v>
      </c>
      <c r="J257" s="7">
        <v>1</v>
      </c>
      <c r="K257" s="70" t="s">
        <v>53</v>
      </c>
      <c r="L257" s="9">
        <v>0</v>
      </c>
      <c r="M257" s="3">
        <v>147</v>
      </c>
      <c r="N257" s="6">
        <v>1938</v>
      </c>
      <c r="P257" s="71"/>
      <c r="R257" s="6">
        <v>1930</v>
      </c>
      <c r="S257" s="3" t="s">
        <v>54</v>
      </c>
      <c r="T257" s="72"/>
      <c r="U257" s="73"/>
      <c r="W257" s="2" t="s">
        <v>739</v>
      </c>
      <c r="X257" s="10" t="s">
        <v>56</v>
      </c>
      <c r="Y257" s="10" t="s">
        <v>57</v>
      </c>
      <c r="Z257" s="75" t="s">
        <v>58</v>
      </c>
      <c r="AA257" s="76"/>
      <c r="AB257" s="77"/>
      <c r="AC257" s="77">
        <v>14178</v>
      </c>
      <c r="AD257" s="10"/>
      <c r="AG257" s="7">
        <v>1938</v>
      </c>
      <c r="AH257" s="7">
        <v>1930</v>
      </c>
      <c r="AI257" s="7"/>
      <c r="AJ257" s="73"/>
      <c r="AK257" s="7"/>
      <c r="AL257" s="16"/>
      <c r="AM257" s="2" t="s">
        <v>59</v>
      </c>
      <c r="AW257" s="6">
        <f t="shared" ca="1" si="5"/>
        <v>87</v>
      </c>
    </row>
    <row r="258" ht="45" customHeight="1" outlineLevel="1">
      <c r="A258" s="69"/>
      <c r="B258" s="3" t="s">
        <v>47</v>
      </c>
      <c r="C258" s="4" t="s">
        <v>727</v>
      </c>
      <c r="E258" s="78" t="s">
        <v>63</v>
      </c>
      <c r="F258" s="79" t="s">
        <v>64</v>
      </c>
      <c r="G258" s="80" t="s">
        <v>728</v>
      </c>
      <c r="H258" s="78" t="s">
        <v>51</v>
      </c>
      <c r="I258" s="81" t="s">
        <v>740</v>
      </c>
      <c r="J258" s="7">
        <v>1</v>
      </c>
      <c r="K258" s="70" t="s">
        <v>53</v>
      </c>
      <c r="L258" s="9">
        <v>0</v>
      </c>
      <c r="M258" s="3">
        <v>147</v>
      </c>
      <c r="N258" s="6">
        <v>1938</v>
      </c>
      <c r="P258" s="71"/>
      <c r="R258" s="6">
        <v>1930</v>
      </c>
      <c r="S258" s="3" t="s">
        <v>54</v>
      </c>
      <c r="T258" s="72"/>
      <c r="U258" s="73"/>
      <c r="W258" s="78" t="s">
        <v>741</v>
      </c>
      <c r="X258" s="82" t="s">
        <v>56</v>
      </c>
      <c r="Y258" s="82" t="s">
        <v>57</v>
      </c>
      <c r="Z258" s="83" t="s">
        <v>58</v>
      </c>
      <c r="AA258" s="76"/>
      <c r="AB258" s="77"/>
      <c r="AC258" s="77">
        <v>14178</v>
      </c>
      <c r="AD258" s="10"/>
      <c r="AG258" s="7">
        <v>1938</v>
      </c>
      <c r="AH258" s="7">
        <v>1930</v>
      </c>
      <c r="AI258" s="7"/>
      <c r="AJ258" s="73"/>
      <c r="AK258" s="7"/>
      <c r="AL258" s="16"/>
      <c r="AM258" s="2" t="s">
        <v>59</v>
      </c>
      <c r="AW258" s="6">
        <f t="shared" ca="1" si="5"/>
        <v>87</v>
      </c>
    </row>
    <row r="259" ht="45" customHeight="1" outlineLevel="1">
      <c r="A259" s="69"/>
      <c r="B259" s="3" t="s">
        <v>47</v>
      </c>
      <c r="E259" s="78" t="s">
        <v>63</v>
      </c>
      <c r="F259" s="79" t="s">
        <v>64</v>
      </c>
      <c r="G259" s="80" t="s">
        <v>243</v>
      </c>
      <c r="H259" s="78" t="s">
        <v>51</v>
      </c>
      <c r="I259" s="81" t="s">
        <v>742</v>
      </c>
      <c r="J259" s="7">
        <v>1</v>
      </c>
      <c r="K259" s="70" t="s">
        <v>53</v>
      </c>
      <c r="L259" s="9">
        <v>1</v>
      </c>
      <c r="M259" s="3">
        <v>148</v>
      </c>
      <c r="N259" s="6">
        <v>1938</v>
      </c>
      <c r="P259" s="71"/>
      <c r="R259" s="6">
        <v>1930</v>
      </c>
      <c r="S259" s="3" t="s">
        <v>54</v>
      </c>
      <c r="T259" s="72"/>
      <c r="U259" s="73"/>
      <c r="W259" s="78" t="s">
        <v>743</v>
      </c>
      <c r="X259" s="82" t="s">
        <v>56</v>
      </c>
      <c r="Y259" s="82" t="s">
        <v>57</v>
      </c>
      <c r="Z259" s="83" t="s">
        <v>58</v>
      </c>
      <c r="AA259" s="76"/>
      <c r="AB259" s="77">
        <v>14158</v>
      </c>
      <c r="AC259" s="77">
        <v>14158</v>
      </c>
      <c r="AD259" s="10"/>
      <c r="AG259" s="7">
        <v>1938</v>
      </c>
      <c r="AH259" s="7">
        <v>1930</v>
      </c>
      <c r="AI259" s="7"/>
      <c r="AJ259" s="73"/>
      <c r="AK259" s="7"/>
      <c r="AL259" s="16"/>
      <c r="AM259" s="2" t="s">
        <v>59</v>
      </c>
      <c r="AW259" s="6">
        <f t="shared" ca="1" si="5"/>
        <v>87</v>
      </c>
    </row>
    <row r="260" ht="45" customHeight="1" outlineLevel="1">
      <c r="A260" s="69"/>
      <c r="B260" s="3" t="s">
        <v>47</v>
      </c>
      <c r="E260" s="78" t="s">
        <v>63</v>
      </c>
      <c r="F260" s="79" t="s">
        <v>64</v>
      </c>
      <c r="G260" s="80" t="s">
        <v>69</v>
      </c>
      <c r="H260" s="78" t="s">
        <v>51</v>
      </c>
      <c r="I260" s="81" t="s">
        <v>742</v>
      </c>
      <c r="J260" s="7">
        <v>1</v>
      </c>
      <c r="K260" s="70" t="s">
        <v>53</v>
      </c>
      <c r="L260" s="9">
        <v>0</v>
      </c>
      <c r="M260" s="3">
        <v>148</v>
      </c>
      <c r="N260" s="6">
        <v>1938</v>
      </c>
      <c r="P260" s="71"/>
      <c r="R260" s="6">
        <v>1930</v>
      </c>
      <c r="S260" s="3" t="s">
        <v>54</v>
      </c>
      <c r="T260" s="72"/>
      <c r="U260" s="73"/>
      <c r="W260" s="78" t="s">
        <v>744</v>
      </c>
      <c r="X260" s="82" t="s">
        <v>56</v>
      </c>
      <c r="Y260" s="82" t="s">
        <v>57</v>
      </c>
      <c r="Z260" s="83" t="s">
        <v>58</v>
      </c>
      <c r="AA260" s="76"/>
      <c r="AB260" s="77">
        <v>14158</v>
      </c>
      <c r="AC260" s="77">
        <v>14158</v>
      </c>
      <c r="AD260" s="10"/>
      <c r="AG260" s="7">
        <v>1938</v>
      </c>
      <c r="AH260" s="7">
        <v>1930</v>
      </c>
      <c r="AI260" s="7"/>
      <c r="AJ260" s="73"/>
      <c r="AK260" s="7"/>
      <c r="AL260" s="16" t="s">
        <v>176</v>
      </c>
      <c r="AM260" s="2" t="s">
        <v>59</v>
      </c>
      <c r="AO260" s="6" t="s">
        <v>73</v>
      </c>
      <c r="AU260" s="16" t="s">
        <v>74</v>
      </c>
      <c r="AW260" s="6">
        <f t="shared" ca="1" si="5"/>
        <v>87</v>
      </c>
    </row>
    <row r="261" ht="45" customHeight="1" outlineLevel="1">
      <c r="A261" s="69"/>
      <c r="B261" s="3" t="s">
        <v>47</v>
      </c>
      <c r="E261" s="2" t="s">
        <v>63</v>
      </c>
      <c r="F261" s="6" t="s">
        <v>64</v>
      </c>
      <c r="G261" s="5" t="s">
        <v>69</v>
      </c>
      <c r="H261" s="2" t="s">
        <v>51</v>
      </c>
      <c r="I261" s="3" t="s">
        <v>745</v>
      </c>
      <c r="J261" s="7">
        <v>1</v>
      </c>
      <c r="K261" s="70" t="s">
        <v>53</v>
      </c>
      <c r="L261" s="9">
        <v>1</v>
      </c>
      <c r="M261" s="3">
        <v>149</v>
      </c>
      <c r="N261" s="6">
        <v>1938</v>
      </c>
      <c r="P261" s="71"/>
      <c r="R261" s="6">
        <v>1930</v>
      </c>
      <c r="S261" s="3" t="s">
        <v>54</v>
      </c>
      <c r="T261" s="72"/>
      <c r="U261" s="73"/>
      <c r="W261" s="2" t="s">
        <v>746</v>
      </c>
      <c r="X261" s="10" t="s">
        <v>56</v>
      </c>
      <c r="Y261" s="10" t="s">
        <v>57</v>
      </c>
      <c r="Z261" s="75" t="s">
        <v>58</v>
      </c>
      <c r="AA261" s="76"/>
      <c r="AB261" s="77"/>
      <c r="AC261" s="77">
        <v>14093</v>
      </c>
      <c r="AD261" s="10"/>
      <c r="AF261" s="7">
        <v>110</v>
      </c>
      <c r="AG261" s="7">
        <v>1938</v>
      </c>
      <c r="AH261" s="7">
        <v>1930</v>
      </c>
      <c r="AI261" s="7">
        <v>1984</v>
      </c>
      <c r="AJ261" s="73"/>
      <c r="AK261" s="7"/>
      <c r="AL261" s="16" t="s">
        <v>664</v>
      </c>
      <c r="AM261" s="2" t="s">
        <v>59</v>
      </c>
      <c r="AW261" s="6">
        <f t="shared" ca="1" si="5"/>
        <v>87</v>
      </c>
    </row>
    <row r="262" ht="45" customHeight="1" outlineLevel="1">
      <c r="A262" s="69"/>
      <c r="B262" s="3" t="s">
        <v>47</v>
      </c>
      <c r="E262" s="2" t="s">
        <v>83</v>
      </c>
      <c r="F262" s="6" t="s">
        <v>84</v>
      </c>
      <c r="G262" s="5" t="s">
        <v>85</v>
      </c>
      <c r="H262" s="2" t="s">
        <v>57</v>
      </c>
      <c r="I262" s="3" t="s">
        <v>747</v>
      </c>
      <c r="J262" s="7">
        <v>1</v>
      </c>
      <c r="K262" s="70" t="s">
        <v>53</v>
      </c>
      <c r="L262" s="9">
        <v>1</v>
      </c>
      <c r="M262" s="3">
        <v>150</v>
      </c>
      <c r="N262" s="6">
        <v>1938</v>
      </c>
      <c r="P262" s="71"/>
      <c r="R262" s="6">
        <v>1930</v>
      </c>
      <c r="S262" s="3" t="s">
        <v>54</v>
      </c>
      <c r="T262" s="72"/>
      <c r="U262" s="73"/>
      <c r="W262" s="2" t="s">
        <v>748</v>
      </c>
      <c r="X262" s="10" t="s">
        <v>56</v>
      </c>
      <c r="Y262" s="10" t="s">
        <v>57</v>
      </c>
      <c r="Z262" s="75"/>
      <c r="AA262" s="76"/>
      <c r="AB262" s="77">
        <v>17943</v>
      </c>
      <c r="AC262" s="77"/>
      <c r="AD262" s="6"/>
      <c r="AG262" s="7">
        <v>1949</v>
      </c>
      <c r="AH262" s="7">
        <v>1940</v>
      </c>
      <c r="AI262" s="7"/>
      <c r="AJ262" s="73"/>
      <c r="AK262" s="7"/>
      <c r="AL262" s="16"/>
      <c r="AM262" s="2" t="s">
        <v>59</v>
      </c>
      <c r="AW262" s="6">
        <f t="shared" ca="1" si="5"/>
        <v>87</v>
      </c>
    </row>
    <row r="263" ht="45" customHeight="1" outlineLevel="1">
      <c r="A263" s="69"/>
      <c r="B263" s="3" t="s">
        <v>47</v>
      </c>
      <c r="E263" s="2" t="s">
        <v>83</v>
      </c>
      <c r="F263" s="6" t="s">
        <v>84</v>
      </c>
      <c r="G263" s="5" t="s">
        <v>85</v>
      </c>
      <c r="H263" s="2" t="s">
        <v>51</v>
      </c>
      <c r="I263" s="3" t="s">
        <v>749</v>
      </c>
      <c r="J263" s="7">
        <v>1</v>
      </c>
      <c r="K263" s="70" t="s">
        <v>53</v>
      </c>
      <c r="L263" s="9">
        <v>1</v>
      </c>
      <c r="M263" s="3">
        <v>151</v>
      </c>
      <c r="N263" s="6">
        <v>1938</v>
      </c>
      <c r="P263" s="71"/>
      <c r="R263" s="6">
        <v>1930</v>
      </c>
      <c r="S263" s="3" t="s">
        <v>54</v>
      </c>
      <c r="T263" s="72"/>
      <c r="U263" s="73"/>
      <c r="W263" s="2" t="s">
        <v>750</v>
      </c>
      <c r="X263" s="10" t="s">
        <v>56</v>
      </c>
      <c r="Y263" s="10" t="s">
        <v>57</v>
      </c>
      <c r="Z263" s="75" t="s">
        <v>58</v>
      </c>
      <c r="AA263" s="76"/>
      <c r="AB263" s="77">
        <v>14082</v>
      </c>
      <c r="AC263" s="77">
        <v>14082</v>
      </c>
      <c r="AD263" s="10"/>
      <c r="AG263" s="7">
        <v>1938</v>
      </c>
      <c r="AH263" s="7">
        <v>1930</v>
      </c>
      <c r="AI263" s="7"/>
      <c r="AJ263" s="73"/>
      <c r="AK263" s="7"/>
      <c r="AL263" s="16"/>
      <c r="AM263" s="2" t="s">
        <v>59</v>
      </c>
      <c r="AO263" s="6" t="s">
        <v>100</v>
      </c>
      <c r="AP263" s="6" t="s">
        <v>104</v>
      </c>
      <c r="AQ263" s="5" t="s">
        <v>104</v>
      </c>
      <c r="AR263" s="2" t="s">
        <v>73</v>
      </c>
      <c r="AT263" s="6">
        <v>1986</v>
      </c>
      <c r="AU263" s="16" t="s">
        <v>751</v>
      </c>
      <c r="AW263" s="6">
        <f t="shared" ca="1" si="5"/>
        <v>87</v>
      </c>
    </row>
    <row r="264" ht="45" hidden="1" customHeight="1" outlineLevel="1">
      <c r="A264" s="69"/>
      <c r="B264" s="3" t="s">
        <v>47</v>
      </c>
      <c r="E264" s="2" t="s">
        <v>83</v>
      </c>
      <c r="F264" s="6" t="s">
        <v>84</v>
      </c>
      <c r="G264" s="5" t="s">
        <v>85</v>
      </c>
      <c r="H264" s="2" t="s">
        <v>57</v>
      </c>
      <c r="I264" s="3" t="s">
        <v>752</v>
      </c>
      <c r="J264" s="7">
        <v>1</v>
      </c>
      <c r="K264" s="70" t="s">
        <v>127</v>
      </c>
      <c r="L264" s="9">
        <v>1</v>
      </c>
      <c r="M264" s="3">
        <v>152</v>
      </c>
      <c r="N264" s="6">
        <v>1938</v>
      </c>
      <c r="P264" s="71"/>
      <c r="R264" s="6">
        <v>1930</v>
      </c>
      <c r="S264" s="3" t="s">
        <v>128</v>
      </c>
      <c r="T264" s="72"/>
      <c r="U264" s="73"/>
      <c r="W264" s="2" t="s">
        <v>62</v>
      </c>
      <c r="X264" s="10" t="s">
        <v>56</v>
      </c>
      <c r="Y264" s="10" t="s">
        <v>57</v>
      </c>
      <c r="Z264" s="75"/>
      <c r="AA264" s="76"/>
      <c r="AB264" s="77" t="s">
        <v>129</v>
      </c>
      <c r="AC264" s="77" t="s">
        <v>129</v>
      </c>
      <c r="AD264" s="6"/>
      <c r="AG264" s="7">
        <v>1938</v>
      </c>
      <c r="AI264" s="7"/>
      <c r="AJ264" s="73"/>
      <c r="AK264" s="7"/>
      <c r="AL264" s="16" t="s">
        <v>753</v>
      </c>
      <c r="AM264" s="2" t="s">
        <v>59</v>
      </c>
      <c r="AW264" s="6">
        <f t="shared" ca="1" si="5"/>
        <v>87</v>
      </c>
    </row>
    <row r="265" ht="45" customHeight="1" outlineLevel="1">
      <c r="A265" s="69"/>
      <c r="B265" s="3" t="s">
        <v>47</v>
      </c>
      <c r="D265" s="5" t="s">
        <v>754</v>
      </c>
      <c r="E265" s="2" t="s">
        <v>83</v>
      </c>
      <c r="F265" s="6" t="s">
        <v>84</v>
      </c>
      <c r="G265" s="5" t="s">
        <v>85</v>
      </c>
      <c r="H265" s="2" t="s">
        <v>68</v>
      </c>
      <c r="I265" s="3" t="s">
        <v>755</v>
      </c>
      <c r="J265" s="7">
        <v>1</v>
      </c>
      <c r="K265" s="70" t="s">
        <v>53</v>
      </c>
      <c r="L265" s="9">
        <v>1</v>
      </c>
      <c r="M265" s="3">
        <v>153</v>
      </c>
      <c r="N265" s="6">
        <v>1938</v>
      </c>
      <c r="P265" s="71"/>
      <c r="R265" s="6">
        <v>1930</v>
      </c>
      <c r="S265" s="3" t="s">
        <v>54</v>
      </c>
      <c r="T265" s="72"/>
      <c r="U265" s="73"/>
      <c r="W265" s="2" t="s">
        <v>756</v>
      </c>
      <c r="X265" s="10" t="s">
        <v>56</v>
      </c>
      <c r="Y265" s="10" t="s">
        <v>68</v>
      </c>
      <c r="Z265" s="75"/>
      <c r="AA265" s="76"/>
      <c r="AB265" s="77">
        <v>13976</v>
      </c>
      <c r="AC265" s="77">
        <v>13976</v>
      </c>
      <c r="AD265" s="10"/>
      <c r="AF265" s="7">
        <v>38</v>
      </c>
      <c r="AG265" s="7">
        <v>1938</v>
      </c>
      <c r="AH265" s="7">
        <v>1930</v>
      </c>
      <c r="AI265" s="7">
        <v>1963</v>
      </c>
      <c r="AJ265" s="73"/>
      <c r="AK265" s="7"/>
      <c r="AL265" s="16" t="s">
        <v>757</v>
      </c>
      <c r="AM265" s="2" t="s">
        <v>53</v>
      </c>
      <c r="AR265" s="2" t="s">
        <v>73</v>
      </c>
      <c r="AT265" s="6">
        <v>1977</v>
      </c>
      <c r="AU265" s="16" t="s">
        <v>758</v>
      </c>
      <c r="AW265" s="6">
        <f t="shared" ca="1" si="5"/>
        <v>87</v>
      </c>
    </row>
    <row r="266" ht="45" customHeight="1" outlineLevel="1">
      <c r="A266" s="69"/>
      <c r="B266" s="3" t="s">
        <v>47</v>
      </c>
      <c r="E266" s="2" t="s">
        <v>83</v>
      </c>
      <c r="F266" s="6" t="s">
        <v>84</v>
      </c>
      <c r="G266" s="5" t="s">
        <v>85</v>
      </c>
      <c r="H266" s="2" t="s">
        <v>491</v>
      </c>
      <c r="I266" s="3" t="s">
        <v>759</v>
      </c>
      <c r="J266" s="7">
        <v>1</v>
      </c>
      <c r="K266" s="70" t="s">
        <v>53</v>
      </c>
      <c r="L266" s="9">
        <v>1</v>
      </c>
      <c r="M266" s="3">
        <v>154</v>
      </c>
      <c r="N266" s="6">
        <v>1938</v>
      </c>
      <c r="P266" s="71"/>
      <c r="R266" s="6">
        <v>1930</v>
      </c>
      <c r="S266" s="3" t="s">
        <v>54</v>
      </c>
      <c r="T266" s="72"/>
      <c r="U266" s="73"/>
      <c r="W266" s="2" t="s">
        <v>760</v>
      </c>
      <c r="X266" s="10" t="s">
        <v>56</v>
      </c>
      <c r="Y266" s="10" t="s">
        <v>494</v>
      </c>
      <c r="Z266" s="75"/>
      <c r="AA266" s="76"/>
      <c r="AB266" s="77">
        <v>14011</v>
      </c>
      <c r="AC266" s="77">
        <v>14011</v>
      </c>
      <c r="AD266" s="84"/>
      <c r="AE266" s="11"/>
      <c r="AG266" s="7">
        <v>1938</v>
      </c>
      <c r="AH266" s="7">
        <v>1930</v>
      </c>
      <c r="AI266" s="7"/>
      <c r="AJ266" s="73"/>
      <c r="AK266" s="7"/>
      <c r="AL266" s="16" t="s">
        <v>761</v>
      </c>
      <c r="AM266" s="2" t="s">
        <v>59</v>
      </c>
      <c r="AU266" s="5"/>
      <c r="AV266" s="111"/>
      <c r="AW266" s="6">
        <f t="shared" ca="1" si="5"/>
        <v>87</v>
      </c>
    </row>
    <row r="267" ht="45" customHeight="1" outlineLevel="1">
      <c r="A267" s="69"/>
      <c r="B267" s="3" t="s">
        <v>47</v>
      </c>
      <c r="E267" s="2" t="s">
        <v>83</v>
      </c>
      <c r="F267" s="6" t="s">
        <v>84</v>
      </c>
      <c r="G267" s="5" t="s">
        <v>85</v>
      </c>
      <c r="H267" s="2" t="s">
        <v>491</v>
      </c>
      <c r="I267" s="3" t="s">
        <v>762</v>
      </c>
      <c r="J267" s="7">
        <v>1</v>
      </c>
      <c r="K267" s="70" t="s">
        <v>53</v>
      </c>
      <c r="L267" s="9">
        <v>0</v>
      </c>
      <c r="M267" s="3">
        <v>154</v>
      </c>
      <c r="N267" s="6">
        <v>1938</v>
      </c>
      <c r="P267" s="71"/>
      <c r="R267" s="6">
        <v>1930</v>
      </c>
      <c r="S267" s="3" t="s">
        <v>54</v>
      </c>
      <c r="T267" s="72"/>
      <c r="U267" s="73"/>
      <c r="W267" s="2" t="s">
        <v>763</v>
      </c>
      <c r="X267" s="10" t="s">
        <v>56</v>
      </c>
      <c r="Y267" s="10" t="s">
        <v>494</v>
      </c>
      <c r="Z267" s="75"/>
      <c r="AA267" s="76"/>
      <c r="AB267" s="77">
        <v>14011</v>
      </c>
      <c r="AC267" s="77">
        <v>14011</v>
      </c>
      <c r="AD267" s="84"/>
      <c r="AE267" s="11"/>
      <c r="AG267" s="7">
        <v>1938</v>
      </c>
      <c r="AH267" s="7">
        <v>1930</v>
      </c>
      <c r="AI267" s="7"/>
      <c r="AJ267" s="73"/>
      <c r="AK267" s="7"/>
      <c r="AL267" s="16"/>
      <c r="AM267" s="2" t="s">
        <v>59</v>
      </c>
      <c r="AW267" s="6">
        <f t="shared" ca="1" si="5"/>
        <v>87</v>
      </c>
    </row>
    <row r="268" ht="45" customHeight="1" outlineLevel="1">
      <c r="A268" s="69"/>
      <c r="B268" s="3" t="s">
        <v>47</v>
      </c>
      <c r="E268" s="2" t="s">
        <v>83</v>
      </c>
      <c r="F268" s="6" t="s">
        <v>84</v>
      </c>
      <c r="G268" s="5" t="s">
        <v>85</v>
      </c>
      <c r="H268" s="2" t="s">
        <v>491</v>
      </c>
      <c r="I268" s="3" t="s">
        <v>764</v>
      </c>
      <c r="J268" s="7">
        <v>1</v>
      </c>
      <c r="K268" s="70" t="s">
        <v>53</v>
      </c>
      <c r="L268" s="9">
        <v>0</v>
      </c>
      <c r="M268" s="3">
        <v>154</v>
      </c>
      <c r="N268" s="6">
        <v>1938</v>
      </c>
      <c r="P268" s="71"/>
      <c r="R268" s="6">
        <v>1930</v>
      </c>
      <c r="S268" s="3" t="s">
        <v>54</v>
      </c>
      <c r="T268" s="72"/>
      <c r="U268" s="73"/>
      <c r="W268" s="2" t="s">
        <v>765</v>
      </c>
      <c r="X268" s="10" t="s">
        <v>56</v>
      </c>
      <c r="Y268" s="10" t="s">
        <v>494</v>
      </c>
      <c r="Z268" s="75"/>
      <c r="AA268" s="76"/>
      <c r="AB268" s="77">
        <v>14011</v>
      </c>
      <c r="AC268" s="77">
        <v>14011</v>
      </c>
      <c r="AD268" s="84"/>
      <c r="AE268" s="11"/>
      <c r="AG268" s="7">
        <v>1938</v>
      </c>
      <c r="AH268" s="7">
        <v>1930</v>
      </c>
      <c r="AI268" s="7"/>
      <c r="AJ268" s="73"/>
      <c r="AK268" s="7"/>
      <c r="AL268" s="16"/>
      <c r="AM268" s="2" t="s">
        <v>59</v>
      </c>
      <c r="AW268" s="6">
        <f t="shared" ca="1" si="5"/>
        <v>87</v>
      </c>
    </row>
    <row r="269" ht="45" customHeight="1" outlineLevel="1">
      <c r="A269" s="69"/>
      <c r="B269" s="3" t="s">
        <v>47</v>
      </c>
      <c r="E269" s="2" t="s">
        <v>83</v>
      </c>
      <c r="F269" s="6" t="s">
        <v>84</v>
      </c>
      <c r="G269" s="5" t="s">
        <v>85</v>
      </c>
      <c r="H269" s="2" t="s">
        <v>491</v>
      </c>
      <c r="I269" s="3" t="s">
        <v>766</v>
      </c>
      <c r="J269" s="7">
        <v>1</v>
      </c>
      <c r="K269" s="70" t="s">
        <v>53</v>
      </c>
      <c r="L269" s="9">
        <v>0</v>
      </c>
      <c r="M269" s="3">
        <v>154</v>
      </c>
      <c r="N269" s="6">
        <v>1938</v>
      </c>
      <c r="P269" s="71"/>
      <c r="R269" s="6">
        <v>1930</v>
      </c>
      <c r="S269" s="3" t="s">
        <v>54</v>
      </c>
      <c r="T269" s="72"/>
      <c r="U269" s="73"/>
      <c r="W269" s="2" t="s">
        <v>767</v>
      </c>
      <c r="X269" s="10" t="s">
        <v>56</v>
      </c>
      <c r="Y269" s="10" t="s">
        <v>494</v>
      </c>
      <c r="Z269" s="75"/>
      <c r="AA269" s="76"/>
      <c r="AB269" s="77">
        <v>14011</v>
      </c>
      <c r="AC269" s="77">
        <v>14011</v>
      </c>
      <c r="AD269" s="84"/>
      <c r="AE269" s="11"/>
      <c r="AG269" s="7">
        <v>1938</v>
      </c>
      <c r="AH269" s="7">
        <v>1930</v>
      </c>
      <c r="AI269" s="7"/>
      <c r="AJ269" s="73"/>
      <c r="AK269" s="7"/>
      <c r="AL269" s="16" t="s">
        <v>768</v>
      </c>
      <c r="AM269" s="2" t="s">
        <v>59</v>
      </c>
      <c r="AU269" s="5"/>
      <c r="AV269" s="111"/>
      <c r="AW269" s="6">
        <f t="shared" ca="1" si="5"/>
        <v>87</v>
      </c>
    </row>
    <row r="270" ht="45" customHeight="1" outlineLevel="1">
      <c r="A270" s="69"/>
      <c r="B270" s="3" t="s">
        <v>47</v>
      </c>
      <c r="E270" s="2" t="s">
        <v>83</v>
      </c>
      <c r="F270" s="6" t="s">
        <v>84</v>
      </c>
      <c r="G270" s="5" t="s">
        <v>85</v>
      </c>
      <c r="H270" s="2" t="s">
        <v>491</v>
      </c>
      <c r="I270" s="3" t="s">
        <v>769</v>
      </c>
      <c r="J270" s="7">
        <v>1</v>
      </c>
      <c r="K270" s="70" t="s">
        <v>53</v>
      </c>
      <c r="L270" s="9">
        <v>0</v>
      </c>
      <c r="M270" s="3">
        <v>154</v>
      </c>
      <c r="N270" s="6">
        <v>1938</v>
      </c>
      <c r="P270" s="71"/>
      <c r="R270" s="6">
        <v>1930</v>
      </c>
      <c r="S270" s="3" t="s">
        <v>54</v>
      </c>
      <c r="T270" s="72"/>
      <c r="U270" s="73"/>
      <c r="W270" s="2" t="s">
        <v>770</v>
      </c>
      <c r="X270" s="10" t="s">
        <v>56</v>
      </c>
      <c r="Y270" s="10" t="s">
        <v>494</v>
      </c>
      <c r="Z270" s="75"/>
      <c r="AA270" s="76"/>
      <c r="AB270" s="77">
        <v>14011</v>
      </c>
      <c r="AC270" s="77">
        <v>14011</v>
      </c>
      <c r="AD270" s="84"/>
      <c r="AE270" s="11"/>
      <c r="AG270" s="7">
        <v>1938</v>
      </c>
      <c r="AH270" s="7">
        <v>1930</v>
      </c>
      <c r="AI270" s="7"/>
      <c r="AJ270" s="73"/>
      <c r="AK270" s="7"/>
      <c r="AL270" s="16"/>
      <c r="AM270" s="2" t="s">
        <v>59</v>
      </c>
      <c r="AW270" s="6">
        <f t="shared" ca="1" si="5"/>
        <v>87</v>
      </c>
    </row>
    <row r="271" ht="45" customHeight="1">
      <c r="A271" s="69"/>
      <c r="B271" s="3" t="s">
        <v>47</v>
      </c>
      <c r="E271" s="2" t="s">
        <v>83</v>
      </c>
      <c r="F271" s="6" t="s">
        <v>84</v>
      </c>
      <c r="G271" s="5" t="s">
        <v>85</v>
      </c>
      <c r="H271" s="2" t="s">
        <v>491</v>
      </c>
      <c r="I271" s="3" t="s">
        <v>771</v>
      </c>
      <c r="J271" s="7">
        <v>1</v>
      </c>
      <c r="K271" s="70" t="s">
        <v>53</v>
      </c>
      <c r="L271" s="9">
        <v>0</v>
      </c>
      <c r="M271" s="3">
        <v>154</v>
      </c>
      <c r="N271" s="6">
        <v>1938</v>
      </c>
      <c r="P271" s="71"/>
      <c r="R271" s="6">
        <v>1930</v>
      </c>
      <c r="S271" s="3" t="s">
        <v>54</v>
      </c>
      <c r="T271" s="72"/>
      <c r="U271" s="73"/>
      <c r="W271" s="2" t="s">
        <v>772</v>
      </c>
      <c r="X271" s="10" t="s">
        <v>56</v>
      </c>
      <c r="Y271" s="10" t="s">
        <v>494</v>
      </c>
      <c r="Z271" s="75"/>
      <c r="AA271" s="76"/>
      <c r="AB271" s="77">
        <v>14011</v>
      </c>
      <c r="AC271" s="77">
        <v>14011</v>
      </c>
      <c r="AD271" s="84"/>
      <c r="AE271" s="11"/>
      <c r="AG271" s="7">
        <v>1938</v>
      </c>
      <c r="AH271" s="7">
        <v>1930</v>
      </c>
      <c r="AI271" s="7"/>
      <c r="AJ271" s="73"/>
      <c r="AK271" s="7"/>
      <c r="AL271" s="16"/>
      <c r="AM271" s="2" t="s">
        <v>59</v>
      </c>
      <c r="AW271" s="6">
        <f t="shared" ca="1" si="5"/>
        <v>87</v>
      </c>
    </row>
    <row r="272" ht="45" customHeight="1">
      <c r="A272" s="69"/>
      <c r="B272" s="3" t="s">
        <v>47</v>
      </c>
      <c r="E272" s="2" t="s">
        <v>83</v>
      </c>
      <c r="F272" s="6" t="s">
        <v>84</v>
      </c>
      <c r="G272" s="5" t="s">
        <v>85</v>
      </c>
      <c r="H272" s="2" t="s">
        <v>491</v>
      </c>
      <c r="I272" s="3" t="s">
        <v>773</v>
      </c>
      <c r="J272" s="7">
        <v>1</v>
      </c>
      <c r="K272" s="70" t="s">
        <v>53</v>
      </c>
      <c r="L272" s="9">
        <v>0</v>
      </c>
      <c r="M272" s="3">
        <v>154</v>
      </c>
      <c r="N272" s="6">
        <v>1938</v>
      </c>
      <c r="P272" s="71"/>
      <c r="R272" s="6">
        <v>1930</v>
      </c>
      <c r="S272" s="3" t="s">
        <v>54</v>
      </c>
      <c r="T272" s="72"/>
      <c r="U272" s="73"/>
      <c r="W272" s="2" t="s">
        <v>774</v>
      </c>
      <c r="X272" s="10" t="s">
        <v>56</v>
      </c>
      <c r="Y272" s="10" t="s">
        <v>494</v>
      </c>
      <c r="Z272" s="75"/>
      <c r="AA272" s="76"/>
      <c r="AB272" s="77">
        <v>14011</v>
      </c>
      <c r="AC272" s="77">
        <v>14011</v>
      </c>
      <c r="AD272" s="84"/>
      <c r="AE272" s="11"/>
      <c r="AG272" s="7">
        <v>1938</v>
      </c>
      <c r="AH272" s="7">
        <v>1930</v>
      </c>
      <c r="AI272" s="7"/>
      <c r="AJ272" s="73"/>
      <c r="AK272" s="7"/>
      <c r="AL272" s="16"/>
      <c r="AM272" s="2" t="s">
        <v>59</v>
      </c>
      <c r="AW272" s="6">
        <f t="shared" ca="1" si="5"/>
        <v>87</v>
      </c>
    </row>
    <row r="273" ht="45" customHeight="1" outlineLevel="1">
      <c r="A273" s="69"/>
      <c r="B273" s="3" t="s">
        <v>47</v>
      </c>
      <c r="E273" s="2" t="s">
        <v>63</v>
      </c>
      <c r="F273" s="6" t="s">
        <v>217</v>
      </c>
      <c r="G273" s="5" t="s">
        <v>218</v>
      </c>
      <c r="H273" s="2" t="s">
        <v>57</v>
      </c>
      <c r="I273" s="3" t="s">
        <v>775</v>
      </c>
      <c r="J273" s="7">
        <v>1</v>
      </c>
      <c r="K273" s="70" t="s">
        <v>53</v>
      </c>
      <c r="L273" s="9">
        <v>0</v>
      </c>
      <c r="M273" s="3">
        <v>155</v>
      </c>
      <c r="N273" s="6">
        <v>1938</v>
      </c>
      <c r="P273" s="71"/>
      <c r="R273" s="6">
        <v>1930</v>
      </c>
      <c r="S273" s="3" t="s">
        <v>54</v>
      </c>
      <c r="T273" s="72"/>
      <c r="U273" s="73"/>
      <c r="W273" s="2" t="s">
        <v>776</v>
      </c>
      <c r="X273" s="10" t="s">
        <v>56</v>
      </c>
      <c r="Y273" s="10" t="s">
        <v>57</v>
      </c>
      <c r="Z273" s="75"/>
      <c r="AA273" s="76"/>
      <c r="AB273" s="77">
        <v>14024</v>
      </c>
      <c r="AC273" s="77">
        <v>14024</v>
      </c>
      <c r="AG273" s="7">
        <v>1938</v>
      </c>
      <c r="AH273" s="7">
        <v>1930</v>
      </c>
      <c r="AI273" s="7"/>
      <c r="AJ273" s="73"/>
      <c r="AK273" s="7"/>
      <c r="AL273" s="16" t="s">
        <v>777</v>
      </c>
      <c r="AM273" s="2" t="s">
        <v>59</v>
      </c>
      <c r="AW273" s="6">
        <f t="shared" ca="1" si="5"/>
        <v>87</v>
      </c>
    </row>
    <row r="274" ht="45" customHeight="1">
      <c r="A274" s="69"/>
      <c r="B274" s="3" t="s">
        <v>47</v>
      </c>
      <c r="E274" s="2" t="s">
        <v>63</v>
      </c>
      <c r="F274" s="6" t="s">
        <v>172</v>
      </c>
      <c r="G274" s="5" t="s">
        <v>778</v>
      </c>
      <c r="H274" s="2" t="s">
        <v>57</v>
      </c>
      <c r="I274" s="3" t="s">
        <v>779</v>
      </c>
      <c r="J274" s="7">
        <v>1</v>
      </c>
      <c r="K274" s="70" t="s">
        <v>53</v>
      </c>
      <c r="L274" s="9">
        <v>0</v>
      </c>
      <c r="M274" s="3">
        <v>155</v>
      </c>
      <c r="N274" s="6">
        <v>1938</v>
      </c>
      <c r="P274" s="71"/>
      <c r="R274" s="6">
        <v>1930</v>
      </c>
      <c r="S274" s="3" t="s">
        <v>54</v>
      </c>
      <c r="T274" s="72"/>
      <c r="U274" s="73"/>
      <c r="W274" s="2" t="s">
        <v>780</v>
      </c>
      <c r="X274" s="10" t="s">
        <v>56</v>
      </c>
      <c r="Y274" s="10" t="s">
        <v>57</v>
      </c>
      <c r="Z274" s="75"/>
      <c r="AA274" s="76"/>
      <c r="AB274" s="77">
        <v>14024</v>
      </c>
      <c r="AC274" s="77">
        <v>14024</v>
      </c>
      <c r="AD274" s="84"/>
      <c r="AE274" s="11"/>
      <c r="AG274" s="7">
        <v>1938</v>
      </c>
      <c r="AH274" s="7">
        <v>1930</v>
      </c>
      <c r="AI274" s="7"/>
      <c r="AJ274" s="73"/>
      <c r="AK274" s="7"/>
      <c r="AL274" s="16" t="s">
        <v>781</v>
      </c>
      <c r="AM274" s="2" t="s">
        <v>59</v>
      </c>
      <c r="AW274" s="6">
        <f t="shared" ca="1" si="5"/>
        <v>87</v>
      </c>
    </row>
    <row r="275" ht="45" customHeight="1">
      <c r="A275" s="69"/>
      <c r="B275" s="3" t="s">
        <v>47</v>
      </c>
      <c r="E275" s="2" t="s">
        <v>48</v>
      </c>
      <c r="F275" s="6" t="s">
        <v>564</v>
      </c>
      <c r="G275" s="5" t="s">
        <v>565</v>
      </c>
      <c r="H275" s="2" t="s">
        <v>57</v>
      </c>
      <c r="I275" s="3" t="s">
        <v>782</v>
      </c>
      <c r="J275" s="7">
        <v>1</v>
      </c>
      <c r="K275" s="70" t="s">
        <v>53</v>
      </c>
      <c r="L275" s="9">
        <v>0</v>
      </c>
      <c r="M275" s="3">
        <v>155</v>
      </c>
      <c r="N275" s="6">
        <v>1938</v>
      </c>
      <c r="P275" s="71"/>
      <c r="R275" s="6">
        <v>1930</v>
      </c>
      <c r="S275" s="3" t="s">
        <v>54</v>
      </c>
      <c r="T275" s="72"/>
      <c r="U275" s="73"/>
      <c r="W275" s="2" t="s">
        <v>783</v>
      </c>
      <c r="X275" s="10" t="s">
        <v>56</v>
      </c>
      <c r="Y275" s="10" t="s">
        <v>57</v>
      </c>
      <c r="Z275" s="75"/>
      <c r="AA275" s="76"/>
      <c r="AB275" s="77">
        <v>14024</v>
      </c>
      <c r="AC275" s="77">
        <v>14024</v>
      </c>
      <c r="AD275" s="10"/>
      <c r="AG275" s="7">
        <v>1938</v>
      </c>
      <c r="AH275" s="7">
        <v>1930</v>
      </c>
      <c r="AI275" s="7"/>
      <c r="AJ275" s="73"/>
      <c r="AK275" s="7"/>
      <c r="AL275" s="16"/>
      <c r="AM275" s="2" t="s">
        <v>59</v>
      </c>
      <c r="AN275" s="6" t="s">
        <v>73</v>
      </c>
      <c r="AO275" s="6" t="s">
        <v>100</v>
      </c>
      <c r="AP275" s="6" t="s">
        <v>73</v>
      </c>
      <c r="AU275" s="16" t="s">
        <v>784</v>
      </c>
      <c r="AW275" s="6">
        <f t="shared" ca="1" si="5"/>
        <v>87</v>
      </c>
    </row>
    <row r="276" ht="45" customHeight="1">
      <c r="A276" s="69"/>
      <c r="B276" s="3" t="s">
        <v>47</v>
      </c>
      <c r="E276" s="2" t="s">
        <v>48</v>
      </c>
      <c r="F276" s="6" t="s">
        <v>564</v>
      </c>
      <c r="G276" s="5" t="s">
        <v>565</v>
      </c>
      <c r="H276" s="2" t="s">
        <v>57</v>
      </c>
      <c r="I276" s="3" t="s">
        <v>785</v>
      </c>
      <c r="J276" s="7">
        <v>1</v>
      </c>
      <c r="K276" s="70" t="s">
        <v>53</v>
      </c>
      <c r="L276" s="9">
        <v>0</v>
      </c>
      <c r="M276" s="3">
        <v>155</v>
      </c>
      <c r="N276" s="6">
        <v>1938</v>
      </c>
      <c r="P276" s="71"/>
      <c r="R276" s="6">
        <v>1930</v>
      </c>
      <c r="S276" s="3" t="s">
        <v>54</v>
      </c>
      <c r="T276" s="72"/>
      <c r="U276" s="73"/>
      <c r="W276" s="2" t="s">
        <v>786</v>
      </c>
      <c r="X276" s="10" t="s">
        <v>56</v>
      </c>
      <c r="Y276" s="10" t="s">
        <v>57</v>
      </c>
      <c r="Z276" s="75"/>
      <c r="AA276" s="76"/>
      <c r="AB276" s="77">
        <v>14024</v>
      </c>
      <c r="AC276" s="77">
        <v>14024</v>
      </c>
      <c r="AD276" s="10"/>
      <c r="AG276" s="7">
        <v>1938</v>
      </c>
      <c r="AH276" s="7">
        <v>1930</v>
      </c>
      <c r="AI276" s="7"/>
      <c r="AJ276" s="73"/>
      <c r="AK276" s="7"/>
      <c r="AL276" s="16"/>
      <c r="AM276" s="2" t="s">
        <v>59</v>
      </c>
      <c r="AN276" s="6" t="s">
        <v>73</v>
      </c>
      <c r="AO276" s="6" t="s">
        <v>100</v>
      </c>
      <c r="AP276" s="6" t="s">
        <v>73</v>
      </c>
      <c r="AQ276" s="5" t="s">
        <v>73</v>
      </c>
      <c r="AR276" s="2" t="s">
        <v>73</v>
      </c>
      <c r="AT276" s="6">
        <v>2016</v>
      </c>
      <c r="AU276" s="16" t="s">
        <v>787</v>
      </c>
      <c r="AW276" s="6">
        <f t="shared" ca="1" si="5"/>
        <v>87</v>
      </c>
    </row>
    <row r="277" ht="45" customHeight="1" outlineLevel="1">
      <c r="A277" s="69"/>
      <c r="B277" s="3" t="s">
        <v>47</v>
      </c>
      <c r="E277" s="2" t="s">
        <v>48</v>
      </c>
      <c r="F277" s="6" t="s">
        <v>564</v>
      </c>
      <c r="G277" s="5" t="s">
        <v>788</v>
      </c>
      <c r="H277" s="2" t="s">
        <v>57</v>
      </c>
      <c r="I277" s="3" t="s">
        <v>789</v>
      </c>
      <c r="J277" s="7">
        <v>1</v>
      </c>
      <c r="K277" s="70" t="s">
        <v>53</v>
      </c>
      <c r="L277" s="9">
        <v>0</v>
      </c>
      <c r="M277" s="3">
        <v>155</v>
      </c>
      <c r="N277" s="6">
        <v>1938</v>
      </c>
      <c r="P277" s="71"/>
      <c r="R277" s="6">
        <v>1930</v>
      </c>
      <c r="S277" s="3" t="s">
        <v>54</v>
      </c>
      <c r="T277" s="72"/>
      <c r="U277" s="73"/>
      <c r="W277" s="2" t="s">
        <v>790</v>
      </c>
      <c r="X277" s="10" t="s">
        <v>56</v>
      </c>
      <c r="Y277" s="10" t="s">
        <v>57</v>
      </c>
      <c r="Z277" s="75"/>
      <c r="AA277" s="76"/>
      <c r="AB277" s="77">
        <v>14024</v>
      </c>
      <c r="AC277" s="77">
        <v>14024</v>
      </c>
      <c r="AD277" s="10"/>
      <c r="AG277" s="7">
        <v>1938</v>
      </c>
      <c r="AH277" s="7">
        <v>1930</v>
      </c>
      <c r="AI277" s="7"/>
      <c r="AJ277" s="73"/>
      <c r="AK277" s="7"/>
      <c r="AL277" s="16"/>
      <c r="AM277" s="2" t="s">
        <v>59</v>
      </c>
      <c r="AW277" s="6">
        <f t="shared" ca="1" si="5"/>
        <v>87</v>
      </c>
    </row>
    <row r="278" ht="45" customHeight="1">
      <c r="A278" s="69"/>
      <c r="B278" s="3" t="s">
        <v>47</v>
      </c>
      <c r="E278" s="2" t="s">
        <v>63</v>
      </c>
      <c r="F278" s="6" t="s">
        <v>172</v>
      </c>
      <c r="G278" s="5" t="s">
        <v>791</v>
      </c>
      <c r="H278" s="2" t="s">
        <v>57</v>
      </c>
      <c r="I278" s="3" t="s">
        <v>792</v>
      </c>
      <c r="J278" s="7">
        <v>1</v>
      </c>
      <c r="K278" s="70" t="s">
        <v>53</v>
      </c>
      <c r="L278" s="9">
        <v>0</v>
      </c>
      <c r="M278" s="3">
        <v>155</v>
      </c>
      <c r="N278" s="6">
        <v>1938</v>
      </c>
      <c r="P278" s="71"/>
      <c r="R278" s="6">
        <v>1930</v>
      </c>
      <c r="S278" s="3" t="s">
        <v>54</v>
      </c>
      <c r="T278" s="72"/>
      <c r="U278" s="73"/>
      <c r="W278" s="2" t="s">
        <v>793</v>
      </c>
      <c r="X278" s="10" t="s">
        <v>56</v>
      </c>
      <c r="Y278" s="10" t="s">
        <v>57</v>
      </c>
      <c r="Z278" s="75"/>
      <c r="AA278" s="76"/>
      <c r="AB278" s="77">
        <v>14024</v>
      </c>
      <c r="AC278" s="77">
        <v>14024</v>
      </c>
      <c r="AG278" s="7">
        <v>1938</v>
      </c>
      <c r="AH278" s="7">
        <v>1930</v>
      </c>
      <c r="AI278" s="7"/>
      <c r="AJ278" s="73"/>
      <c r="AK278" s="7"/>
      <c r="AL278" s="16" t="s">
        <v>498</v>
      </c>
      <c r="AM278" s="2" t="s">
        <v>59</v>
      </c>
      <c r="AW278" s="6">
        <f t="shared" ca="1" si="5"/>
        <v>87</v>
      </c>
    </row>
    <row r="279" ht="45" customHeight="1">
      <c r="A279" s="69"/>
      <c r="B279" s="3" t="s">
        <v>47</v>
      </c>
      <c r="E279" s="2" t="s">
        <v>63</v>
      </c>
      <c r="F279" s="6" t="s">
        <v>172</v>
      </c>
      <c r="G279" s="5" t="s">
        <v>794</v>
      </c>
      <c r="H279" s="2" t="s">
        <v>181</v>
      </c>
      <c r="I279" s="3" t="s">
        <v>795</v>
      </c>
      <c r="J279" s="7">
        <v>1</v>
      </c>
      <c r="K279" s="70" t="s">
        <v>53</v>
      </c>
      <c r="L279" s="9">
        <v>0</v>
      </c>
      <c r="M279" s="3">
        <v>155</v>
      </c>
      <c r="N279" s="6">
        <v>1938</v>
      </c>
      <c r="P279" s="71"/>
      <c r="R279" s="6">
        <v>1930</v>
      </c>
      <c r="S279" s="3" t="s">
        <v>54</v>
      </c>
      <c r="T279" s="72"/>
      <c r="U279" s="73"/>
      <c r="W279" s="2" t="s">
        <v>796</v>
      </c>
      <c r="X279" s="10" t="s">
        <v>56</v>
      </c>
      <c r="Y279" s="10" t="s">
        <v>57</v>
      </c>
      <c r="Z279" s="75"/>
      <c r="AA279" s="76"/>
      <c r="AB279" s="77">
        <v>14024</v>
      </c>
      <c r="AC279" s="77">
        <v>14024</v>
      </c>
      <c r="AG279" s="7">
        <v>1938</v>
      </c>
      <c r="AH279" s="7">
        <v>1930</v>
      </c>
      <c r="AI279" s="7"/>
      <c r="AJ279" s="73"/>
      <c r="AK279" s="7"/>
      <c r="AL279" s="16" t="s">
        <v>498</v>
      </c>
      <c r="AM279" s="2" t="s">
        <v>59</v>
      </c>
      <c r="AW279" s="6">
        <f t="shared" ca="1" si="5"/>
        <v>87</v>
      </c>
    </row>
    <row r="280" ht="45" customHeight="1">
      <c r="A280" s="69"/>
      <c r="B280" s="3" t="s">
        <v>47</v>
      </c>
      <c r="E280" s="2" t="s">
        <v>83</v>
      </c>
      <c r="F280" s="6" t="s">
        <v>84</v>
      </c>
      <c r="G280" s="5" t="s">
        <v>797</v>
      </c>
      <c r="H280" s="2" t="s">
        <v>57</v>
      </c>
      <c r="I280" s="3" t="s">
        <v>798</v>
      </c>
      <c r="J280" s="7">
        <v>1</v>
      </c>
      <c r="K280" s="70" t="s">
        <v>53</v>
      </c>
      <c r="L280" s="9">
        <v>0</v>
      </c>
      <c r="M280" s="3">
        <v>155</v>
      </c>
      <c r="N280" s="6">
        <v>1938</v>
      </c>
      <c r="P280" s="71"/>
      <c r="R280" s="6">
        <v>1930</v>
      </c>
      <c r="S280" s="3" t="s">
        <v>54</v>
      </c>
      <c r="T280" s="72"/>
      <c r="U280" s="73"/>
      <c r="W280" s="2" t="s">
        <v>799</v>
      </c>
      <c r="X280" s="10" t="s">
        <v>56</v>
      </c>
      <c r="Y280" s="10" t="s">
        <v>57</v>
      </c>
      <c r="Z280" s="75"/>
      <c r="AA280" s="76"/>
      <c r="AB280" s="77">
        <v>14024</v>
      </c>
      <c r="AC280" s="77">
        <v>14024</v>
      </c>
      <c r="AG280" s="7">
        <v>1938</v>
      </c>
      <c r="AH280" s="7">
        <v>1930</v>
      </c>
      <c r="AI280" s="7"/>
      <c r="AJ280" s="73"/>
      <c r="AK280" s="7"/>
      <c r="AL280" s="16" t="s">
        <v>498</v>
      </c>
      <c r="AM280" s="2" t="s">
        <v>59</v>
      </c>
      <c r="AW280" s="6">
        <f t="shared" ca="1" si="5"/>
        <v>87</v>
      </c>
    </row>
    <row r="281" ht="45" customHeight="1" outlineLevel="1">
      <c r="A281" s="69"/>
      <c r="B281" s="3" t="s">
        <v>47</v>
      </c>
      <c r="E281" s="2" t="s">
        <v>48</v>
      </c>
      <c r="F281" s="6" t="s">
        <v>140</v>
      </c>
      <c r="G281" s="5" t="s">
        <v>532</v>
      </c>
      <c r="H281" s="2" t="s">
        <v>57</v>
      </c>
      <c r="I281" s="3" t="s">
        <v>800</v>
      </c>
      <c r="J281" s="7">
        <v>1</v>
      </c>
      <c r="K281" s="70" t="s">
        <v>53</v>
      </c>
      <c r="L281" s="9">
        <v>0</v>
      </c>
      <c r="M281" s="3">
        <v>155</v>
      </c>
      <c r="N281" s="6">
        <v>1938</v>
      </c>
      <c r="P281" s="71"/>
      <c r="R281" s="6">
        <v>1930</v>
      </c>
      <c r="S281" s="3" t="s">
        <v>54</v>
      </c>
      <c r="T281" s="72"/>
      <c r="U281" s="73"/>
      <c r="W281" s="2" t="s">
        <v>801</v>
      </c>
      <c r="X281" s="10" t="s">
        <v>56</v>
      </c>
      <c r="Y281" s="10" t="s">
        <v>57</v>
      </c>
      <c r="Z281" s="75"/>
      <c r="AA281" s="76"/>
      <c r="AB281" s="77">
        <v>14024</v>
      </c>
      <c r="AC281" s="77">
        <v>14024</v>
      </c>
      <c r="AG281" s="7">
        <v>1938</v>
      </c>
      <c r="AH281" s="7">
        <v>1930</v>
      </c>
      <c r="AI281" s="7"/>
      <c r="AJ281" s="73"/>
      <c r="AK281" s="7"/>
      <c r="AL281" s="16" t="s">
        <v>498</v>
      </c>
      <c r="AM281" s="2" t="s">
        <v>59</v>
      </c>
      <c r="AO281" s="6" t="s">
        <v>59</v>
      </c>
      <c r="AW281" s="6">
        <f t="shared" ca="1" si="5"/>
        <v>87</v>
      </c>
    </row>
    <row r="282" ht="45" customHeight="1">
      <c r="A282" s="69"/>
      <c r="B282" s="3" t="s">
        <v>47</v>
      </c>
      <c r="E282" s="2" t="s">
        <v>63</v>
      </c>
      <c r="F282" s="6" t="s">
        <v>64</v>
      </c>
      <c r="G282" s="5" t="s">
        <v>802</v>
      </c>
      <c r="H282" s="2" t="s">
        <v>57</v>
      </c>
      <c r="I282" s="3" t="s">
        <v>803</v>
      </c>
      <c r="J282" s="7">
        <v>1</v>
      </c>
      <c r="K282" s="70" t="s">
        <v>53</v>
      </c>
      <c r="L282" s="9">
        <v>0</v>
      </c>
      <c r="M282" s="3">
        <v>155</v>
      </c>
      <c r="N282" s="6">
        <v>1938</v>
      </c>
      <c r="P282" s="71"/>
      <c r="R282" s="6">
        <v>1930</v>
      </c>
      <c r="S282" s="3" t="s">
        <v>54</v>
      </c>
      <c r="T282" s="72"/>
      <c r="U282" s="73"/>
      <c r="W282" s="2" t="s">
        <v>804</v>
      </c>
      <c r="X282" s="10" t="s">
        <v>56</v>
      </c>
      <c r="Y282" s="10" t="s">
        <v>57</v>
      </c>
      <c r="Z282" s="75"/>
      <c r="AA282" s="76"/>
      <c r="AB282" s="77">
        <v>14024</v>
      </c>
      <c r="AC282" s="77">
        <v>14024</v>
      </c>
      <c r="AG282" s="7">
        <v>1938</v>
      </c>
      <c r="AH282" s="7">
        <v>1930</v>
      </c>
      <c r="AI282" s="7"/>
      <c r="AJ282" s="73"/>
      <c r="AK282" s="7"/>
      <c r="AL282" s="16" t="s">
        <v>498</v>
      </c>
      <c r="AM282" s="2" t="s">
        <v>59</v>
      </c>
      <c r="AW282" s="6">
        <f t="shared" ca="1" si="5"/>
        <v>87</v>
      </c>
    </row>
    <row r="283" ht="45" customHeight="1">
      <c r="A283" s="69"/>
      <c r="B283" s="3" t="s">
        <v>47</v>
      </c>
      <c r="E283" s="2" t="s">
        <v>83</v>
      </c>
      <c r="F283" s="6" t="s">
        <v>84</v>
      </c>
      <c r="G283" s="5" t="s">
        <v>85</v>
      </c>
      <c r="H283" s="2" t="s">
        <v>57</v>
      </c>
      <c r="I283" s="3" t="s">
        <v>805</v>
      </c>
      <c r="J283" s="7">
        <v>1</v>
      </c>
      <c r="K283" s="70" t="s">
        <v>53</v>
      </c>
      <c r="L283" s="9">
        <v>0</v>
      </c>
      <c r="M283" s="3">
        <v>155</v>
      </c>
      <c r="N283" s="6">
        <v>1938</v>
      </c>
      <c r="P283" s="71"/>
      <c r="R283" s="6">
        <v>1930</v>
      </c>
      <c r="S283" s="3" t="s">
        <v>54</v>
      </c>
      <c r="T283" s="72"/>
      <c r="U283" s="73"/>
      <c r="W283" s="2" t="s">
        <v>806</v>
      </c>
      <c r="X283" s="10" t="s">
        <v>56</v>
      </c>
      <c r="Y283" s="10" t="s">
        <v>57</v>
      </c>
      <c r="Z283" s="75"/>
      <c r="AA283" s="76"/>
      <c r="AB283" s="77">
        <v>14024</v>
      </c>
      <c r="AC283" s="77">
        <v>14024</v>
      </c>
      <c r="AG283" s="7">
        <v>1938</v>
      </c>
      <c r="AH283" s="7">
        <v>1930</v>
      </c>
      <c r="AI283" s="7"/>
      <c r="AJ283" s="73"/>
      <c r="AK283" s="7"/>
      <c r="AL283" s="16" t="s">
        <v>498</v>
      </c>
      <c r="AM283" s="2" t="s">
        <v>59</v>
      </c>
      <c r="AO283" s="6" t="s">
        <v>100</v>
      </c>
      <c r="AP283" s="6" t="s">
        <v>73</v>
      </c>
      <c r="AQ283" s="5" t="s">
        <v>104</v>
      </c>
      <c r="AR283" s="2" t="s">
        <v>73</v>
      </c>
      <c r="AT283" s="6">
        <v>2013</v>
      </c>
      <c r="AU283" s="16" t="s">
        <v>101</v>
      </c>
      <c r="AW283" s="6">
        <f t="shared" ca="1" si="5"/>
        <v>87</v>
      </c>
    </row>
    <row r="284" ht="45" customHeight="1">
      <c r="A284" s="69"/>
      <c r="B284" s="3" t="s">
        <v>47</v>
      </c>
      <c r="E284" s="2" t="s">
        <v>83</v>
      </c>
      <c r="F284" s="6" t="s">
        <v>84</v>
      </c>
      <c r="G284" s="5" t="s">
        <v>85</v>
      </c>
      <c r="H284" s="2" t="s">
        <v>57</v>
      </c>
      <c r="I284" s="3" t="s">
        <v>683</v>
      </c>
      <c r="J284" s="7">
        <v>1</v>
      </c>
      <c r="K284" s="70" t="s">
        <v>53</v>
      </c>
      <c r="L284" s="9">
        <v>0</v>
      </c>
      <c r="M284" s="3">
        <v>155</v>
      </c>
      <c r="N284" s="6">
        <v>1938</v>
      </c>
      <c r="P284" s="71"/>
      <c r="R284" s="6">
        <v>1930</v>
      </c>
      <c r="S284" s="3" t="s">
        <v>54</v>
      </c>
      <c r="T284" s="72"/>
      <c r="U284" s="73"/>
      <c r="W284" s="2" t="s">
        <v>807</v>
      </c>
      <c r="X284" s="10" t="s">
        <v>56</v>
      </c>
      <c r="Y284" s="10" t="s">
        <v>57</v>
      </c>
      <c r="Z284" s="75"/>
      <c r="AA284" s="76"/>
      <c r="AB284" s="77">
        <v>14024</v>
      </c>
      <c r="AC284" s="77">
        <v>14024</v>
      </c>
      <c r="AD284" s="84"/>
      <c r="AE284" s="11"/>
      <c r="AG284" s="7">
        <v>1938</v>
      </c>
      <c r="AH284" s="7">
        <v>1930</v>
      </c>
      <c r="AI284" s="7"/>
      <c r="AJ284" s="73"/>
      <c r="AK284" s="7"/>
      <c r="AL284" s="16"/>
      <c r="AM284" s="2" t="s">
        <v>59</v>
      </c>
      <c r="AO284" s="6" t="s">
        <v>100</v>
      </c>
      <c r="AP284" s="6" t="s">
        <v>73</v>
      </c>
      <c r="AQ284" s="5" t="s">
        <v>73</v>
      </c>
      <c r="AR284" s="2" t="s">
        <v>73</v>
      </c>
      <c r="AT284" s="6">
        <v>2013</v>
      </c>
      <c r="AU284" s="16" t="s">
        <v>101</v>
      </c>
      <c r="AW284" s="6">
        <f t="shared" ca="1" si="5"/>
        <v>87</v>
      </c>
    </row>
    <row r="285" ht="45" customHeight="1" outlineLevel="1">
      <c r="A285" s="69"/>
      <c r="B285" s="3" t="s">
        <v>47</v>
      </c>
      <c r="E285" s="2" t="s">
        <v>63</v>
      </c>
      <c r="F285" s="6" t="s">
        <v>172</v>
      </c>
      <c r="G285" s="5" t="s">
        <v>173</v>
      </c>
      <c r="H285" s="2" t="s">
        <v>57</v>
      </c>
      <c r="I285" s="3" t="s">
        <v>808</v>
      </c>
      <c r="J285" s="7">
        <v>1</v>
      </c>
      <c r="K285" s="70" t="s">
        <v>53</v>
      </c>
      <c r="L285" s="9">
        <v>0</v>
      </c>
      <c r="M285" s="3">
        <v>155</v>
      </c>
      <c r="N285" s="6">
        <v>1938</v>
      </c>
      <c r="P285" s="71"/>
      <c r="R285" s="6">
        <v>1930</v>
      </c>
      <c r="S285" s="3" t="s">
        <v>54</v>
      </c>
      <c r="T285" s="72"/>
      <c r="U285" s="73"/>
      <c r="W285" s="2" t="s">
        <v>809</v>
      </c>
      <c r="X285" s="10" t="s">
        <v>56</v>
      </c>
      <c r="Y285" s="10" t="s">
        <v>57</v>
      </c>
      <c r="Z285" s="75"/>
      <c r="AA285" s="76"/>
      <c r="AB285" s="77">
        <v>14024</v>
      </c>
      <c r="AC285" s="77">
        <v>14024</v>
      </c>
      <c r="AD285" s="10"/>
      <c r="AG285" s="7">
        <v>1938</v>
      </c>
      <c r="AH285" s="7">
        <v>1930</v>
      </c>
      <c r="AI285" s="7"/>
      <c r="AJ285" s="73"/>
      <c r="AK285" s="7"/>
      <c r="AL285" s="16"/>
      <c r="AM285" s="2" t="s">
        <v>59</v>
      </c>
      <c r="AU285" s="16" t="s">
        <v>810</v>
      </c>
      <c r="AW285" s="6">
        <f t="shared" ca="1" si="5"/>
        <v>87</v>
      </c>
    </row>
    <row r="286" ht="45" customHeight="1">
      <c r="A286" s="69"/>
      <c r="B286" s="3" t="s">
        <v>47</v>
      </c>
      <c r="E286" s="2" t="s">
        <v>63</v>
      </c>
      <c r="F286" s="6" t="s">
        <v>172</v>
      </c>
      <c r="G286" s="5" t="s">
        <v>173</v>
      </c>
      <c r="H286" s="2" t="s">
        <v>57</v>
      </c>
      <c r="I286" s="3" t="s">
        <v>811</v>
      </c>
      <c r="J286" s="7">
        <v>1</v>
      </c>
      <c r="K286" s="70" t="s">
        <v>53</v>
      </c>
      <c r="L286" s="9">
        <v>0</v>
      </c>
      <c r="M286" s="3">
        <v>155</v>
      </c>
      <c r="N286" s="6">
        <v>1938</v>
      </c>
      <c r="P286" s="71"/>
      <c r="R286" s="6">
        <v>1930</v>
      </c>
      <c r="S286" s="3" t="s">
        <v>54</v>
      </c>
      <c r="T286" s="72"/>
      <c r="U286" s="73"/>
      <c r="W286" s="2" t="s">
        <v>812</v>
      </c>
      <c r="X286" s="10" t="s">
        <v>56</v>
      </c>
      <c r="Y286" s="10" t="s">
        <v>57</v>
      </c>
      <c r="Z286" s="75"/>
      <c r="AA286" s="76"/>
      <c r="AB286" s="77">
        <v>14024</v>
      </c>
      <c r="AC286" s="77">
        <v>14024</v>
      </c>
      <c r="AD286" s="10"/>
      <c r="AG286" s="7">
        <v>1938</v>
      </c>
      <c r="AH286" s="7">
        <v>1930</v>
      </c>
      <c r="AI286" s="7"/>
      <c r="AJ286" s="73"/>
      <c r="AK286" s="7"/>
      <c r="AL286" s="16"/>
      <c r="AM286" s="2" t="s">
        <v>59</v>
      </c>
      <c r="AU286" s="16" t="s">
        <v>810</v>
      </c>
      <c r="AW286" s="6">
        <f t="shared" ca="1" si="5"/>
        <v>87</v>
      </c>
    </row>
    <row r="287" ht="45" customHeight="1">
      <c r="A287" s="69"/>
      <c r="B287" s="3" t="s">
        <v>47</v>
      </c>
      <c r="E287" s="2" t="s">
        <v>63</v>
      </c>
      <c r="F287" s="6" t="s">
        <v>172</v>
      </c>
      <c r="G287" s="5" t="s">
        <v>173</v>
      </c>
      <c r="H287" s="2" t="s">
        <v>57</v>
      </c>
      <c r="I287" s="3" t="s">
        <v>813</v>
      </c>
      <c r="J287" s="7">
        <v>1</v>
      </c>
      <c r="K287" s="70" t="s">
        <v>53</v>
      </c>
      <c r="L287" s="9">
        <v>0</v>
      </c>
      <c r="M287" s="3">
        <v>155</v>
      </c>
      <c r="N287" s="6">
        <v>1938</v>
      </c>
      <c r="P287" s="71"/>
      <c r="R287" s="6">
        <v>1930</v>
      </c>
      <c r="S287" s="3" t="s">
        <v>54</v>
      </c>
      <c r="T287" s="72"/>
      <c r="U287" s="73"/>
      <c r="W287" s="2" t="s">
        <v>814</v>
      </c>
      <c r="X287" s="10" t="s">
        <v>56</v>
      </c>
      <c r="Y287" s="10" t="s">
        <v>57</v>
      </c>
      <c r="Z287" s="75"/>
      <c r="AA287" s="76"/>
      <c r="AB287" s="77">
        <v>14024</v>
      </c>
      <c r="AC287" s="77">
        <v>14024</v>
      </c>
      <c r="AD287" s="10"/>
      <c r="AG287" s="7">
        <v>1938</v>
      </c>
      <c r="AH287" s="7">
        <v>1930</v>
      </c>
      <c r="AI287" s="7"/>
      <c r="AJ287" s="73"/>
      <c r="AK287" s="7"/>
      <c r="AL287" s="16"/>
      <c r="AM287" s="2" t="s">
        <v>59</v>
      </c>
      <c r="AU287" s="16" t="s">
        <v>810</v>
      </c>
      <c r="AW287" s="6">
        <f t="shared" ca="1" si="5"/>
        <v>87</v>
      </c>
    </row>
    <row r="288" ht="45" customHeight="1">
      <c r="A288" s="69"/>
      <c r="B288" s="3" t="s">
        <v>47</v>
      </c>
      <c r="E288" s="2" t="s">
        <v>63</v>
      </c>
      <c r="F288" s="6" t="s">
        <v>172</v>
      </c>
      <c r="G288" s="5" t="s">
        <v>173</v>
      </c>
      <c r="H288" s="2" t="s">
        <v>57</v>
      </c>
      <c r="I288" s="3" t="s">
        <v>815</v>
      </c>
      <c r="J288" s="7">
        <v>1</v>
      </c>
      <c r="K288" s="70" t="s">
        <v>53</v>
      </c>
      <c r="L288" s="9">
        <v>0</v>
      </c>
      <c r="M288" s="3">
        <v>155</v>
      </c>
      <c r="N288" s="6">
        <v>1938</v>
      </c>
      <c r="P288" s="71"/>
      <c r="R288" s="6">
        <v>1930</v>
      </c>
      <c r="S288" s="3" t="s">
        <v>54</v>
      </c>
      <c r="T288" s="72"/>
      <c r="U288" s="73"/>
      <c r="W288" s="2" t="s">
        <v>816</v>
      </c>
      <c r="X288" s="10" t="s">
        <v>56</v>
      </c>
      <c r="Y288" s="10" t="s">
        <v>57</v>
      </c>
      <c r="Z288" s="75"/>
      <c r="AA288" s="76"/>
      <c r="AB288" s="77">
        <v>14024</v>
      </c>
      <c r="AC288" s="77">
        <v>14024</v>
      </c>
      <c r="AD288" s="10"/>
      <c r="AG288" s="7">
        <v>1938</v>
      </c>
      <c r="AH288" s="7">
        <v>1930</v>
      </c>
      <c r="AI288" s="7"/>
      <c r="AJ288" s="73"/>
      <c r="AK288" s="7"/>
      <c r="AL288" s="16"/>
      <c r="AM288" s="2" t="s">
        <v>59</v>
      </c>
      <c r="AU288" s="16" t="s">
        <v>810</v>
      </c>
      <c r="AW288" s="6">
        <f t="shared" ca="1" si="5"/>
        <v>87</v>
      </c>
    </row>
    <row r="289" ht="45" customHeight="1">
      <c r="A289" s="69"/>
      <c r="B289" s="3" t="s">
        <v>47</v>
      </c>
      <c r="E289" s="2" t="s">
        <v>83</v>
      </c>
      <c r="F289" s="6" t="s">
        <v>84</v>
      </c>
      <c r="G289" s="5" t="s">
        <v>85</v>
      </c>
      <c r="H289" s="2" t="s">
        <v>57</v>
      </c>
      <c r="I289" s="3" t="s">
        <v>817</v>
      </c>
      <c r="J289" s="7">
        <v>1</v>
      </c>
      <c r="K289" s="70" t="s">
        <v>53</v>
      </c>
      <c r="L289" s="9">
        <v>1</v>
      </c>
      <c r="M289" s="3">
        <v>156</v>
      </c>
      <c r="N289" s="6">
        <v>1938</v>
      </c>
      <c r="P289" s="71"/>
      <c r="R289" s="6">
        <v>1930</v>
      </c>
      <c r="S289" s="3" t="s">
        <v>54</v>
      </c>
      <c r="T289" s="72"/>
      <c r="U289" s="73"/>
      <c r="W289" s="2" t="s">
        <v>818</v>
      </c>
      <c r="X289" s="10" t="s">
        <v>56</v>
      </c>
      <c r="Y289" s="10" t="s">
        <v>57</v>
      </c>
      <c r="Z289" s="75"/>
      <c r="AA289" s="76"/>
      <c r="AB289" s="77">
        <v>14024</v>
      </c>
      <c r="AC289" s="77">
        <v>14024</v>
      </c>
      <c r="AD289" s="10"/>
      <c r="AG289" s="7">
        <v>1938</v>
      </c>
      <c r="AH289" s="7">
        <v>1930</v>
      </c>
      <c r="AI289" s="7"/>
      <c r="AJ289" s="73"/>
      <c r="AK289" s="7"/>
      <c r="AL289" s="16"/>
      <c r="AM289" s="2" t="s">
        <v>59</v>
      </c>
      <c r="AW289" s="6">
        <f t="shared" ca="1" si="5"/>
        <v>87</v>
      </c>
    </row>
    <row r="290" ht="45" customHeight="1" outlineLevel="1">
      <c r="A290" s="69"/>
      <c r="B290" s="3" t="s">
        <v>190</v>
      </c>
      <c r="C290" s="4" t="s">
        <v>819</v>
      </c>
      <c r="D290" s="5" t="s">
        <v>820</v>
      </c>
      <c r="E290" s="2" t="s">
        <v>83</v>
      </c>
      <c r="F290" s="6" t="s">
        <v>84</v>
      </c>
      <c r="G290" s="5" t="s">
        <v>85</v>
      </c>
      <c r="H290" s="2" t="s">
        <v>501</v>
      </c>
      <c r="I290" s="3" t="s">
        <v>821</v>
      </c>
      <c r="J290" s="7">
        <v>1</v>
      </c>
      <c r="K290" s="70" t="s">
        <v>53</v>
      </c>
      <c r="L290" s="9">
        <v>1</v>
      </c>
      <c r="M290" s="3">
        <v>157</v>
      </c>
      <c r="N290" s="6">
        <v>1938</v>
      </c>
      <c r="P290" s="71"/>
      <c r="R290" s="6">
        <v>1930</v>
      </c>
      <c r="S290" s="3" t="s">
        <v>195</v>
      </c>
      <c r="T290" s="72"/>
      <c r="U290" s="73"/>
      <c r="W290" s="74" t="s">
        <v>822</v>
      </c>
      <c r="X290" s="10" t="s">
        <v>504</v>
      </c>
      <c r="Y290" s="10" t="s">
        <v>501</v>
      </c>
      <c r="Z290" s="75"/>
      <c r="AA290" s="76">
        <v>14030</v>
      </c>
      <c r="AB290" s="77"/>
      <c r="AC290" s="77"/>
      <c r="AD290" s="6"/>
      <c r="AG290" s="7">
        <v>1938</v>
      </c>
      <c r="AH290" s="7">
        <v>1930</v>
      </c>
      <c r="AI290" s="7"/>
      <c r="AJ290" s="73"/>
      <c r="AK290" s="7"/>
      <c r="AL290" s="16" t="s">
        <v>823</v>
      </c>
      <c r="AM290" s="2" t="s">
        <v>53</v>
      </c>
      <c r="AO290" s="6" t="s">
        <v>100</v>
      </c>
      <c r="AP290" s="6" t="s">
        <v>104</v>
      </c>
      <c r="AQ290" s="5" t="s">
        <v>104</v>
      </c>
      <c r="AR290" s="87" t="s">
        <v>73</v>
      </c>
      <c r="AS290" s="88"/>
      <c r="AT290" s="88">
        <v>2000</v>
      </c>
      <c r="AU290" s="89" t="s">
        <v>824</v>
      </c>
      <c r="AV290" s="90"/>
      <c r="AW290" s="6">
        <f t="shared" ca="1" si="5"/>
        <v>87</v>
      </c>
    </row>
    <row r="291" ht="45" customHeight="1">
      <c r="A291" s="69">
        <v>45155</v>
      </c>
      <c r="B291" s="3" t="s">
        <v>190</v>
      </c>
      <c r="C291" s="4" t="s">
        <v>825</v>
      </c>
      <c r="D291" s="5" t="s">
        <v>826</v>
      </c>
      <c r="E291" s="2" t="s">
        <v>83</v>
      </c>
      <c r="F291" s="6" t="s">
        <v>84</v>
      </c>
      <c r="G291" s="5" t="s">
        <v>85</v>
      </c>
      <c r="H291" s="2" t="s">
        <v>57</v>
      </c>
      <c r="I291" s="3" t="s">
        <v>827</v>
      </c>
      <c r="J291" s="7">
        <v>1</v>
      </c>
      <c r="K291" s="70" t="s">
        <v>53</v>
      </c>
      <c r="L291" s="9">
        <v>1</v>
      </c>
      <c r="M291" s="3">
        <v>158</v>
      </c>
      <c r="N291" s="6">
        <v>1938</v>
      </c>
      <c r="P291" s="71" t="s">
        <v>828</v>
      </c>
      <c r="R291" s="6">
        <v>1930</v>
      </c>
      <c r="S291" s="3" t="s">
        <v>195</v>
      </c>
      <c r="T291" s="72"/>
      <c r="U291" s="73"/>
      <c r="V291" s="12" t="s">
        <v>829</v>
      </c>
      <c r="W291" s="74" t="s">
        <v>830</v>
      </c>
      <c r="X291" s="10" t="s">
        <v>56</v>
      </c>
      <c r="Y291" s="10" t="s">
        <v>57</v>
      </c>
      <c r="Z291" s="75"/>
      <c r="AA291" s="76"/>
      <c r="AB291" s="77">
        <v>14081</v>
      </c>
      <c r="AC291" s="77">
        <v>14081</v>
      </c>
      <c r="AD291" s="84"/>
      <c r="AE291" s="11"/>
      <c r="AG291" s="7">
        <v>1938</v>
      </c>
      <c r="AH291" s="7">
        <v>1930</v>
      </c>
      <c r="AI291" s="7"/>
      <c r="AJ291" s="73"/>
      <c r="AK291" s="7"/>
      <c r="AL291" s="16"/>
      <c r="AM291" s="2" t="s">
        <v>59</v>
      </c>
      <c r="AO291" s="6" t="s">
        <v>100</v>
      </c>
      <c r="AP291" s="6" t="s">
        <v>73</v>
      </c>
      <c r="AQ291" s="5" t="s">
        <v>73</v>
      </c>
      <c r="AR291" s="2" t="s">
        <v>73</v>
      </c>
      <c r="AT291" s="6">
        <v>1986</v>
      </c>
      <c r="AU291" s="16" t="s">
        <v>831</v>
      </c>
      <c r="AW291" s="6">
        <f t="shared" ref="AW291:AW354" ca="1" si="6">IF(N291&lt;&gt;0,(YEAR(TODAY())-N291),(""))</f>
        <v>87</v>
      </c>
    </row>
    <row r="292" ht="45" customHeight="1">
      <c r="A292" s="69"/>
      <c r="B292" s="3" t="s">
        <v>47</v>
      </c>
      <c r="E292" s="2" t="s">
        <v>83</v>
      </c>
      <c r="F292" s="6" t="s">
        <v>84</v>
      </c>
      <c r="G292" s="5" t="s">
        <v>85</v>
      </c>
      <c r="H292" s="2" t="s">
        <v>57</v>
      </c>
      <c r="I292" s="3" t="s">
        <v>832</v>
      </c>
      <c r="J292" s="7">
        <v>1</v>
      </c>
      <c r="K292" s="70" t="s">
        <v>53</v>
      </c>
      <c r="L292" s="9">
        <v>1</v>
      </c>
      <c r="M292" s="3">
        <v>159</v>
      </c>
      <c r="N292" s="6">
        <v>1938</v>
      </c>
      <c r="P292" s="71"/>
      <c r="R292" s="6">
        <v>1930</v>
      </c>
      <c r="S292" s="3" t="s">
        <v>54</v>
      </c>
      <c r="T292" s="72"/>
      <c r="U292" s="73"/>
      <c r="W292" s="2" t="s">
        <v>833</v>
      </c>
      <c r="X292" s="10" t="s">
        <v>56</v>
      </c>
      <c r="Y292" s="10" t="s">
        <v>57</v>
      </c>
      <c r="Z292" s="75"/>
      <c r="AA292" s="76"/>
      <c r="AB292" s="77">
        <v>13976</v>
      </c>
      <c r="AC292" s="77"/>
      <c r="AD292" s="84"/>
      <c r="AE292" s="11"/>
      <c r="AG292" s="7">
        <v>1938</v>
      </c>
      <c r="AH292" s="7">
        <v>1930</v>
      </c>
      <c r="AI292" s="7"/>
      <c r="AJ292" s="73"/>
      <c r="AK292" s="7"/>
      <c r="AL292" s="16" t="s">
        <v>834</v>
      </c>
      <c r="AM292" s="2" t="s">
        <v>59</v>
      </c>
      <c r="AO292" s="6" t="s">
        <v>59</v>
      </c>
      <c r="AP292" s="6" t="s">
        <v>73</v>
      </c>
      <c r="AQ292" s="5" t="s">
        <v>73</v>
      </c>
      <c r="AU292" s="16" t="s">
        <v>834</v>
      </c>
      <c r="AW292" s="6">
        <f t="shared" ca="1" si="6"/>
        <v>87</v>
      </c>
    </row>
    <row r="293" ht="45" customHeight="1">
      <c r="A293" s="69"/>
      <c r="B293" s="3" t="s">
        <v>47</v>
      </c>
      <c r="E293" s="2" t="s">
        <v>83</v>
      </c>
      <c r="F293" s="6" t="s">
        <v>84</v>
      </c>
      <c r="G293" s="5" t="s">
        <v>835</v>
      </c>
      <c r="H293" s="2" t="s">
        <v>51</v>
      </c>
      <c r="I293" s="3" t="s">
        <v>378</v>
      </c>
      <c r="J293" s="7">
        <v>1</v>
      </c>
      <c r="K293" s="70" t="s">
        <v>53</v>
      </c>
      <c r="L293" s="9">
        <v>1</v>
      </c>
      <c r="M293" s="3">
        <v>160</v>
      </c>
      <c r="N293" s="6">
        <v>1938</v>
      </c>
      <c r="P293" s="71"/>
      <c r="R293" s="6">
        <v>1930</v>
      </c>
      <c r="S293" s="3" t="s">
        <v>54</v>
      </c>
      <c r="T293" s="72"/>
      <c r="U293" s="73"/>
      <c r="W293" s="2" t="s">
        <v>836</v>
      </c>
      <c r="X293" s="10" t="s">
        <v>56</v>
      </c>
      <c r="Y293" s="10" t="s">
        <v>57</v>
      </c>
      <c r="Z293" s="75" t="s">
        <v>58</v>
      </c>
      <c r="AA293" s="76"/>
      <c r="AB293" s="77"/>
      <c r="AC293" s="77">
        <v>14025</v>
      </c>
      <c r="AD293" s="10"/>
      <c r="AG293" s="7">
        <v>1938</v>
      </c>
      <c r="AH293" s="7">
        <v>1930</v>
      </c>
      <c r="AI293" s="7"/>
      <c r="AJ293" s="73"/>
      <c r="AK293" s="7"/>
      <c r="AL293" s="16"/>
      <c r="AM293" s="2" t="s">
        <v>59</v>
      </c>
      <c r="AW293" s="6">
        <f t="shared" ca="1" si="6"/>
        <v>87</v>
      </c>
    </row>
    <row r="294" ht="45" customHeight="1" outlineLevel="1">
      <c r="A294" s="69"/>
      <c r="B294" s="3" t="s">
        <v>47</v>
      </c>
      <c r="E294" s="2" t="s">
        <v>48</v>
      </c>
      <c r="F294" s="6" t="s">
        <v>564</v>
      </c>
      <c r="G294" s="5" t="s">
        <v>837</v>
      </c>
      <c r="H294" s="2" t="s">
        <v>57</v>
      </c>
      <c r="I294" s="3" t="s">
        <v>838</v>
      </c>
      <c r="J294" s="7">
        <v>1</v>
      </c>
      <c r="K294" s="70" t="s">
        <v>53</v>
      </c>
      <c r="L294" s="9">
        <v>1</v>
      </c>
      <c r="M294" s="3">
        <v>161</v>
      </c>
      <c r="N294" s="6">
        <v>1938</v>
      </c>
      <c r="P294" s="71"/>
      <c r="R294" s="6">
        <v>1930</v>
      </c>
      <c r="S294" s="3" t="s">
        <v>54</v>
      </c>
      <c r="T294" s="72"/>
      <c r="U294" s="73"/>
      <c r="W294" s="2" t="s">
        <v>839</v>
      </c>
      <c r="X294" s="10" t="s">
        <v>56</v>
      </c>
      <c r="Y294" s="10" t="s">
        <v>57</v>
      </c>
      <c r="Z294" s="75"/>
      <c r="AA294" s="76"/>
      <c r="AB294" s="77">
        <v>14583</v>
      </c>
      <c r="AC294" s="77">
        <v>14583</v>
      </c>
      <c r="AD294" s="10"/>
      <c r="AG294" s="7">
        <v>1939</v>
      </c>
      <c r="AH294" s="7">
        <v>1930</v>
      </c>
      <c r="AI294" s="7"/>
      <c r="AJ294" s="73"/>
      <c r="AK294" s="7"/>
      <c r="AL294" s="16"/>
      <c r="AM294" s="2" t="s">
        <v>59</v>
      </c>
      <c r="AP294" s="6" t="s">
        <v>104</v>
      </c>
      <c r="AQ294" s="5" t="s">
        <v>104</v>
      </c>
      <c r="AW294" s="6">
        <f t="shared" ca="1" si="6"/>
        <v>87</v>
      </c>
    </row>
    <row r="295" ht="45" customHeight="1">
      <c r="A295" s="69"/>
      <c r="B295" s="3" t="s">
        <v>47</v>
      </c>
      <c r="E295" s="78" t="s">
        <v>83</v>
      </c>
      <c r="F295" s="79" t="s">
        <v>84</v>
      </c>
      <c r="G295" s="80" t="s">
        <v>797</v>
      </c>
      <c r="H295" s="78" t="s">
        <v>68</v>
      </c>
      <c r="I295" s="81" t="s">
        <v>840</v>
      </c>
      <c r="J295" s="7">
        <v>1</v>
      </c>
      <c r="K295" s="70" t="s">
        <v>53</v>
      </c>
      <c r="L295" s="9">
        <v>1</v>
      </c>
      <c r="M295" s="3">
        <v>162</v>
      </c>
      <c r="N295" s="6">
        <v>1938</v>
      </c>
      <c r="P295" s="71"/>
      <c r="R295" s="6">
        <v>1930</v>
      </c>
      <c r="S295" s="3" t="s">
        <v>54</v>
      </c>
      <c r="T295" s="72"/>
      <c r="U295" s="73"/>
      <c r="W295" s="78" t="s">
        <v>841</v>
      </c>
      <c r="X295" s="82" t="s">
        <v>56</v>
      </c>
      <c r="Y295" s="82" t="s">
        <v>68</v>
      </c>
      <c r="Z295" s="83" t="s">
        <v>58</v>
      </c>
      <c r="AA295" s="76"/>
      <c r="AB295" s="77"/>
      <c r="AC295" s="77">
        <v>14020</v>
      </c>
      <c r="AD295" s="10"/>
      <c r="AG295" s="7">
        <v>1938</v>
      </c>
      <c r="AH295" s="7">
        <v>1930</v>
      </c>
      <c r="AI295" s="7"/>
      <c r="AJ295" s="73"/>
      <c r="AK295" s="7"/>
      <c r="AL295" s="16"/>
      <c r="AM295" s="2" t="s">
        <v>59</v>
      </c>
      <c r="AW295" s="6">
        <f t="shared" ca="1" si="6"/>
        <v>87</v>
      </c>
    </row>
    <row r="296" ht="45" customHeight="1">
      <c r="A296" s="69"/>
      <c r="B296" s="3" t="s">
        <v>47</v>
      </c>
      <c r="E296" s="78" t="s">
        <v>83</v>
      </c>
      <c r="F296" s="79" t="s">
        <v>84</v>
      </c>
      <c r="G296" s="80" t="s">
        <v>797</v>
      </c>
      <c r="H296" s="78" t="s">
        <v>51</v>
      </c>
      <c r="I296" s="81" t="s">
        <v>842</v>
      </c>
      <c r="J296" s="7">
        <v>1</v>
      </c>
      <c r="K296" s="70" t="s">
        <v>53</v>
      </c>
      <c r="L296" s="9">
        <v>1</v>
      </c>
      <c r="M296" s="3">
        <v>163</v>
      </c>
      <c r="N296" s="6">
        <v>1938</v>
      </c>
      <c r="P296" s="71"/>
      <c r="R296" s="6">
        <v>1930</v>
      </c>
      <c r="S296" s="3" t="s">
        <v>54</v>
      </c>
      <c r="T296" s="72"/>
      <c r="U296" s="73"/>
      <c r="W296" s="78" t="s">
        <v>843</v>
      </c>
      <c r="X296" s="82" t="s">
        <v>56</v>
      </c>
      <c r="Y296" s="82" t="s">
        <v>57</v>
      </c>
      <c r="Z296" s="83" t="s">
        <v>58</v>
      </c>
      <c r="AA296" s="76"/>
      <c r="AB296" s="77">
        <v>17544</v>
      </c>
      <c r="AC296" s="77">
        <v>14115</v>
      </c>
      <c r="AD296" s="10"/>
      <c r="AG296" s="7">
        <v>1938</v>
      </c>
      <c r="AH296" s="7">
        <v>1930</v>
      </c>
      <c r="AI296" s="7"/>
      <c r="AJ296" s="73"/>
      <c r="AK296" s="7"/>
      <c r="AL296" s="16"/>
      <c r="AM296" s="2" t="s">
        <v>59</v>
      </c>
      <c r="AW296" s="6">
        <f t="shared" ca="1" si="6"/>
        <v>87</v>
      </c>
    </row>
    <row r="297" ht="45" customHeight="1">
      <c r="A297" s="69"/>
      <c r="B297" s="3" t="s">
        <v>47</v>
      </c>
      <c r="E297" s="2" t="s">
        <v>83</v>
      </c>
      <c r="F297" s="6" t="s">
        <v>84</v>
      </c>
      <c r="G297" s="5" t="s">
        <v>797</v>
      </c>
      <c r="H297" s="2" t="s">
        <v>51</v>
      </c>
      <c r="I297" s="3" t="s">
        <v>844</v>
      </c>
      <c r="J297" s="7">
        <v>1</v>
      </c>
      <c r="K297" s="70" t="s">
        <v>53</v>
      </c>
      <c r="L297" s="9">
        <v>0</v>
      </c>
      <c r="M297" s="3">
        <v>163</v>
      </c>
      <c r="N297" s="6">
        <v>1938</v>
      </c>
      <c r="P297" s="71"/>
      <c r="R297" s="6">
        <v>1930</v>
      </c>
      <c r="S297" s="3" t="s">
        <v>54</v>
      </c>
      <c r="T297" s="72"/>
      <c r="U297" s="73"/>
      <c r="W297" s="2" t="s">
        <v>845</v>
      </c>
      <c r="X297" s="10" t="s">
        <v>56</v>
      </c>
      <c r="Y297" s="10" t="s">
        <v>57</v>
      </c>
      <c r="Z297" s="75" t="s">
        <v>58</v>
      </c>
      <c r="AA297" s="76"/>
      <c r="AB297" s="77">
        <v>17818</v>
      </c>
      <c r="AC297" s="77">
        <v>14115</v>
      </c>
      <c r="AD297" s="10"/>
      <c r="AG297" s="7">
        <v>1948</v>
      </c>
      <c r="AH297" s="7">
        <v>1940</v>
      </c>
      <c r="AI297" s="7"/>
      <c r="AJ297" s="73"/>
      <c r="AK297" s="7"/>
      <c r="AL297" s="16"/>
      <c r="AM297" s="2" t="s">
        <v>59</v>
      </c>
      <c r="AW297" s="6">
        <f t="shared" ca="1" si="6"/>
        <v>87</v>
      </c>
    </row>
    <row r="298" ht="45" customHeight="1" outlineLevel="1">
      <c r="A298" s="69"/>
      <c r="B298" s="3" t="s">
        <v>47</v>
      </c>
      <c r="E298" s="2" t="s">
        <v>83</v>
      </c>
      <c r="F298" s="6" t="s">
        <v>84</v>
      </c>
      <c r="G298" s="5" t="s">
        <v>797</v>
      </c>
      <c r="H298" s="2" t="s">
        <v>68</v>
      </c>
      <c r="I298" s="3" t="s">
        <v>846</v>
      </c>
      <c r="J298" s="7">
        <v>1</v>
      </c>
      <c r="K298" s="70" t="s">
        <v>53</v>
      </c>
      <c r="L298" s="9">
        <v>1</v>
      </c>
      <c r="M298" s="3">
        <v>164</v>
      </c>
      <c r="N298" s="6">
        <v>1938</v>
      </c>
      <c r="P298" s="71"/>
      <c r="R298" s="6">
        <v>1930</v>
      </c>
      <c r="S298" s="3" t="s">
        <v>54</v>
      </c>
      <c r="T298" s="72"/>
      <c r="U298" s="73"/>
      <c r="W298" s="2" t="s">
        <v>847</v>
      </c>
      <c r="X298" s="112" t="s">
        <v>504</v>
      </c>
      <c r="Y298" s="112" t="s">
        <v>511</v>
      </c>
      <c r="Z298" s="113"/>
      <c r="AA298" s="76">
        <v>14030</v>
      </c>
      <c r="AB298" s="77">
        <v>14947</v>
      </c>
      <c r="AC298" s="77">
        <v>14030</v>
      </c>
      <c r="AD298" s="10"/>
      <c r="AG298" s="7">
        <v>1938</v>
      </c>
      <c r="AH298" s="7">
        <v>1930</v>
      </c>
      <c r="AI298" s="7"/>
      <c r="AJ298" s="73"/>
      <c r="AK298" s="7"/>
      <c r="AL298" s="16"/>
      <c r="AM298" s="2" t="s">
        <v>82</v>
      </c>
      <c r="AW298" s="6">
        <f t="shared" ca="1" si="6"/>
        <v>87</v>
      </c>
    </row>
    <row r="299" ht="45" customHeight="1" outlineLevel="1">
      <c r="A299" s="69"/>
      <c r="B299" s="3" t="s">
        <v>47</v>
      </c>
      <c r="E299" s="2" t="s">
        <v>63</v>
      </c>
      <c r="F299" s="6" t="s">
        <v>172</v>
      </c>
      <c r="G299" s="5" t="s">
        <v>173</v>
      </c>
      <c r="H299" s="2" t="s">
        <v>57</v>
      </c>
      <c r="I299" s="3" t="s">
        <v>848</v>
      </c>
      <c r="J299" s="7">
        <v>1</v>
      </c>
      <c r="K299" s="70" t="s">
        <v>53</v>
      </c>
      <c r="L299" s="9">
        <v>1</v>
      </c>
      <c r="M299" s="3">
        <v>165</v>
      </c>
      <c r="N299" s="6">
        <v>1938</v>
      </c>
      <c r="P299" s="71"/>
      <c r="R299" s="6">
        <v>1930</v>
      </c>
      <c r="S299" s="3" t="s">
        <v>54</v>
      </c>
      <c r="T299" s="72"/>
      <c r="U299" s="73"/>
      <c r="W299" s="2" t="s">
        <v>849</v>
      </c>
      <c r="X299" s="10" t="s">
        <v>56</v>
      </c>
      <c r="Y299" s="10" t="s">
        <v>57</v>
      </c>
      <c r="Z299" s="75"/>
      <c r="AA299" s="76"/>
      <c r="AB299" s="77">
        <v>14045</v>
      </c>
      <c r="AC299" s="77">
        <v>14045</v>
      </c>
      <c r="AD299" s="10"/>
      <c r="AG299" s="7">
        <v>1938</v>
      </c>
      <c r="AH299" s="7">
        <v>1930</v>
      </c>
      <c r="AI299" s="7"/>
      <c r="AJ299" s="73"/>
      <c r="AK299" s="7"/>
      <c r="AL299" s="16"/>
      <c r="AM299" s="2" t="s">
        <v>59</v>
      </c>
      <c r="AW299" s="6">
        <f t="shared" ca="1" si="6"/>
        <v>87</v>
      </c>
    </row>
    <row r="300" ht="45" customHeight="1" outlineLevel="1">
      <c r="A300" s="69"/>
      <c r="B300" s="3" t="s">
        <v>47</v>
      </c>
      <c r="E300" s="2" t="s">
        <v>83</v>
      </c>
      <c r="F300" s="6" t="s">
        <v>84</v>
      </c>
      <c r="G300" s="5" t="s">
        <v>850</v>
      </c>
      <c r="H300" s="2" t="s">
        <v>68</v>
      </c>
      <c r="I300" s="3" t="s">
        <v>851</v>
      </c>
      <c r="J300" s="7">
        <v>1</v>
      </c>
      <c r="K300" s="70" t="s">
        <v>53</v>
      </c>
      <c r="L300" s="9">
        <v>1</v>
      </c>
      <c r="M300" s="3">
        <v>166</v>
      </c>
      <c r="N300" s="6">
        <v>1938</v>
      </c>
      <c r="P300" s="71"/>
      <c r="R300" s="6">
        <v>1930</v>
      </c>
      <c r="S300" s="3" t="s">
        <v>54</v>
      </c>
      <c r="T300" s="72"/>
      <c r="U300" s="73"/>
      <c r="W300" s="2" t="s">
        <v>852</v>
      </c>
      <c r="X300" s="10" t="s">
        <v>56</v>
      </c>
      <c r="Y300" s="10" t="s">
        <v>68</v>
      </c>
      <c r="Z300" s="75"/>
      <c r="AA300" s="76"/>
      <c r="AB300" s="77">
        <v>19990</v>
      </c>
      <c r="AC300" s="77">
        <v>14046</v>
      </c>
      <c r="AD300" s="84"/>
      <c r="AE300" s="11"/>
      <c r="AG300" s="7">
        <v>1938</v>
      </c>
      <c r="AH300" s="7">
        <v>1930</v>
      </c>
      <c r="AJ300" s="73"/>
      <c r="AL300" s="102" t="s">
        <v>853</v>
      </c>
      <c r="AM300" s="2" t="s">
        <v>53</v>
      </c>
      <c r="AN300" s="6" t="s">
        <v>73</v>
      </c>
      <c r="AO300" s="6" t="s">
        <v>59</v>
      </c>
      <c r="AQ300" s="5" t="s">
        <v>104</v>
      </c>
      <c r="AU300" s="16" t="s">
        <v>854</v>
      </c>
      <c r="AW300" s="6">
        <f t="shared" ca="1" si="6"/>
        <v>87</v>
      </c>
    </row>
    <row r="301" ht="45" customHeight="1" outlineLevel="1">
      <c r="A301" s="69"/>
      <c r="B301" s="3" t="s">
        <v>47</v>
      </c>
      <c r="E301" s="2" t="s">
        <v>83</v>
      </c>
      <c r="F301" s="6" t="s">
        <v>179</v>
      </c>
      <c r="G301" s="5" t="s">
        <v>319</v>
      </c>
      <c r="H301" s="2" t="s">
        <v>57</v>
      </c>
      <c r="I301" s="3" t="s">
        <v>855</v>
      </c>
      <c r="J301" s="7">
        <v>1</v>
      </c>
      <c r="K301" s="70" t="s">
        <v>53</v>
      </c>
      <c r="L301" s="9">
        <v>1</v>
      </c>
      <c r="M301" s="3">
        <v>167</v>
      </c>
      <c r="N301" s="6">
        <v>1938</v>
      </c>
      <c r="P301" s="71"/>
      <c r="R301" s="6">
        <v>1930</v>
      </c>
      <c r="S301" s="3" t="s">
        <v>54</v>
      </c>
      <c r="T301" s="72"/>
      <c r="U301" s="73"/>
      <c r="W301" s="2" t="s">
        <v>856</v>
      </c>
      <c r="X301" s="10" t="s">
        <v>56</v>
      </c>
      <c r="Y301" s="10" t="s">
        <v>57</v>
      </c>
      <c r="Z301" s="75"/>
      <c r="AA301" s="76"/>
      <c r="AB301" s="77"/>
      <c r="AC301" s="77">
        <v>14048</v>
      </c>
      <c r="AD301" s="10"/>
      <c r="AG301" s="7">
        <v>1938</v>
      </c>
      <c r="AH301" s="7">
        <v>1930</v>
      </c>
      <c r="AI301" s="7"/>
      <c r="AJ301" s="73"/>
      <c r="AK301" s="7"/>
      <c r="AL301" s="16"/>
      <c r="AM301" s="2" t="s">
        <v>59</v>
      </c>
      <c r="AW301" s="6">
        <f t="shared" ca="1" si="6"/>
        <v>87</v>
      </c>
    </row>
    <row r="302" ht="45" customHeight="1">
      <c r="A302" s="69"/>
      <c r="B302" s="3" t="s">
        <v>47</v>
      </c>
      <c r="E302" s="2" t="s">
        <v>83</v>
      </c>
      <c r="F302" s="6" t="s">
        <v>179</v>
      </c>
      <c r="G302" s="5" t="s">
        <v>857</v>
      </c>
      <c r="H302" s="2" t="s">
        <v>51</v>
      </c>
      <c r="I302" s="3" t="s">
        <v>579</v>
      </c>
      <c r="J302" s="7">
        <v>1</v>
      </c>
      <c r="K302" s="70" t="s">
        <v>53</v>
      </c>
      <c r="L302" s="9">
        <v>1</v>
      </c>
      <c r="M302" s="3">
        <v>168</v>
      </c>
      <c r="N302" s="6">
        <v>1938</v>
      </c>
      <c r="P302" s="71"/>
      <c r="R302" s="6">
        <v>1930</v>
      </c>
      <c r="S302" s="3" t="s">
        <v>54</v>
      </c>
      <c r="T302" s="72"/>
      <c r="U302" s="73"/>
      <c r="W302" s="2" t="s">
        <v>858</v>
      </c>
      <c r="X302" s="10" t="s">
        <v>56</v>
      </c>
      <c r="Y302" s="10" t="s">
        <v>57</v>
      </c>
      <c r="Z302" s="75" t="s">
        <v>58</v>
      </c>
      <c r="AA302" s="76"/>
      <c r="AB302" s="77"/>
      <c r="AC302" s="77">
        <v>14044</v>
      </c>
      <c r="AD302" s="10"/>
      <c r="AG302" s="7">
        <v>1938</v>
      </c>
      <c r="AH302" s="7">
        <v>1930</v>
      </c>
      <c r="AI302" s="7"/>
      <c r="AJ302" s="73"/>
      <c r="AK302" s="7"/>
      <c r="AL302" s="16"/>
      <c r="AM302" s="2" t="s">
        <v>59</v>
      </c>
      <c r="AW302" s="6">
        <f t="shared" ca="1" si="6"/>
        <v>87</v>
      </c>
    </row>
    <row r="303" ht="45" hidden="1" customHeight="1" outlineLevel="1">
      <c r="A303" s="69"/>
      <c r="B303" s="3" t="s">
        <v>47</v>
      </c>
      <c r="C303" s="4" t="s">
        <v>859</v>
      </c>
      <c r="E303" s="2" t="s">
        <v>63</v>
      </c>
      <c r="F303" s="6" t="s">
        <v>64</v>
      </c>
      <c r="G303" s="5" t="s">
        <v>243</v>
      </c>
      <c r="H303" s="2" t="s">
        <v>51</v>
      </c>
      <c r="I303" s="96" t="s">
        <v>860</v>
      </c>
      <c r="J303" s="7">
        <v>1</v>
      </c>
      <c r="K303" s="70"/>
      <c r="L303" s="9">
        <v>1</v>
      </c>
      <c r="M303" s="3">
        <v>169</v>
      </c>
      <c r="P303" s="71"/>
      <c r="R303" s="6">
        <v>1930</v>
      </c>
      <c r="S303" s="3" t="s">
        <v>236</v>
      </c>
      <c r="T303" s="72"/>
      <c r="U303" s="73"/>
      <c r="W303" s="2" t="s">
        <v>62</v>
      </c>
      <c r="X303" s="10" t="s">
        <v>56</v>
      </c>
      <c r="Y303" s="10" t="s">
        <v>57</v>
      </c>
      <c r="Z303" s="75" t="s">
        <v>58</v>
      </c>
      <c r="AA303" s="76"/>
      <c r="AB303" s="77"/>
      <c r="AC303" s="77"/>
      <c r="AD303" s="10"/>
      <c r="AI303" s="7"/>
      <c r="AJ303" s="95">
        <v>39328</v>
      </c>
      <c r="AK303" s="7">
        <v>2000</v>
      </c>
      <c r="AL303" s="16"/>
      <c r="AW303" s="6" t="str">
        <f t="shared" ca="1" si="6"/>
        <v/>
      </c>
    </row>
    <row r="304" ht="45" customHeight="1">
      <c r="A304" s="69"/>
      <c r="B304" s="3" t="s">
        <v>47</v>
      </c>
      <c r="E304" s="2" t="s">
        <v>63</v>
      </c>
      <c r="F304" s="6" t="s">
        <v>64</v>
      </c>
      <c r="G304" s="5" t="s">
        <v>243</v>
      </c>
      <c r="H304" s="2" t="s">
        <v>51</v>
      </c>
      <c r="I304" s="3" t="s">
        <v>861</v>
      </c>
      <c r="J304" s="7">
        <v>1</v>
      </c>
      <c r="K304" s="70" t="s">
        <v>53</v>
      </c>
      <c r="L304" s="9">
        <v>1</v>
      </c>
      <c r="M304" s="3">
        <v>170</v>
      </c>
      <c r="N304" s="6">
        <v>1938</v>
      </c>
      <c r="P304" s="71"/>
      <c r="R304" s="6">
        <v>1930</v>
      </c>
      <c r="S304" s="3" t="s">
        <v>54</v>
      </c>
      <c r="T304" s="72"/>
      <c r="U304" s="73"/>
      <c r="W304" s="2" t="s">
        <v>862</v>
      </c>
      <c r="X304" s="10" t="s">
        <v>56</v>
      </c>
      <c r="Y304" s="10" t="s">
        <v>57</v>
      </c>
      <c r="Z304" s="75" t="s">
        <v>58</v>
      </c>
      <c r="AA304" s="76"/>
      <c r="AB304" s="77">
        <v>14077</v>
      </c>
      <c r="AC304" s="77">
        <v>14077</v>
      </c>
      <c r="AD304" s="10"/>
      <c r="AG304" s="7">
        <v>1938</v>
      </c>
      <c r="AH304" s="7">
        <v>1930</v>
      </c>
      <c r="AI304" s="7"/>
      <c r="AJ304" s="73"/>
      <c r="AK304" s="7"/>
      <c r="AL304" s="16"/>
      <c r="AM304" s="2" t="s">
        <v>59</v>
      </c>
      <c r="AW304" s="6">
        <f t="shared" ca="1" si="6"/>
        <v>87</v>
      </c>
    </row>
    <row r="305" ht="45" customHeight="1">
      <c r="A305" s="69"/>
      <c r="B305" s="3" t="s">
        <v>47</v>
      </c>
      <c r="E305" s="2" t="s">
        <v>83</v>
      </c>
      <c r="F305" s="6" t="s">
        <v>179</v>
      </c>
      <c r="G305" s="5" t="s">
        <v>334</v>
      </c>
      <c r="H305" s="2" t="s">
        <v>51</v>
      </c>
      <c r="I305" s="3" t="s">
        <v>328</v>
      </c>
      <c r="J305" s="7">
        <v>1</v>
      </c>
      <c r="K305" s="70" t="s">
        <v>53</v>
      </c>
      <c r="L305" s="9">
        <v>1</v>
      </c>
      <c r="M305" s="3">
        <v>171</v>
      </c>
      <c r="N305" s="6">
        <v>1938</v>
      </c>
      <c r="P305" s="71"/>
      <c r="R305" s="6">
        <v>1930</v>
      </c>
      <c r="S305" s="3" t="s">
        <v>54</v>
      </c>
      <c r="T305" s="72"/>
      <c r="U305" s="73"/>
      <c r="W305" s="2" t="s">
        <v>863</v>
      </c>
      <c r="X305" s="10" t="s">
        <v>56</v>
      </c>
      <c r="Y305" s="10" t="s">
        <v>57</v>
      </c>
      <c r="Z305" s="75" t="s">
        <v>58</v>
      </c>
      <c r="AA305" s="76"/>
      <c r="AB305" s="77">
        <v>14076</v>
      </c>
      <c r="AC305" s="77">
        <v>14076</v>
      </c>
      <c r="AD305" s="10"/>
      <c r="AG305" s="7">
        <v>1938</v>
      </c>
      <c r="AH305" s="7">
        <v>1930</v>
      </c>
      <c r="AI305" s="7"/>
      <c r="AJ305" s="73"/>
      <c r="AK305" s="7"/>
      <c r="AL305" s="16"/>
      <c r="AM305" s="2" t="s">
        <v>59</v>
      </c>
      <c r="AW305" s="6">
        <f t="shared" ca="1" si="6"/>
        <v>87</v>
      </c>
    </row>
    <row r="306" ht="45" customHeight="1">
      <c r="A306" s="69"/>
      <c r="B306" s="3" t="s">
        <v>47</v>
      </c>
      <c r="E306" s="2" t="s">
        <v>83</v>
      </c>
      <c r="F306" s="6" t="s">
        <v>179</v>
      </c>
      <c r="G306" s="5" t="s">
        <v>334</v>
      </c>
      <c r="H306" s="2" t="s">
        <v>51</v>
      </c>
      <c r="I306" s="3" t="s">
        <v>864</v>
      </c>
      <c r="J306" s="7">
        <v>1</v>
      </c>
      <c r="K306" s="70" t="s">
        <v>53</v>
      </c>
      <c r="L306" s="9">
        <v>1</v>
      </c>
      <c r="M306" s="3">
        <v>172</v>
      </c>
      <c r="N306" s="6">
        <v>1938</v>
      </c>
      <c r="P306" s="71"/>
      <c r="R306" s="6">
        <v>1930</v>
      </c>
      <c r="S306" s="3" t="s">
        <v>54</v>
      </c>
      <c r="T306" s="72"/>
      <c r="U306" s="73"/>
      <c r="W306" s="2" t="s">
        <v>865</v>
      </c>
      <c r="X306" s="10" t="s">
        <v>56</v>
      </c>
      <c r="Y306" s="10" t="s">
        <v>57</v>
      </c>
      <c r="Z306" s="75" t="s">
        <v>58</v>
      </c>
      <c r="AA306" s="76"/>
      <c r="AB306" s="77">
        <v>14087</v>
      </c>
      <c r="AC306" s="77">
        <v>14087</v>
      </c>
      <c r="AD306" s="10"/>
      <c r="AG306" s="7">
        <v>1938</v>
      </c>
      <c r="AH306" s="7">
        <v>1930</v>
      </c>
      <c r="AI306" s="7"/>
      <c r="AJ306" s="73"/>
      <c r="AK306" s="7"/>
      <c r="AL306" s="16"/>
      <c r="AM306" s="2" t="s">
        <v>59</v>
      </c>
      <c r="AW306" s="6">
        <f t="shared" ca="1" si="6"/>
        <v>87</v>
      </c>
    </row>
    <row r="307" ht="45" customHeight="1">
      <c r="A307" s="69"/>
      <c r="B307" s="3" t="s">
        <v>47</v>
      </c>
      <c r="E307" s="78" t="s">
        <v>63</v>
      </c>
      <c r="F307" s="79" t="s">
        <v>64</v>
      </c>
      <c r="G307" s="80" t="s">
        <v>728</v>
      </c>
      <c r="H307" s="78" t="s">
        <v>51</v>
      </c>
      <c r="I307" s="81" t="s">
        <v>866</v>
      </c>
      <c r="J307" s="7">
        <v>1</v>
      </c>
      <c r="K307" s="70" t="s">
        <v>53</v>
      </c>
      <c r="L307" s="9">
        <v>1</v>
      </c>
      <c r="M307" s="3">
        <v>173</v>
      </c>
      <c r="N307" s="6">
        <v>1938</v>
      </c>
      <c r="P307" s="71"/>
      <c r="R307" s="6">
        <v>1930</v>
      </c>
      <c r="S307" s="3" t="s">
        <v>54</v>
      </c>
      <c r="T307" s="72"/>
      <c r="U307" s="73"/>
      <c r="W307" s="78" t="s">
        <v>867</v>
      </c>
      <c r="X307" s="82" t="s">
        <v>56</v>
      </c>
      <c r="Y307" s="82" t="s">
        <v>57</v>
      </c>
      <c r="Z307" s="83" t="s">
        <v>58</v>
      </c>
      <c r="AA307" s="76"/>
      <c r="AB307" s="77">
        <v>14158</v>
      </c>
      <c r="AC307" s="77">
        <v>14158</v>
      </c>
      <c r="AD307" s="10"/>
      <c r="AG307" s="7">
        <v>1938</v>
      </c>
      <c r="AH307" s="7">
        <v>1930</v>
      </c>
      <c r="AI307" s="7"/>
      <c r="AJ307" s="73"/>
      <c r="AK307" s="7"/>
      <c r="AL307" s="16"/>
      <c r="AM307" s="2" t="s">
        <v>59</v>
      </c>
      <c r="AW307" s="6">
        <f t="shared" ca="1" si="6"/>
        <v>87</v>
      </c>
    </row>
    <row r="308" ht="45" customHeight="1">
      <c r="A308" s="69"/>
      <c r="B308" s="3" t="s">
        <v>47</v>
      </c>
      <c r="E308" s="2" t="s">
        <v>83</v>
      </c>
      <c r="F308" s="6" t="s">
        <v>84</v>
      </c>
      <c r="G308" s="5" t="s">
        <v>868</v>
      </c>
      <c r="H308" s="2" t="s">
        <v>51</v>
      </c>
      <c r="I308" s="3" t="s">
        <v>869</v>
      </c>
      <c r="J308" s="7">
        <v>1</v>
      </c>
      <c r="K308" s="70" t="s">
        <v>53</v>
      </c>
      <c r="L308" s="9">
        <v>1</v>
      </c>
      <c r="M308" s="3">
        <v>174</v>
      </c>
      <c r="N308" s="6">
        <v>1938</v>
      </c>
      <c r="P308" s="71"/>
      <c r="R308" s="6">
        <v>1930</v>
      </c>
      <c r="S308" s="3" t="s">
        <v>54</v>
      </c>
      <c r="T308" s="72"/>
      <c r="U308" s="73"/>
      <c r="W308" s="2" t="s">
        <v>870</v>
      </c>
      <c r="X308" s="10" t="s">
        <v>56</v>
      </c>
      <c r="Y308" s="10" t="s">
        <v>57</v>
      </c>
      <c r="Z308" s="75" t="s">
        <v>58</v>
      </c>
      <c r="AA308" s="76"/>
      <c r="AB308" s="77"/>
      <c r="AC308" s="77">
        <v>15447</v>
      </c>
      <c r="AD308" s="10"/>
      <c r="AG308" s="7">
        <v>1942</v>
      </c>
      <c r="AH308" s="7">
        <v>1940</v>
      </c>
      <c r="AI308" s="7"/>
      <c r="AJ308" s="73"/>
      <c r="AK308" s="7"/>
      <c r="AL308" s="16"/>
      <c r="AM308" s="2" t="s">
        <v>59</v>
      </c>
      <c r="AW308" s="6">
        <f t="shared" ca="1" si="6"/>
        <v>87</v>
      </c>
    </row>
    <row r="309" ht="45" customHeight="1" outlineLevel="1">
      <c r="A309" s="69"/>
      <c r="B309" s="3" t="s">
        <v>47</v>
      </c>
      <c r="E309" s="2" t="s">
        <v>83</v>
      </c>
      <c r="F309" s="6" t="s">
        <v>84</v>
      </c>
      <c r="G309" s="5" t="s">
        <v>868</v>
      </c>
      <c r="H309" s="2" t="s">
        <v>57</v>
      </c>
      <c r="I309" s="3" t="s">
        <v>871</v>
      </c>
      <c r="J309" s="7">
        <v>1</v>
      </c>
      <c r="K309" s="70" t="s">
        <v>53</v>
      </c>
      <c r="L309" s="9">
        <v>0</v>
      </c>
      <c r="M309" s="3">
        <v>174</v>
      </c>
      <c r="N309" s="6">
        <v>1938</v>
      </c>
      <c r="P309" s="71"/>
      <c r="R309" s="6">
        <v>1930</v>
      </c>
      <c r="S309" s="3" t="s">
        <v>54</v>
      </c>
      <c r="T309" s="72"/>
      <c r="U309" s="73"/>
      <c r="W309" s="2" t="s">
        <v>872</v>
      </c>
      <c r="X309" s="10" t="s">
        <v>56</v>
      </c>
      <c r="Y309" s="10" t="s">
        <v>57</v>
      </c>
      <c r="Z309" s="75"/>
      <c r="AA309" s="76"/>
      <c r="AB309" s="77"/>
      <c r="AC309" s="77">
        <v>15970</v>
      </c>
      <c r="AD309" s="10"/>
      <c r="AG309" s="7">
        <v>1943</v>
      </c>
      <c r="AH309" s="7">
        <v>1940</v>
      </c>
      <c r="AI309" s="7"/>
      <c r="AJ309" s="73"/>
      <c r="AK309" s="7"/>
      <c r="AL309" s="16"/>
      <c r="AM309" s="2" t="s">
        <v>59</v>
      </c>
      <c r="AW309" s="6">
        <f t="shared" ca="1" si="6"/>
        <v>87</v>
      </c>
    </row>
    <row r="310" ht="45" customHeight="1">
      <c r="A310" s="69"/>
      <c r="B310" s="3" t="s">
        <v>47</v>
      </c>
      <c r="E310" s="2" t="s">
        <v>83</v>
      </c>
      <c r="F310" s="6" t="s">
        <v>84</v>
      </c>
      <c r="G310" s="5" t="s">
        <v>868</v>
      </c>
      <c r="H310" s="2" t="s">
        <v>68</v>
      </c>
      <c r="I310" s="3" t="s">
        <v>873</v>
      </c>
      <c r="J310" s="7">
        <v>1</v>
      </c>
      <c r="K310" s="70" t="s">
        <v>53</v>
      </c>
      <c r="L310" s="9">
        <v>1</v>
      </c>
      <c r="M310" s="3">
        <v>175</v>
      </c>
      <c r="N310" s="6">
        <v>1938</v>
      </c>
      <c r="P310" s="71"/>
      <c r="R310" s="6">
        <v>1930</v>
      </c>
      <c r="S310" s="3" t="s">
        <v>54</v>
      </c>
      <c r="T310" s="72"/>
      <c r="U310" s="73"/>
      <c r="W310" s="2" t="s">
        <v>874</v>
      </c>
      <c r="X310" s="10" t="s">
        <v>56</v>
      </c>
      <c r="Y310" s="10" t="s">
        <v>68</v>
      </c>
      <c r="Z310" s="75" t="s">
        <v>260</v>
      </c>
      <c r="AA310" s="76"/>
      <c r="AB310" s="77">
        <v>17007</v>
      </c>
      <c r="AC310" s="77">
        <v>17007</v>
      </c>
      <c r="AD310" s="10"/>
      <c r="AG310" s="7">
        <v>1946</v>
      </c>
      <c r="AH310" s="7">
        <v>1940</v>
      </c>
      <c r="AI310" s="7"/>
      <c r="AJ310" s="73"/>
      <c r="AK310" s="7"/>
      <c r="AL310" s="16"/>
      <c r="AM310" s="2" t="s">
        <v>82</v>
      </c>
      <c r="AW310" s="6">
        <f t="shared" ca="1" si="6"/>
        <v>87</v>
      </c>
    </row>
    <row r="311" ht="45" customHeight="1">
      <c r="A311" s="69"/>
      <c r="B311" s="3" t="s">
        <v>47</v>
      </c>
      <c r="E311" s="2" t="s">
        <v>83</v>
      </c>
      <c r="F311" s="6" t="s">
        <v>84</v>
      </c>
      <c r="G311" s="5" t="s">
        <v>868</v>
      </c>
      <c r="H311" s="2" t="s">
        <v>57</v>
      </c>
      <c r="I311" s="3" t="s">
        <v>875</v>
      </c>
      <c r="J311" s="7">
        <v>1</v>
      </c>
      <c r="K311" s="70" t="s">
        <v>53</v>
      </c>
      <c r="L311" s="9">
        <v>1</v>
      </c>
      <c r="M311" s="3">
        <v>176</v>
      </c>
      <c r="N311" s="6">
        <v>1938</v>
      </c>
      <c r="P311" s="71"/>
      <c r="R311" s="6">
        <v>1930</v>
      </c>
      <c r="S311" s="3" t="s">
        <v>54</v>
      </c>
      <c r="T311" s="72"/>
      <c r="U311" s="73"/>
      <c r="W311" s="2" t="s">
        <v>876</v>
      </c>
      <c r="X311" s="10" t="s">
        <v>56</v>
      </c>
      <c r="Y311" s="10" t="s">
        <v>57</v>
      </c>
      <c r="Z311" s="75"/>
      <c r="AA311" s="76"/>
      <c r="AB311" s="77">
        <v>17007</v>
      </c>
      <c r="AC311" s="77">
        <v>17007</v>
      </c>
      <c r="AD311" s="10"/>
      <c r="AG311" s="7">
        <v>1946</v>
      </c>
      <c r="AH311" s="7">
        <v>1940</v>
      </c>
      <c r="AI311" s="7"/>
      <c r="AJ311" s="73"/>
      <c r="AK311" s="7"/>
      <c r="AL311" s="16"/>
      <c r="AM311" s="2" t="s">
        <v>59</v>
      </c>
      <c r="AW311" s="6">
        <f t="shared" ca="1" si="6"/>
        <v>87</v>
      </c>
    </row>
    <row r="312" ht="45" customHeight="1">
      <c r="A312" s="69"/>
      <c r="B312" s="3" t="s">
        <v>47</v>
      </c>
      <c r="E312" s="2" t="s">
        <v>83</v>
      </c>
      <c r="F312" s="6" t="s">
        <v>84</v>
      </c>
      <c r="G312" s="5" t="s">
        <v>868</v>
      </c>
      <c r="H312" s="2" t="s">
        <v>57</v>
      </c>
      <c r="I312" s="3" t="s">
        <v>877</v>
      </c>
      <c r="J312" s="7">
        <v>1</v>
      </c>
      <c r="K312" s="70" t="s">
        <v>53</v>
      </c>
      <c r="L312" s="9">
        <v>1</v>
      </c>
      <c r="M312" s="3">
        <v>177</v>
      </c>
      <c r="N312" s="6">
        <v>1938</v>
      </c>
      <c r="P312" s="71"/>
      <c r="R312" s="6">
        <v>1930</v>
      </c>
      <c r="S312" s="3" t="s">
        <v>54</v>
      </c>
      <c r="T312" s="72"/>
      <c r="U312" s="73"/>
      <c r="W312" s="2" t="s">
        <v>878</v>
      </c>
      <c r="X312" s="10" t="s">
        <v>56</v>
      </c>
      <c r="Y312" s="10" t="s">
        <v>57</v>
      </c>
      <c r="Z312" s="75"/>
      <c r="AA312" s="76"/>
      <c r="AB312" s="77"/>
      <c r="AC312" s="77">
        <v>14660</v>
      </c>
      <c r="AD312" s="10"/>
      <c r="AG312" s="7">
        <v>1940</v>
      </c>
      <c r="AH312" s="7">
        <v>1940</v>
      </c>
      <c r="AI312" s="7"/>
      <c r="AJ312" s="73"/>
      <c r="AK312" s="7"/>
      <c r="AL312" s="16"/>
      <c r="AM312" s="2" t="s">
        <v>59</v>
      </c>
      <c r="AW312" s="6">
        <f t="shared" ca="1" si="6"/>
        <v>87</v>
      </c>
    </row>
    <row r="313" ht="45" hidden="1" customHeight="1">
      <c r="A313" s="69"/>
      <c r="B313" s="3" t="s">
        <v>47</v>
      </c>
      <c r="C313" s="4" t="s">
        <v>879</v>
      </c>
      <c r="E313" s="2" t="s">
        <v>48</v>
      </c>
      <c r="F313" s="6" t="s">
        <v>49</v>
      </c>
      <c r="G313" s="5" t="s">
        <v>468</v>
      </c>
      <c r="H313" s="2" t="s">
        <v>51</v>
      </c>
      <c r="I313" s="3" t="s">
        <v>326</v>
      </c>
      <c r="J313" s="7">
        <v>1</v>
      </c>
      <c r="K313" s="70" t="s">
        <v>127</v>
      </c>
      <c r="L313" s="9">
        <v>1</v>
      </c>
      <c r="M313" s="3">
        <v>178</v>
      </c>
      <c r="P313" s="71"/>
      <c r="R313" s="6">
        <v>1930</v>
      </c>
      <c r="S313" s="3" t="s">
        <v>128</v>
      </c>
      <c r="T313" s="72"/>
      <c r="U313" s="73"/>
      <c r="W313" s="2" t="s">
        <v>62</v>
      </c>
      <c r="X313" s="10" t="s">
        <v>56</v>
      </c>
      <c r="Y313" s="10" t="s">
        <v>57</v>
      </c>
      <c r="Z313" s="75" t="s">
        <v>58</v>
      </c>
      <c r="AA313" s="76"/>
      <c r="AB313" s="77"/>
      <c r="AC313" s="77" t="s">
        <v>129</v>
      </c>
      <c r="AD313" s="10"/>
      <c r="AE313" s="7">
        <v>1938</v>
      </c>
      <c r="AF313" s="7">
        <v>5</v>
      </c>
      <c r="AG313" s="7">
        <v>1938</v>
      </c>
      <c r="AI313" s="7"/>
      <c r="AJ313" s="73"/>
      <c r="AK313" s="7"/>
      <c r="AL313" s="16" t="s">
        <v>880</v>
      </c>
      <c r="AM313" s="2" t="s">
        <v>59</v>
      </c>
      <c r="AW313" s="6" t="str">
        <f t="shared" ca="1" si="6"/>
        <v/>
      </c>
    </row>
    <row r="314" ht="45" customHeight="1">
      <c r="A314" s="69"/>
      <c r="B314" s="3" t="s">
        <v>47</v>
      </c>
      <c r="E314" s="78" t="s">
        <v>83</v>
      </c>
      <c r="F314" s="79" t="s">
        <v>84</v>
      </c>
      <c r="G314" s="80" t="s">
        <v>881</v>
      </c>
      <c r="H314" s="78" t="s">
        <v>51</v>
      </c>
      <c r="I314" s="81" t="s">
        <v>882</v>
      </c>
      <c r="J314" s="7">
        <v>1</v>
      </c>
      <c r="K314" s="70" t="s">
        <v>53</v>
      </c>
      <c r="L314" s="9">
        <v>1</v>
      </c>
      <c r="M314" s="3">
        <v>179</v>
      </c>
      <c r="N314" s="6">
        <v>1938</v>
      </c>
      <c r="P314" s="71"/>
      <c r="R314" s="6">
        <v>1930</v>
      </c>
      <c r="S314" s="3" t="s">
        <v>54</v>
      </c>
      <c r="T314" s="72"/>
      <c r="U314" s="73"/>
      <c r="W314" s="78" t="s">
        <v>883</v>
      </c>
      <c r="X314" s="82" t="s">
        <v>56</v>
      </c>
      <c r="Y314" s="82" t="s">
        <v>57</v>
      </c>
      <c r="Z314" s="83" t="s">
        <v>58</v>
      </c>
      <c r="AA314" s="76"/>
      <c r="AB314" s="77">
        <v>14104</v>
      </c>
      <c r="AC314" s="77">
        <v>14104</v>
      </c>
      <c r="AD314" s="10"/>
      <c r="AG314" s="7">
        <v>1938</v>
      </c>
      <c r="AH314" s="7">
        <v>1930</v>
      </c>
      <c r="AI314" s="7"/>
      <c r="AJ314" s="73"/>
      <c r="AK314" s="7"/>
      <c r="AL314" s="16"/>
      <c r="AM314" s="2" t="s">
        <v>59</v>
      </c>
      <c r="AW314" s="6">
        <f t="shared" ca="1" si="6"/>
        <v>87</v>
      </c>
    </row>
    <row r="315" ht="45" customHeight="1">
      <c r="A315" s="69"/>
      <c r="B315" s="3" t="s">
        <v>47</v>
      </c>
      <c r="E315" s="78" t="s">
        <v>83</v>
      </c>
      <c r="F315" s="79" t="s">
        <v>704</v>
      </c>
      <c r="G315" s="80" t="s">
        <v>884</v>
      </c>
      <c r="H315" s="78" t="s">
        <v>51</v>
      </c>
      <c r="I315" s="81" t="s">
        <v>885</v>
      </c>
      <c r="J315" s="7">
        <v>1</v>
      </c>
      <c r="K315" s="70" t="s">
        <v>53</v>
      </c>
      <c r="L315" s="9">
        <v>1</v>
      </c>
      <c r="M315" s="3">
        <v>180</v>
      </c>
      <c r="N315" s="6">
        <v>1938</v>
      </c>
      <c r="P315" s="71"/>
      <c r="R315" s="6">
        <v>1930</v>
      </c>
      <c r="S315" s="3" t="s">
        <v>54</v>
      </c>
      <c r="T315" s="72"/>
      <c r="U315" s="73"/>
      <c r="W315" s="78" t="s">
        <v>886</v>
      </c>
      <c r="X315" s="82" t="s">
        <v>56</v>
      </c>
      <c r="Y315" s="82" t="s">
        <v>57</v>
      </c>
      <c r="Z315" s="83" t="s">
        <v>58</v>
      </c>
      <c r="AA315" s="76"/>
      <c r="AB315" s="77">
        <v>14174</v>
      </c>
      <c r="AC315" s="77">
        <v>14174</v>
      </c>
      <c r="AD315" s="10"/>
      <c r="AG315" s="7">
        <v>1938</v>
      </c>
      <c r="AH315" s="7">
        <v>1930</v>
      </c>
      <c r="AI315" s="7"/>
      <c r="AJ315" s="73"/>
      <c r="AK315" s="7"/>
      <c r="AL315" s="16"/>
      <c r="AM315" s="2" t="s">
        <v>59</v>
      </c>
      <c r="AW315" s="6">
        <f t="shared" ca="1" si="6"/>
        <v>87</v>
      </c>
    </row>
    <row r="316" ht="45" customHeight="1">
      <c r="A316" s="69"/>
      <c r="B316" s="3" t="s">
        <v>47</v>
      </c>
      <c r="E316" s="2" t="s">
        <v>83</v>
      </c>
      <c r="F316" s="6" t="s">
        <v>704</v>
      </c>
      <c r="G316" s="5" t="s">
        <v>705</v>
      </c>
      <c r="H316" s="2" t="s">
        <v>51</v>
      </c>
      <c r="I316" s="3" t="s">
        <v>887</v>
      </c>
      <c r="J316" s="7">
        <v>1</v>
      </c>
      <c r="K316" s="70" t="s">
        <v>53</v>
      </c>
      <c r="L316" s="9">
        <v>0</v>
      </c>
      <c r="M316" s="3">
        <v>180</v>
      </c>
      <c r="N316" s="6">
        <v>1938</v>
      </c>
      <c r="P316" s="71"/>
      <c r="R316" s="6">
        <v>1930</v>
      </c>
      <c r="S316" s="3" t="s">
        <v>54</v>
      </c>
      <c r="T316" s="72"/>
      <c r="U316" s="73"/>
      <c r="W316" s="2" t="s">
        <v>888</v>
      </c>
      <c r="X316" s="10" t="s">
        <v>56</v>
      </c>
      <c r="Y316" s="10" t="s">
        <v>57</v>
      </c>
      <c r="Z316" s="75" t="s">
        <v>58</v>
      </c>
      <c r="AA316" s="76"/>
      <c r="AB316" s="77">
        <v>14174</v>
      </c>
      <c r="AC316" s="77">
        <v>14174</v>
      </c>
      <c r="AD316" s="10"/>
      <c r="AG316" s="7">
        <v>1938</v>
      </c>
      <c r="AH316" s="7">
        <v>1930</v>
      </c>
      <c r="AI316" s="7"/>
      <c r="AJ316" s="73"/>
      <c r="AK316" s="7"/>
      <c r="AL316" s="16"/>
      <c r="AM316" s="2" t="s">
        <v>59</v>
      </c>
      <c r="AW316" s="6">
        <f t="shared" ca="1" si="6"/>
        <v>87</v>
      </c>
    </row>
    <row r="317" ht="45" hidden="1" customHeight="1">
      <c r="A317" s="69"/>
      <c r="B317" s="3" t="s">
        <v>47</v>
      </c>
      <c r="E317" s="2" t="s">
        <v>83</v>
      </c>
      <c r="F317" s="6" t="s">
        <v>704</v>
      </c>
      <c r="G317" s="5" t="s">
        <v>705</v>
      </c>
      <c r="H317" s="2" t="s">
        <v>51</v>
      </c>
      <c r="I317" s="3" t="s">
        <v>702</v>
      </c>
      <c r="J317" s="7">
        <v>1</v>
      </c>
      <c r="K317" s="70" t="s">
        <v>127</v>
      </c>
      <c r="L317" s="9">
        <v>0</v>
      </c>
      <c r="M317" s="3">
        <v>180</v>
      </c>
      <c r="N317" s="6">
        <v>1938</v>
      </c>
      <c r="P317" s="71"/>
      <c r="R317" s="6">
        <v>1930</v>
      </c>
      <c r="S317" s="3" t="s">
        <v>128</v>
      </c>
      <c r="T317" s="72"/>
      <c r="U317" s="73"/>
      <c r="W317" s="2" t="s">
        <v>889</v>
      </c>
      <c r="X317" s="10" t="s">
        <v>56</v>
      </c>
      <c r="Y317" s="10" t="s">
        <v>57</v>
      </c>
      <c r="Z317" s="75" t="s">
        <v>58</v>
      </c>
      <c r="AA317" s="76"/>
      <c r="AB317" s="77" t="s">
        <v>129</v>
      </c>
      <c r="AC317" s="77" t="s">
        <v>129</v>
      </c>
      <c r="AD317" s="10"/>
      <c r="AE317" s="7">
        <v>1953</v>
      </c>
      <c r="AF317" s="7">
        <v>17</v>
      </c>
      <c r="AG317" s="7">
        <v>1938</v>
      </c>
      <c r="AH317" s="7">
        <v>1930</v>
      </c>
      <c r="AI317" s="7"/>
      <c r="AJ317" s="73"/>
      <c r="AK317" s="7"/>
      <c r="AL317" s="16" t="s">
        <v>890</v>
      </c>
      <c r="AW317" s="6">
        <f t="shared" ca="1" si="6"/>
        <v>87</v>
      </c>
    </row>
    <row r="318" ht="45" customHeight="1" outlineLevel="1">
      <c r="A318" s="69"/>
      <c r="B318" s="3" t="s">
        <v>47</v>
      </c>
      <c r="E318" s="78" t="s">
        <v>63</v>
      </c>
      <c r="F318" s="79" t="s">
        <v>172</v>
      </c>
      <c r="G318" s="80" t="s">
        <v>618</v>
      </c>
      <c r="H318" s="78" t="s">
        <v>68</v>
      </c>
      <c r="I318" s="81" t="s">
        <v>891</v>
      </c>
      <c r="J318" s="7">
        <v>1</v>
      </c>
      <c r="K318" s="70" t="s">
        <v>53</v>
      </c>
      <c r="L318" s="9">
        <v>1</v>
      </c>
      <c r="M318" s="3">
        <v>181</v>
      </c>
      <c r="N318" s="6">
        <v>1938</v>
      </c>
      <c r="P318" s="71"/>
      <c r="R318" s="6">
        <v>1930</v>
      </c>
      <c r="S318" s="3" t="s">
        <v>54</v>
      </c>
      <c r="T318" s="72"/>
      <c r="U318" s="73"/>
      <c r="W318" s="78" t="s">
        <v>892</v>
      </c>
      <c r="X318" s="82" t="s">
        <v>56</v>
      </c>
      <c r="Y318" s="82" t="s">
        <v>68</v>
      </c>
      <c r="Z318" s="83" t="s">
        <v>58</v>
      </c>
      <c r="AA318" s="76"/>
      <c r="AB318" s="77">
        <v>14114</v>
      </c>
      <c r="AC318" s="77">
        <v>14114</v>
      </c>
      <c r="AD318" s="10"/>
      <c r="AG318" s="7">
        <v>1938</v>
      </c>
      <c r="AH318" s="7">
        <v>1930</v>
      </c>
      <c r="AI318" s="7"/>
      <c r="AJ318" s="73"/>
      <c r="AK318" s="7"/>
      <c r="AL318" s="16" t="s">
        <v>447</v>
      </c>
      <c r="AM318" s="2" t="s">
        <v>59</v>
      </c>
      <c r="AW318" s="6">
        <f t="shared" ca="1" si="6"/>
        <v>87</v>
      </c>
    </row>
    <row r="319" ht="45" customHeight="1">
      <c r="A319" s="69"/>
      <c r="B319" s="3" t="s">
        <v>47</v>
      </c>
      <c r="E319" s="78" t="s">
        <v>63</v>
      </c>
      <c r="F319" s="79" t="s">
        <v>172</v>
      </c>
      <c r="G319" s="80" t="s">
        <v>618</v>
      </c>
      <c r="H319" s="78" t="s">
        <v>68</v>
      </c>
      <c r="I319" s="81" t="s">
        <v>460</v>
      </c>
      <c r="J319" s="7">
        <v>1</v>
      </c>
      <c r="K319" s="70" t="s">
        <v>53</v>
      </c>
      <c r="L319" s="9">
        <v>1</v>
      </c>
      <c r="M319" s="3">
        <v>182</v>
      </c>
      <c r="N319" s="6">
        <v>1938</v>
      </c>
      <c r="P319" s="71"/>
      <c r="R319" s="6">
        <v>1930</v>
      </c>
      <c r="S319" s="3" t="s">
        <v>54</v>
      </c>
      <c r="T319" s="72"/>
      <c r="U319" s="73"/>
      <c r="W319" s="78" t="s">
        <v>893</v>
      </c>
      <c r="X319" s="82" t="s">
        <v>56</v>
      </c>
      <c r="Y319" s="82" t="s">
        <v>68</v>
      </c>
      <c r="Z319" s="83" t="s">
        <v>58</v>
      </c>
      <c r="AA319" s="76"/>
      <c r="AB319" s="77">
        <v>14114</v>
      </c>
      <c r="AC319" s="77">
        <v>14114</v>
      </c>
      <c r="AD319" s="10"/>
      <c r="AG319" s="7">
        <v>1938</v>
      </c>
      <c r="AH319" s="7">
        <v>1930</v>
      </c>
      <c r="AI319" s="7"/>
      <c r="AJ319" s="73"/>
      <c r="AK319" s="7"/>
      <c r="AL319" s="16" t="s">
        <v>447</v>
      </c>
      <c r="AM319" s="2" t="s">
        <v>59</v>
      </c>
      <c r="AW319" s="6">
        <f t="shared" ca="1" si="6"/>
        <v>87</v>
      </c>
    </row>
    <row r="320" ht="45" hidden="1" customHeight="1">
      <c r="A320" s="69"/>
      <c r="B320" s="3" t="s">
        <v>47</v>
      </c>
      <c r="E320" s="2" t="s">
        <v>83</v>
      </c>
      <c r="F320" s="6" t="s">
        <v>84</v>
      </c>
      <c r="G320" s="5" t="s">
        <v>894</v>
      </c>
      <c r="H320" s="2" t="s">
        <v>895</v>
      </c>
      <c r="I320" s="3" t="s">
        <v>896</v>
      </c>
      <c r="J320" s="7">
        <v>1</v>
      </c>
      <c r="K320" s="70" t="s">
        <v>127</v>
      </c>
      <c r="L320" s="9">
        <v>1</v>
      </c>
      <c r="M320" s="3">
        <v>183</v>
      </c>
      <c r="N320" s="6">
        <v>1938</v>
      </c>
      <c r="P320" s="71"/>
      <c r="R320" s="6">
        <v>1930</v>
      </c>
      <c r="S320" s="3" t="s">
        <v>128</v>
      </c>
      <c r="T320" s="72"/>
      <c r="U320" s="73"/>
      <c r="W320" s="2" t="s">
        <v>62</v>
      </c>
      <c r="X320" s="10" t="s">
        <v>56</v>
      </c>
      <c r="Y320" s="10" t="s">
        <v>288</v>
      </c>
      <c r="Z320" s="75"/>
      <c r="AA320" s="76"/>
      <c r="AB320" s="77" t="s">
        <v>129</v>
      </c>
      <c r="AC320" s="77"/>
      <c r="AD320" s="10"/>
      <c r="AE320" s="7">
        <v>1939</v>
      </c>
      <c r="AF320" s="7">
        <v>7</v>
      </c>
      <c r="AG320" s="7">
        <v>1939</v>
      </c>
      <c r="AI320" s="7"/>
      <c r="AJ320" s="73"/>
      <c r="AK320" s="7"/>
      <c r="AL320" s="16" t="s">
        <v>897</v>
      </c>
      <c r="AW320" s="6">
        <f t="shared" ca="1" si="6"/>
        <v>87</v>
      </c>
    </row>
    <row r="321" ht="45" customHeight="1">
      <c r="A321" s="69"/>
      <c r="B321" s="3" t="s">
        <v>47</v>
      </c>
      <c r="E321" s="2" t="s">
        <v>63</v>
      </c>
      <c r="F321" s="6" t="s">
        <v>898</v>
      </c>
      <c r="G321" s="5" t="s">
        <v>899</v>
      </c>
      <c r="H321" s="2" t="s">
        <v>382</v>
      </c>
      <c r="I321" s="3" t="s">
        <v>900</v>
      </c>
      <c r="J321" s="114">
        <v>1</v>
      </c>
      <c r="K321" s="70" t="s">
        <v>53</v>
      </c>
      <c r="L321" s="9">
        <v>1</v>
      </c>
      <c r="M321" s="3">
        <v>184</v>
      </c>
      <c r="N321" s="6">
        <v>1938</v>
      </c>
      <c r="P321" s="71"/>
      <c r="R321" s="6">
        <v>1930</v>
      </c>
      <c r="S321" s="3" t="s">
        <v>54</v>
      </c>
      <c r="T321" s="72"/>
      <c r="U321" s="73"/>
      <c r="W321" s="2" t="s">
        <v>901</v>
      </c>
      <c r="X321" s="10" t="s">
        <v>91</v>
      </c>
      <c r="Y321" s="10" t="s">
        <v>385</v>
      </c>
      <c r="Z321" s="75"/>
      <c r="AA321" s="76"/>
      <c r="AB321" s="77">
        <v>14241</v>
      </c>
      <c r="AC321" s="77">
        <v>14241</v>
      </c>
      <c r="AD321" s="10"/>
      <c r="AG321" s="7">
        <v>1938</v>
      </c>
      <c r="AH321" s="7">
        <v>1930</v>
      </c>
      <c r="AI321" s="7"/>
      <c r="AJ321" s="73"/>
      <c r="AK321" s="7"/>
      <c r="AL321" s="16"/>
      <c r="AM321" s="2" t="s">
        <v>59</v>
      </c>
      <c r="AO321" s="6" t="s">
        <v>59</v>
      </c>
      <c r="AW321" s="6">
        <f t="shared" ca="1" si="6"/>
        <v>87</v>
      </c>
    </row>
    <row r="322" ht="45" customHeight="1">
      <c r="A322" s="69"/>
      <c r="B322" s="3" t="s">
        <v>47</v>
      </c>
      <c r="E322" s="2" t="s">
        <v>63</v>
      </c>
      <c r="F322" s="6" t="s">
        <v>898</v>
      </c>
      <c r="G322" s="5" t="s">
        <v>902</v>
      </c>
      <c r="H322" s="2" t="s">
        <v>57</v>
      </c>
      <c r="I322" s="3" t="s">
        <v>903</v>
      </c>
      <c r="J322" s="7">
        <v>1</v>
      </c>
      <c r="K322" s="70" t="s">
        <v>53</v>
      </c>
      <c r="L322" s="9">
        <v>1</v>
      </c>
      <c r="M322" s="3">
        <v>185</v>
      </c>
      <c r="N322" s="6">
        <v>1938</v>
      </c>
      <c r="P322" s="71"/>
      <c r="R322" s="6">
        <v>1930</v>
      </c>
      <c r="S322" s="3" t="s">
        <v>54</v>
      </c>
      <c r="T322" s="72"/>
      <c r="U322" s="73"/>
      <c r="W322" s="2" t="s">
        <v>904</v>
      </c>
      <c r="X322" s="10" t="s">
        <v>56</v>
      </c>
      <c r="Y322" s="10" t="s">
        <v>57</v>
      </c>
      <c r="Z322" s="75" t="s">
        <v>905</v>
      </c>
      <c r="AA322" s="76"/>
      <c r="AB322" s="77">
        <v>14214</v>
      </c>
      <c r="AC322" s="77">
        <v>14214</v>
      </c>
      <c r="AD322" s="10"/>
      <c r="AG322" s="7">
        <v>1938</v>
      </c>
      <c r="AH322" s="7">
        <v>1930</v>
      </c>
      <c r="AI322" s="7"/>
      <c r="AJ322" s="73"/>
      <c r="AK322" s="7"/>
      <c r="AL322" s="16"/>
      <c r="AM322" s="2" t="s">
        <v>59</v>
      </c>
      <c r="AU322" s="16" t="s">
        <v>906</v>
      </c>
      <c r="AW322" s="6">
        <f t="shared" ca="1" si="6"/>
        <v>87</v>
      </c>
    </row>
    <row r="323" ht="45" customHeight="1">
      <c r="A323" s="69"/>
      <c r="B323" s="3" t="s">
        <v>47</v>
      </c>
      <c r="E323" s="2" t="s">
        <v>63</v>
      </c>
      <c r="F323" s="6" t="s">
        <v>898</v>
      </c>
      <c r="G323" s="5" t="s">
        <v>907</v>
      </c>
      <c r="H323" s="2" t="s">
        <v>57</v>
      </c>
      <c r="I323" s="3" t="s">
        <v>908</v>
      </c>
      <c r="J323" s="7">
        <v>1</v>
      </c>
      <c r="K323" s="70" t="s">
        <v>53</v>
      </c>
      <c r="L323" s="9">
        <v>0</v>
      </c>
      <c r="M323" s="3">
        <v>186</v>
      </c>
      <c r="N323" s="6">
        <v>1938</v>
      </c>
      <c r="P323" s="71"/>
      <c r="R323" s="6">
        <v>1930</v>
      </c>
      <c r="S323" s="3" t="s">
        <v>54</v>
      </c>
      <c r="T323" s="72"/>
      <c r="U323" s="73"/>
      <c r="W323" s="2" t="s">
        <v>909</v>
      </c>
      <c r="X323" s="10" t="s">
        <v>56</v>
      </c>
      <c r="Y323" s="10" t="s">
        <v>57</v>
      </c>
      <c r="Z323" s="75"/>
      <c r="AA323" s="76"/>
      <c r="AB323" s="77">
        <v>14259</v>
      </c>
      <c r="AC323" s="77">
        <v>14259</v>
      </c>
      <c r="AD323" s="10"/>
      <c r="AG323" s="7">
        <v>1939</v>
      </c>
      <c r="AH323" s="7">
        <v>1930</v>
      </c>
      <c r="AI323" s="7"/>
      <c r="AJ323" s="73"/>
      <c r="AK323" s="7"/>
      <c r="AL323" s="16"/>
      <c r="AM323" s="2" t="s">
        <v>59</v>
      </c>
      <c r="AO323" s="6" t="s">
        <v>53</v>
      </c>
      <c r="AP323" s="6" t="s">
        <v>73</v>
      </c>
      <c r="AU323" s="16" t="s">
        <v>910</v>
      </c>
      <c r="AW323" s="6">
        <f t="shared" ca="1" si="6"/>
        <v>87</v>
      </c>
    </row>
    <row r="324" ht="45" customHeight="1" outlineLevel="1">
      <c r="A324" s="69"/>
      <c r="B324" s="3" t="s">
        <v>47</v>
      </c>
      <c r="E324" s="2" t="s">
        <v>63</v>
      </c>
      <c r="F324" s="6" t="s">
        <v>898</v>
      </c>
      <c r="G324" s="5" t="s">
        <v>907</v>
      </c>
      <c r="H324" s="2" t="s">
        <v>491</v>
      </c>
      <c r="I324" s="3" t="s">
        <v>911</v>
      </c>
      <c r="J324" s="7">
        <v>1</v>
      </c>
      <c r="K324" s="70" t="s">
        <v>53</v>
      </c>
      <c r="L324" s="9">
        <v>1</v>
      </c>
      <c r="M324" s="3">
        <v>186</v>
      </c>
      <c r="N324" s="6">
        <v>1938</v>
      </c>
      <c r="P324" s="71"/>
      <c r="R324" s="6">
        <v>1930</v>
      </c>
      <c r="S324" s="3" t="s">
        <v>54</v>
      </c>
      <c r="T324" s="72"/>
      <c r="U324" s="73"/>
      <c r="W324" s="2" t="s">
        <v>912</v>
      </c>
      <c r="X324" s="10" t="s">
        <v>56</v>
      </c>
      <c r="Y324" s="10" t="s">
        <v>523</v>
      </c>
      <c r="Z324" s="75"/>
      <c r="AA324" s="76"/>
      <c r="AB324" s="77">
        <v>14259</v>
      </c>
      <c r="AC324" s="77">
        <v>14259</v>
      </c>
      <c r="AD324" s="10"/>
      <c r="AG324" s="7">
        <v>1939</v>
      </c>
      <c r="AH324" s="7">
        <v>1930</v>
      </c>
      <c r="AI324" s="7"/>
      <c r="AJ324" s="73"/>
      <c r="AK324" s="7"/>
      <c r="AL324" s="16"/>
      <c r="AM324" s="2" t="s">
        <v>59</v>
      </c>
      <c r="AO324" s="6" t="s">
        <v>53</v>
      </c>
      <c r="AP324" s="6" t="s">
        <v>73</v>
      </c>
      <c r="AW324" s="6">
        <f t="shared" ca="1" si="6"/>
        <v>87</v>
      </c>
    </row>
    <row r="325" ht="45" customHeight="1">
      <c r="A325" s="69"/>
      <c r="B325" s="3" t="s">
        <v>47</v>
      </c>
      <c r="E325" s="2" t="s">
        <v>83</v>
      </c>
      <c r="F325" s="6" t="s">
        <v>179</v>
      </c>
      <c r="G325" s="5" t="s">
        <v>913</v>
      </c>
      <c r="H325" s="2" t="s">
        <v>51</v>
      </c>
      <c r="I325" s="3" t="s">
        <v>122</v>
      </c>
      <c r="J325" s="7">
        <v>1</v>
      </c>
      <c r="K325" s="70" t="s">
        <v>53</v>
      </c>
      <c r="L325" s="9">
        <v>1</v>
      </c>
      <c r="M325" s="3">
        <v>187</v>
      </c>
      <c r="N325" s="6">
        <v>1938</v>
      </c>
      <c r="P325" s="71"/>
      <c r="R325" s="6">
        <v>1930</v>
      </c>
      <c r="S325" s="3" t="s">
        <v>54</v>
      </c>
      <c r="T325" s="72"/>
      <c r="U325" s="73"/>
      <c r="W325" s="2" t="s">
        <v>914</v>
      </c>
      <c r="X325" s="10" t="s">
        <v>56</v>
      </c>
      <c r="Y325" s="10" t="s">
        <v>57</v>
      </c>
      <c r="Z325" s="75" t="s">
        <v>58</v>
      </c>
      <c r="AA325" s="76"/>
      <c r="AB325" s="77"/>
      <c r="AC325" s="77">
        <v>14601</v>
      </c>
      <c r="AD325" s="10"/>
      <c r="AE325" s="7">
        <v>1939</v>
      </c>
      <c r="AF325" s="7">
        <v>8</v>
      </c>
      <c r="AG325" s="7">
        <v>1939</v>
      </c>
      <c r="AH325" s="7">
        <v>1930</v>
      </c>
      <c r="AI325" s="7"/>
      <c r="AJ325" s="73"/>
      <c r="AK325" s="7"/>
      <c r="AL325" s="16"/>
      <c r="AM325" s="2" t="s">
        <v>59</v>
      </c>
      <c r="AW325" s="6">
        <f t="shared" ca="1" si="6"/>
        <v>87</v>
      </c>
    </row>
    <row r="326" ht="45" customHeight="1">
      <c r="A326" s="69"/>
      <c r="B326" s="3" t="s">
        <v>47</v>
      </c>
      <c r="E326" s="2" t="s">
        <v>83</v>
      </c>
      <c r="F326" s="6" t="s">
        <v>704</v>
      </c>
      <c r="G326" s="5" t="s">
        <v>915</v>
      </c>
      <c r="H326" s="2" t="s">
        <v>51</v>
      </c>
      <c r="I326" s="3" t="s">
        <v>916</v>
      </c>
      <c r="J326" s="7">
        <v>1</v>
      </c>
      <c r="K326" s="70" t="s">
        <v>53</v>
      </c>
      <c r="L326" s="9">
        <v>1</v>
      </c>
      <c r="M326" s="3">
        <v>188</v>
      </c>
      <c r="N326" s="6">
        <v>1938</v>
      </c>
      <c r="P326" s="71"/>
      <c r="R326" s="6">
        <v>1930</v>
      </c>
      <c r="S326" s="3" t="s">
        <v>54</v>
      </c>
      <c r="T326" s="72"/>
      <c r="U326" s="73"/>
      <c r="W326" s="2" t="s">
        <v>917</v>
      </c>
      <c r="X326" s="10" t="s">
        <v>56</v>
      </c>
      <c r="Y326" s="10" t="s">
        <v>57</v>
      </c>
      <c r="Z326" s="75" t="s">
        <v>58</v>
      </c>
      <c r="AA326" s="76"/>
      <c r="AB326" s="77">
        <v>14240</v>
      </c>
      <c r="AC326" s="77">
        <v>14240</v>
      </c>
      <c r="AD326" s="10"/>
      <c r="AG326" s="7">
        <v>1938</v>
      </c>
      <c r="AH326" s="7">
        <v>1930</v>
      </c>
      <c r="AI326" s="7"/>
      <c r="AJ326" s="73"/>
      <c r="AK326" s="7"/>
      <c r="AL326" s="16"/>
      <c r="AM326" s="2" t="s">
        <v>59</v>
      </c>
      <c r="AO326" s="6" t="s">
        <v>136</v>
      </c>
      <c r="AQ326" s="5" t="s">
        <v>104</v>
      </c>
      <c r="AW326" s="6">
        <f t="shared" ca="1" si="6"/>
        <v>87</v>
      </c>
    </row>
    <row r="327" ht="45" customHeight="1">
      <c r="A327" s="69"/>
      <c r="B327" s="3" t="s">
        <v>47</v>
      </c>
      <c r="E327" s="2" t="s">
        <v>83</v>
      </c>
      <c r="F327" s="6" t="s">
        <v>704</v>
      </c>
      <c r="G327" s="5" t="s">
        <v>918</v>
      </c>
      <c r="H327" s="2" t="s">
        <v>57</v>
      </c>
      <c r="I327" s="3" t="s">
        <v>919</v>
      </c>
      <c r="J327" s="7">
        <v>1</v>
      </c>
      <c r="K327" s="70" t="s">
        <v>53</v>
      </c>
      <c r="L327" s="9">
        <v>1</v>
      </c>
      <c r="M327" s="3">
        <v>189</v>
      </c>
      <c r="N327" s="6">
        <v>1938</v>
      </c>
      <c r="P327" s="71"/>
      <c r="R327" s="6">
        <v>1930</v>
      </c>
      <c r="S327" s="3" t="s">
        <v>54</v>
      </c>
      <c r="T327" s="72"/>
      <c r="U327" s="73"/>
      <c r="W327" s="2" t="s">
        <v>920</v>
      </c>
      <c r="X327" s="10" t="s">
        <v>56</v>
      </c>
      <c r="Y327" s="10" t="s">
        <v>57</v>
      </c>
      <c r="Z327" s="75"/>
      <c r="AA327" s="76"/>
      <c r="AB327" s="77">
        <v>14487</v>
      </c>
      <c r="AC327" s="77"/>
      <c r="AD327" s="6"/>
      <c r="AG327" s="7">
        <v>1939</v>
      </c>
      <c r="AH327" s="7">
        <v>1930</v>
      </c>
      <c r="AI327" s="7"/>
      <c r="AJ327" s="73"/>
      <c r="AK327" s="7"/>
      <c r="AL327" s="16"/>
      <c r="AM327" s="2" t="s">
        <v>59</v>
      </c>
      <c r="AW327" s="6">
        <f t="shared" ca="1" si="6"/>
        <v>87</v>
      </c>
    </row>
    <row r="328" ht="45" customHeight="1" outlineLevel="1">
      <c r="A328" s="69"/>
      <c r="B328" s="3" t="s">
        <v>47</v>
      </c>
      <c r="E328" s="2" t="s">
        <v>83</v>
      </c>
      <c r="F328" s="6" t="s">
        <v>179</v>
      </c>
      <c r="G328" s="5" t="s">
        <v>921</v>
      </c>
      <c r="H328" s="2" t="s">
        <v>88</v>
      </c>
      <c r="I328" s="3" t="s">
        <v>922</v>
      </c>
      <c r="J328" s="7">
        <v>1</v>
      </c>
      <c r="K328" s="70" t="s">
        <v>53</v>
      </c>
      <c r="L328" s="9">
        <v>1</v>
      </c>
      <c r="M328" s="3">
        <v>190</v>
      </c>
      <c r="N328" s="6">
        <v>1938</v>
      </c>
      <c r="P328" s="71"/>
      <c r="R328" s="6">
        <v>1930</v>
      </c>
      <c r="S328" s="3" t="s">
        <v>54</v>
      </c>
      <c r="T328" s="72"/>
      <c r="U328" s="73"/>
      <c r="W328" s="2" t="s">
        <v>923</v>
      </c>
      <c r="X328" s="10" t="s">
        <v>91</v>
      </c>
      <c r="Y328" s="10" t="s">
        <v>214</v>
      </c>
      <c r="Z328" s="75"/>
      <c r="AA328" s="76"/>
      <c r="AB328" s="77">
        <v>14292</v>
      </c>
      <c r="AC328" s="77">
        <v>14292</v>
      </c>
      <c r="AD328" s="10"/>
      <c r="AG328" s="7">
        <v>1939</v>
      </c>
      <c r="AH328" s="7">
        <v>1930</v>
      </c>
      <c r="AI328" s="7"/>
      <c r="AJ328" s="73"/>
      <c r="AK328" s="7"/>
      <c r="AM328" s="2" t="s">
        <v>59</v>
      </c>
      <c r="AO328" s="6" t="s">
        <v>59</v>
      </c>
      <c r="AW328" s="6">
        <f t="shared" ca="1" si="6"/>
        <v>87</v>
      </c>
    </row>
    <row r="329" ht="45" customHeight="1">
      <c r="A329" s="69"/>
      <c r="B329" s="3" t="s">
        <v>47</v>
      </c>
      <c r="E329" s="2" t="s">
        <v>63</v>
      </c>
      <c r="F329" s="6" t="s">
        <v>64</v>
      </c>
      <c r="G329" s="5" t="s">
        <v>243</v>
      </c>
      <c r="H329" s="2" t="s">
        <v>57</v>
      </c>
      <c r="I329" s="3" t="s">
        <v>924</v>
      </c>
      <c r="J329" s="7">
        <v>1</v>
      </c>
      <c r="K329" s="70" t="s">
        <v>53</v>
      </c>
      <c r="L329" s="9">
        <v>1</v>
      </c>
      <c r="M329" s="3">
        <v>191</v>
      </c>
      <c r="N329" s="6">
        <v>1938</v>
      </c>
      <c r="P329" s="71"/>
      <c r="R329" s="6">
        <v>1930</v>
      </c>
      <c r="S329" s="3" t="s">
        <v>54</v>
      </c>
      <c r="T329" s="72"/>
      <c r="U329" s="73"/>
      <c r="W329" s="2" t="s">
        <v>925</v>
      </c>
      <c r="X329" s="10" t="s">
        <v>56</v>
      </c>
      <c r="Y329" s="10" t="s">
        <v>57</v>
      </c>
      <c r="Z329" s="75"/>
      <c r="AA329" s="76"/>
      <c r="AB329" s="77"/>
      <c r="AC329" s="77">
        <v>14362</v>
      </c>
      <c r="AD329" s="10"/>
      <c r="AG329" s="7">
        <v>1939</v>
      </c>
      <c r="AH329" s="7">
        <v>1930</v>
      </c>
      <c r="AI329" s="7"/>
      <c r="AJ329" s="73"/>
      <c r="AK329" s="7"/>
      <c r="AL329" s="16"/>
      <c r="AM329" s="2" t="s">
        <v>59</v>
      </c>
      <c r="AW329" s="6">
        <f t="shared" ca="1" si="6"/>
        <v>87</v>
      </c>
    </row>
    <row r="330" ht="45" customHeight="1">
      <c r="A330" s="69"/>
      <c r="B330" s="3" t="s">
        <v>47</v>
      </c>
      <c r="E330" s="2" t="s">
        <v>63</v>
      </c>
      <c r="F330" s="6" t="s">
        <v>64</v>
      </c>
      <c r="G330" s="5" t="s">
        <v>243</v>
      </c>
      <c r="H330" s="2" t="s">
        <v>57</v>
      </c>
      <c r="I330" s="3" t="s">
        <v>926</v>
      </c>
      <c r="J330" s="7">
        <v>1</v>
      </c>
      <c r="K330" s="70" t="s">
        <v>53</v>
      </c>
      <c r="L330" s="9">
        <v>1</v>
      </c>
      <c r="M330" s="3">
        <v>192</v>
      </c>
      <c r="N330" s="6">
        <v>1938</v>
      </c>
      <c r="P330" s="71"/>
      <c r="R330" s="6">
        <v>1930</v>
      </c>
      <c r="S330" s="3" t="s">
        <v>54</v>
      </c>
      <c r="T330" s="72"/>
      <c r="U330" s="73"/>
      <c r="W330" s="2" t="s">
        <v>927</v>
      </c>
      <c r="X330" s="10" t="s">
        <v>56</v>
      </c>
      <c r="Y330" s="10" t="s">
        <v>57</v>
      </c>
      <c r="Z330" s="75"/>
      <c r="AA330" s="76"/>
      <c r="AB330" s="77"/>
      <c r="AC330" s="77">
        <v>14362</v>
      </c>
      <c r="AD330" s="10"/>
      <c r="AG330" s="7">
        <v>1939</v>
      </c>
      <c r="AH330" s="7">
        <v>1930</v>
      </c>
      <c r="AI330" s="7"/>
      <c r="AJ330" s="73"/>
      <c r="AK330" s="7"/>
      <c r="AL330" s="16"/>
      <c r="AM330" s="2" t="s">
        <v>59</v>
      </c>
      <c r="AW330" s="6">
        <f t="shared" ca="1" si="6"/>
        <v>87</v>
      </c>
    </row>
    <row r="331" ht="45" hidden="1" customHeight="1" outlineLevel="1">
      <c r="A331" s="69"/>
      <c r="B331" s="3" t="s">
        <v>60</v>
      </c>
      <c r="I331" s="3" t="s">
        <v>61</v>
      </c>
      <c r="J331" s="7">
        <v>0</v>
      </c>
      <c r="K331" s="70"/>
      <c r="L331" s="9">
        <v>1</v>
      </c>
      <c r="M331" s="3">
        <v>193</v>
      </c>
      <c r="P331" s="71"/>
      <c r="R331" s="6" t="s">
        <v>60</v>
      </c>
      <c r="S331" s="3" t="s">
        <v>60</v>
      </c>
      <c r="T331" s="72"/>
      <c r="U331" s="73"/>
      <c r="W331" s="74" t="s">
        <v>62</v>
      </c>
      <c r="X331" s="10"/>
      <c r="Y331" s="10"/>
      <c r="Z331" s="75"/>
      <c r="AA331" s="76"/>
      <c r="AB331" s="77"/>
      <c r="AC331" s="77"/>
      <c r="AD331" s="10"/>
      <c r="AI331" s="7"/>
      <c r="AJ331" s="73"/>
      <c r="AK331" s="7"/>
      <c r="AL331" s="16"/>
      <c r="AW331" s="6" t="str">
        <f t="shared" ca="1" si="6"/>
        <v/>
      </c>
    </row>
    <row r="332" ht="45" customHeight="1">
      <c r="A332" s="69"/>
      <c r="B332" s="3" t="s">
        <v>47</v>
      </c>
      <c r="E332" s="2" t="s">
        <v>83</v>
      </c>
      <c r="F332" s="6" t="s">
        <v>84</v>
      </c>
      <c r="G332" s="5" t="s">
        <v>850</v>
      </c>
      <c r="H332" s="2" t="s">
        <v>57</v>
      </c>
      <c r="I332" s="3" t="s">
        <v>928</v>
      </c>
      <c r="J332" s="7">
        <v>1</v>
      </c>
      <c r="K332" s="70" t="s">
        <v>53</v>
      </c>
      <c r="L332" s="9">
        <v>1</v>
      </c>
      <c r="M332" s="3">
        <v>194</v>
      </c>
      <c r="N332" s="6">
        <v>1939</v>
      </c>
      <c r="P332" s="71"/>
      <c r="R332" s="6">
        <v>1930</v>
      </c>
      <c r="S332" s="3" t="s">
        <v>54</v>
      </c>
      <c r="T332" s="72"/>
      <c r="U332" s="73"/>
      <c r="W332" s="2" t="s">
        <v>929</v>
      </c>
      <c r="X332" s="10" t="s">
        <v>56</v>
      </c>
      <c r="Y332" s="10" t="s">
        <v>57</v>
      </c>
      <c r="Z332" s="75"/>
      <c r="AA332" s="76"/>
      <c r="AB332" s="77">
        <v>14501</v>
      </c>
      <c r="AC332" s="77">
        <v>14501</v>
      </c>
      <c r="AD332" s="10"/>
      <c r="AE332" s="7">
        <v>1939</v>
      </c>
      <c r="AF332" s="7">
        <v>8</v>
      </c>
      <c r="AG332" s="7">
        <v>1939</v>
      </c>
      <c r="AH332" s="7">
        <v>1930</v>
      </c>
      <c r="AJ332" s="73"/>
      <c r="AL332" s="16"/>
      <c r="AM332" s="2" t="s">
        <v>59</v>
      </c>
      <c r="AO332" s="6" t="s">
        <v>59</v>
      </c>
      <c r="AQ332" s="5" t="s">
        <v>73</v>
      </c>
      <c r="AU332" s="16" t="s">
        <v>930</v>
      </c>
      <c r="AW332" s="6">
        <f t="shared" ca="1" si="6"/>
        <v>86</v>
      </c>
    </row>
    <row r="333" ht="45" customHeight="1">
      <c r="A333" s="69"/>
      <c r="B333" s="3" t="s">
        <v>47</v>
      </c>
      <c r="E333" s="2" t="s">
        <v>83</v>
      </c>
      <c r="F333" s="6" t="s">
        <v>931</v>
      </c>
      <c r="G333" s="5" t="s">
        <v>932</v>
      </c>
      <c r="H333" s="2" t="s">
        <v>51</v>
      </c>
      <c r="I333" s="3" t="s">
        <v>113</v>
      </c>
      <c r="J333" s="7">
        <v>1</v>
      </c>
      <c r="K333" s="70" t="s">
        <v>53</v>
      </c>
      <c r="L333" s="9">
        <v>1</v>
      </c>
      <c r="M333" s="3">
        <v>195</v>
      </c>
      <c r="N333" s="6">
        <v>1939</v>
      </c>
      <c r="P333" s="71"/>
      <c r="R333" s="6">
        <v>1930</v>
      </c>
      <c r="S333" s="3" t="s">
        <v>54</v>
      </c>
      <c r="T333" s="72"/>
      <c r="U333" s="73"/>
      <c r="W333" s="2" t="s">
        <v>933</v>
      </c>
      <c r="X333" s="10" t="s">
        <v>56</v>
      </c>
      <c r="Y333" s="10" t="s">
        <v>57</v>
      </c>
      <c r="Z333" s="75" t="s">
        <v>58</v>
      </c>
      <c r="AA333" s="76"/>
      <c r="AB333" s="77">
        <v>17015</v>
      </c>
      <c r="AC333" s="77"/>
      <c r="AD333" s="6"/>
      <c r="AG333" s="7">
        <v>1946</v>
      </c>
      <c r="AH333" s="7">
        <v>1940</v>
      </c>
      <c r="AI333" s="7"/>
      <c r="AJ333" s="73"/>
      <c r="AK333" s="7"/>
      <c r="AL333" s="16"/>
      <c r="AM333" s="2" t="s">
        <v>59</v>
      </c>
      <c r="AO333" s="6" t="s">
        <v>136</v>
      </c>
      <c r="AW333" s="6">
        <f t="shared" ca="1" si="6"/>
        <v>86</v>
      </c>
    </row>
    <row r="334" ht="45" customHeight="1">
      <c r="A334" s="69"/>
      <c r="B334" s="3" t="s">
        <v>47</v>
      </c>
      <c r="E334" s="2" t="s">
        <v>83</v>
      </c>
      <c r="F334" s="6" t="s">
        <v>84</v>
      </c>
      <c r="G334" s="5" t="s">
        <v>850</v>
      </c>
      <c r="H334" s="2" t="s">
        <v>57</v>
      </c>
      <c r="I334" s="3" t="s">
        <v>934</v>
      </c>
      <c r="J334" s="7">
        <v>1</v>
      </c>
      <c r="K334" s="70" t="s">
        <v>53</v>
      </c>
      <c r="L334" s="9">
        <v>1</v>
      </c>
      <c r="M334" s="3">
        <v>196</v>
      </c>
      <c r="N334" s="6">
        <v>1939</v>
      </c>
      <c r="P334" s="71"/>
      <c r="R334" s="6">
        <v>1930</v>
      </c>
      <c r="S334" s="3" t="s">
        <v>54</v>
      </c>
      <c r="T334" s="72"/>
      <c r="U334" s="73"/>
      <c r="W334" s="2" t="s">
        <v>935</v>
      </c>
      <c r="X334" s="10" t="s">
        <v>56</v>
      </c>
      <c r="Y334" s="10" t="s">
        <v>57</v>
      </c>
      <c r="Z334" s="75"/>
      <c r="AA334" s="76"/>
      <c r="AB334" s="77">
        <v>14731</v>
      </c>
      <c r="AC334" s="77"/>
      <c r="AD334" s="6"/>
      <c r="AG334" s="7">
        <v>1940</v>
      </c>
      <c r="AH334" s="7">
        <v>1940</v>
      </c>
      <c r="AJ334" s="73"/>
      <c r="AL334" s="16"/>
      <c r="AM334" s="2" t="s">
        <v>59</v>
      </c>
      <c r="AO334" s="6" t="s">
        <v>59</v>
      </c>
      <c r="AQ334" s="5" t="s">
        <v>73</v>
      </c>
      <c r="AU334" s="16" t="s">
        <v>930</v>
      </c>
      <c r="AW334" s="6">
        <f t="shared" ca="1" si="6"/>
        <v>86</v>
      </c>
    </row>
    <row r="335" ht="45" hidden="1" customHeight="1">
      <c r="A335" s="69"/>
      <c r="B335" s="3" t="s">
        <v>47</v>
      </c>
      <c r="C335" s="4" t="s">
        <v>936</v>
      </c>
      <c r="E335" s="2" t="s">
        <v>63</v>
      </c>
      <c r="F335" s="6" t="s">
        <v>172</v>
      </c>
      <c r="G335" s="5" t="s">
        <v>937</v>
      </c>
      <c r="H335" s="2" t="s">
        <v>508</v>
      </c>
      <c r="I335" s="3" t="s">
        <v>938</v>
      </c>
      <c r="J335" s="7">
        <v>1</v>
      </c>
      <c r="K335" s="70"/>
      <c r="L335" s="9">
        <v>1</v>
      </c>
      <c r="M335" s="3">
        <v>197</v>
      </c>
      <c r="N335" s="6">
        <v>1939</v>
      </c>
      <c r="P335" s="71"/>
      <c r="R335" s="6">
        <v>1930</v>
      </c>
      <c r="S335" s="3" t="s">
        <v>939</v>
      </c>
      <c r="T335" s="72"/>
      <c r="U335" s="73"/>
      <c r="W335" s="2" t="s">
        <v>940</v>
      </c>
      <c r="X335" s="10" t="s">
        <v>504</v>
      </c>
      <c r="Y335" s="10" t="s">
        <v>511</v>
      </c>
      <c r="Z335" s="75"/>
      <c r="AA335" s="76"/>
      <c r="AB335" s="77"/>
      <c r="AC335" s="77"/>
      <c r="AD335" s="6"/>
      <c r="AJ335" s="73"/>
      <c r="AL335" s="115" t="s">
        <v>941</v>
      </c>
      <c r="AW335" s="6">
        <f t="shared" ca="1" si="6"/>
        <v>86</v>
      </c>
    </row>
    <row r="336" ht="45" customHeight="1" outlineLevel="1">
      <c r="A336" s="69"/>
      <c r="B336" s="3" t="s">
        <v>47</v>
      </c>
      <c r="E336" s="2" t="s">
        <v>63</v>
      </c>
      <c r="F336" s="6" t="s">
        <v>172</v>
      </c>
      <c r="G336" s="5" t="s">
        <v>618</v>
      </c>
      <c r="H336" s="2" t="s">
        <v>51</v>
      </c>
      <c r="I336" s="3" t="s">
        <v>942</v>
      </c>
      <c r="J336" s="7">
        <v>1</v>
      </c>
      <c r="K336" s="70" t="s">
        <v>53</v>
      </c>
      <c r="L336" s="9">
        <v>1</v>
      </c>
      <c r="M336" s="3">
        <v>198</v>
      </c>
      <c r="N336" s="6">
        <v>1939</v>
      </c>
      <c r="P336" s="71"/>
      <c r="R336" s="6">
        <v>1930</v>
      </c>
      <c r="S336" s="3" t="s">
        <v>54</v>
      </c>
      <c r="T336" s="72"/>
      <c r="U336" s="73"/>
      <c r="W336" s="98" t="s">
        <v>943</v>
      </c>
      <c r="X336" s="10" t="s">
        <v>56</v>
      </c>
      <c r="Y336" s="10" t="s">
        <v>57</v>
      </c>
      <c r="Z336" s="75" t="s">
        <v>58</v>
      </c>
      <c r="AA336" s="76"/>
      <c r="AB336" s="77">
        <v>14503</v>
      </c>
      <c r="AC336" s="77">
        <v>14503</v>
      </c>
      <c r="AD336" s="10"/>
      <c r="AG336" s="7">
        <v>1939</v>
      </c>
      <c r="AH336" s="7">
        <v>1930</v>
      </c>
      <c r="AI336" s="7"/>
      <c r="AJ336" s="73"/>
      <c r="AK336" s="7"/>
      <c r="AL336" s="16" t="s">
        <v>176</v>
      </c>
      <c r="AM336" s="2" t="s">
        <v>59</v>
      </c>
      <c r="AU336" s="16" t="s">
        <v>176</v>
      </c>
      <c r="AW336" s="6">
        <f t="shared" ca="1" si="6"/>
        <v>86</v>
      </c>
    </row>
    <row r="337" ht="45" customHeight="1">
      <c r="A337" s="69"/>
      <c r="B337" s="3" t="s">
        <v>47</v>
      </c>
      <c r="E337" s="2" t="s">
        <v>63</v>
      </c>
      <c r="F337" s="6" t="s">
        <v>172</v>
      </c>
      <c r="G337" s="5" t="s">
        <v>618</v>
      </c>
      <c r="H337" s="2" t="s">
        <v>51</v>
      </c>
      <c r="I337" s="3" t="s">
        <v>944</v>
      </c>
      <c r="J337" s="7">
        <v>1</v>
      </c>
      <c r="K337" s="70" t="s">
        <v>53</v>
      </c>
      <c r="L337" s="9">
        <v>0</v>
      </c>
      <c r="M337" s="3">
        <v>198</v>
      </c>
      <c r="N337" s="6">
        <v>1939</v>
      </c>
      <c r="P337" s="71"/>
      <c r="R337" s="6">
        <v>1930</v>
      </c>
      <c r="S337" s="3" t="s">
        <v>54</v>
      </c>
      <c r="T337" s="72"/>
      <c r="U337" s="73"/>
      <c r="W337" s="2" t="s">
        <v>945</v>
      </c>
      <c r="X337" s="10" t="s">
        <v>56</v>
      </c>
      <c r="Y337" s="10" t="s">
        <v>57</v>
      </c>
      <c r="Z337" s="75" t="s">
        <v>58</v>
      </c>
      <c r="AA337" s="76"/>
      <c r="AB337" s="77">
        <v>14503</v>
      </c>
      <c r="AC337" s="77">
        <v>14503</v>
      </c>
      <c r="AD337" s="10"/>
      <c r="AG337" s="7">
        <v>1939</v>
      </c>
      <c r="AH337" s="7">
        <v>1930</v>
      </c>
      <c r="AI337" s="7"/>
      <c r="AJ337" s="73"/>
      <c r="AK337" s="7"/>
      <c r="AL337" s="16" t="s">
        <v>176</v>
      </c>
      <c r="AM337" s="2" t="s">
        <v>59</v>
      </c>
      <c r="AU337" s="16" t="s">
        <v>176</v>
      </c>
      <c r="AW337" s="6">
        <f t="shared" ca="1" si="6"/>
        <v>86</v>
      </c>
    </row>
    <row r="338" ht="45" customHeight="1">
      <c r="A338" s="69"/>
      <c r="B338" s="3" t="s">
        <v>47</v>
      </c>
      <c r="E338" s="2" t="s">
        <v>63</v>
      </c>
      <c r="F338" s="6" t="s">
        <v>172</v>
      </c>
      <c r="G338" s="5" t="s">
        <v>618</v>
      </c>
      <c r="H338" s="2" t="s">
        <v>57</v>
      </c>
      <c r="I338" s="3" t="s">
        <v>946</v>
      </c>
      <c r="J338" s="7">
        <v>1</v>
      </c>
      <c r="K338" s="70" t="s">
        <v>53</v>
      </c>
      <c r="L338" s="9">
        <v>0</v>
      </c>
      <c r="M338" s="3">
        <v>199</v>
      </c>
      <c r="N338" s="6">
        <v>1939</v>
      </c>
      <c r="P338" s="71"/>
      <c r="R338" s="6">
        <v>1930</v>
      </c>
      <c r="S338" s="3" t="s">
        <v>54</v>
      </c>
      <c r="T338" s="72"/>
      <c r="U338" s="73"/>
      <c r="W338" s="2" t="s">
        <v>947</v>
      </c>
      <c r="X338" s="10" t="s">
        <v>56</v>
      </c>
      <c r="Y338" s="10" t="s">
        <v>57</v>
      </c>
      <c r="Z338" s="75"/>
      <c r="AA338" s="76"/>
      <c r="AB338" s="77">
        <v>14466</v>
      </c>
      <c r="AC338" s="77"/>
      <c r="AD338" s="6"/>
      <c r="AG338" s="7">
        <v>1939</v>
      </c>
      <c r="AH338" s="7">
        <v>1930</v>
      </c>
      <c r="AI338" s="7"/>
      <c r="AJ338" s="73"/>
      <c r="AK338" s="7"/>
      <c r="AL338" s="99"/>
      <c r="AM338" s="2" t="s">
        <v>59</v>
      </c>
      <c r="AW338" s="6">
        <f t="shared" ca="1" si="6"/>
        <v>86</v>
      </c>
    </row>
    <row r="339" ht="45" customHeight="1">
      <c r="A339" s="69"/>
      <c r="B339" s="3" t="s">
        <v>47</v>
      </c>
      <c r="E339" s="2" t="s">
        <v>63</v>
      </c>
      <c r="F339" s="6" t="s">
        <v>172</v>
      </c>
      <c r="G339" s="5" t="s">
        <v>618</v>
      </c>
      <c r="H339" s="2" t="s">
        <v>491</v>
      </c>
      <c r="I339" s="3" t="s">
        <v>948</v>
      </c>
      <c r="J339" s="7">
        <v>1</v>
      </c>
      <c r="K339" s="70" t="s">
        <v>53</v>
      </c>
      <c r="L339" s="9">
        <v>0</v>
      </c>
      <c r="M339" s="3">
        <v>199</v>
      </c>
      <c r="N339" s="6">
        <v>1939</v>
      </c>
      <c r="P339" s="71"/>
      <c r="R339" s="6">
        <v>1930</v>
      </c>
      <c r="S339" s="3" t="s">
        <v>54</v>
      </c>
      <c r="T339" s="72"/>
      <c r="U339" s="73"/>
      <c r="W339" s="2" t="s">
        <v>949</v>
      </c>
      <c r="X339" s="10" t="s">
        <v>56</v>
      </c>
      <c r="Y339" s="10" t="s">
        <v>494</v>
      </c>
      <c r="Z339" s="75"/>
      <c r="AA339" s="76"/>
      <c r="AB339" s="77"/>
      <c r="AC339" s="77">
        <v>14466</v>
      </c>
      <c r="AD339" s="10"/>
      <c r="AG339" s="7">
        <v>1939</v>
      </c>
      <c r="AH339" s="7">
        <v>1930</v>
      </c>
      <c r="AI339" s="7"/>
      <c r="AJ339" s="73"/>
      <c r="AK339" s="7"/>
      <c r="AL339" s="99"/>
      <c r="AM339" s="2" t="s">
        <v>59</v>
      </c>
      <c r="AW339" s="6">
        <f t="shared" ca="1" si="6"/>
        <v>86</v>
      </c>
    </row>
    <row r="340" ht="45" customHeight="1" outlineLevel="1">
      <c r="A340" s="69"/>
      <c r="B340" s="3" t="s">
        <v>47</v>
      </c>
      <c r="E340" s="2" t="s">
        <v>63</v>
      </c>
      <c r="F340" s="6" t="s">
        <v>172</v>
      </c>
      <c r="G340" s="5" t="s">
        <v>618</v>
      </c>
      <c r="H340" s="2" t="s">
        <v>382</v>
      </c>
      <c r="I340" s="3" t="s">
        <v>950</v>
      </c>
      <c r="J340" s="114">
        <v>1</v>
      </c>
      <c r="K340" s="70" t="s">
        <v>53</v>
      </c>
      <c r="L340" s="9">
        <v>1</v>
      </c>
      <c r="M340" s="3">
        <v>199</v>
      </c>
      <c r="N340" s="6">
        <v>1939</v>
      </c>
      <c r="P340" s="71"/>
      <c r="R340" s="6">
        <v>1930</v>
      </c>
      <c r="S340" s="3" t="s">
        <v>54</v>
      </c>
      <c r="T340" s="72"/>
      <c r="U340" s="73"/>
      <c r="W340" s="2" t="s">
        <v>951</v>
      </c>
      <c r="X340" s="10" t="s">
        <v>91</v>
      </c>
      <c r="Y340" s="10" t="s">
        <v>385</v>
      </c>
      <c r="Z340" s="75"/>
      <c r="AA340" s="76"/>
      <c r="AB340" s="77"/>
      <c r="AC340" s="77"/>
      <c r="AD340" s="77">
        <v>14466</v>
      </c>
      <c r="AG340" s="7">
        <v>1939</v>
      </c>
      <c r="AH340" s="7">
        <v>1930</v>
      </c>
      <c r="AI340" s="7"/>
      <c r="AJ340" s="73"/>
      <c r="AK340" s="7"/>
      <c r="AL340" s="99"/>
      <c r="AM340" s="2" t="s">
        <v>59</v>
      </c>
      <c r="AO340" s="6" t="s">
        <v>59</v>
      </c>
      <c r="AW340" s="6">
        <f t="shared" ca="1" si="6"/>
        <v>86</v>
      </c>
    </row>
    <row r="341" ht="45" customHeight="1">
      <c r="A341" s="69"/>
      <c r="B341" s="3" t="s">
        <v>47</v>
      </c>
      <c r="E341" s="2" t="s">
        <v>63</v>
      </c>
      <c r="F341" s="6" t="s">
        <v>172</v>
      </c>
      <c r="G341" s="5" t="s">
        <v>618</v>
      </c>
      <c r="H341" s="2" t="s">
        <v>57</v>
      </c>
      <c r="I341" s="3" t="s">
        <v>952</v>
      </c>
      <c r="J341" s="7">
        <v>1</v>
      </c>
      <c r="K341" s="70" t="s">
        <v>53</v>
      </c>
      <c r="L341" s="9">
        <v>1</v>
      </c>
      <c r="M341" s="3">
        <v>200</v>
      </c>
      <c r="N341" s="6">
        <v>1939</v>
      </c>
      <c r="P341" s="71"/>
      <c r="R341" s="6">
        <v>1930</v>
      </c>
      <c r="S341" s="3" t="s">
        <v>54</v>
      </c>
      <c r="T341" s="72"/>
      <c r="U341" s="73"/>
      <c r="W341" s="2" t="s">
        <v>953</v>
      </c>
      <c r="X341" s="10" t="s">
        <v>56</v>
      </c>
      <c r="Y341" s="10" t="s">
        <v>57</v>
      </c>
      <c r="Z341" s="75"/>
      <c r="AA341" s="76"/>
      <c r="AB341" s="77">
        <v>15036</v>
      </c>
      <c r="AC341" s="77"/>
      <c r="AD341" s="6"/>
      <c r="AG341" s="7">
        <v>1941</v>
      </c>
      <c r="AH341" s="7">
        <v>1940</v>
      </c>
      <c r="AI341" s="7"/>
      <c r="AJ341" s="73"/>
      <c r="AK341" s="7"/>
      <c r="AL341" s="16"/>
      <c r="AM341" s="2" t="s">
        <v>59</v>
      </c>
      <c r="AW341" s="6">
        <f t="shared" ca="1" si="6"/>
        <v>86</v>
      </c>
    </row>
    <row r="342" ht="45" customHeight="1">
      <c r="A342" s="69"/>
      <c r="B342" s="3" t="s">
        <v>47</v>
      </c>
      <c r="E342" s="2" t="s">
        <v>63</v>
      </c>
      <c r="F342" s="6" t="s">
        <v>172</v>
      </c>
      <c r="G342" s="5" t="s">
        <v>618</v>
      </c>
      <c r="H342" s="2" t="s">
        <v>57</v>
      </c>
      <c r="I342" s="3" t="s">
        <v>954</v>
      </c>
      <c r="J342" s="7">
        <v>1</v>
      </c>
      <c r="K342" s="70" t="s">
        <v>53</v>
      </c>
      <c r="L342" s="9">
        <v>1</v>
      </c>
      <c r="M342" s="3">
        <v>201</v>
      </c>
      <c r="N342" s="6">
        <v>1939</v>
      </c>
      <c r="P342" s="71"/>
      <c r="R342" s="6">
        <v>1930</v>
      </c>
      <c r="S342" s="3" t="s">
        <v>54</v>
      </c>
      <c r="T342" s="72"/>
      <c r="U342" s="73"/>
      <c r="W342" s="98" t="s">
        <v>955</v>
      </c>
      <c r="X342" s="10" t="s">
        <v>56</v>
      </c>
      <c r="Y342" s="10" t="s">
        <v>57</v>
      </c>
      <c r="Z342" s="75"/>
      <c r="AA342" s="76"/>
      <c r="AB342" s="77">
        <v>15053</v>
      </c>
      <c r="AC342" s="77"/>
      <c r="AD342" s="6"/>
      <c r="AG342" s="7">
        <v>1941</v>
      </c>
      <c r="AH342" s="7">
        <v>1940</v>
      </c>
      <c r="AI342" s="7"/>
      <c r="AJ342" s="73"/>
      <c r="AK342" s="7"/>
      <c r="AL342" s="16"/>
      <c r="AM342" s="2" t="s">
        <v>59</v>
      </c>
      <c r="AW342" s="6">
        <f t="shared" ca="1" si="6"/>
        <v>86</v>
      </c>
    </row>
    <row r="343" ht="45" customHeight="1">
      <c r="A343" s="69"/>
      <c r="B343" s="3" t="s">
        <v>47</v>
      </c>
      <c r="E343" s="2" t="s">
        <v>63</v>
      </c>
      <c r="F343" s="6" t="s">
        <v>172</v>
      </c>
      <c r="G343" s="5" t="s">
        <v>618</v>
      </c>
      <c r="H343" s="2" t="s">
        <v>501</v>
      </c>
      <c r="I343" s="3" t="s">
        <v>956</v>
      </c>
      <c r="J343" s="7">
        <v>1</v>
      </c>
      <c r="K343" s="70" t="s">
        <v>53</v>
      </c>
      <c r="L343" s="9">
        <v>1</v>
      </c>
      <c r="M343" s="3">
        <v>202</v>
      </c>
      <c r="N343" s="6">
        <v>1939</v>
      </c>
      <c r="P343" s="71"/>
      <c r="R343" s="6">
        <v>1930</v>
      </c>
      <c r="S343" s="3" t="s">
        <v>54</v>
      </c>
      <c r="T343" s="72"/>
      <c r="U343" s="73"/>
      <c r="W343" s="2" t="s">
        <v>957</v>
      </c>
      <c r="X343" s="10" t="s">
        <v>504</v>
      </c>
      <c r="Y343" s="10" t="s">
        <v>501</v>
      </c>
      <c r="Z343" s="75"/>
      <c r="AA343" s="76">
        <v>14801</v>
      </c>
      <c r="AB343" s="77"/>
      <c r="AC343" s="77"/>
      <c r="AD343" s="6"/>
      <c r="AG343" s="7">
        <v>1940</v>
      </c>
      <c r="AH343" s="7">
        <v>1940</v>
      </c>
      <c r="AI343" s="7"/>
      <c r="AJ343" s="73"/>
      <c r="AK343" s="7"/>
      <c r="AL343" s="16"/>
      <c r="AM343" s="2" t="s">
        <v>59</v>
      </c>
      <c r="AW343" s="6">
        <f t="shared" ca="1" si="6"/>
        <v>86</v>
      </c>
    </row>
    <row r="344" ht="45" customHeight="1">
      <c r="A344" s="69"/>
      <c r="B344" s="3" t="s">
        <v>47</v>
      </c>
      <c r="E344" s="2" t="s">
        <v>63</v>
      </c>
      <c r="F344" s="6" t="s">
        <v>172</v>
      </c>
      <c r="G344" s="5" t="s">
        <v>618</v>
      </c>
      <c r="H344" s="2" t="s">
        <v>57</v>
      </c>
      <c r="I344" s="3" t="s">
        <v>958</v>
      </c>
      <c r="J344" s="7">
        <v>1</v>
      </c>
      <c r="K344" s="70" t="s">
        <v>53</v>
      </c>
      <c r="L344" s="9">
        <v>1</v>
      </c>
      <c r="M344" s="3">
        <v>203</v>
      </c>
      <c r="N344" s="6">
        <v>1939</v>
      </c>
      <c r="P344" s="71"/>
      <c r="R344" s="6">
        <v>1930</v>
      </c>
      <c r="S344" s="3" t="s">
        <v>54</v>
      </c>
      <c r="T344" s="72"/>
      <c r="U344" s="73"/>
      <c r="W344" s="2" t="s">
        <v>959</v>
      </c>
      <c r="X344" s="10" t="s">
        <v>56</v>
      </c>
      <c r="Y344" s="10" t="s">
        <v>57</v>
      </c>
      <c r="Z344" s="75"/>
      <c r="AA344" s="76"/>
      <c r="AB344" s="77"/>
      <c r="AC344" s="77">
        <v>15154</v>
      </c>
      <c r="AD344" s="10"/>
      <c r="AG344" s="7">
        <v>1941</v>
      </c>
      <c r="AH344" s="7">
        <v>1940</v>
      </c>
      <c r="AI344" s="7"/>
      <c r="AJ344" s="73"/>
      <c r="AK344" s="7"/>
      <c r="AL344" s="16"/>
      <c r="AM344" s="2" t="s">
        <v>59</v>
      </c>
      <c r="AW344" s="6">
        <f t="shared" ca="1" si="6"/>
        <v>86</v>
      </c>
    </row>
    <row r="345" ht="45" customHeight="1" outlineLevel="1">
      <c r="A345" s="69"/>
      <c r="B345" s="3" t="s">
        <v>47</v>
      </c>
      <c r="E345" s="2" t="s">
        <v>63</v>
      </c>
      <c r="F345" s="6" t="s">
        <v>172</v>
      </c>
      <c r="G345" s="5" t="s">
        <v>618</v>
      </c>
      <c r="H345" s="2" t="s">
        <v>57</v>
      </c>
      <c r="I345" s="3" t="s">
        <v>960</v>
      </c>
      <c r="J345" s="7">
        <v>1</v>
      </c>
      <c r="K345" s="70" t="s">
        <v>53</v>
      </c>
      <c r="L345" s="9">
        <v>1</v>
      </c>
      <c r="M345" s="3">
        <v>204</v>
      </c>
      <c r="N345" s="6">
        <v>1939</v>
      </c>
      <c r="P345" s="71"/>
      <c r="R345" s="6">
        <v>1930</v>
      </c>
      <c r="S345" s="3" t="s">
        <v>54</v>
      </c>
      <c r="T345" s="72"/>
      <c r="U345" s="73"/>
      <c r="W345" s="2" t="s">
        <v>961</v>
      </c>
      <c r="X345" s="10" t="s">
        <v>56</v>
      </c>
      <c r="Y345" s="10" t="s">
        <v>57</v>
      </c>
      <c r="Z345" s="75"/>
      <c r="AA345" s="76"/>
      <c r="AB345" s="77">
        <v>15053</v>
      </c>
      <c r="AC345" s="77"/>
      <c r="AD345" s="6"/>
      <c r="AG345" s="7">
        <v>1941</v>
      </c>
      <c r="AH345" s="7">
        <v>1940</v>
      </c>
      <c r="AI345" s="7"/>
      <c r="AJ345" s="73"/>
      <c r="AK345" s="7"/>
      <c r="AL345" s="16"/>
      <c r="AM345" s="2" t="s">
        <v>59</v>
      </c>
      <c r="AW345" s="6">
        <f t="shared" ca="1" si="6"/>
        <v>86</v>
      </c>
    </row>
    <row r="346" ht="45" customHeight="1">
      <c r="A346" s="69"/>
      <c r="B346" s="3" t="s">
        <v>47</v>
      </c>
      <c r="E346" s="2" t="s">
        <v>63</v>
      </c>
      <c r="F346" s="6" t="s">
        <v>172</v>
      </c>
      <c r="G346" s="5" t="s">
        <v>618</v>
      </c>
      <c r="H346" s="2" t="s">
        <v>57</v>
      </c>
      <c r="I346" s="3" t="s">
        <v>962</v>
      </c>
      <c r="J346" s="7">
        <v>1</v>
      </c>
      <c r="K346" s="70" t="s">
        <v>53</v>
      </c>
      <c r="L346" s="9">
        <v>1</v>
      </c>
      <c r="M346" s="3">
        <v>205</v>
      </c>
      <c r="N346" s="6">
        <v>1939</v>
      </c>
      <c r="P346" s="71"/>
      <c r="R346" s="6">
        <v>1930</v>
      </c>
      <c r="S346" s="3" t="s">
        <v>54</v>
      </c>
      <c r="T346" s="72"/>
      <c r="U346" s="73"/>
      <c r="W346" s="2" t="s">
        <v>963</v>
      </c>
      <c r="X346" s="10" t="s">
        <v>56</v>
      </c>
      <c r="Y346" s="10" t="s">
        <v>57</v>
      </c>
      <c r="Z346" s="75"/>
      <c r="AA346" s="76"/>
      <c r="AB346" s="77">
        <v>15036</v>
      </c>
      <c r="AC346" s="77"/>
      <c r="AD346" s="6"/>
      <c r="AG346" s="7">
        <v>1941</v>
      </c>
      <c r="AH346" s="7">
        <v>1940</v>
      </c>
      <c r="AI346" s="7"/>
      <c r="AJ346" s="73"/>
      <c r="AK346" s="7"/>
      <c r="AL346" s="16"/>
      <c r="AM346" s="2" t="s">
        <v>59</v>
      </c>
      <c r="AW346" s="6">
        <f t="shared" ca="1" si="6"/>
        <v>86</v>
      </c>
    </row>
    <row r="347" ht="45" hidden="1" customHeight="1">
      <c r="A347" s="69"/>
      <c r="B347" s="3" t="s">
        <v>47</v>
      </c>
      <c r="C347" s="116"/>
      <c r="D347" s="5" t="s">
        <v>964</v>
      </c>
      <c r="E347" s="2" t="s">
        <v>83</v>
      </c>
      <c r="F347" s="6" t="s">
        <v>179</v>
      </c>
      <c r="G347" s="5" t="s">
        <v>180</v>
      </c>
      <c r="H347" s="2" t="s">
        <v>508</v>
      </c>
      <c r="I347" s="3" t="s">
        <v>965</v>
      </c>
      <c r="J347" s="7">
        <v>1</v>
      </c>
      <c r="K347" s="104"/>
      <c r="L347" s="9">
        <v>1</v>
      </c>
      <c r="M347" s="3">
        <v>206</v>
      </c>
      <c r="N347" s="6">
        <v>1939</v>
      </c>
      <c r="P347" s="71"/>
      <c r="R347" s="6">
        <v>1930</v>
      </c>
      <c r="S347" s="3" t="s">
        <v>236</v>
      </c>
      <c r="T347" s="72"/>
      <c r="U347" s="73"/>
      <c r="W347" s="2" t="s">
        <v>62</v>
      </c>
      <c r="X347" s="10" t="s">
        <v>504</v>
      </c>
      <c r="Y347" s="10" t="s">
        <v>511</v>
      </c>
      <c r="Z347" s="75"/>
      <c r="AA347" s="76"/>
      <c r="AB347" s="77"/>
      <c r="AC347" s="77"/>
      <c r="AD347" s="6"/>
      <c r="AI347" s="7"/>
      <c r="AJ347" s="10">
        <v>38044</v>
      </c>
      <c r="AK347" s="7">
        <v>2000</v>
      </c>
      <c r="AL347" s="101" t="s">
        <v>966</v>
      </c>
      <c r="AW347" s="6">
        <f t="shared" ca="1" si="6"/>
        <v>86</v>
      </c>
    </row>
    <row r="348" ht="45" customHeight="1">
      <c r="A348" s="69">
        <v>43536</v>
      </c>
      <c r="B348" s="3" t="s">
        <v>47</v>
      </c>
      <c r="C348" s="4" t="s">
        <v>967</v>
      </c>
      <c r="D348" s="5" t="s">
        <v>968</v>
      </c>
      <c r="E348" s="2" t="s">
        <v>83</v>
      </c>
      <c r="F348" s="6" t="s">
        <v>84</v>
      </c>
      <c r="G348" s="5" t="s">
        <v>797</v>
      </c>
      <c r="H348" s="2" t="s">
        <v>57</v>
      </c>
      <c r="I348" s="3" t="s">
        <v>969</v>
      </c>
      <c r="J348" s="7">
        <v>1</v>
      </c>
      <c r="K348" s="70" t="s">
        <v>53</v>
      </c>
      <c r="L348" s="9">
        <v>1</v>
      </c>
      <c r="M348" s="3">
        <v>207</v>
      </c>
      <c r="N348" s="6">
        <v>1939</v>
      </c>
      <c r="P348" s="71"/>
      <c r="R348" s="6">
        <v>1930</v>
      </c>
      <c r="S348" s="3" t="s">
        <v>54</v>
      </c>
      <c r="T348" s="72"/>
      <c r="U348" s="73"/>
      <c r="W348" s="2" t="s">
        <v>970</v>
      </c>
      <c r="X348" s="10" t="s">
        <v>56</v>
      </c>
      <c r="Y348" s="10" t="s">
        <v>57</v>
      </c>
      <c r="Z348" s="75"/>
      <c r="AA348" s="76"/>
      <c r="AB348" s="77">
        <v>14522</v>
      </c>
      <c r="AC348" s="77">
        <v>14522</v>
      </c>
      <c r="AD348" s="10"/>
      <c r="AG348" s="7">
        <v>1939</v>
      </c>
      <c r="AH348" s="7">
        <v>1930</v>
      </c>
      <c r="AI348" s="7"/>
      <c r="AJ348" s="73"/>
      <c r="AK348" s="7"/>
      <c r="AL348" s="16"/>
      <c r="AM348" s="2" t="s">
        <v>59</v>
      </c>
      <c r="AW348" s="6">
        <f t="shared" ca="1" si="6"/>
        <v>86</v>
      </c>
    </row>
    <row r="349" ht="45" hidden="1" customHeight="1">
      <c r="A349" s="69"/>
      <c r="B349" s="3" t="s">
        <v>60</v>
      </c>
      <c r="I349" s="3" t="s">
        <v>61</v>
      </c>
      <c r="J349" s="7">
        <v>0</v>
      </c>
      <c r="K349" s="70"/>
      <c r="L349" s="9">
        <v>1</v>
      </c>
      <c r="M349" s="3">
        <v>208</v>
      </c>
      <c r="P349" s="71"/>
      <c r="R349" s="6" t="s">
        <v>60</v>
      </c>
      <c r="S349" s="3" t="s">
        <v>60</v>
      </c>
      <c r="T349" s="72"/>
      <c r="U349" s="73"/>
      <c r="W349" s="74" t="s">
        <v>62</v>
      </c>
      <c r="X349" s="10"/>
      <c r="Y349" s="10"/>
      <c r="Z349" s="75"/>
      <c r="AA349" s="76"/>
      <c r="AB349" s="77"/>
      <c r="AC349" s="77"/>
      <c r="AD349" s="10"/>
      <c r="AI349" s="7"/>
      <c r="AJ349" s="73"/>
      <c r="AK349" s="7"/>
      <c r="AL349" s="16"/>
      <c r="AW349" s="6" t="str">
        <f t="shared" ca="1" si="6"/>
        <v/>
      </c>
    </row>
    <row r="350" ht="45" customHeight="1" outlineLevel="1">
      <c r="A350" s="69"/>
      <c r="B350" s="3" t="s">
        <v>47</v>
      </c>
      <c r="E350" s="2" t="s">
        <v>63</v>
      </c>
      <c r="F350" s="6" t="s">
        <v>354</v>
      </c>
      <c r="G350" s="5" t="s">
        <v>971</v>
      </c>
      <c r="H350" s="2" t="s">
        <v>51</v>
      </c>
      <c r="I350" s="3" t="s">
        <v>972</v>
      </c>
      <c r="J350" s="7">
        <v>1</v>
      </c>
      <c r="K350" s="70" t="s">
        <v>53</v>
      </c>
      <c r="L350" s="9">
        <v>1</v>
      </c>
      <c r="M350" s="3">
        <v>209</v>
      </c>
      <c r="N350" s="6">
        <v>1939</v>
      </c>
      <c r="P350" s="71"/>
      <c r="R350" s="6">
        <v>1930</v>
      </c>
      <c r="S350" s="3" t="s">
        <v>54</v>
      </c>
      <c r="T350" s="72"/>
      <c r="U350" s="73"/>
      <c r="W350" s="2" t="s">
        <v>973</v>
      </c>
      <c r="X350" s="10" t="s">
        <v>56</v>
      </c>
      <c r="Y350" s="10" t="s">
        <v>57</v>
      </c>
      <c r="Z350" s="75" t="s">
        <v>58</v>
      </c>
      <c r="AA350" s="76"/>
      <c r="AB350" s="77"/>
      <c r="AC350" s="77">
        <v>14717</v>
      </c>
      <c r="AD350" s="10"/>
      <c r="AE350" s="7">
        <v>1939</v>
      </c>
      <c r="AF350" s="7">
        <v>9</v>
      </c>
      <c r="AG350" s="7">
        <v>1940</v>
      </c>
      <c r="AH350" s="7">
        <v>1940</v>
      </c>
      <c r="AI350" s="7"/>
      <c r="AJ350" s="73"/>
      <c r="AK350" s="7"/>
      <c r="AL350" s="16"/>
      <c r="AM350" s="2" t="s">
        <v>59</v>
      </c>
      <c r="AN350" s="6" t="s">
        <v>73</v>
      </c>
      <c r="AO350" s="6" t="s">
        <v>82</v>
      </c>
      <c r="AP350" s="6" t="s">
        <v>73</v>
      </c>
      <c r="AQ350" s="5" t="s">
        <v>73</v>
      </c>
      <c r="AW350" s="6">
        <f t="shared" ca="1" si="6"/>
        <v>86</v>
      </c>
    </row>
    <row r="351" ht="45" customHeight="1">
      <c r="A351" s="69"/>
      <c r="B351" s="3" t="s">
        <v>47</v>
      </c>
      <c r="E351" s="2" t="s">
        <v>63</v>
      </c>
      <c r="F351" s="6" t="s">
        <v>354</v>
      </c>
      <c r="G351" s="5" t="s">
        <v>971</v>
      </c>
      <c r="H351" s="2" t="s">
        <v>491</v>
      </c>
      <c r="I351" s="3" t="s">
        <v>974</v>
      </c>
      <c r="J351" s="7">
        <v>1</v>
      </c>
      <c r="K351" s="70" t="s">
        <v>53</v>
      </c>
      <c r="L351" s="9">
        <v>1</v>
      </c>
      <c r="M351" s="3">
        <v>210</v>
      </c>
      <c r="N351" s="6">
        <v>1939</v>
      </c>
      <c r="P351" s="71"/>
      <c r="R351" s="6">
        <v>1930</v>
      </c>
      <c r="S351" s="3" t="s">
        <v>54</v>
      </c>
      <c r="T351" s="72"/>
      <c r="U351" s="73"/>
      <c r="W351" s="2" t="s">
        <v>975</v>
      </c>
      <c r="X351" s="10" t="s">
        <v>56</v>
      </c>
      <c r="Y351" s="10" t="s">
        <v>494</v>
      </c>
      <c r="Z351" s="75"/>
      <c r="AA351" s="76"/>
      <c r="AB351" s="77"/>
      <c r="AC351" s="77">
        <v>14717</v>
      </c>
      <c r="AD351" s="10"/>
      <c r="AE351" s="7">
        <v>1939</v>
      </c>
      <c r="AF351" s="7">
        <v>9</v>
      </c>
      <c r="AG351" s="7">
        <v>1940</v>
      </c>
      <c r="AH351" s="7">
        <v>1940</v>
      </c>
      <c r="AI351" s="7"/>
      <c r="AJ351" s="73"/>
      <c r="AK351" s="7"/>
      <c r="AL351" s="16"/>
      <c r="AM351" s="2" t="s">
        <v>59</v>
      </c>
      <c r="AN351" s="6" t="s">
        <v>73</v>
      </c>
      <c r="AO351" s="6" t="s">
        <v>82</v>
      </c>
      <c r="AP351" s="6" t="s">
        <v>73</v>
      </c>
      <c r="AQ351" s="5" t="s">
        <v>73</v>
      </c>
      <c r="AW351" s="6">
        <f t="shared" ca="1" si="6"/>
        <v>86</v>
      </c>
    </row>
    <row r="352" ht="45" customHeight="1" outlineLevel="1">
      <c r="A352" s="69"/>
      <c r="B352" s="3" t="s">
        <v>47</v>
      </c>
      <c r="C352" s="4" t="s">
        <v>976</v>
      </c>
      <c r="E352" s="2" t="s">
        <v>63</v>
      </c>
      <c r="F352" s="6" t="s">
        <v>354</v>
      </c>
      <c r="G352" s="5" t="s">
        <v>971</v>
      </c>
      <c r="H352" s="2" t="s">
        <v>977</v>
      </c>
      <c r="I352" s="3" t="s">
        <v>978</v>
      </c>
      <c r="J352" s="7">
        <v>1</v>
      </c>
      <c r="K352" s="70" t="s">
        <v>53</v>
      </c>
      <c r="L352" s="9">
        <v>1</v>
      </c>
      <c r="M352" s="3">
        <v>211</v>
      </c>
      <c r="N352" s="6">
        <v>1939</v>
      </c>
      <c r="P352" s="71"/>
      <c r="R352" s="6">
        <v>1930</v>
      </c>
      <c r="S352" s="3" t="s">
        <v>54</v>
      </c>
      <c r="T352" s="72"/>
      <c r="U352" s="73"/>
      <c r="W352" s="2" t="s">
        <v>979</v>
      </c>
      <c r="X352" s="10" t="s">
        <v>213</v>
      </c>
      <c r="Y352" s="10" t="s">
        <v>980</v>
      </c>
      <c r="Z352" s="75"/>
      <c r="AA352" s="76">
        <v>14629</v>
      </c>
      <c r="AB352" s="77"/>
      <c r="AC352" s="77"/>
      <c r="AD352" s="6"/>
      <c r="AG352" s="7">
        <v>1940</v>
      </c>
      <c r="AH352" s="7">
        <v>1940</v>
      </c>
      <c r="AI352" s="7"/>
      <c r="AJ352" s="73"/>
      <c r="AK352" s="7"/>
      <c r="AL352" s="16"/>
      <c r="AW352" s="6">
        <f t="shared" ca="1" si="6"/>
        <v>86</v>
      </c>
    </row>
    <row r="353" ht="45" customHeight="1" outlineLevel="1">
      <c r="A353" s="69"/>
      <c r="B353" s="3" t="s">
        <v>47</v>
      </c>
      <c r="E353" s="2" t="s">
        <v>83</v>
      </c>
      <c r="F353" s="6" t="s">
        <v>84</v>
      </c>
      <c r="G353" s="5" t="s">
        <v>981</v>
      </c>
      <c r="H353" s="2" t="s">
        <v>257</v>
      </c>
      <c r="I353" s="3" t="s">
        <v>982</v>
      </c>
      <c r="J353" s="7">
        <v>1</v>
      </c>
      <c r="K353" s="70" t="s">
        <v>53</v>
      </c>
      <c r="L353" s="9">
        <v>1</v>
      </c>
      <c r="M353" s="3">
        <v>212</v>
      </c>
      <c r="N353" s="6">
        <v>1939</v>
      </c>
      <c r="P353" s="71"/>
      <c r="R353" s="6">
        <v>1930</v>
      </c>
      <c r="S353" s="3" t="s">
        <v>54</v>
      </c>
      <c r="T353" s="72"/>
      <c r="U353" s="73"/>
      <c r="W353" s="2" t="s">
        <v>983</v>
      </c>
      <c r="X353" s="10" t="s">
        <v>56</v>
      </c>
      <c r="Y353" s="10" t="s">
        <v>68</v>
      </c>
      <c r="Z353" s="75" t="s">
        <v>260</v>
      </c>
      <c r="AA353" s="76"/>
      <c r="AB353" s="77"/>
      <c r="AC353" s="77">
        <v>14693</v>
      </c>
      <c r="AD353" s="10"/>
      <c r="AG353" s="7">
        <v>1940</v>
      </c>
      <c r="AH353" s="7">
        <v>1940</v>
      </c>
      <c r="AI353" s="7"/>
      <c r="AJ353" s="73"/>
      <c r="AK353" s="7"/>
      <c r="AL353" s="16" t="s">
        <v>984</v>
      </c>
      <c r="AM353" s="2" t="s">
        <v>82</v>
      </c>
      <c r="AW353" s="6">
        <f t="shared" ca="1" si="6"/>
        <v>86</v>
      </c>
    </row>
    <row r="354" ht="45" hidden="1" customHeight="1">
      <c r="A354" s="69"/>
      <c r="B354" s="3" t="s">
        <v>60</v>
      </c>
      <c r="I354" s="3" t="s">
        <v>61</v>
      </c>
      <c r="J354" s="7">
        <v>0</v>
      </c>
      <c r="K354" s="104"/>
      <c r="L354" s="9">
        <v>1</v>
      </c>
      <c r="M354" s="3">
        <v>213</v>
      </c>
      <c r="P354" s="71"/>
      <c r="R354" s="6" t="s">
        <v>60</v>
      </c>
      <c r="S354" s="3" t="s">
        <v>60</v>
      </c>
      <c r="T354" s="72"/>
      <c r="U354" s="73"/>
      <c r="W354" s="74" t="s">
        <v>62</v>
      </c>
      <c r="X354" s="10"/>
      <c r="Y354" s="10"/>
      <c r="Z354" s="75"/>
      <c r="AA354" s="76"/>
      <c r="AB354" s="77"/>
      <c r="AC354" s="77"/>
      <c r="AD354" s="6"/>
      <c r="AI354" s="7"/>
      <c r="AJ354" s="73"/>
      <c r="AK354" s="7"/>
      <c r="AL354" s="16"/>
      <c r="AW354" s="6" t="str">
        <f t="shared" ca="1" si="6"/>
        <v/>
      </c>
    </row>
    <row r="355" ht="45" customHeight="1">
      <c r="A355" s="69"/>
      <c r="B355" s="3" t="s">
        <v>47</v>
      </c>
      <c r="E355" s="2" t="s">
        <v>83</v>
      </c>
      <c r="F355" s="6" t="s">
        <v>704</v>
      </c>
      <c r="G355" s="5" t="s">
        <v>985</v>
      </c>
      <c r="H355" s="2" t="s">
        <v>257</v>
      </c>
      <c r="I355" s="3" t="s">
        <v>986</v>
      </c>
      <c r="J355" s="7">
        <v>1</v>
      </c>
      <c r="K355" s="70" t="s">
        <v>53</v>
      </c>
      <c r="L355" s="9">
        <v>1</v>
      </c>
      <c r="M355" s="3">
        <v>214</v>
      </c>
      <c r="N355" s="6">
        <v>1939</v>
      </c>
      <c r="P355" s="71"/>
      <c r="R355" s="6">
        <v>1930</v>
      </c>
      <c r="S355" s="3" t="s">
        <v>54</v>
      </c>
      <c r="T355" s="72"/>
      <c r="U355" s="73"/>
      <c r="W355" s="2" t="s">
        <v>987</v>
      </c>
      <c r="X355" s="10" t="s">
        <v>56</v>
      </c>
      <c r="Y355" s="10" t="s">
        <v>68</v>
      </c>
      <c r="Z355" s="75" t="s">
        <v>260</v>
      </c>
      <c r="AA355" s="76"/>
      <c r="AB355" s="77"/>
      <c r="AC355" s="77">
        <v>14998</v>
      </c>
      <c r="AD355" s="10"/>
      <c r="AG355" s="7">
        <v>1941</v>
      </c>
      <c r="AH355" s="7">
        <v>1940</v>
      </c>
      <c r="AI355" s="7"/>
      <c r="AJ355" s="73"/>
      <c r="AK355" s="7"/>
      <c r="AL355" s="16"/>
      <c r="AM355" s="2" t="s">
        <v>59</v>
      </c>
      <c r="AU355" s="16" t="s">
        <v>988</v>
      </c>
      <c r="AW355" s="6">
        <f t="shared" ref="AW355:AW418" ca="1" si="7">IF(N355&lt;&gt;0,(YEAR(TODAY())-N355),(""))</f>
        <v>86</v>
      </c>
    </row>
    <row r="356" ht="45" customHeight="1" outlineLevel="1">
      <c r="A356" s="69"/>
      <c r="B356" s="3" t="s">
        <v>47</v>
      </c>
      <c r="E356" s="2" t="s">
        <v>83</v>
      </c>
      <c r="F356" s="6" t="s">
        <v>704</v>
      </c>
      <c r="G356" s="5" t="s">
        <v>989</v>
      </c>
      <c r="H356" s="2" t="s">
        <v>51</v>
      </c>
      <c r="I356" s="3" t="s">
        <v>990</v>
      </c>
      <c r="J356" s="7">
        <v>1</v>
      </c>
      <c r="K356" s="70" t="s">
        <v>53</v>
      </c>
      <c r="L356" s="9">
        <v>0</v>
      </c>
      <c r="M356" s="3">
        <v>215</v>
      </c>
      <c r="N356" s="6">
        <v>1939</v>
      </c>
      <c r="P356" s="71"/>
      <c r="R356" s="6">
        <v>1930</v>
      </c>
      <c r="S356" s="3" t="s">
        <v>54</v>
      </c>
      <c r="T356" s="72"/>
      <c r="U356" s="73"/>
      <c r="W356" s="2" t="s">
        <v>991</v>
      </c>
      <c r="X356" s="10" t="s">
        <v>56</v>
      </c>
      <c r="Y356" s="10" t="s">
        <v>57</v>
      </c>
      <c r="Z356" s="75" t="s">
        <v>58</v>
      </c>
      <c r="AA356" s="76"/>
      <c r="AB356" s="77">
        <v>15042</v>
      </c>
      <c r="AC356" s="77">
        <v>15042</v>
      </c>
      <c r="AD356" s="10"/>
      <c r="AG356" s="7">
        <v>1941</v>
      </c>
      <c r="AH356" s="7">
        <v>1940</v>
      </c>
      <c r="AI356" s="7"/>
      <c r="AJ356" s="73"/>
      <c r="AK356" s="7"/>
      <c r="AL356" s="16" t="s">
        <v>176</v>
      </c>
      <c r="AM356" s="2" t="s">
        <v>59</v>
      </c>
      <c r="AW356" s="6">
        <f t="shared" ca="1" si="7"/>
        <v>86</v>
      </c>
    </row>
    <row r="357" ht="45" customHeight="1">
      <c r="A357" s="69"/>
      <c r="B357" s="3" t="s">
        <v>47</v>
      </c>
      <c r="E357" s="78" t="s">
        <v>83</v>
      </c>
      <c r="F357" s="79" t="s">
        <v>704</v>
      </c>
      <c r="G357" s="80" t="s">
        <v>989</v>
      </c>
      <c r="H357" s="78" t="s">
        <v>51</v>
      </c>
      <c r="I357" s="81" t="s">
        <v>992</v>
      </c>
      <c r="J357" s="7">
        <v>1</v>
      </c>
      <c r="K357" s="70" t="s">
        <v>53</v>
      </c>
      <c r="L357" s="9">
        <v>1</v>
      </c>
      <c r="M357" s="3">
        <v>215</v>
      </c>
      <c r="N357" s="6">
        <v>1939</v>
      </c>
      <c r="P357" s="71"/>
      <c r="R357" s="6">
        <v>1930</v>
      </c>
      <c r="S357" s="3" t="s">
        <v>54</v>
      </c>
      <c r="T357" s="72"/>
      <c r="U357" s="73"/>
      <c r="W357" s="78" t="s">
        <v>993</v>
      </c>
      <c r="X357" s="82" t="s">
        <v>56</v>
      </c>
      <c r="Y357" s="82" t="s">
        <v>57</v>
      </c>
      <c r="Z357" s="83" t="s">
        <v>58</v>
      </c>
      <c r="AA357" s="76"/>
      <c r="AB357" s="77">
        <v>15042</v>
      </c>
      <c r="AC357" s="77">
        <v>15042</v>
      </c>
      <c r="AD357" s="10"/>
      <c r="AG357" s="7">
        <v>1941</v>
      </c>
      <c r="AH357" s="7">
        <v>1940</v>
      </c>
      <c r="AI357" s="7"/>
      <c r="AJ357" s="73"/>
      <c r="AK357" s="7"/>
      <c r="AL357" s="16" t="s">
        <v>176</v>
      </c>
      <c r="AM357" s="2" t="s">
        <v>59</v>
      </c>
      <c r="AW357" s="6">
        <f t="shared" ca="1" si="7"/>
        <v>86</v>
      </c>
    </row>
    <row r="358" ht="45" customHeight="1" outlineLevel="1">
      <c r="A358" s="69">
        <v>42108</v>
      </c>
      <c r="B358" s="3" t="s">
        <v>190</v>
      </c>
      <c r="C358" s="4" t="s">
        <v>994</v>
      </c>
      <c r="D358" s="5" t="s">
        <v>995</v>
      </c>
      <c r="E358" s="2" t="s">
        <v>83</v>
      </c>
      <c r="F358" s="6" t="s">
        <v>704</v>
      </c>
      <c r="G358" s="5" t="s">
        <v>996</v>
      </c>
      <c r="H358" s="2" t="s">
        <v>51</v>
      </c>
      <c r="I358" s="3" t="s">
        <v>997</v>
      </c>
      <c r="J358" s="7">
        <v>1</v>
      </c>
      <c r="K358" s="70" t="s">
        <v>53</v>
      </c>
      <c r="L358" s="9">
        <v>1</v>
      </c>
      <c r="M358" s="3">
        <v>216</v>
      </c>
      <c r="N358" s="6">
        <v>1939</v>
      </c>
      <c r="P358" s="71"/>
      <c r="R358" s="6">
        <v>1930</v>
      </c>
      <c r="S358" s="3" t="s">
        <v>54</v>
      </c>
      <c r="T358" s="72" t="s">
        <v>998</v>
      </c>
      <c r="U358" s="73"/>
      <c r="W358" s="74" t="s">
        <v>999</v>
      </c>
      <c r="X358" s="10" t="s">
        <v>56</v>
      </c>
      <c r="Y358" s="10" t="s">
        <v>57</v>
      </c>
      <c r="Z358" s="75" t="s">
        <v>58</v>
      </c>
      <c r="AA358" s="76"/>
      <c r="AB358" s="77">
        <v>15059</v>
      </c>
      <c r="AC358" s="77">
        <v>15059</v>
      </c>
      <c r="AD358" s="10"/>
      <c r="AG358" s="7">
        <v>1941</v>
      </c>
      <c r="AH358" s="7">
        <v>1940</v>
      </c>
      <c r="AI358" s="7"/>
      <c r="AJ358" s="73"/>
      <c r="AK358" s="7"/>
      <c r="AL358" s="16" t="s">
        <v>1000</v>
      </c>
      <c r="AM358" s="2" t="s">
        <v>59</v>
      </c>
      <c r="AW358" s="6">
        <f t="shared" ca="1" si="7"/>
        <v>86</v>
      </c>
    </row>
    <row r="359" ht="45" hidden="1" customHeight="1">
      <c r="A359" s="69"/>
      <c r="B359" s="3" t="s">
        <v>190</v>
      </c>
      <c r="C359" s="4" t="s">
        <v>1001</v>
      </c>
      <c r="D359" s="5" t="s">
        <v>995</v>
      </c>
      <c r="E359" s="2" t="s">
        <v>83</v>
      </c>
      <c r="F359" s="6" t="s">
        <v>704</v>
      </c>
      <c r="G359" s="5" t="s">
        <v>996</v>
      </c>
      <c r="H359" s="2" t="s">
        <v>51</v>
      </c>
      <c r="I359" s="3" t="s">
        <v>1002</v>
      </c>
      <c r="J359" s="7">
        <v>1</v>
      </c>
      <c r="K359" s="70"/>
      <c r="L359" s="9">
        <v>1</v>
      </c>
      <c r="M359" s="3">
        <v>217</v>
      </c>
      <c r="N359" s="6">
        <v>1939</v>
      </c>
      <c r="P359" s="71"/>
      <c r="R359" s="6">
        <v>1930</v>
      </c>
      <c r="S359" s="3" t="s">
        <v>939</v>
      </c>
      <c r="T359" s="72"/>
      <c r="U359" s="73"/>
      <c r="W359" s="74" t="s">
        <v>62</v>
      </c>
      <c r="X359" s="10" t="s">
        <v>56</v>
      </c>
      <c r="Y359" s="10" t="s">
        <v>57</v>
      </c>
      <c r="Z359" s="75" t="s">
        <v>58</v>
      </c>
      <c r="AA359" s="76"/>
      <c r="AB359" s="77"/>
      <c r="AC359" s="77"/>
      <c r="AD359" s="10"/>
      <c r="AI359" s="7"/>
      <c r="AJ359" s="73"/>
      <c r="AK359" s="7"/>
      <c r="AL359" s="16"/>
      <c r="AW359" s="6">
        <f t="shared" ca="1" si="7"/>
        <v>86</v>
      </c>
    </row>
    <row r="360" ht="45" customHeight="1">
      <c r="A360" s="69"/>
      <c r="B360" s="3" t="s">
        <v>47</v>
      </c>
      <c r="E360" s="2" t="s">
        <v>83</v>
      </c>
      <c r="F360" s="6" t="s">
        <v>704</v>
      </c>
      <c r="G360" s="5" t="s">
        <v>1003</v>
      </c>
      <c r="H360" s="2" t="s">
        <v>288</v>
      </c>
      <c r="I360" s="3" t="s">
        <v>1004</v>
      </c>
      <c r="J360" s="7">
        <v>1</v>
      </c>
      <c r="K360" s="70" t="s">
        <v>53</v>
      </c>
      <c r="L360" s="9">
        <v>1</v>
      </c>
      <c r="M360" s="3">
        <v>218</v>
      </c>
      <c r="N360" s="6">
        <v>1939</v>
      </c>
      <c r="P360" s="71"/>
      <c r="R360" s="6">
        <v>1930</v>
      </c>
      <c r="S360" s="3" t="s">
        <v>54</v>
      </c>
      <c r="T360" s="72"/>
      <c r="U360" s="73"/>
      <c r="W360" s="2" t="s">
        <v>1005</v>
      </c>
      <c r="X360" s="10" t="s">
        <v>56</v>
      </c>
      <c r="Y360" s="10" t="s">
        <v>288</v>
      </c>
      <c r="Z360" s="75"/>
      <c r="AA360" s="76">
        <v>14744</v>
      </c>
      <c r="AB360" s="77"/>
      <c r="AC360" s="77"/>
      <c r="AD360" s="6"/>
      <c r="AG360" s="7">
        <v>1940</v>
      </c>
      <c r="AH360" s="7">
        <v>1940</v>
      </c>
      <c r="AI360" s="7"/>
      <c r="AJ360" s="73"/>
      <c r="AK360" s="7"/>
      <c r="AL360" s="16"/>
      <c r="AU360" s="16" t="s">
        <v>718</v>
      </c>
      <c r="AW360" s="6">
        <f t="shared" ca="1" si="7"/>
        <v>86</v>
      </c>
    </row>
    <row r="361" ht="45" customHeight="1">
      <c r="A361" s="69"/>
      <c r="B361" s="3" t="s">
        <v>47</v>
      </c>
      <c r="E361" s="2" t="s">
        <v>83</v>
      </c>
      <c r="F361" s="6" t="s">
        <v>704</v>
      </c>
      <c r="G361" s="5" t="s">
        <v>1006</v>
      </c>
      <c r="H361" s="2" t="s">
        <v>57</v>
      </c>
      <c r="I361" s="3" t="s">
        <v>1007</v>
      </c>
      <c r="J361" s="7">
        <v>1</v>
      </c>
      <c r="K361" s="70" t="s">
        <v>53</v>
      </c>
      <c r="L361" s="9">
        <v>1</v>
      </c>
      <c r="M361" s="3">
        <v>219</v>
      </c>
      <c r="N361" s="6">
        <v>1939</v>
      </c>
      <c r="P361" s="71"/>
      <c r="R361" s="6">
        <v>1930</v>
      </c>
      <c r="S361" s="3" t="s">
        <v>54</v>
      </c>
      <c r="T361" s="72"/>
      <c r="U361" s="73"/>
      <c r="W361" s="2" t="s">
        <v>1008</v>
      </c>
      <c r="X361" s="10" t="s">
        <v>56</v>
      </c>
      <c r="Y361" s="10" t="s">
        <v>57</v>
      </c>
      <c r="Z361" s="75"/>
      <c r="AA361" s="76"/>
      <c r="AB361" s="77">
        <v>14660</v>
      </c>
      <c r="AC361" s="77">
        <v>14660</v>
      </c>
      <c r="AD361" s="10"/>
      <c r="AG361" s="7">
        <v>1940</v>
      </c>
      <c r="AH361" s="7">
        <v>1940</v>
      </c>
      <c r="AI361" s="7"/>
      <c r="AJ361" s="73"/>
      <c r="AK361" s="7"/>
      <c r="AL361" s="16"/>
      <c r="AM361" s="2" t="s">
        <v>59</v>
      </c>
      <c r="AW361" s="6">
        <f t="shared" ca="1" si="7"/>
        <v>86</v>
      </c>
    </row>
    <row r="362" ht="45" customHeight="1">
      <c r="A362" s="69"/>
      <c r="B362" s="3" t="s">
        <v>47</v>
      </c>
      <c r="E362" s="2" t="s">
        <v>83</v>
      </c>
      <c r="F362" s="6" t="s">
        <v>704</v>
      </c>
      <c r="G362" s="5" t="s">
        <v>996</v>
      </c>
      <c r="H362" s="2" t="s">
        <v>57</v>
      </c>
      <c r="I362" s="3" t="s">
        <v>1009</v>
      </c>
      <c r="J362" s="7">
        <v>1</v>
      </c>
      <c r="K362" s="70" t="s">
        <v>53</v>
      </c>
      <c r="L362" s="9">
        <v>0</v>
      </c>
      <c r="M362" s="3">
        <v>219</v>
      </c>
      <c r="N362" s="6">
        <v>1939</v>
      </c>
      <c r="P362" s="71"/>
      <c r="R362" s="6">
        <v>1930</v>
      </c>
      <c r="S362" s="3" t="s">
        <v>54</v>
      </c>
      <c r="T362" s="72"/>
      <c r="U362" s="73"/>
      <c r="W362" s="2" t="s">
        <v>1010</v>
      </c>
      <c r="X362" s="10" t="s">
        <v>56</v>
      </c>
      <c r="Y362" s="10" t="s">
        <v>57</v>
      </c>
      <c r="Z362" s="75"/>
      <c r="AA362" s="76"/>
      <c r="AB362" s="77">
        <v>14660</v>
      </c>
      <c r="AC362" s="77">
        <v>14660</v>
      </c>
      <c r="AD362" s="10"/>
      <c r="AG362" s="7">
        <v>1940</v>
      </c>
      <c r="AH362" s="7">
        <v>1940</v>
      </c>
      <c r="AI362" s="7"/>
      <c r="AJ362" s="73"/>
      <c r="AK362" s="7"/>
      <c r="AL362" s="16"/>
      <c r="AM362" s="2" t="s">
        <v>59</v>
      </c>
      <c r="AW362" s="6">
        <f t="shared" ca="1" si="7"/>
        <v>86</v>
      </c>
    </row>
    <row r="363" ht="45" customHeight="1">
      <c r="A363" s="69"/>
      <c r="B363" s="3" t="s">
        <v>47</v>
      </c>
      <c r="E363" s="2" t="s">
        <v>83</v>
      </c>
      <c r="F363" s="6" t="s">
        <v>179</v>
      </c>
      <c r="G363" s="5" t="s">
        <v>287</v>
      </c>
      <c r="H363" s="2" t="s">
        <v>51</v>
      </c>
      <c r="I363" s="3" t="s">
        <v>997</v>
      </c>
      <c r="J363" s="7">
        <v>1</v>
      </c>
      <c r="K363" s="70" t="s">
        <v>53</v>
      </c>
      <c r="L363" s="9">
        <v>1</v>
      </c>
      <c r="M363" s="3">
        <v>220</v>
      </c>
      <c r="N363" s="6">
        <v>1939</v>
      </c>
      <c r="P363" s="71"/>
      <c r="R363" s="6">
        <v>1930</v>
      </c>
      <c r="S363" s="3" t="s">
        <v>54</v>
      </c>
      <c r="T363" s="72"/>
      <c r="U363" s="73"/>
      <c r="W363" s="2" t="s">
        <v>1011</v>
      </c>
      <c r="X363" s="10" t="s">
        <v>56</v>
      </c>
      <c r="Y363" s="10" t="s">
        <v>57</v>
      </c>
      <c r="Z363" s="75" t="s">
        <v>58</v>
      </c>
      <c r="AA363" s="76"/>
      <c r="AB363" s="77"/>
      <c r="AC363" s="77">
        <v>14720</v>
      </c>
      <c r="AD363" s="10"/>
      <c r="AG363" s="7">
        <v>1940</v>
      </c>
      <c r="AH363" s="7">
        <v>1940</v>
      </c>
      <c r="AI363" s="7"/>
      <c r="AJ363" s="73"/>
      <c r="AK363" s="7"/>
      <c r="AL363" s="16"/>
      <c r="AM363" s="2" t="s">
        <v>59</v>
      </c>
      <c r="AW363" s="6">
        <f t="shared" ca="1" si="7"/>
        <v>86</v>
      </c>
    </row>
    <row r="364" ht="45" customHeight="1" outlineLevel="1">
      <c r="A364" s="69"/>
      <c r="B364" s="3" t="s">
        <v>47</v>
      </c>
      <c r="E364" s="2" t="s">
        <v>83</v>
      </c>
      <c r="F364" s="6" t="s">
        <v>704</v>
      </c>
      <c r="G364" s="5" t="s">
        <v>1003</v>
      </c>
      <c r="H364" s="2" t="s">
        <v>51</v>
      </c>
      <c r="I364" s="3" t="s">
        <v>1012</v>
      </c>
      <c r="J364" s="7">
        <v>1</v>
      </c>
      <c r="K364" s="70" t="s">
        <v>53</v>
      </c>
      <c r="L364" s="9">
        <v>1</v>
      </c>
      <c r="M364" s="3">
        <v>221</v>
      </c>
      <c r="N364" s="6">
        <v>1939</v>
      </c>
      <c r="P364" s="71"/>
      <c r="R364" s="6">
        <v>1930</v>
      </c>
      <c r="S364" s="3" t="s">
        <v>54</v>
      </c>
      <c r="T364" s="72"/>
      <c r="U364" s="73"/>
      <c r="W364" s="2" t="s">
        <v>1013</v>
      </c>
      <c r="X364" s="10" t="s">
        <v>56</v>
      </c>
      <c r="Y364" s="10" t="s">
        <v>57</v>
      </c>
      <c r="Z364" s="75" t="s">
        <v>58</v>
      </c>
      <c r="AA364" s="76"/>
      <c r="AB364" s="77">
        <v>15001</v>
      </c>
      <c r="AC364" s="77">
        <v>15001</v>
      </c>
      <c r="AD364" s="10"/>
      <c r="AG364" s="7">
        <v>1941</v>
      </c>
      <c r="AH364" s="7">
        <v>1940</v>
      </c>
      <c r="AI364" s="7"/>
      <c r="AJ364" s="73"/>
      <c r="AK364" s="7"/>
      <c r="AL364" s="16"/>
      <c r="AM364" s="2" t="s">
        <v>59</v>
      </c>
      <c r="AW364" s="6">
        <f t="shared" ca="1" si="7"/>
        <v>86</v>
      </c>
    </row>
    <row r="365" ht="45" customHeight="1">
      <c r="A365" s="69"/>
      <c r="B365" s="3" t="s">
        <v>47</v>
      </c>
      <c r="E365" s="78" t="s">
        <v>83</v>
      </c>
      <c r="F365" s="79" t="s">
        <v>704</v>
      </c>
      <c r="G365" s="80" t="s">
        <v>1014</v>
      </c>
      <c r="H365" s="78" t="s">
        <v>51</v>
      </c>
      <c r="I365" s="81" t="s">
        <v>1015</v>
      </c>
      <c r="J365" s="7">
        <v>1</v>
      </c>
      <c r="K365" s="70" t="s">
        <v>53</v>
      </c>
      <c r="L365" s="9">
        <v>0</v>
      </c>
      <c r="M365" s="3">
        <v>221</v>
      </c>
      <c r="N365" s="6">
        <v>1939</v>
      </c>
      <c r="P365" s="71"/>
      <c r="R365" s="6">
        <v>1930</v>
      </c>
      <c r="S365" s="3" t="s">
        <v>54</v>
      </c>
      <c r="T365" s="72"/>
      <c r="U365" s="73"/>
      <c r="W365" s="78" t="s">
        <v>1016</v>
      </c>
      <c r="X365" s="82" t="s">
        <v>56</v>
      </c>
      <c r="Y365" s="82" t="s">
        <v>57</v>
      </c>
      <c r="Z365" s="83" t="s">
        <v>58</v>
      </c>
      <c r="AA365" s="76"/>
      <c r="AB365" s="77">
        <v>15001</v>
      </c>
      <c r="AC365" s="77">
        <v>15001</v>
      </c>
      <c r="AD365" s="10"/>
      <c r="AG365" s="7">
        <v>1941</v>
      </c>
      <c r="AH365" s="7">
        <v>1940</v>
      </c>
      <c r="AI365" s="7"/>
      <c r="AJ365" s="73"/>
      <c r="AK365" s="7"/>
      <c r="AL365" s="16"/>
      <c r="AM365" s="2" t="s">
        <v>59</v>
      </c>
      <c r="AW365" s="6">
        <f t="shared" ca="1" si="7"/>
        <v>86</v>
      </c>
    </row>
    <row r="366" ht="45" customHeight="1">
      <c r="A366" s="69"/>
      <c r="B366" s="3" t="s">
        <v>47</v>
      </c>
      <c r="E366" s="2" t="s">
        <v>83</v>
      </c>
      <c r="F366" s="6" t="s">
        <v>704</v>
      </c>
      <c r="G366" s="5" t="s">
        <v>1017</v>
      </c>
      <c r="H366" s="2" t="s">
        <v>51</v>
      </c>
      <c r="I366" s="3" t="s">
        <v>1018</v>
      </c>
      <c r="J366" s="7">
        <v>1</v>
      </c>
      <c r="K366" s="70" t="s">
        <v>53</v>
      </c>
      <c r="L366" s="9">
        <v>1</v>
      </c>
      <c r="M366" s="3">
        <v>222</v>
      </c>
      <c r="P366" s="71"/>
      <c r="R366" s="6">
        <v>1930</v>
      </c>
      <c r="S366" s="3" t="s">
        <v>54</v>
      </c>
      <c r="T366" s="72"/>
      <c r="U366" s="73"/>
      <c r="W366" s="2" t="s">
        <v>1019</v>
      </c>
      <c r="X366" s="10" t="s">
        <v>56</v>
      </c>
      <c r="Y366" s="10" t="s">
        <v>57</v>
      </c>
      <c r="Z366" s="75" t="s">
        <v>58</v>
      </c>
      <c r="AA366" s="76"/>
      <c r="AB366" s="77">
        <v>15026</v>
      </c>
      <c r="AC366" s="77">
        <v>15026</v>
      </c>
      <c r="AD366" s="10"/>
      <c r="AG366" s="7">
        <v>1941</v>
      </c>
      <c r="AH366" s="7">
        <v>1940</v>
      </c>
      <c r="AI366" s="7"/>
      <c r="AJ366" s="73"/>
      <c r="AK366" s="7"/>
      <c r="AL366" s="16"/>
      <c r="AM366" s="2" t="s">
        <v>59</v>
      </c>
      <c r="AW366" s="6" t="str">
        <f t="shared" ca="1" si="7"/>
        <v/>
      </c>
    </row>
    <row r="367" ht="45" hidden="1" customHeight="1" outlineLevel="1">
      <c r="A367" s="69"/>
      <c r="B367" s="3" t="s">
        <v>47</v>
      </c>
      <c r="C367" s="4" t="s">
        <v>1020</v>
      </c>
      <c r="E367" s="2" t="s">
        <v>83</v>
      </c>
      <c r="F367" s="6" t="s">
        <v>84</v>
      </c>
      <c r="G367" s="5" t="s">
        <v>797</v>
      </c>
      <c r="H367" s="2" t="s">
        <v>382</v>
      </c>
      <c r="I367" s="96" t="s">
        <v>1021</v>
      </c>
      <c r="J367" s="114">
        <v>1</v>
      </c>
      <c r="K367" s="70"/>
      <c r="L367" s="9">
        <v>1</v>
      </c>
      <c r="M367" s="3">
        <v>223</v>
      </c>
      <c r="N367" s="6">
        <v>1940</v>
      </c>
      <c r="P367" s="71"/>
      <c r="R367" s="6">
        <v>1940</v>
      </c>
      <c r="S367" s="3" t="s">
        <v>236</v>
      </c>
      <c r="T367" s="72"/>
      <c r="U367" s="73">
        <v>22859</v>
      </c>
      <c r="W367" s="2" t="s">
        <v>62</v>
      </c>
      <c r="X367" s="10" t="s">
        <v>91</v>
      </c>
      <c r="Y367" s="10" t="s">
        <v>214</v>
      </c>
      <c r="Z367" s="75"/>
      <c r="AA367" s="76"/>
      <c r="AB367" s="77"/>
      <c r="AC367" s="77"/>
      <c r="AD367" s="10"/>
      <c r="AI367" s="7"/>
      <c r="AJ367" s="95">
        <v>22859</v>
      </c>
      <c r="AK367" s="7">
        <v>1960</v>
      </c>
      <c r="AL367" s="16" t="s">
        <v>1022</v>
      </c>
      <c r="AW367" s="6">
        <f t="shared" ca="1" si="7"/>
        <v>85</v>
      </c>
    </row>
    <row r="368" ht="45" customHeight="1">
      <c r="A368" s="69"/>
      <c r="B368" s="3" t="s">
        <v>47</v>
      </c>
      <c r="E368" s="2" t="s">
        <v>63</v>
      </c>
      <c r="F368" s="6" t="s">
        <v>898</v>
      </c>
      <c r="G368" s="5" t="s">
        <v>907</v>
      </c>
      <c r="H368" s="2" t="s">
        <v>51</v>
      </c>
      <c r="I368" s="3" t="s">
        <v>1023</v>
      </c>
      <c r="J368" s="7">
        <v>1</v>
      </c>
      <c r="K368" s="70" t="s">
        <v>53</v>
      </c>
      <c r="L368" s="9">
        <v>1</v>
      </c>
      <c r="M368" s="3">
        <v>224</v>
      </c>
      <c r="N368" s="6">
        <v>1940</v>
      </c>
      <c r="P368" s="71"/>
      <c r="R368" s="6">
        <v>1940</v>
      </c>
      <c r="S368" s="3" t="s">
        <v>54</v>
      </c>
      <c r="T368" s="72"/>
      <c r="U368" s="73"/>
      <c r="W368" s="2" t="s">
        <v>1024</v>
      </c>
      <c r="X368" s="10" t="s">
        <v>56</v>
      </c>
      <c r="Y368" s="10" t="s">
        <v>57</v>
      </c>
      <c r="Z368" s="75" t="s">
        <v>58</v>
      </c>
      <c r="AA368" s="76"/>
      <c r="AB368" s="77">
        <v>14838</v>
      </c>
      <c r="AC368" s="77">
        <v>14838</v>
      </c>
      <c r="AD368" s="10"/>
      <c r="AG368" s="7">
        <v>1940</v>
      </c>
      <c r="AH368" s="7">
        <v>1940</v>
      </c>
      <c r="AI368" s="7"/>
      <c r="AJ368" s="73"/>
      <c r="AK368" s="7"/>
      <c r="AL368" s="16"/>
      <c r="AM368" s="2" t="s">
        <v>59</v>
      </c>
      <c r="AO368" s="6" t="s">
        <v>53</v>
      </c>
      <c r="AP368" s="6" t="s">
        <v>73</v>
      </c>
      <c r="AW368" s="6">
        <f t="shared" ca="1" si="7"/>
        <v>85</v>
      </c>
    </row>
    <row r="369" ht="45" customHeight="1">
      <c r="A369" s="69"/>
      <c r="B369" s="3" t="s">
        <v>47</v>
      </c>
      <c r="E369" s="2" t="s">
        <v>63</v>
      </c>
      <c r="F369" s="6" t="s">
        <v>898</v>
      </c>
      <c r="G369" s="5" t="s">
        <v>1025</v>
      </c>
      <c r="H369" s="2" t="s">
        <v>51</v>
      </c>
      <c r="I369" s="3" t="s">
        <v>1026</v>
      </c>
      <c r="J369" s="7">
        <v>1</v>
      </c>
      <c r="K369" s="70" t="s">
        <v>53</v>
      </c>
      <c r="L369" s="9">
        <v>0</v>
      </c>
      <c r="M369" s="3">
        <v>224</v>
      </c>
      <c r="N369" s="6">
        <v>1940</v>
      </c>
      <c r="P369" s="71"/>
      <c r="R369" s="6">
        <v>1940</v>
      </c>
      <c r="S369" s="3" t="s">
        <v>54</v>
      </c>
      <c r="T369" s="72"/>
      <c r="U369" s="73"/>
      <c r="W369" s="2" t="s">
        <v>1027</v>
      </c>
      <c r="X369" s="10" t="s">
        <v>56</v>
      </c>
      <c r="Y369" s="10" t="s">
        <v>57</v>
      </c>
      <c r="Z369" s="75" t="s">
        <v>58</v>
      </c>
      <c r="AA369" s="76"/>
      <c r="AB369" s="77">
        <v>14838</v>
      </c>
      <c r="AC369" s="77">
        <v>14838</v>
      </c>
      <c r="AD369" s="10"/>
      <c r="AG369" s="7">
        <v>1940</v>
      </c>
      <c r="AH369" s="7">
        <v>1940</v>
      </c>
      <c r="AI369" s="7"/>
      <c r="AJ369" s="73"/>
      <c r="AK369" s="7"/>
      <c r="AL369" s="16"/>
      <c r="AM369" s="2" t="s">
        <v>59</v>
      </c>
      <c r="AO369" s="6" t="s">
        <v>59</v>
      </c>
      <c r="AW369" s="6">
        <f t="shared" ca="1" si="7"/>
        <v>85</v>
      </c>
    </row>
    <row r="370" ht="45" hidden="1" customHeight="1">
      <c r="A370" s="69"/>
      <c r="B370" s="3" t="s">
        <v>47</v>
      </c>
      <c r="C370" s="4" t="s">
        <v>1028</v>
      </c>
      <c r="E370" s="2" t="s">
        <v>48</v>
      </c>
      <c r="F370" s="6" t="s">
        <v>140</v>
      </c>
      <c r="G370" s="5" t="s">
        <v>532</v>
      </c>
      <c r="H370" s="2" t="s">
        <v>57</v>
      </c>
      <c r="I370" s="3" t="s">
        <v>1029</v>
      </c>
      <c r="J370" s="7">
        <v>1</v>
      </c>
      <c r="K370" s="70"/>
      <c r="L370" s="9">
        <v>1</v>
      </c>
      <c r="M370" s="3">
        <v>225</v>
      </c>
      <c r="N370" s="6">
        <v>1940</v>
      </c>
      <c r="P370" s="71"/>
      <c r="R370" s="6">
        <v>1940</v>
      </c>
      <c r="S370" s="3" t="s">
        <v>236</v>
      </c>
      <c r="T370" s="72"/>
      <c r="U370" s="73"/>
      <c r="W370" s="2" t="s">
        <v>62</v>
      </c>
      <c r="X370" s="10" t="s">
        <v>56</v>
      </c>
      <c r="Y370" s="10" t="s">
        <v>57</v>
      </c>
      <c r="Z370" s="75"/>
      <c r="AA370" s="76"/>
      <c r="AB370" s="77"/>
      <c r="AC370" s="77"/>
      <c r="AD370" s="10"/>
      <c r="AI370" s="7"/>
      <c r="AJ370" s="95"/>
      <c r="AK370" s="114"/>
      <c r="AL370" s="16"/>
      <c r="AW370" s="6">
        <f t="shared" ca="1" si="7"/>
        <v>85</v>
      </c>
    </row>
    <row r="371" ht="45" customHeight="1" outlineLevel="1">
      <c r="A371" s="69"/>
      <c r="B371" s="3" t="s">
        <v>190</v>
      </c>
      <c r="C371" s="4" t="s">
        <v>1030</v>
      </c>
      <c r="D371" s="5" t="s">
        <v>1031</v>
      </c>
      <c r="E371" s="2" t="s">
        <v>63</v>
      </c>
      <c r="F371" s="6" t="s">
        <v>172</v>
      </c>
      <c r="G371" s="5" t="s">
        <v>173</v>
      </c>
      <c r="H371" s="2" t="s">
        <v>382</v>
      </c>
      <c r="I371" s="3" t="s">
        <v>1032</v>
      </c>
      <c r="J371" s="114">
        <v>1</v>
      </c>
      <c r="K371" s="70" t="s">
        <v>53</v>
      </c>
      <c r="L371" s="9">
        <v>1</v>
      </c>
      <c r="M371" s="3">
        <v>226</v>
      </c>
      <c r="N371" s="6">
        <v>1940</v>
      </c>
      <c r="P371" s="71"/>
      <c r="R371" s="6">
        <v>1940</v>
      </c>
      <c r="S371" s="3" t="s">
        <v>54</v>
      </c>
      <c r="T371" s="72"/>
      <c r="U371" s="73"/>
      <c r="W371" s="74" t="s">
        <v>1033</v>
      </c>
      <c r="X371" s="10" t="s">
        <v>91</v>
      </c>
      <c r="Y371" s="10" t="s">
        <v>92</v>
      </c>
      <c r="Z371" s="75"/>
      <c r="AA371" s="76"/>
      <c r="AB371" s="77">
        <v>18122</v>
      </c>
      <c r="AC371" s="77">
        <v>18122</v>
      </c>
      <c r="AD371" s="10"/>
      <c r="AG371" s="7">
        <v>1949</v>
      </c>
      <c r="AH371" s="7">
        <v>1940</v>
      </c>
      <c r="AI371" s="7"/>
      <c r="AJ371" s="73"/>
      <c r="AK371" s="7"/>
      <c r="AL371" s="16"/>
      <c r="AM371" s="2" t="s">
        <v>59</v>
      </c>
      <c r="AO371" s="6" t="s">
        <v>59</v>
      </c>
      <c r="AU371" s="16" t="s">
        <v>1034</v>
      </c>
      <c r="AW371" s="6">
        <f t="shared" ca="1" si="7"/>
        <v>85</v>
      </c>
    </row>
    <row r="372" ht="45" customHeight="1">
      <c r="A372" s="69"/>
      <c r="B372" s="3" t="s">
        <v>47</v>
      </c>
      <c r="E372" s="2" t="s">
        <v>63</v>
      </c>
      <c r="F372" s="6" t="s">
        <v>172</v>
      </c>
      <c r="G372" s="5" t="s">
        <v>794</v>
      </c>
      <c r="H372" s="2" t="s">
        <v>51</v>
      </c>
      <c r="I372" s="3" t="s">
        <v>1035</v>
      </c>
      <c r="J372" s="7">
        <v>1</v>
      </c>
      <c r="K372" s="70" t="s">
        <v>53</v>
      </c>
      <c r="L372" s="9">
        <v>1</v>
      </c>
      <c r="M372" s="3">
        <v>227</v>
      </c>
      <c r="N372" s="6">
        <v>1940</v>
      </c>
      <c r="P372" s="71"/>
      <c r="R372" s="6">
        <v>1940</v>
      </c>
      <c r="S372" s="3" t="s">
        <v>54</v>
      </c>
      <c r="T372" s="72"/>
      <c r="U372" s="73"/>
      <c r="W372" s="2" t="s">
        <v>1033</v>
      </c>
      <c r="X372" s="10" t="s">
        <v>56</v>
      </c>
      <c r="Y372" s="10" t="s">
        <v>57</v>
      </c>
      <c r="Z372" s="75" t="s">
        <v>58</v>
      </c>
      <c r="AA372" s="76"/>
      <c r="AB372" s="77">
        <v>15028</v>
      </c>
      <c r="AC372" s="77">
        <v>15028</v>
      </c>
      <c r="AD372" s="10"/>
      <c r="AG372" s="7">
        <v>1941</v>
      </c>
      <c r="AH372" s="7">
        <v>1940</v>
      </c>
      <c r="AI372" s="7"/>
      <c r="AJ372" s="73"/>
      <c r="AK372" s="7"/>
      <c r="AL372" s="16"/>
      <c r="AM372" s="2" t="s">
        <v>59</v>
      </c>
      <c r="AU372" s="16" t="s">
        <v>447</v>
      </c>
      <c r="AW372" s="6">
        <f t="shared" ca="1" si="7"/>
        <v>85</v>
      </c>
    </row>
    <row r="373" ht="45" customHeight="1">
      <c r="A373" s="69"/>
      <c r="B373" s="3" t="s">
        <v>47</v>
      </c>
      <c r="E373" s="2" t="s">
        <v>83</v>
      </c>
      <c r="F373" s="6" t="s">
        <v>931</v>
      </c>
      <c r="G373" s="5" t="s">
        <v>932</v>
      </c>
      <c r="H373" s="2" t="s">
        <v>257</v>
      </c>
      <c r="I373" s="3" t="s">
        <v>1036</v>
      </c>
      <c r="J373" s="7">
        <v>1</v>
      </c>
      <c r="K373" s="70" t="s">
        <v>53</v>
      </c>
      <c r="L373" s="9">
        <v>1</v>
      </c>
      <c r="M373" s="3">
        <v>228</v>
      </c>
      <c r="N373" s="6">
        <v>1940</v>
      </c>
      <c r="P373" s="71"/>
      <c r="R373" s="6">
        <v>1940</v>
      </c>
      <c r="S373" s="3" t="s">
        <v>54</v>
      </c>
      <c r="T373" s="72"/>
      <c r="U373" s="73"/>
      <c r="W373" s="2" t="s">
        <v>1037</v>
      </c>
      <c r="X373" s="10" t="s">
        <v>56</v>
      </c>
      <c r="Y373" s="10" t="s">
        <v>68</v>
      </c>
      <c r="Z373" s="75" t="s">
        <v>260</v>
      </c>
      <c r="AA373" s="76"/>
      <c r="AB373" s="77"/>
      <c r="AC373" s="77">
        <v>14909</v>
      </c>
      <c r="AD373" s="10"/>
      <c r="AG373" s="7">
        <v>1940</v>
      </c>
      <c r="AH373" s="7">
        <v>1940</v>
      </c>
      <c r="AI373" s="7"/>
      <c r="AJ373" s="73"/>
      <c r="AK373" s="7"/>
      <c r="AL373" s="16"/>
      <c r="AM373" s="2" t="s">
        <v>59</v>
      </c>
      <c r="AO373" s="6" t="s">
        <v>136</v>
      </c>
      <c r="AW373" s="6">
        <f t="shared" ca="1" si="7"/>
        <v>85</v>
      </c>
    </row>
    <row r="374" ht="45" customHeight="1" outlineLevel="1">
      <c r="A374" s="69"/>
      <c r="B374" s="3" t="s">
        <v>47</v>
      </c>
      <c r="E374" s="2" t="s">
        <v>83</v>
      </c>
      <c r="F374" s="6" t="s">
        <v>931</v>
      </c>
      <c r="G374" s="5" t="s">
        <v>1038</v>
      </c>
      <c r="H374" s="2" t="s">
        <v>51</v>
      </c>
      <c r="I374" s="3" t="s">
        <v>1039</v>
      </c>
      <c r="J374" s="7">
        <v>1</v>
      </c>
      <c r="K374" s="70" t="s">
        <v>53</v>
      </c>
      <c r="L374" s="9">
        <v>1</v>
      </c>
      <c r="M374" s="3">
        <v>229</v>
      </c>
      <c r="N374" s="6">
        <v>1940</v>
      </c>
      <c r="P374" s="71"/>
      <c r="R374" s="6">
        <v>1940</v>
      </c>
      <c r="S374" s="3" t="s">
        <v>54</v>
      </c>
      <c r="T374" s="72"/>
      <c r="U374" s="73"/>
      <c r="W374" s="2" t="s">
        <v>1040</v>
      </c>
      <c r="X374" s="10" t="s">
        <v>56</v>
      </c>
      <c r="Y374" s="10" t="s">
        <v>57</v>
      </c>
      <c r="Z374" s="75" t="s">
        <v>58</v>
      </c>
      <c r="AA374" s="76"/>
      <c r="AB374" s="77">
        <v>15970</v>
      </c>
      <c r="AC374" s="77"/>
      <c r="AD374" s="6"/>
      <c r="AG374" s="7">
        <v>1943</v>
      </c>
      <c r="AH374" s="7">
        <v>1940</v>
      </c>
      <c r="AI374" s="7"/>
      <c r="AJ374" s="73"/>
      <c r="AK374" s="7"/>
      <c r="AL374" s="16"/>
      <c r="AM374" s="2" t="s">
        <v>59</v>
      </c>
      <c r="AO374" s="6" t="s">
        <v>136</v>
      </c>
      <c r="AW374" s="6">
        <f t="shared" ca="1" si="7"/>
        <v>85</v>
      </c>
    </row>
    <row r="375" ht="45" customHeight="1">
      <c r="A375" s="69"/>
      <c r="B375" s="3" t="s">
        <v>47</v>
      </c>
      <c r="E375" s="78" t="s">
        <v>83</v>
      </c>
      <c r="F375" s="79" t="s">
        <v>931</v>
      </c>
      <c r="G375" s="80" t="s">
        <v>1041</v>
      </c>
      <c r="H375" s="78" t="s">
        <v>51</v>
      </c>
      <c r="I375" s="81" t="s">
        <v>1042</v>
      </c>
      <c r="J375" s="7">
        <v>1</v>
      </c>
      <c r="K375" s="70" t="s">
        <v>53</v>
      </c>
      <c r="L375" s="9">
        <v>1</v>
      </c>
      <c r="M375" s="3">
        <v>230</v>
      </c>
      <c r="N375" s="6">
        <v>1940</v>
      </c>
      <c r="P375" s="71"/>
      <c r="R375" s="6">
        <v>1940</v>
      </c>
      <c r="S375" s="3" t="s">
        <v>54</v>
      </c>
      <c r="T375" s="72"/>
      <c r="U375" s="73"/>
      <c r="W375" s="78" t="s">
        <v>1043</v>
      </c>
      <c r="X375" s="82" t="s">
        <v>56</v>
      </c>
      <c r="Y375" s="82" t="s">
        <v>57</v>
      </c>
      <c r="Z375" s="83" t="s">
        <v>58</v>
      </c>
      <c r="AA375" s="76"/>
      <c r="AB375" s="77">
        <v>15970</v>
      </c>
      <c r="AC375" s="77">
        <v>15970</v>
      </c>
      <c r="AD375" s="10"/>
      <c r="AG375" s="7">
        <v>1943</v>
      </c>
      <c r="AH375" s="7">
        <v>1940</v>
      </c>
      <c r="AI375" s="7"/>
      <c r="AJ375" s="73"/>
      <c r="AK375" s="7"/>
      <c r="AL375" s="16"/>
      <c r="AM375" s="2" t="s">
        <v>59</v>
      </c>
      <c r="AO375" s="6" t="s">
        <v>136</v>
      </c>
      <c r="AW375" s="6">
        <f t="shared" ca="1" si="7"/>
        <v>85</v>
      </c>
    </row>
    <row r="376" ht="45" customHeight="1">
      <c r="A376" s="69"/>
      <c r="B376" s="3" t="s">
        <v>47</v>
      </c>
      <c r="E376" s="78" t="s">
        <v>63</v>
      </c>
      <c r="F376" s="79" t="s">
        <v>172</v>
      </c>
      <c r="G376" s="80" t="s">
        <v>618</v>
      </c>
      <c r="H376" s="78" t="s">
        <v>51</v>
      </c>
      <c r="I376" s="81" t="s">
        <v>1044</v>
      </c>
      <c r="J376" s="7">
        <v>1</v>
      </c>
      <c r="K376" s="70" t="s">
        <v>53</v>
      </c>
      <c r="L376" s="9">
        <v>1</v>
      </c>
      <c r="M376" s="3">
        <v>231</v>
      </c>
      <c r="N376" s="6">
        <v>1941</v>
      </c>
      <c r="P376" s="71"/>
      <c r="R376" s="6">
        <v>1940</v>
      </c>
      <c r="S376" s="3" t="s">
        <v>54</v>
      </c>
      <c r="T376" s="72"/>
      <c r="U376" s="73"/>
      <c r="W376" s="78" t="s">
        <v>1045</v>
      </c>
      <c r="X376" s="82" t="s">
        <v>56</v>
      </c>
      <c r="Y376" s="82" t="s">
        <v>57</v>
      </c>
      <c r="Z376" s="83" t="s">
        <v>58</v>
      </c>
      <c r="AA376" s="76"/>
      <c r="AB376" s="77">
        <v>15895</v>
      </c>
      <c r="AC376" s="77">
        <v>15895</v>
      </c>
      <c r="AD376" s="10"/>
      <c r="AG376" s="7">
        <v>1943</v>
      </c>
      <c r="AH376" s="7">
        <v>1940</v>
      </c>
      <c r="AI376" s="7"/>
      <c r="AJ376" s="73"/>
      <c r="AK376" s="7"/>
      <c r="AL376" s="16"/>
      <c r="AM376" s="2" t="s">
        <v>59</v>
      </c>
      <c r="AW376" s="6">
        <f t="shared" ca="1" si="7"/>
        <v>84</v>
      </c>
    </row>
    <row r="377" ht="45" customHeight="1" outlineLevel="1">
      <c r="A377" s="69"/>
      <c r="B377" s="3" t="s">
        <v>47</v>
      </c>
      <c r="E377" s="78" t="s">
        <v>83</v>
      </c>
      <c r="F377" s="79" t="s">
        <v>931</v>
      </c>
      <c r="G377" s="80" t="s">
        <v>1046</v>
      </c>
      <c r="H377" s="78" t="s">
        <v>51</v>
      </c>
      <c r="I377" s="81" t="s">
        <v>1047</v>
      </c>
      <c r="J377" s="7">
        <v>1</v>
      </c>
      <c r="K377" s="70" t="s">
        <v>53</v>
      </c>
      <c r="L377" s="9">
        <v>1</v>
      </c>
      <c r="M377" s="3">
        <v>232</v>
      </c>
      <c r="N377" s="6">
        <v>1940</v>
      </c>
      <c r="P377" s="71"/>
      <c r="R377" s="6">
        <v>1940</v>
      </c>
      <c r="S377" s="3" t="s">
        <v>54</v>
      </c>
      <c r="T377" s="72"/>
      <c r="U377" s="73"/>
      <c r="W377" s="78" t="s">
        <v>1048</v>
      </c>
      <c r="X377" s="82" t="s">
        <v>56</v>
      </c>
      <c r="Y377" s="82" t="s">
        <v>57</v>
      </c>
      <c r="Z377" s="83" t="s">
        <v>58</v>
      </c>
      <c r="AA377" s="76"/>
      <c r="AB377" s="77">
        <v>15970</v>
      </c>
      <c r="AC377" s="77">
        <v>15970</v>
      </c>
      <c r="AD377" s="10"/>
      <c r="AG377" s="7">
        <v>1943</v>
      </c>
      <c r="AH377" s="7">
        <v>1940</v>
      </c>
      <c r="AI377" s="7"/>
      <c r="AJ377" s="73"/>
      <c r="AK377" s="7"/>
      <c r="AL377" s="16"/>
      <c r="AM377" s="2" t="s">
        <v>59</v>
      </c>
      <c r="AO377" s="6" t="s">
        <v>100</v>
      </c>
      <c r="AP377" s="6" t="s">
        <v>73</v>
      </c>
      <c r="AQ377" s="5" t="s">
        <v>73</v>
      </c>
      <c r="AR377" s="2" t="s">
        <v>73</v>
      </c>
      <c r="AS377" s="6" t="s">
        <v>73</v>
      </c>
      <c r="AT377" s="6" t="s">
        <v>1049</v>
      </c>
      <c r="AU377" s="16" t="s">
        <v>1050</v>
      </c>
      <c r="AW377" s="6">
        <f t="shared" ca="1" si="7"/>
        <v>85</v>
      </c>
    </row>
    <row r="378" ht="45" hidden="1" customHeight="1">
      <c r="A378" s="69"/>
      <c r="B378" s="3" t="s">
        <v>47</v>
      </c>
      <c r="C378" s="4" t="s">
        <v>1051</v>
      </c>
      <c r="D378" s="5" t="s">
        <v>1052</v>
      </c>
      <c r="E378" s="2" t="s">
        <v>83</v>
      </c>
      <c r="F378" s="6" t="s">
        <v>84</v>
      </c>
      <c r="G378" s="5" t="s">
        <v>1053</v>
      </c>
      <c r="H378" s="2" t="s">
        <v>51</v>
      </c>
      <c r="I378" s="3" t="s">
        <v>1054</v>
      </c>
      <c r="J378" s="7">
        <v>1</v>
      </c>
      <c r="K378" s="70"/>
      <c r="L378" s="9">
        <v>1</v>
      </c>
      <c r="M378" s="3">
        <v>233</v>
      </c>
      <c r="N378" s="6">
        <v>1940</v>
      </c>
      <c r="P378" s="71"/>
      <c r="R378" s="6">
        <v>1940</v>
      </c>
      <c r="S378" s="3" t="s">
        <v>236</v>
      </c>
      <c r="T378" s="72"/>
      <c r="U378" s="73">
        <v>43745</v>
      </c>
      <c r="W378" s="2" t="s">
        <v>62</v>
      </c>
      <c r="X378" s="10" t="s">
        <v>56</v>
      </c>
      <c r="Y378" s="10" t="s">
        <v>57</v>
      </c>
      <c r="Z378" s="75" t="s">
        <v>58</v>
      </c>
      <c r="AA378" s="76"/>
      <c r="AB378" s="77"/>
      <c r="AC378" s="77"/>
      <c r="AD378" s="10"/>
      <c r="AI378" s="7"/>
      <c r="AJ378" s="10">
        <v>43745</v>
      </c>
      <c r="AK378" s="7">
        <v>2010</v>
      </c>
      <c r="AL378" s="16"/>
      <c r="AW378" s="6">
        <f t="shared" ca="1" si="7"/>
        <v>85</v>
      </c>
    </row>
    <row r="379" ht="45" customHeight="1" outlineLevel="1">
      <c r="A379" s="69"/>
      <c r="B379" s="3" t="s">
        <v>47</v>
      </c>
      <c r="E379" s="2" t="s">
        <v>694</v>
      </c>
      <c r="F379" s="6" t="s">
        <v>695</v>
      </c>
      <c r="G379" s="5" t="s">
        <v>696</v>
      </c>
      <c r="H379" s="2" t="s">
        <v>51</v>
      </c>
      <c r="I379" s="3" t="s">
        <v>374</v>
      </c>
      <c r="J379" s="7">
        <v>1</v>
      </c>
      <c r="K379" s="70" t="s">
        <v>53</v>
      </c>
      <c r="L379" s="9">
        <v>1</v>
      </c>
      <c r="M379" s="3">
        <v>234</v>
      </c>
      <c r="N379" s="6">
        <v>1940</v>
      </c>
      <c r="P379" s="71"/>
      <c r="R379" s="6">
        <v>1940</v>
      </c>
      <c r="S379" s="3" t="s">
        <v>54</v>
      </c>
      <c r="T379" s="72"/>
      <c r="U379" s="73"/>
      <c r="W379" s="2" t="s">
        <v>1055</v>
      </c>
      <c r="X379" s="10" t="s">
        <v>56</v>
      </c>
      <c r="Y379" s="10" t="s">
        <v>57</v>
      </c>
      <c r="Z379" s="75" t="s">
        <v>58</v>
      </c>
      <c r="AA379" s="76"/>
      <c r="AB379" s="77">
        <v>14979</v>
      </c>
      <c r="AC379" s="77"/>
      <c r="AD379" s="6"/>
      <c r="AG379" s="7">
        <v>1941</v>
      </c>
      <c r="AH379" s="7">
        <v>1940</v>
      </c>
      <c r="AI379" s="7"/>
      <c r="AJ379" s="73"/>
      <c r="AK379" s="7"/>
      <c r="AL379" s="16"/>
      <c r="AM379" s="2" t="s">
        <v>59</v>
      </c>
      <c r="AO379" s="6" t="s">
        <v>59</v>
      </c>
      <c r="AQ379" s="5" t="s">
        <v>73</v>
      </c>
      <c r="AW379" s="6">
        <f t="shared" ca="1" si="7"/>
        <v>85</v>
      </c>
    </row>
    <row r="380" ht="45" customHeight="1">
      <c r="A380" s="69"/>
      <c r="B380" s="3" t="s">
        <v>47</v>
      </c>
      <c r="E380" s="2" t="s">
        <v>694</v>
      </c>
      <c r="F380" s="6" t="s">
        <v>695</v>
      </c>
      <c r="G380" s="5" t="s">
        <v>696</v>
      </c>
      <c r="H380" s="2" t="s">
        <v>68</v>
      </c>
      <c r="I380" s="3" t="s">
        <v>1056</v>
      </c>
      <c r="J380" s="7">
        <v>1</v>
      </c>
      <c r="K380" s="70" t="s">
        <v>53</v>
      </c>
      <c r="L380" s="9">
        <v>1</v>
      </c>
      <c r="M380" s="3">
        <v>235</v>
      </c>
      <c r="N380" s="6">
        <v>1940</v>
      </c>
      <c r="P380" s="71"/>
      <c r="R380" s="6">
        <v>1940</v>
      </c>
      <c r="S380" s="3" t="s">
        <v>54</v>
      </c>
      <c r="T380" s="72"/>
      <c r="U380" s="73"/>
      <c r="W380" s="2" t="s">
        <v>1057</v>
      </c>
      <c r="X380" s="10" t="s">
        <v>56</v>
      </c>
      <c r="Y380" s="10" t="s">
        <v>68</v>
      </c>
      <c r="Z380" s="75" t="s">
        <v>58</v>
      </c>
      <c r="AA380" s="76"/>
      <c r="AB380" s="77">
        <v>14979</v>
      </c>
      <c r="AC380" s="77"/>
      <c r="AD380" s="6"/>
      <c r="AG380" s="7">
        <v>1941</v>
      </c>
      <c r="AH380" s="7">
        <v>1940</v>
      </c>
      <c r="AI380" s="7"/>
      <c r="AJ380" s="73"/>
      <c r="AK380" s="7"/>
      <c r="AL380" s="16"/>
      <c r="AM380" s="2" t="s">
        <v>59</v>
      </c>
      <c r="AO380" s="6" t="s">
        <v>59</v>
      </c>
      <c r="AQ380" s="5" t="s">
        <v>73</v>
      </c>
      <c r="AW380" s="6">
        <f t="shared" ca="1" si="7"/>
        <v>85</v>
      </c>
    </row>
    <row r="381" ht="45" customHeight="1" outlineLevel="1">
      <c r="A381" s="69"/>
      <c r="B381" s="94" t="s">
        <v>47</v>
      </c>
      <c r="C381" s="116"/>
      <c r="E381" s="78" t="s">
        <v>694</v>
      </c>
      <c r="F381" s="79" t="s">
        <v>695</v>
      </c>
      <c r="G381" s="80" t="s">
        <v>696</v>
      </c>
      <c r="H381" s="78" t="s">
        <v>51</v>
      </c>
      <c r="I381" s="81" t="s">
        <v>1058</v>
      </c>
      <c r="J381" s="7">
        <v>1</v>
      </c>
      <c r="K381" s="70" t="s">
        <v>53</v>
      </c>
      <c r="L381" s="9">
        <v>1</v>
      </c>
      <c r="M381" s="3">
        <v>236</v>
      </c>
      <c r="N381" s="6">
        <v>1940</v>
      </c>
      <c r="P381" s="71"/>
      <c r="R381" s="6">
        <v>1940</v>
      </c>
      <c r="S381" s="3" t="s">
        <v>54</v>
      </c>
      <c r="T381" s="72"/>
      <c r="U381" s="73"/>
      <c r="W381" s="78" t="s">
        <v>1059</v>
      </c>
      <c r="X381" s="82" t="s">
        <v>56</v>
      </c>
      <c r="Y381" s="82" t="s">
        <v>68</v>
      </c>
      <c r="Z381" s="83" t="s">
        <v>58</v>
      </c>
      <c r="AA381" s="76"/>
      <c r="AB381" s="77">
        <v>14979</v>
      </c>
      <c r="AC381" s="77"/>
      <c r="AD381" s="6"/>
      <c r="AG381" s="7">
        <v>1941</v>
      </c>
      <c r="AH381" s="7">
        <v>1940</v>
      </c>
      <c r="AI381" s="7"/>
      <c r="AJ381" s="73"/>
      <c r="AK381" s="7"/>
      <c r="AL381" s="16" t="s">
        <v>1060</v>
      </c>
      <c r="AW381" s="6">
        <f t="shared" ca="1" si="7"/>
        <v>85</v>
      </c>
    </row>
    <row r="382" ht="45" customHeight="1">
      <c r="A382" s="69"/>
      <c r="B382" s="3" t="s">
        <v>47</v>
      </c>
      <c r="E382" s="2" t="s">
        <v>694</v>
      </c>
      <c r="F382" s="6" t="s">
        <v>695</v>
      </c>
      <c r="G382" s="5" t="s">
        <v>696</v>
      </c>
      <c r="H382" s="2" t="s">
        <v>51</v>
      </c>
      <c r="I382" s="3" t="s">
        <v>1061</v>
      </c>
      <c r="J382" s="7">
        <v>1</v>
      </c>
      <c r="K382" s="70" t="s">
        <v>53</v>
      </c>
      <c r="L382" s="9">
        <v>1</v>
      </c>
      <c r="M382" s="3">
        <v>237</v>
      </c>
      <c r="N382" s="6">
        <v>1940</v>
      </c>
      <c r="P382" s="71"/>
      <c r="R382" s="6">
        <v>1940</v>
      </c>
      <c r="S382" s="3" t="s">
        <v>54</v>
      </c>
      <c r="T382" s="72"/>
      <c r="U382" s="73"/>
      <c r="W382" s="2" t="s">
        <v>1062</v>
      </c>
      <c r="X382" s="10" t="s">
        <v>56</v>
      </c>
      <c r="Y382" s="10" t="s">
        <v>57</v>
      </c>
      <c r="Z382" s="75" t="s">
        <v>58</v>
      </c>
      <c r="AA382" s="76"/>
      <c r="AB382" s="77">
        <v>14979</v>
      </c>
      <c r="AC382" s="77"/>
      <c r="AD382" s="6"/>
      <c r="AG382" s="7">
        <v>1941</v>
      </c>
      <c r="AH382" s="7">
        <v>1940</v>
      </c>
      <c r="AI382" s="7"/>
      <c r="AJ382" s="73"/>
      <c r="AK382" s="7"/>
      <c r="AL382" s="16"/>
      <c r="AM382" s="2" t="s">
        <v>59</v>
      </c>
      <c r="AO382" s="6" t="s">
        <v>59</v>
      </c>
      <c r="AQ382" s="5" t="s">
        <v>73</v>
      </c>
      <c r="AW382" s="6">
        <f t="shared" ca="1" si="7"/>
        <v>85</v>
      </c>
    </row>
    <row r="383" ht="45" customHeight="1" outlineLevel="1">
      <c r="A383" s="69"/>
      <c r="B383" s="3" t="s">
        <v>47</v>
      </c>
      <c r="E383" s="2" t="s">
        <v>83</v>
      </c>
      <c r="F383" s="6" t="s">
        <v>179</v>
      </c>
      <c r="G383" s="5" t="s">
        <v>367</v>
      </c>
      <c r="H383" s="2" t="s">
        <v>288</v>
      </c>
      <c r="I383" s="3" t="s">
        <v>1063</v>
      </c>
      <c r="J383" s="7">
        <v>1</v>
      </c>
      <c r="K383" s="70" t="s">
        <v>53</v>
      </c>
      <c r="L383" s="9">
        <v>1</v>
      </c>
      <c r="M383" s="3">
        <v>238</v>
      </c>
      <c r="N383" s="6">
        <v>1941</v>
      </c>
      <c r="P383" s="71"/>
      <c r="R383" s="6">
        <v>1940</v>
      </c>
      <c r="S383" s="3" t="s">
        <v>54</v>
      </c>
      <c r="T383" s="72"/>
      <c r="U383" s="73"/>
      <c r="W383" s="2" t="s">
        <v>1064</v>
      </c>
      <c r="X383" s="10" t="s">
        <v>56</v>
      </c>
      <c r="Y383" s="10" t="s">
        <v>288</v>
      </c>
      <c r="Z383" s="75"/>
      <c r="AA383" s="76">
        <v>15052</v>
      </c>
      <c r="AB383" s="77"/>
      <c r="AC383" s="77"/>
      <c r="AD383" s="6"/>
      <c r="AG383" s="7">
        <v>1941</v>
      </c>
      <c r="AH383" s="7">
        <v>1940</v>
      </c>
      <c r="AI383" s="7"/>
      <c r="AJ383" s="73"/>
      <c r="AK383" s="7"/>
      <c r="AL383" s="16"/>
      <c r="AM383" s="2" t="s">
        <v>73</v>
      </c>
      <c r="AS383" s="6" t="s">
        <v>73</v>
      </c>
      <c r="AT383" s="6">
        <v>1989</v>
      </c>
      <c r="AU383" s="16" t="s">
        <v>1065</v>
      </c>
      <c r="AW383" s="6">
        <f t="shared" ca="1" si="7"/>
        <v>84</v>
      </c>
    </row>
    <row r="384" ht="45" hidden="1" customHeight="1">
      <c r="A384" s="69"/>
      <c r="B384" s="3" t="s">
        <v>47</v>
      </c>
      <c r="C384" s="4" t="s">
        <v>1066</v>
      </c>
      <c r="D384" s="117" t="s">
        <v>1067</v>
      </c>
      <c r="E384" s="2" t="s">
        <v>83</v>
      </c>
      <c r="F384" s="6" t="s">
        <v>84</v>
      </c>
      <c r="G384" s="5" t="s">
        <v>1068</v>
      </c>
      <c r="H384" s="2" t="s">
        <v>288</v>
      </c>
      <c r="I384" s="3" t="s">
        <v>1069</v>
      </c>
      <c r="J384" s="7">
        <v>1</v>
      </c>
      <c r="K384" s="70"/>
      <c r="L384" s="9">
        <v>1</v>
      </c>
      <c r="M384" s="3">
        <v>239</v>
      </c>
      <c r="N384" s="6">
        <v>1941</v>
      </c>
      <c r="P384" s="71"/>
      <c r="R384" s="6">
        <v>1940</v>
      </c>
      <c r="S384" s="3" t="s">
        <v>236</v>
      </c>
      <c r="T384" s="72"/>
      <c r="U384" s="73">
        <v>38175</v>
      </c>
      <c r="W384" s="2" t="s">
        <v>62</v>
      </c>
      <c r="X384" s="10" t="s">
        <v>56</v>
      </c>
      <c r="Y384" s="10" t="s">
        <v>288</v>
      </c>
      <c r="Z384" s="75"/>
      <c r="AA384" s="76"/>
      <c r="AB384" s="77"/>
      <c r="AC384" s="77"/>
      <c r="AD384" s="6"/>
      <c r="AI384" s="7"/>
      <c r="AJ384" s="95">
        <v>38175</v>
      </c>
      <c r="AK384" s="7">
        <v>2000</v>
      </c>
      <c r="AL384" s="16"/>
      <c r="AW384" s="6">
        <f t="shared" ca="1" si="7"/>
        <v>84</v>
      </c>
    </row>
    <row r="385" ht="45" customHeight="1" outlineLevel="1">
      <c r="A385" s="69"/>
      <c r="B385" s="3" t="s">
        <v>47</v>
      </c>
      <c r="E385" s="2" t="s">
        <v>48</v>
      </c>
      <c r="F385" s="6" t="s">
        <v>49</v>
      </c>
      <c r="G385" s="5" t="s">
        <v>1070</v>
      </c>
      <c r="H385" s="2" t="s">
        <v>88</v>
      </c>
      <c r="I385" s="3" t="s">
        <v>1071</v>
      </c>
      <c r="J385" s="7">
        <v>1</v>
      </c>
      <c r="K385" s="70" t="s">
        <v>53</v>
      </c>
      <c r="L385" s="9">
        <v>1</v>
      </c>
      <c r="M385" s="3">
        <v>240</v>
      </c>
      <c r="N385" s="6">
        <v>1941</v>
      </c>
      <c r="P385" s="71"/>
      <c r="R385" s="6">
        <v>1940</v>
      </c>
      <c r="S385" s="3" t="s">
        <v>54</v>
      </c>
      <c r="T385" s="72"/>
      <c r="U385" s="73"/>
      <c r="W385" s="2" t="s">
        <v>1072</v>
      </c>
      <c r="X385" s="10" t="s">
        <v>91</v>
      </c>
      <c r="Y385" s="10" t="s">
        <v>214</v>
      </c>
      <c r="Z385" s="75"/>
      <c r="AA385" s="76"/>
      <c r="AB385" s="77">
        <v>15507</v>
      </c>
      <c r="AC385" s="77">
        <v>15507</v>
      </c>
      <c r="AD385" s="10"/>
      <c r="AG385" s="7">
        <v>1942</v>
      </c>
      <c r="AH385" s="7">
        <v>1940</v>
      </c>
      <c r="AI385" s="7"/>
      <c r="AJ385" s="73"/>
      <c r="AK385" s="7"/>
      <c r="AM385" s="2" t="s">
        <v>59</v>
      </c>
      <c r="AO385" s="6" t="s">
        <v>59</v>
      </c>
      <c r="AU385" s="16" t="s">
        <v>1073</v>
      </c>
      <c r="AW385" s="6">
        <f t="shared" ca="1" si="7"/>
        <v>84</v>
      </c>
    </row>
    <row r="386" ht="45" customHeight="1">
      <c r="A386" s="69"/>
      <c r="B386" s="3" t="s">
        <v>47</v>
      </c>
      <c r="E386" s="2" t="s">
        <v>1074</v>
      </c>
      <c r="F386" s="6" t="s">
        <v>1075</v>
      </c>
      <c r="G386" s="5" t="s">
        <v>1076</v>
      </c>
      <c r="H386" s="2" t="s">
        <v>51</v>
      </c>
      <c r="I386" s="3" t="s">
        <v>738</v>
      </c>
      <c r="J386" s="7">
        <v>1</v>
      </c>
      <c r="K386" s="70" t="s">
        <v>53</v>
      </c>
      <c r="L386" s="9">
        <v>1</v>
      </c>
      <c r="M386" s="3">
        <v>241</v>
      </c>
      <c r="N386" s="6">
        <v>1941</v>
      </c>
      <c r="P386" s="71"/>
      <c r="R386" s="6">
        <v>1940</v>
      </c>
      <c r="S386" s="3" t="s">
        <v>54</v>
      </c>
      <c r="T386" s="72"/>
      <c r="U386" s="73"/>
      <c r="W386" s="2" t="s">
        <v>1077</v>
      </c>
      <c r="X386" s="10" t="s">
        <v>56</v>
      </c>
      <c r="Y386" s="10" t="s">
        <v>57</v>
      </c>
      <c r="Z386" s="75" t="s">
        <v>58</v>
      </c>
      <c r="AA386" s="76"/>
      <c r="AB386" s="77">
        <v>15160</v>
      </c>
      <c r="AC386" s="77"/>
      <c r="AD386" s="6"/>
      <c r="AG386" s="7">
        <v>1941</v>
      </c>
      <c r="AH386" s="7">
        <v>1940</v>
      </c>
      <c r="AI386" s="7"/>
      <c r="AJ386" s="73"/>
      <c r="AK386" s="7"/>
      <c r="AL386" s="16"/>
      <c r="AM386" s="2" t="s">
        <v>59</v>
      </c>
      <c r="AW386" s="6">
        <f t="shared" ca="1" si="7"/>
        <v>84</v>
      </c>
    </row>
    <row r="387" ht="45" customHeight="1">
      <c r="A387" s="69"/>
      <c r="B387" s="3" t="s">
        <v>47</v>
      </c>
      <c r="E387" s="2" t="s">
        <v>83</v>
      </c>
      <c r="F387" s="6" t="s">
        <v>179</v>
      </c>
      <c r="G387" s="5" t="s">
        <v>857</v>
      </c>
      <c r="H387" s="2" t="s">
        <v>51</v>
      </c>
      <c r="I387" s="3" t="s">
        <v>1078</v>
      </c>
      <c r="J387" s="7">
        <v>1</v>
      </c>
      <c r="K387" s="70" t="s">
        <v>53</v>
      </c>
      <c r="L387" s="9">
        <v>1</v>
      </c>
      <c r="M387" s="3">
        <v>242</v>
      </c>
      <c r="N387" s="6">
        <v>1941</v>
      </c>
      <c r="P387" s="71"/>
      <c r="R387" s="6">
        <v>1940</v>
      </c>
      <c r="S387" s="3" t="s">
        <v>54</v>
      </c>
      <c r="T387" s="72"/>
      <c r="U387" s="73"/>
      <c r="W387" s="2" t="s">
        <v>1079</v>
      </c>
      <c r="X387" s="10" t="s">
        <v>56</v>
      </c>
      <c r="Y387" s="10" t="s">
        <v>57</v>
      </c>
      <c r="Z387" s="75" t="s">
        <v>58</v>
      </c>
      <c r="AA387" s="76"/>
      <c r="AB387" s="77"/>
      <c r="AC387" s="77">
        <v>15218</v>
      </c>
      <c r="AD387" s="10"/>
      <c r="AG387" s="7">
        <v>1941</v>
      </c>
      <c r="AH387" s="7">
        <v>1940</v>
      </c>
      <c r="AI387" s="7"/>
      <c r="AJ387" s="73"/>
      <c r="AK387" s="7"/>
      <c r="AL387" s="16"/>
      <c r="AM387" s="2" t="s">
        <v>59</v>
      </c>
      <c r="AW387" s="6">
        <f t="shared" ca="1" si="7"/>
        <v>84</v>
      </c>
    </row>
    <row r="388" ht="45" customHeight="1" outlineLevel="1">
      <c r="A388" s="69"/>
      <c r="B388" s="3" t="s">
        <v>47</v>
      </c>
      <c r="E388" s="2" t="s">
        <v>63</v>
      </c>
      <c r="F388" s="6" t="s">
        <v>172</v>
      </c>
      <c r="G388" s="5" t="s">
        <v>618</v>
      </c>
      <c r="H388" s="2" t="s">
        <v>57</v>
      </c>
      <c r="I388" s="3" t="s">
        <v>1080</v>
      </c>
      <c r="J388" s="7">
        <v>1</v>
      </c>
      <c r="K388" s="70" t="s">
        <v>53</v>
      </c>
      <c r="L388" s="9">
        <v>1</v>
      </c>
      <c r="M388" s="3">
        <v>243</v>
      </c>
      <c r="N388" s="6">
        <v>1941</v>
      </c>
      <c r="P388" s="71"/>
      <c r="R388" s="6">
        <v>1940</v>
      </c>
      <c r="S388" s="3" t="s">
        <v>54</v>
      </c>
      <c r="T388" s="72"/>
      <c r="U388" s="73"/>
      <c r="W388" s="2" t="s">
        <v>1081</v>
      </c>
      <c r="X388" s="10" t="s">
        <v>56</v>
      </c>
      <c r="Y388" s="10" t="s">
        <v>57</v>
      </c>
      <c r="Z388" s="75"/>
      <c r="AA388" s="76"/>
      <c r="AB388" s="77"/>
      <c r="AC388" s="77">
        <v>15934</v>
      </c>
      <c r="AD388" s="10"/>
      <c r="AG388" s="7">
        <v>1943</v>
      </c>
      <c r="AH388" s="7">
        <v>1940</v>
      </c>
      <c r="AI388" s="7"/>
      <c r="AJ388" s="73"/>
      <c r="AK388" s="7"/>
      <c r="AL388" s="16"/>
      <c r="AM388" s="2" t="s">
        <v>59</v>
      </c>
      <c r="AW388" s="6">
        <f t="shared" ca="1" si="7"/>
        <v>84</v>
      </c>
    </row>
    <row r="389" ht="45" customHeight="1">
      <c r="A389" s="69"/>
      <c r="B389" s="3" t="s">
        <v>47</v>
      </c>
      <c r="E389" s="2" t="s">
        <v>63</v>
      </c>
      <c r="F389" s="6" t="s">
        <v>172</v>
      </c>
      <c r="G389" s="5" t="s">
        <v>618</v>
      </c>
      <c r="H389" s="2" t="s">
        <v>57</v>
      </c>
      <c r="I389" s="3" t="s">
        <v>1082</v>
      </c>
      <c r="J389" s="7">
        <v>1</v>
      </c>
      <c r="K389" s="70" t="s">
        <v>53</v>
      </c>
      <c r="L389" s="9">
        <v>1</v>
      </c>
      <c r="M389" s="3">
        <v>244</v>
      </c>
      <c r="N389" s="6">
        <v>1941</v>
      </c>
      <c r="P389" s="71"/>
      <c r="R389" s="6">
        <v>1940</v>
      </c>
      <c r="S389" s="3" t="s">
        <v>54</v>
      </c>
      <c r="T389" s="72"/>
      <c r="U389" s="73"/>
      <c r="W389" s="2" t="s">
        <v>1083</v>
      </c>
      <c r="X389" s="10" t="s">
        <v>56</v>
      </c>
      <c r="Y389" s="10" t="s">
        <v>57</v>
      </c>
      <c r="Z389" s="75"/>
      <c r="AA389" s="76"/>
      <c r="AB389" s="77"/>
      <c r="AC389" s="77">
        <v>15965</v>
      </c>
      <c r="AD389" s="10"/>
      <c r="AG389" s="7">
        <v>1943</v>
      </c>
      <c r="AH389" s="7">
        <v>1940</v>
      </c>
      <c r="AI389" s="7"/>
      <c r="AJ389" s="73"/>
      <c r="AK389" s="7"/>
      <c r="AL389" s="16"/>
      <c r="AM389" s="2" t="s">
        <v>59</v>
      </c>
      <c r="AW389" s="6">
        <f t="shared" ca="1" si="7"/>
        <v>84</v>
      </c>
    </row>
    <row r="390" ht="45" customHeight="1">
      <c r="A390" s="69"/>
      <c r="B390" s="3" t="s">
        <v>47</v>
      </c>
      <c r="E390" s="2" t="s">
        <v>63</v>
      </c>
      <c r="F390" s="6" t="s">
        <v>172</v>
      </c>
      <c r="G390" s="5" t="s">
        <v>618</v>
      </c>
      <c r="H390" s="2" t="s">
        <v>57</v>
      </c>
      <c r="I390" s="3" t="s">
        <v>1084</v>
      </c>
      <c r="J390" s="7">
        <v>1</v>
      </c>
      <c r="K390" s="70" t="s">
        <v>53</v>
      </c>
      <c r="L390" s="9">
        <v>1</v>
      </c>
      <c r="M390" s="3">
        <v>245</v>
      </c>
      <c r="N390" s="6">
        <v>1941</v>
      </c>
      <c r="P390" s="71"/>
      <c r="R390" s="6">
        <v>1940</v>
      </c>
      <c r="S390" s="3" t="s">
        <v>54</v>
      </c>
      <c r="T390" s="72"/>
      <c r="U390" s="73"/>
      <c r="W390" s="2" t="s">
        <v>1085</v>
      </c>
      <c r="X390" s="10" t="s">
        <v>56</v>
      </c>
      <c r="Y390" s="10" t="s">
        <v>57</v>
      </c>
      <c r="Z390" s="75"/>
      <c r="AA390" s="76"/>
      <c r="AB390" s="77">
        <v>15788</v>
      </c>
      <c r="AC390" s="77">
        <v>15788</v>
      </c>
      <c r="AD390" s="10"/>
      <c r="AG390" s="7">
        <v>1943</v>
      </c>
      <c r="AH390" s="7">
        <v>1940</v>
      </c>
      <c r="AI390" s="7"/>
      <c r="AJ390" s="73"/>
      <c r="AK390" s="7"/>
      <c r="AL390" s="16"/>
      <c r="AM390" s="2" t="s">
        <v>59</v>
      </c>
      <c r="AW390" s="6">
        <f t="shared" ca="1" si="7"/>
        <v>84</v>
      </c>
    </row>
    <row r="391" ht="45" customHeight="1" outlineLevel="1">
      <c r="A391" s="69"/>
      <c r="B391" s="3" t="s">
        <v>47</v>
      </c>
      <c r="E391" s="2" t="s">
        <v>63</v>
      </c>
      <c r="F391" s="6" t="s">
        <v>172</v>
      </c>
      <c r="G391" s="5" t="s">
        <v>618</v>
      </c>
      <c r="H391" s="2" t="s">
        <v>57</v>
      </c>
      <c r="I391" s="3" t="s">
        <v>1086</v>
      </c>
      <c r="J391" s="7">
        <v>1</v>
      </c>
      <c r="K391" s="70" t="s">
        <v>53</v>
      </c>
      <c r="L391" s="9">
        <v>1</v>
      </c>
      <c r="M391" s="3">
        <v>246</v>
      </c>
      <c r="N391" s="6">
        <v>1941</v>
      </c>
      <c r="P391" s="71"/>
      <c r="R391" s="6">
        <v>1940</v>
      </c>
      <c r="S391" s="3" t="s">
        <v>54</v>
      </c>
      <c r="T391" s="72"/>
      <c r="U391" s="73"/>
      <c r="W391" s="2" t="s">
        <v>1087</v>
      </c>
      <c r="X391" s="10" t="s">
        <v>56</v>
      </c>
      <c r="Y391" s="10" t="s">
        <v>57</v>
      </c>
      <c r="Z391" s="75"/>
      <c r="AA391" s="76"/>
      <c r="AB391" s="77">
        <v>15788</v>
      </c>
      <c r="AC391" s="77">
        <v>15788</v>
      </c>
      <c r="AD391" s="10"/>
      <c r="AG391" s="7">
        <v>1943</v>
      </c>
      <c r="AH391" s="7">
        <v>1940</v>
      </c>
      <c r="AI391" s="7"/>
      <c r="AJ391" s="73"/>
      <c r="AK391" s="7"/>
      <c r="AL391" s="16"/>
      <c r="AM391" s="2" t="s">
        <v>59</v>
      </c>
      <c r="AW391" s="6">
        <f t="shared" ca="1" si="7"/>
        <v>84</v>
      </c>
    </row>
    <row r="392" ht="45" customHeight="1">
      <c r="A392" s="69"/>
      <c r="B392" s="3" t="s">
        <v>47</v>
      </c>
      <c r="E392" s="2" t="s">
        <v>63</v>
      </c>
      <c r="F392" s="6" t="s">
        <v>172</v>
      </c>
      <c r="G392" s="5" t="s">
        <v>618</v>
      </c>
      <c r="H392" s="2" t="s">
        <v>57</v>
      </c>
      <c r="I392" s="3" t="s">
        <v>1088</v>
      </c>
      <c r="J392" s="7">
        <v>1</v>
      </c>
      <c r="K392" s="70" t="s">
        <v>53</v>
      </c>
      <c r="L392" s="9">
        <v>1</v>
      </c>
      <c r="M392" s="3">
        <v>247</v>
      </c>
      <c r="N392" s="6">
        <v>1941</v>
      </c>
      <c r="P392" s="71"/>
      <c r="R392" s="6">
        <v>1940</v>
      </c>
      <c r="S392" s="3" t="s">
        <v>54</v>
      </c>
      <c r="T392" s="72"/>
      <c r="U392" s="73"/>
      <c r="W392" s="2" t="s">
        <v>1089</v>
      </c>
      <c r="X392" s="10" t="s">
        <v>56</v>
      </c>
      <c r="Y392" s="10" t="s">
        <v>57</v>
      </c>
      <c r="Z392" s="75"/>
      <c r="AA392" s="76"/>
      <c r="AB392" s="77"/>
      <c r="AC392" s="77">
        <v>15965</v>
      </c>
      <c r="AD392" s="10"/>
      <c r="AG392" s="7">
        <v>1943</v>
      </c>
      <c r="AH392" s="7">
        <v>1940</v>
      </c>
      <c r="AI392" s="7"/>
      <c r="AJ392" s="73"/>
      <c r="AK392" s="7"/>
      <c r="AL392" s="16"/>
      <c r="AM392" s="2" t="s">
        <v>59</v>
      </c>
      <c r="AW392" s="6">
        <f t="shared" ca="1" si="7"/>
        <v>84</v>
      </c>
    </row>
    <row r="393" ht="45" customHeight="1">
      <c r="A393" s="69"/>
      <c r="B393" s="3" t="s">
        <v>47</v>
      </c>
      <c r="E393" s="2" t="s">
        <v>63</v>
      </c>
      <c r="F393" s="6" t="s">
        <v>172</v>
      </c>
      <c r="G393" s="5" t="s">
        <v>618</v>
      </c>
      <c r="H393" s="2" t="s">
        <v>51</v>
      </c>
      <c r="I393" s="3" t="s">
        <v>1090</v>
      </c>
      <c r="J393" s="7">
        <v>1</v>
      </c>
      <c r="K393" s="70" t="s">
        <v>53</v>
      </c>
      <c r="L393" s="9">
        <v>1</v>
      </c>
      <c r="M393" s="3">
        <v>248</v>
      </c>
      <c r="N393" s="6">
        <v>1941</v>
      </c>
      <c r="P393" s="71"/>
      <c r="R393" s="6">
        <v>1940</v>
      </c>
      <c r="S393" s="3" t="s">
        <v>54</v>
      </c>
      <c r="T393" s="72"/>
      <c r="U393" s="73"/>
      <c r="W393" s="2" t="s">
        <v>1091</v>
      </c>
      <c r="X393" s="10" t="s">
        <v>56</v>
      </c>
      <c r="Y393" s="10" t="s">
        <v>57</v>
      </c>
      <c r="Z393" s="75" t="s">
        <v>58</v>
      </c>
      <c r="AA393" s="76"/>
      <c r="AB393" s="77"/>
      <c r="AC393" s="77">
        <v>15965</v>
      </c>
      <c r="AD393" s="10"/>
      <c r="AG393" s="7">
        <v>1943</v>
      </c>
      <c r="AH393" s="7">
        <v>1940</v>
      </c>
      <c r="AI393" s="7"/>
      <c r="AJ393" s="73"/>
      <c r="AK393" s="7"/>
      <c r="AL393" s="16"/>
      <c r="AM393" s="2" t="s">
        <v>59</v>
      </c>
      <c r="AU393" s="16" t="s">
        <v>176</v>
      </c>
      <c r="AW393" s="6">
        <f t="shared" ca="1" si="7"/>
        <v>84</v>
      </c>
    </row>
    <row r="394" ht="45" customHeight="1" outlineLevel="1">
      <c r="A394" s="69"/>
      <c r="B394" s="3" t="s">
        <v>47</v>
      </c>
      <c r="E394" s="2" t="s">
        <v>63</v>
      </c>
      <c r="F394" s="6" t="s">
        <v>172</v>
      </c>
      <c r="G394" s="5" t="s">
        <v>618</v>
      </c>
      <c r="H394" s="2" t="s">
        <v>57</v>
      </c>
      <c r="I394" s="3" t="s">
        <v>1092</v>
      </c>
      <c r="J394" s="7">
        <v>1</v>
      </c>
      <c r="K394" s="70" t="s">
        <v>53</v>
      </c>
      <c r="L394" s="9">
        <v>1</v>
      </c>
      <c r="M394" s="3">
        <v>249</v>
      </c>
      <c r="N394" s="6">
        <v>1941</v>
      </c>
      <c r="P394" s="71"/>
      <c r="R394" s="6">
        <v>1940</v>
      </c>
      <c r="S394" s="3" t="s">
        <v>54</v>
      </c>
      <c r="T394" s="72"/>
      <c r="U394" s="73"/>
      <c r="W394" s="2" t="s">
        <v>1093</v>
      </c>
      <c r="X394" s="10" t="s">
        <v>56</v>
      </c>
      <c r="Y394" s="10" t="s">
        <v>57</v>
      </c>
      <c r="Z394" s="75"/>
      <c r="AA394" s="76"/>
      <c r="AB394" s="77"/>
      <c r="AC394" s="77">
        <v>15802</v>
      </c>
      <c r="AD394" s="10"/>
      <c r="AG394" s="7">
        <v>1943</v>
      </c>
      <c r="AH394" s="7">
        <v>1940</v>
      </c>
      <c r="AI394" s="7"/>
      <c r="AJ394" s="73"/>
      <c r="AK394" s="7"/>
      <c r="AL394" s="16"/>
      <c r="AM394" s="2" t="s">
        <v>59</v>
      </c>
      <c r="AW394" s="6">
        <f t="shared" ca="1" si="7"/>
        <v>84</v>
      </c>
    </row>
    <row r="395" ht="45" customHeight="1">
      <c r="A395" s="69"/>
      <c r="B395" s="3" t="s">
        <v>47</v>
      </c>
      <c r="E395" s="2" t="s">
        <v>63</v>
      </c>
      <c r="F395" s="6" t="s">
        <v>172</v>
      </c>
      <c r="G395" s="5" t="s">
        <v>173</v>
      </c>
      <c r="H395" s="2" t="s">
        <v>57</v>
      </c>
      <c r="I395" s="3" t="s">
        <v>1094</v>
      </c>
      <c r="J395" s="7">
        <v>1</v>
      </c>
      <c r="K395" s="70" t="s">
        <v>53</v>
      </c>
      <c r="L395" s="9">
        <v>1</v>
      </c>
      <c r="M395" s="3">
        <v>250</v>
      </c>
      <c r="P395" s="71"/>
      <c r="R395" s="6">
        <v>1940</v>
      </c>
      <c r="S395" s="3" t="s">
        <v>54</v>
      </c>
      <c r="T395" s="72"/>
      <c r="U395" s="73"/>
      <c r="W395" s="2" t="s">
        <v>1095</v>
      </c>
      <c r="X395" s="10" t="s">
        <v>56</v>
      </c>
      <c r="Y395" s="10" t="s">
        <v>57</v>
      </c>
      <c r="Z395" s="75"/>
      <c r="AA395" s="76"/>
      <c r="AB395" s="77">
        <v>15759</v>
      </c>
      <c r="AC395" s="77"/>
      <c r="AD395" s="6"/>
      <c r="AG395" s="7">
        <v>1943</v>
      </c>
      <c r="AH395" s="7">
        <v>1940</v>
      </c>
      <c r="AI395" s="7"/>
      <c r="AJ395" s="73"/>
      <c r="AK395" s="7"/>
      <c r="AL395" s="16" t="s">
        <v>1096</v>
      </c>
      <c r="AM395" s="2" t="s">
        <v>59</v>
      </c>
      <c r="AW395" s="6" t="str">
        <f t="shared" ca="1" si="7"/>
        <v/>
      </c>
    </row>
    <row r="396" ht="45" customHeight="1" outlineLevel="1">
      <c r="A396" s="69"/>
      <c r="B396" s="3" t="s">
        <v>47</v>
      </c>
      <c r="E396" s="2" t="s">
        <v>63</v>
      </c>
      <c r="F396" s="6" t="s">
        <v>172</v>
      </c>
      <c r="G396" s="5" t="s">
        <v>173</v>
      </c>
      <c r="H396" s="2" t="s">
        <v>57</v>
      </c>
      <c r="I396" s="3" t="s">
        <v>1097</v>
      </c>
      <c r="J396" s="7">
        <v>1</v>
      </c>
      <c r="K396" s="70" t="s">
        <v>53</v>
      </c>
      <c r="L396" s="9">
        <v>1</v>
      </c>
      <c r="M396" s="3">
        <v>251</v>
      </c>
      <c r="N396" s="6">
        <v>1941</v>
      </c>
      <c r="P396" s="71"/>
      <c r="R396" s="6">
        <v>1940</v>
      </c>
      <c r="S396" s="3" t="s">
        <v>54</v>
      </c>
      <c r="T396" s="72"/>
      <c r="U396" s="73"/>
      <c r="W396" s="2" t="s">
        <v>1098</v>
      </c>
      <c r="X396" s="10" t="s">
        <v>56</v>
      </c>
      <c r="Y396" s="10" t="s">
        <v>57</v>
      </c>
      <c r="Z396" s="75"/>
      <c r="AA396" s="76"/>
      <c r="AB396" s="77">
        <v>15965</v>
      </c>
      <c r="AC396" s="77"/>
      <c r="AD396" s="6"/>
      <c r="AG396" s="7">
        <v>1943</v>
      </c>
      <c r="AH396" s="7">
        <v>1940</v>
      </c>
      <c r="AI396" s="7"/>
      <c r="AJ396" s="73"/>
      <c r="AK396" s="7"/>
      <c r="AL396" s="16"/>
      <c r="AM396" s="2" t="s">
        <v>59</v>
      </c>
      <c r="AU396" s="16" t="s">
        <v>1099</v>
      </c>
      <c r="AW396" s="6">
        <f t="shared" ca="1" si="7"/>
        <v>84</v>
      </c>
    </row>
    <row r="397" ht="45" customHeight="1">
      <c r="A397" s="69"/>
      <c r="B397" s="3" t="s">
        <v>47</v>
      </c>
      <c r="E397" s="2" t="s">
        <v>63</v>
      </c>
      <c r="F397" s="6" t="s">
        <v>172</v>
      </c>
      <c r="G397" s="5" t="s">
        <v>173</v>
      </c>
      <c r="H397" s="2" t="s">
        <v>57</v>
      </c>
      <c r="I397" s="3" t="s">
        <v>1100</v>
      </c>
      <c r="J397" s="7">
        <v>1</v>
      </c>
      <c r="K397" s="70" t="s">
        <v>53</v>
      </c>
      <c r="L397" s="9">
        <v>1</v>
      </c>
      <c r="M397" s="3">
        <v>252</v>
      </c>
      <c r="N397" s="6">
        <v>1941</v>
      </c>
      <c r="P397" s="71"/>
      <c r="R397" s="6">
        <v>1940</v>
      </c>
      <c r="S397" s="3" t="s">
        <v>54</v>
      </c>
      <c r="T397" s="72"/>
      <c r="U397" s="73"/>
      <c r="W397" s="2" t="s">
        <v>1101</v>
      </c>
      <c r="X397" s="10" t="s">
        <v>56</v>
      </c>
      <c r="Y397" s="10" t="s">
        <v>57</v>
      </c>
      <c r="Z397" s="75"/>
      <c r="AA397" s="76"/>
      <c r="AB397" s="77"/>
      <c r="AC397" s="77">
        <v>15767</v>
      </c>
      <c r="AD397" s="10"/>
      <c r="AG397" s="7">
        <v>1943</v>
      </c>
      <c r="AH397" s="7">
        <v>1940</v>
      </c>
      <c r="AI397" s="7"/>
      <c r="AJ397" s="73"/>
      <c r="AK397" s="7"/>
      <c r="AL397" s="16"/>
      <c r="AM397" s="2" t="s">
        <v>59</v>
      </c>
      <c r="AW397" s="6">
        <f t="shared" ca="1" si="7"/>
        <v>84</v>
      </c>
    </row>
    <row r="398" s="118" customFormat="1" ht="45" customHeight="1" outlineLevel="1">
      <c r="A398" s="119"/>
      <c r="B398" s="94" t="s">
        <v>47</v>
      </c>
      <c r="C398" s="116"/>
      <c r="D398" s="120"/>
      <c r="E398" s="110" t="s">
        <v>63</v>
      </c>
      <c r="F398" s="121" t="s">
        <v>172</v>
      </c>
      <c r="G398" s="120" t="s">
        <v>173</v>
      </c>
      <c r="H398" s="110" t="s">
        <v>57</v>
      </c>
      <c r="I398" s="94" t="s">
        <v>1102</v>
      </c>
      <c r="J398" s="122">
        <v>1</v>
      </c>
      <c r="K398" s="123" t="s">
        <v>53</v>
      </c>
      <c r="L398" s="124">
        <v>1</v>
      </c>
      <c r="M398" s="94">
        <v>253</v>
      </c>
      <c r="N398" s="121">
        <v>1941</v>
      </c>
      <c r="O398" s="112"/>
      <c r="P398" s="125"/>
      <c r="Q398" s="112"/>
      <c r="R398" s="121">
        <v>1940</v>
      </c>
      <c r="S398" s="94" t="s">
        <v>54</v>
      </c>
      <c r="T398" s="72"/>
      <c r="U398" s="126"/>
      <c r="V398" s="127"/>
      <c r="W398" s="110" t="s">
        <v>1103</v>
      </c>
      <c r="X398" s="112" t="s">
        <v>56</v>
      </c>
      <c r="Y398" s="112" t="s">
        <v>57</v>
      </c>
      <c r="Z398" s="113"/>
      <c r="AA398" s="128"/>
      <c r="AB398" s="129">
        <v>15767</v>
      </c>
      <c r="AC398" s="129"/>
      <c r="AD398" s="121"/>
      <c r="AE398" s="122"/>
      <c r="AF398" s="122"/>
      <c r="AG398" s="122">
        <v>1943</v>
      </c>
      <c r="AH398" s="122">
        <v>1940</v>
      </c>
      <c r="AI398" s="122"/>
      <c r="AJ398" s="126"/>
      <c r="AK398" s="122"/>
      <c r="AL398" s="115"/>
      <c r="AM398" s="110" t="s">
        <v>59</v>
      </c>
      <c r="AN398" s="121"/>
      <c r="AO398" s="121"/>
      <c r="AP398" s="121"/>
      <c r="AQ398" s="120"/>
      <c r="AR398" s="110"/>
      <c r="AS398" s="121"/>
      <c r="AT398" s="121"/>
      <c r="AU398" s="115"/>
      <c r="AV398" s="130"/>
      <c r="AW398" s="6">
        <f t="shared" ca="1" si="7"/>
        <v>84</v>
      </c>
    </row>
    <row r="399" ht="45" customHeight="1">
      <c r="A399" s="69"/>
      <c r="B399" s="3" t="s">
        <v>47</v>
      </c>
      <c r="E399" s="2" t="s">
        <v>63</v>
      </c>
      <c r="F399" s="6" t="s">
        <v>172</v>
      </c>
      <c r="G399" s="5" t="s">
        <v>173</v>
      </c>
      <c r="H399" s="2" t="s">
        <v>57</v>
      </c>
      <c r="I399" s="3" t="s">
        <v>1104</v>
      </c>
      <c r="J399" s="7">
        <v>1</v>
      </c>
      <c r="K399" s="70" t="s">
        <v>53</v>
      </c>
      <c r="L399" s="9">
        <v>1</v>
      </c>
      <c r="M399" s="3">
        <v>254</v>
      </c>
      <c r="N399" s="6">
        <v>1941</v>
      </c>
      <c r="P399" s="71"/>
      <c r="R399" s="6">
        <v>1940</v>
      </c>
      <c r="S399" s="3" t="s">
        <v>54</v>
      </c>
      <c r="T399" s="72"/>
      <c r="U399" s="73"/>
      <c r="W399" s="2" t="s">
        <v>1105</v>
      </c>
      <c r="X399" s="10" t="s">
        <v>56</v>
      </c>
      <c r="Y399" s="10" t="s">
        <v>57</v>
      </c>
      <c r="Z399" s="75"/>
      <c r="AA399" s="76"/>
      <c r="AB399" s="77">
        <v>15788</v>
      </c>
      <c r="AC399" s="77"/>
      <c r="AD399" s="6"/>
      <c r="AG399" s="7">
        <v>1943</v>
      </c>
      <c r="AH399" s="7">
        <v>1940</v>
      </c>
      <c r="AI399" s="7"/>
      <c r="AJ399" s="73"/>
      <c r="AK399" s="7"/>
      <c r="AL399" s="16"/>
      <c r="AM399" s="2" t="s">
        <v>59</v>
      </c>
      <c r="AW399" s="6">
        <f t="shared" ca="1" si="7"/>
        <v>84</v>
      </c>
    </row>
    <row r="400" ht="45" customHeight="1">
      <c r="A400" s="69"/>
      <c r="B400" s="3" t="s">
        <v>47</v>
      </c>
      <c r="E400" s="2" t="s">
        <v>63</v>
      </c>
      <c r="F400" s="6" t="s">
        <v>172</v>
      </c>
      <c r="G400" s="5" t="s">
        <v>173</v>
      </c>
      <c r="H400" s="2" t="s">
        <v>57</v>
      </c>
      <c r="I400" s="3" t="s">
        <v>1106</v>
      </c>
      <c r="J400" s="7">
        <v>1</v>
      </c>
      <c r="K400" s="70" t="s">
        <v>53</v>
      </c>
      <c r="L400" s="9">
        <v>1</v>
      </c>
      <c r="M400" s="3">
        <v>255</v>
      </c>
      <c r="N400" s="6">
        <v>1941</v>
      </c>
      <c r="P400" s="71"/>
      <c r="R400" s="6">
        <v>1940</v>
      </c>
      <c r="S400" s="3" t="s">
        <v>54</v>
      </c>
      <c r="T400" s="72"/>
      <c r="U400" s="73"/>
      <c r="W400" s="2" t="s">
        <v>1107</v>
      </c>
      <c r="X400" s="10" t="s">
        <v>56</v>
      </c>
      <c r="Y400" s="10" t="s">
        <v>57</v>
      </c>
      <c r="Z400" s="75"/>
      <c r="AA400" s="76"/>
      <c r="AB400" s="77">
        <v>15788</v>
      </c>
      <c r="AC400" s="77"/>
      <c r="AD400" s="6"/>
      <c r="AG400" s="7">
        <v>1943</v>
      </c>
      <c r="AH400" s="7">
        <v>1940</v>
      </c>
      <c r="AI400" s="7"/>
      <c r="AJ400" s="73"/>
      <c r="AK400" s="7"/>
      <c r="AL400" s="16"/>
      <c r="AM400" s="2" t="s">
        <v>59</v>
      </c>
      <c r="AW400" s="6">
        <f t="shared" ca="1" si="7"/>
        <v>84</v>
      </c>
    </row>
    <row r="401" ht="45" customHeight="1" outlineLevel="1">
      <c r="A401" s="69"/>
      <c r="B401" s="3" t="s">
        <v>47</v>
      </c>
      <c r="E401" s="2" t="s">
        <v>63</v>
      </c>
      <c r="F401" s="6" t="s">
        <v>172</v>
      </c>
      <c r="G401" s="5" t="s">
        <v>173</v>
      </c>
      <c r="H401" s="2" t="s">
        <v>57</v>
      </c>
      <c r="I401" s="3" t="s">
        <v>1108</v>
      </c>
      <c r="J401" s="7">
        <v>1</v>
      </c>
      <c r="K401" s="70" t="s">
        <v>53</v>
      </c>
      <c r="L401" s="9">
        <v>1</v>
      </c>
      <c r="M401" s="3">
        <v>256</v>
      </c>
      <c r="N401" s="6">
        <v>1941</v>
      </c>
      <c r="P401" s="71"/>
      <c r="R401" s="6">
        <v>1940</v>
      </c>
      <c r="S401" s="3" t="s">
        <v>54</v>
      </c>
      <c r="T401" s="72"/>
      <c r="U401" s="73"/>
      <c r="W401" s="2" t="s">
        <v>1109</v>
      </c>
      <c r="X401" s="10" t="s">
        <v>56</v>
      </c>
      <c r="Y401" s="10" t="s">
        <v>57</v>
      </c>
      <c r="Z401" s="75"/>
      <c r="AA401" s="76"/>
      <c r="AB401" s="77">
        <v>15965</v>
      </c>
      <c r="AC401" s="77"/>
      <c r="AD401" s="6"/>
      <c r="AG401" s="7">
        <v>1943</v>
      </c>
      <c r="AH401" s="7">
        <v>1940</v>
      </c>
      <c r="AI401" s="7"/>
      <c r="AJ401" s="73"/>
      <c r="AK401" s="7"/>
      <c r="AL401" s="16"/>
      <c r="AM401" s="2" t="s">
        <v>59</v>
      </c>
      <c r="AW401" s="6">
        <f t="shared" ca="1" si="7"/>
        <v>84</v>
      </c>
    </row>
    <row r="402" ht="45" customHeight="1">
      <c r="A402" s="69"/>
      <c r="B402" s="3" t="s">
        <v>47</v>
      </c>
      <c r="E402" s="2" t="s">
        <v>63</v>
      </c>
      <c r="F402" s="6" t="s">
        <v>172</v>
      </c>
      <c r="G402" s="5" t="s">
        <v>1110</v>
      </c>
      <c r="H402" s="2" t="s">
        <v>68</v>
      </c>
      <c r="I402" s="3" t="s">
        <v>1111</v>
      </c>
      <c r="J402" s="7">
        <v>1</v>
      </c>
      <c r="K402" s="70" t="s">
        <v>53</v>
      </c>
      <c r="L402" s="9">
        <v>1</v>
      </c>
      <c r="M402" s="3">
        <v>257</v>
      </c>
      <c r="N402" s="6">
        <v>1941</v>
      </c>
      <c r="P402" s="71"/>
      <c r="R402" s="6">
        <v>1940</v>
      </c>
      <c r="S402" s="3" t="s">
        <v>54</v>
      </c>
      <c r="T402" s="72"/>
      <c r="U402" s="73"/>
      <c r="W402" s="2" t="s">
        <v>1112</v>
      </c>
      <c r="X402" s="10" t="s">
        <v>56</v>
      </c>
      <c r="Y402" s="10" t="s">
        <v>68</v>
      </c>
      <c r="Z402" s="75" t="s">
        <v>58</v>
      </c>
      <c r="AA402" s="76"/>
      <c r="AB402" s="77"/>
      <c r="AC402" s="77">
        <v>15266</v>
      </c>
      <c r="AD402" s="10"/>
      <c r="AG402" s="7">
        <v>1941</v>
      </c>
      <c r="AH402" s="7">
        <v>1940</v>
      </c>
      <c r="AI402" s="7"/>
      <c r="AJ402" s="73"/>
      <c r="AK402" s="7"/>
      <c r="AL402" s="16"/>
      <c r="AM402" s="2" t="s">
        <v>82</v>
      </c>
      <c r="AW402" s="6">
        <f t="shared" ca="1" si="7"/>
        <v>84</v>
      </c>
    </row>
    <row r="403" ht="45" customHeight="1">
      <c r="A403" s="69"/>
      <c r="B403" s="3" t="s">
        <v>47</v>
      </c>
      <c r="E403" s="78" t="s">
        <v>63</v>
      </c>
      <c r="F403" s="79" t="s">
        <v>172</v>
      </c>
      <c r="G403" s="80" t="s">
        <v>778</v>
      </c>
      <c r="H403" s="78" t="s">
        <v>51</v>
      </c>
      <c r="I403" s="81" t="s">
        <v>66</v>
      </c>
      <c r="J403" s="7">
        <v>1</v>
      </c>
      <c r="K403" s="70" t="s">
        <v>53</v>
      </c>
      <c r="L403" s="9">
        <v>1</v>
      </c>
      <c r="M403" s="3">
        <v>258</v>
      </c>
      <c r="N403" s="6">
        <v>1941</v>
      </c>
      <c r="P403" s="71"/>
      <c r="R403" s="6">
        <v>1940</v>
      </c>
      <c r="S403" s="3" t="s">
        <v>54</v>
      </c>
      <c r="T403" s="72"/>
      <c r="U403" s="73"/>
      <c r="W403" s="78" t="s">
        <v>1113</v>
      </c>
      <c r="X403" s="82" t="s">
        <v>56</v>
      </c>
      <c r="Y403" s="82" t="s">
        <v>57</v>
      </c>
      <c r="Z403" s="83" t="s">
        <v>58</v>
      </c>
      <c r="AA403" s="76"/>
      <c r="AB403" s="77"/>
      <c r="AC403" s="77">
        <v>15266</v>
      </c>
      <c r="AD403" s="10"/>
      <c r="AG403" s="7">
        <v>1941</v>
      </c>
      <c r="AH403" s="7">
        <v>1940</v>
      </c>
      <c r="AI403" s="7"/>
      <c r="AJ403" s="73"/>
      <c r="AK403" s="7"/>
      <c r="AL403" s="16"/>
      <c r="AM403" s="2" t="s">
        <v>59</v>
      </c>
      <c r="AU403" s="16" t="s">
        <v>447</v>
      </c>
      <c r="AW403" s="6">
        <f t="shared" ca="1" si="7"/>
        <v>84</v>
      </c>
    </row>
    <row r="404" ht="45" hidden="1" customHeight="1">
      <c r="A404" s="69"/>
      <c r="B404" s="3" t="s">
        <v>47</v>
      </c>
      <c r="C404" s="4" t="s">
        <v>1114</v>
      </c>
      <c r="E404" s="2" t="s">
        <v>63</v>
      </c>
      <c r="F404" s="6" t="s">
        <v>172</v>
      </c>
      <c r="G404" s="5" t="s">
        <v>173</v>
      </c>
      <c r="H404" s="2" t="s">
        <v>68</v>
      </c>
      <c r="I404" s="96" t="s">
        <v>1115</v>
      </c>
      <c r="J404" s="7">
        <v>1</v>
      </c>
      <c r="K404" s="70"/>
      <c r="L404" s="9">
        <v>1</v>
      </c>
      <c r="M404" s="3">
        <v>259</v>
      </c>
      <c r="N404" s="6">
        <v>1941</v>
      </c>
      <c r="P404" s="71"/>
      <c r="R404" s="6">
        <v>1940</v>
      </c>
      <c r="S404" s="3" t="s">
        <v>236</v>
      </c>
      <c r="T404" s="72"/>
      <c r="U404" s="73"/>
      <c r="W404" s="2" t="s">
        <v>62</v>
      </c>
      <c r="X404" s="10" t="s">
        <v>56</v>
      </c>
      <c r="Y404" s="10" t="s">
        <v>68</v>
      </c>
      <c r="Z404" s="75"/>
      <c r="AA404" s="76"/>
      <c r="AB404" s="77"/>
      <c r="AC404" s="77"/>
      <c r="AD404" s="10"/>
      <c r="AI404" s="7"/>
      <c r="AJ404" s="95">
        <v>38028</v>
      </c>
      <c r="AK404" s="7">
        <v>2000</v>
      </c>
      <c r="AL404" s="16"/>
      <c r="AW404" s="6">
        <f t="shared" ca="1" si="7"/>
        <v>84</v>
      </c>
    </row>
    <row r="405" s="86" customFormat="1" ht="45" hidden="1" customHeight="1">
      <c r="A405" s="69"/>
      <c r="B405" s="3" t="s">
        <v>47</v>
      </c>
      <c r="C405" s="4"/>
      <c r="D405" s="5"/>
      <c r="E405" s="2" t="s">
        <v>63</v>
      </c>
      <c r="F405" s="6" t="s">
        <v>172</v>
      </c>
      <c r="G405" s="5" t="s">
        <v>173</v>
      </c>
      <c r="H405" s="2" t="s">
        <v>57</v>
      </c>
      <c r="I405" s="3" t="s">
        <v>1116</v>
      </c>
      <c r="J405" s="7">
        <v>1</v>
      </c>
      <c r="K405" s="70" t="s">
        <v>127</v>
      </c>
      <c r="L405" s="9">
        <v>1</v>
      </c>
      <c r="M405" s="3">
        <v>260</v>
      </c>
      <c r="N405" s="6">
        <v>1941</v>
      </c>
      <c r="O405" s="10"/>
      <c r="P405" s="71"/>
      <c r="Q405" s="10"/>
      <c r="R405" s="6">
        <v>1940</v>
      </c>
      <c r="S405" s="3" t="s">
        <v>128</v>
      </c>
      <c r="T405" s="72"/>
      <c r="U405" s="73"/>
      <c r="V405" s="12"/>
      <c r="W405" s="2" t="s">
        <v>62</v>
      </c>
      <c r="X405" s="10" t="s">
        <v>56</v>
      </c>
      <c r="Y405" s="10" t="s">
        <v>57</v>
      </c>
      <c r="Z405" s="75"/>
      <c r="AA405" s="76"/>
      <c r="AB405" s="77"/>
      <c r="AC405" s="77" t="s">
        <v>129</v>
      </c>
      <c r="AD405" s="10"/>
      <c r="AE405" s="7"/>
      <c r="AF405" s="7"/>
      <c r="AG405" s="7"/>
      <c r="AH405" s="7"/>
      <c r="AI405" s="7"/>
      <c r="AJ405" s="73"/>
      <c r="AK405" s="7"/>
      <c r="AL405" s="16" t="s">
        <v>1117</v>
      </c>
      <c r="AM405" s="2" t="s">
        <v>59</v>
      </c>
      <c r="AN405" s="6"/>
      <c r="AO405" s="6"/>
      <c r="AP405" s="6"/>
      <c r="AQ405" s="5"/>
      <c r="AR405" s="2"/>
      <c r="AS405" s="6"/>
      <c r="AT405" s="6"/>
      <c r="AU405" s="16"/>
      <c r="AV405" s="17"/>
      <c r="AW405" s="6">
        <f t="shared" ca="1" si="7"/>
        <v>84</v>
      </c>
    </row>
    <row r="406" ht="45" hidden="1" customHeight="1">
      <c r="A406" s="69"/>
      <c r="B406" s="3" t="s">
        <v>60</v>
      </c>
      <c r="I406" s="3" t="s">
        <v>61</v>
      </c>
      <c r="J406" s="7">
        <v>0</v>
      </c>
      <c r="K406" s="70"/>
      <c r="L406" s="9">
        <v>1</v>
      </c>
      <c r="M406" s="3">
        <v>261</v>
      </c>
      <c r="P406" s="71"/>
      <c r="R406" s="6" t="s">
        <v>60</v>
      </c>
      <c r="S406" s="3" t="s">
        <v>60</v>
      </c>
      <c r="T406" s="72"/>
      <c r="U406" s="73"/>
      <c r="W406" s="74" t="s">
        <v>62</v>
      </c>
      <c r="X406" s="10"/>
      <c r="Y406" s="10"/>
      <c r="Z406" s="75"/>
      <c r="AA406" s="76"/>
      <c r="AB406" s="77"/>
      <c r="AC406" s="77"/>
      <c r="AD406" s="10"/>
      <c r="AI406" s="7"/>
      <c r="AJ406" s="73"/>
      <c r="AK406" s="7"/>
      <c r="AL406" s="16"/>
      <c r="AW406" s="6" t="str">
        <f t="shared" ca="1" si="7"/>
        <v/>
      </c>
    </row>
    <row r="407" ht="45" customHeight="1">
      <c r="A407" s="69"/>
      <c r="B407" s="3" t="s">
        <v>47</v>
      </c>
      <c r="E407" s="2" t="s">
        <v>63</v>
      </c>
      <c r="F407" s="6" t="s">
        <v>172</v>
      </c>
      <c r="G407" s="5" t="s">
        <v>173</v>
      </c>
      <c r="H407" s="2" t="s">
        <v>57</v>
      </c>
      <c r="I407" s="3" t="s">
        <v>1118</v>
      </c>
      <c r="J407" s="7">
        <v>1</v>
      </c>
      <c r="K407" s="70" t="s">
        <v>53</v>
      </c>
      <c r="L407" s="9">
        <v>1</v>
      </c>
      <c r="M407" s="3">
        <v>262</v>
      </c>
      <c r="P407" s="71"/>
      <c r="R407" s="6">
        <v>1940</v>
      </c>
      <c r="S407" s="3" t="s">
        <v>54</v>
      </c>
      <c r="T407" s="72"/>
      <c r="U407" s="73"/>
      <c r="W407" s="2" t="s">
        <v>1119</v>
      </c>
      <c r="X407" s="10" t="s">
        <v>56</v>
      </c>
      <c r="Y407" s="10" t="s">
        <v>57</v>
      </c>
      <c r="Z407" s="75"/>
      <c r="AA407" s="76"/>
      <c r="AB407" s="77"/>
      <c r="AC407" s="77">
        <v>15193</v>
      </c>
      <c r="AD407" s="10"/>
      <c r="AG407" s="7">
        <v>1941</v>
      </c>
      <c r="AH407" s="7">
        <v>1940</v>
      </c>
      <c r="AI407" s="7"/>
      <c r="AJ407" s="73"/>
      <c r="AK407" s="7"/>
      <c r="AL407" s="16"/>
      <c r="AM407" s="2" t="s">
        <v>59</v>
      </c>
      <c r="AW407" s="6" t="str">
        <f t="shared" ca="1" si="7"/>
        <v/>
      </c>
    </row>
    <row r="408" ht="45" customHeight="1" outlineLevel="1">
      <c r="A408" s="69"/>
      <c r="B408" s="3" t="s">
        <v>47</v>
      </c>
      <c r="E408" s="2" t="s">
        <v>83</v>
      </c>
      <c r="F408" s="6" t="s">
        <v>179</v>
      </c>
      <c r="G408" s="5" t="s">
        <v>294</v>
      </c>
      <c r="H408" s="2" t="s">
        <v>51</v>
      </c>
      <c r="I408" s="3" t="s">
        <v>330</v>
      </c>
      <c r="J408" s="7">
        <v>1</v>
      </c>
      <c r="K408" s="70" t="s">
        <v>53</v>
      </c>
      <c r="L408" s="9">
        <v>1</v>
      </c>
      <c r="M408" s="3">
        <v>263</v>
      </c>
      <c r="N408" s="6">
        <v>1941</v>
      </c>
      <c r="P408" s="71"/>
      <c r="R408" s="6">
        <v>1940</v>
      </c>
      <c r="S408" s="3" t="s">
        <v>54</v>
      </c>
      <c r="T408" s="72"/>
      <c r="U408" s="73"/>
      <c r="W408" s="2" t="s">
        <v>1120</v>
      </c>
      <c r="X408" s="10" t="s">
        <v>56</v>
      </c>
      <c r="Y408" s="10" t="s">
        <v>57</v>
      </c>
      <c r="Z408" s="75" t="s">
        <v>58</v>
      </c>
      <c r="AA408" s="76"/>
      <c r="AB408" s="77"/>
      <c r="AC408" s="77">
        <v>15179</v>
      </c>
      <c r="AD408" s="10"/>
      <c r="AG408" s="7">
        <v>1941</v>
      </c>
      <c r="AH408" s="7">
        <v>1940</v>
      </c>
      <c r="AI408" s="7"/>
      <c r="AJ408" s="73"/>
      <c r="AK408" s="7"/>
      <c r="AL408" s="16"/>
      <c r="AM408" s="2" t="s">
        <v>59</v>
      </c>
      <c r="AW408" s="6">
        <f t="shared" ca="1" si="7"/>
        <v>84</v>
      </c>
    </row>
    <row r="409" ht="45" customHeight="1">
      <c r="A409" s="69"/>
      <c r="B409" s="3" t="s">
        <v>47</v>
      </c>
      <c r="E409" s="78" t="s">
        <v>63</v>
      </c>
      <c r="F409" s="79" t="s">
        <v>172</v>
      </c>
      <c r="G409" s="80" t="s">
        <v>173</v>
      </c>
      <c r="H409" s="78" t="s">
        <v>51</v>
      </c>
      <c r="I409" s="81" t="s">
        <v>1121</v>
      </c>
      <c r="J409" s="7">
        <v>1</v>
      </c>
      <c r="K409" s="70" t="s">
        <v>53</v>
      </c>
      <c r="L409" s="9">
        <v>1</v>
      </c>
      <c r="M409" s="3">
        <v>264</v>
      </c>
      <c r="N409" s="6">
        <v>1941</v>
      </c>
      <c r="P409" s="71"/>
      <c r="R409" s="6">
        <v>1940</v>
      </c>
      <c r="S409" s="3" t="s">
        <v>54</v>
      </c>
      <c r="T409" s="72"/>
      <c r="U409" s="73"/>
      <c r="W409" s="78" t="s">
        <v>1122</v>
      </c>
      <c r="X409" s="82" t="s">
        <v>56</v>
      </c>
      <c r="Y409" s="82" t="s">
        <v>57</v>
      </c>
      <c r="Z409" s="83" t="s">
        <v>58</v>
      </c>
      <c r="AA409" s="76"/>
      <c r="AB409" s="77"/>
      <c r="AC409" s="77">
        <v>15802</v>
      </c>
      <c r="AD409" s="10"/>
      <c r="AG409" s="7">
        <v>1943</v>
      </c>
      <c r="AH409" s="7">
        <v>1940</v>
      </c>
      <c r="AI409" s="7"/>
      <c r="AJ409" s="73"/>
      <c r="AK409" s="7"/>
      <c r="AL409" s="16"/>
      <c r="AM409" s="2" t="s">
        <v>59</v>
      </c>
      <c r="AW409" s="6">
        <f t="shared" ca="1" si="7"/>
        <v>84</v>
      </c>
    </row>
    <row r="410" ht="45" customHeight="1">
      <c r="A410" s="69"/>
      <c r="B410" s="3" t="s">
        <v>47</v>
      </c>
      <c r="E410" s="2" t="s">
        <v>63</v>
      </c>
      <c r="F410" s="6" t="s">
        <v>172</v>
      </c>
      <c r="G410" s="5" t="s">
        <v>1123</v>
      </c>
      <c r="H410" s="2" t="s">
        <v>57</v>
      </c>
      <c r="I410" s="3" t="s">
        <v>946</v>
      </c>
      <c r="J410" s="7">
        <v>1</v>
      </c>
      <c r="K410" s="70" t="s">
        <v>53</v>
      </c>
      <c r="L410" s="9">
        <v>1</v>
      </c>
      <c r="M410" s="3">
        <v>265</v>
      </c>
      <c r="N410" s="6">
        <v>1941</v>
      </c>
      <c r="P410" s="71"/>
      <c r="R410" s="6">
        <v>1940</v>
      </c>
      <c r="S410" s="3" t="s">
        <v>54</v>
      </c>
      <c r="T410" s="72"/>
      <c r="U410" s="73"/>
      <c r="W410" s="2" t="s">
        <v>1124</v>
      </c>
      <c r="X410" s="10" t="s">
        <v>56</v>
      </c>
      <c r="Y410" s="10" t="s">
        <v>57</v>
      </c>
      <c r="Z410" s="75"/>
      <c r="AA410" s="76"/>
      <c r="AB410" s="77">
        <v>15221</v>
      </c>
      <c r="AC410" s="77">
        <v>15221</v>
      </c>
      <c r="AD410" s="10"/>
      <c r="AG410" s="7">
        <v>1941</v>
      </c>
      <c r="AH410" s="7">
        <v>1940</v>
      </c>
      <c r="AI410" s="7"/>
      <c r="AJ410" s="73"/>
      <c r="AK410" s="7"/>
      <c r="AL410" s="16"/>
      <c r="AM410" s="2" t="s">
        <v>59</v>
      </c>
      <c r="AW410" s="6">
        <f t="shared" ca="1" si="7"/>
        <v>84</v>
      </c>
    </row>
    <row r="411" ht="45" customHeight="1" outlineLevel="1">
      <c r="A411" s="69"/>
      <c r="B411" s="3" t="s">
        <v>47</v>
      </c>
      <c r="E411" s="2" t="s">
        <v>63</v>
      </c>
      <c r="F411" s="6" t="s">
        <v>172</v>
      </c>
      <c r="G411" s="5" t="s">
        <v>794</v>
      </c>
      <c r="H411" s="2" t="s">
        <v>57</v>
      </c>
      <c r="I411" s="3" t="s">
        <v>946</v>
      </c>
      <c r="J411" s="7">
        <v>1</v>
      </c>
      <c r="K411" s="70" t="s">
        <v>53</v>
      </c>
      <c r="L411" s="9">
        <v>1</v>
      </c>
      <c r="M411" s="3">
        <v>266</v>
      </c>
      <c r="N411" s="6">
        <v>1941</v>
      </c>
      <c r="P411" s="71"/>
      <c r="R411" s="6">
        <v>1940</v>
      </c>
      <c r="S411" s="3" t="s">
        <v>54</v>
      </c>
      <c r="T411" s="72"/>
      <c r="U411" s="73"/>
      <c r="W411" s="2" t="s">
        <v>1125</v>
      </c>
      <c r="X411" s="10" t="s">
        <v>56</v>
      </c>
      <c r="Y411" s="10" t="s">
        <v>57</v>
      </c>
      <c r="Z411" s="75"/>
      <c r="AA411" s="76"/>
      <c r="AB411" s="77">
        <v>15245</v>
      </c>
      <c r="AC411" s="77">
        <v>15245</v>
      </c>
      <c r="AD411" s="10"/>
      <c r="AG411" s="7">
        <v>1941</v>
      </c>
      <c r="AH411" s="7">
        <v>1940</v>
      </c>
      <c r="AI411" s="7"/>
      <c r="AJ411" s="73"/>
      <c r="AK411" s="7"/>
      <c r="AL411" s="16"/>
      <c r="AM411" s="2" t="s">
        <v>59</v>
      </c>
      <c r="AW411" s="6">
        <f t="shared" ca="1" si="7"/>
        <v>84</v>
      </c>
    </row>
    <row r="412" ht="45" customHeight="1">
      <c r="A412" s="69"/>
      <c r="B412" s="3" t="s">
        <v>47</v>
      </c>
      <c r="E412" s="2" t="s">
        <v>63</v>
      </c>
      <c r="F412" s="6" t="s">
        <v>172</v>
      </c>
      <c r="G412" s="5" t="s">
        <v>1126</v>
      </c>
      <c r="H412" s="2" t="s">
        <v>51</v>
      </c>
      <c r="I412" s="3" t="s">
        <v>1127</v>
      </c>
      <c r="J412" s="7">
        <v>1</v>
      </c>
      <c r="K412" s="70" t="s">
        <v>53</v>
      </c>
      <c r="L412" s="9">
        <v>1</v>
      </c>
      <c r="M412" s="3">
        <v>267</v>
      </c>
      <c r="N412" s="6">
        <v>1941</v>
      </c>
      <c r="P412" s="71"/>
      <c r="R412" s="6">
        <v>1940</v>
      </c>
      <c r="S412" s="3" t="s">
        <v>54</v>
      </c>
      <c r="T412" s="72"/>
      <c r="U412" s="73"/>
      <c r="W412" s="2" t="s">
        <v>1128</v>
      </c>
      <c r="X412" s="10" t="s">
        <v>56</v>
      </c>
      <c r="Y412" s="10" t="s">
        <v>57</v>
      </c>
      <c r="Z412" s="75" t="s">
        <v>58</v>
      </c>
      <c r="AA412" s="76"/>
      <c r="AB412" s="77">
        <v>26176</v>
      </c>
      <c r="AC412" s="77"/>
      <c r="AD412" s="6"/>
      <c r="AG412" s="7">
        <v>1971</v>
      </c>
      <c r="AH412" s="7">
        <v>1970</v>
      </c>
      <c r="AI412" s="7"/>
      <c r="AJ412" s="73"/>
      <c r="AK412" s="7"/>
      <c r="AL412" s="16"/>
      <c r="AM412" s="2" t="s">
        <v>59</v>
      </c>
      <c r="AW412" s="6">
        <f t="shared" ca="1" si="7"/>
        <v>84</v>
      </c>
    </row>
    <row r="413" ht="45" customHeight="1">
      <c r="A413" s="69"/>
      <c r="B413" s="3" t="s">
        <v>47</v>
      </c>
      <c r="E413" s="2" t="s">
        <v>63</v>
      </c>
      <c r="F413" s="6" t="s">
        <v>172</v>
      </c>
      <c r="G413" s="5" t="s">
        <v>618</v>
      </c>
      <c r="H413" s="2" t="s">
        <v>57</v>
      </c>
      <c r="I413" s="3" t="s">
        <v>1129</v>
      </c>
      <c r="J413" s="7">
        <v>1</v>
      </c>
      <c r="K413" s="70" t="s">
        <v>53</v>
      </c>
      <c r="L413" s="9">
        <v>1</v>
      </c>
      <c r="M413" s="3">
        <v>268</v>
      </c>
      <c r="N413" s="6">
        <v>1941</v>
      </c>
      <c r="P413" s="71"/>
      <c r="R413" s="6">
        <v>1940</v>
      </c>
      <c r="S413" s="3" t="s">
        <v>54</v>
      </c>
      <c r="T413" s="72"/>
      <c r="U413" s="73"/>
      <c r="W413" s="2" t="s">
        <v>1130</v>
      </c>
      <c r="X413" s="10" t="s">
        <v>56</v>
      </c>
      <c r="Y413" s="10" t="s">
        <v>57</v>
      </c>
      <c r="Z413" s="75"/>
      <c r="AA413" s="76"/>
      <c r="AB413" s="77"/>
      <c r="AC413" s="77">
        <v>15790</v>
      </c>
      <c r="AD413" s="10"/>
      <c r="AG413" s="7">
        <v>1943</v>
      </c>
      <c r="AH413" s="7">
        <v>1940</v>
      </c>
      <c r="AI413" s="7"/>
      <c r="AJ413" s="73"/>
      <c r="AK413" s="7"/>
      <c r="AL413" s="16"/>
      <c r="AM413" s="2" t="s">
        <v>59</v>
      </c>
      <c r="AW413" s="6">
        <f t="shared" ca="1" si="7"/>
        <v>84</v>
      </c>
    </row>
    <row r="414" ht="45" customHeight="1">
      <c r="A414" s="69"/>
      <c r="B414" s="3" t="s">
        <v>47</v>
      </c>
      <c r="E414" s="2" t="s">
        <v>63</v>
      </c>
      <c r="F414" s="6" t="s">
        <v>172</v>
      </c>
      <c r="G414" s="5" t="s">
        <v>618</v>
      </c>
      <c r="H414" s="2" t="s">
        <v>57</v>
      </c>
      <c r="I414" s="3" t="s">
        <v>1131</v>
      </c>
      <c r="J414" s="7">
        <v>1</v>
      </c>
      <c r="K414" s="70" t="s">
        <v>53</v>
      </c>
      <c r="L414" s="9">
        <v>1</v>
      </c>
      <c r="M414" s="3">
        <v>269</v>
      </c>
      <c r="N414" s="6">
        <v>1941</v>
      </c>
      <c r="P414" s="71"/>
      <c r="R414" s="6">
        <v>1940</v>
      </c>
      <c r="S414" s="3" t="s">
        <v>54</v>
      </c>
      <c r="T414" s="72"/>
      <c r="U414" s="73"/>
      <c r="W414" s="2" t="s">
        <v>1132</v>
      </c>
      <c r="X414" s="10" t="s">
        <v>56</v>
      </c>
      <c r="Y414" s="10" t="s">
        <v>57</v>
      </c>
      <c r="Z414" s="75"/>
      <c r="AA414" s="76"/>
      <c r="AB414" s="77"/>
      <c r="AC414" s="77">
        <v>15788</v>
      </c>
      <c r="AD414" s="10"/>
      <c r="AG414" s="7">
        <v>1943</v>
      </c>
      <c r="AH414" s="7">
        <v>1940</v>
      </c>
      <c r="AI414" s="7"/>
      <c r="AJ414" s="73"/>
      <c r="AK414" s="7"/>
      <c r="AL414" s="16"/>
      <c r="AM414" s="2" t="s">
        <v>59</v>
      </c>
      <c r="AW414" s="6">
        <f t="shared" ca="1" si="7"/>
        <v>84</v>
      </c>
    </row>
    <row r="415" ht="45" hidden="1" customHeight="1">
      <c r="A415" s="69"/>
      <c r="B415" s="3" t="s">
        <v>47</v>
      </c>
      <c r="C415" s="4" t="s">
        <v>1133</v>
      </c>
      <c r="D415" s="5" t="s">
        <v>1134</v>
      </c>
      <c r="E415" s="2" t="s">
        <v>83</v>
      </c>
      <c r="F415" s="6" t="s">
        <v>84</v>
      </c>
      <c r="G415" s="5" t="s">
        <v>85</v>
      </c>
      <c r="H415" s="2" t="s">
        <v>88</v>
      </c>
      <c r="I415" s="3" t="s">
        <v>1135</v>
      </c>
      <c r="J415" s="7">
        <v>1</v>
      </c>
      <c r="K415" s="70"/>
      <c r="L415" s="9">
        <v>1</v>
      </c>
      <c r="M415" s="3">
        <v>270</v>
      </c>
      <c r="N415" s="6">
        <v>1941</v>
      </c>
      <c r="P415" s="71"/>
      <c r="R415" s="6">
        <v>1940</v>
      </c>
      <c r="S415" s="3" t="s">
        <v>236</v>
      </c>
      <c r="T415" s="72" t="s">
        <v>1136</v>
      </c>
      <c r="U415" s="73"/>
      <c r="W415" s="2" t="s">
        <v>62</v>
      </c>
      <c r="X415" s="10" t="s">
        <v>91</v>
      </c>
      <c r="Y415" s="10" t="s">
        <v>214</v>
      </c>
      <c r="Z415" s="75"/>
      <c r="AA415" s="76"/>
      <c r="AB415" s="77"/>
      <c r="AC415" s="77"/>
      <c r="AD415" s="10"/>
      <c r="AI415" s="7"/>
      <c r="AJ415" s="95">
        <v>38044</v>
      </c>
      <c r="AK415" s="7">
        <v>2000</v>
      </c>
      <c r="AW415" s="6">
        <f t="shared" ca="1" si="7"/>
        <v>84</v>
      </c>
    </row>
    <row r="416" ht="45" customHeight="1">
      <c r="A416" s="69"/>
      <c r="B416" s="3" t="s">
        <v>47</v>
      </c>
      <c r="E416" s="2" t="s">
        <v>63</v>
      </c>
      <c r="F416" s="6" t="s">
        <v>217</v>
      </c>
      <c r="G416" s="5" t="s">
        <v>1137</v>
      </c>
      <c r="H416" s="2" t="s">
        <v>57</v>
      </c>
      <c r="I416" s="3" t="s">
        <v>582</v>
      </c>
      <c r="J416" s="7">
        <v>1</v>
      </c>
      <c r="K416" s="70" t="s">
        <v>53</v>
      </c>
      <c r="L416" s="9">
        <v>1</v>
      </c>
      <c r="M416" s="3">
        <v>271</v>
      </c>
      <c r="N416" s="6">
        <v>1941</v>
      </c>
      <c r="P416" s="71"/>
      <c r="R416" s="6">
        <v>1940</v>
      </c>
      <c r="S416" s="3" t="s">
        <v>54</v>
      </c>
      <c r="T416" s="72"/>
      <c r="U416" s="73"/>
      <c r="W416" s="2" t="s">
        <v>1138</v>
      </c>
      <c r="X416" s="10" t="s">
        <v>56</v>
      </c>
      <c r="Y416" s="10" t="s">
        <v>57</v>
      </c>
      <c r="Z416" s="75"/>
      <c r="AA416" s="76"/>
      <c r="AB416" s="77">
        <v>15188</v>
      </c>
      <c r="AC416" s="77">
        <v>15188</v>
      </c>
      <c r="AD416" s="10"/>
      <c r="AG416" s="7">
        <v>1941</v>
      </c>
      <c r="AH416" s="7">
        <v>1940</v>
      </c>
      <c r="AI416" s="7"/>
      <c r="AJ416" s="73"/>
      <c r="AK416" s="7"/>
      <c r="AL416" s="16"/>
      <c r="AM416" s="2" t="s">
        <v>59</v>
      </c>
      <c r="AW416" s="6">
        <f t="shared" ca="1" si="7"/>
        <v>84</v>
      </c>
    </row>
    <row r="417" ht="45" customHeight="1">
      <c r="A417" s="69"/>
      <c r="B417" s="3" t="s">
        <v>47</v>
      </c>
      <c r="E417" s="2" t="s">
        <v>63</v>
      </c>
      <c r="F417" s="6" t="s">
        <v>217</v>
      </c>
      <c r="G417" s="5" t="s">
        <v>221</v>
      </c>
      <c r="H417" s="2" t="s">
        <v>181</v>
      </c>
      <c r="I417" s="3" t="s">
        <v>1139</v>
      </c>
      <c r="J417" s="7">
        <v>1</v>
      </c>
      <c r="K417" s="70" t="s">
        <v>53</v>
      </c>
      <c r="L417" s="9">
        <v>1</v>
      </c>
      <c r="M417" s="3">
        <v>272</v>
      </c>
      <c r="N417" s="6">
        <v>1941</v>
      </c>
      <c r="P417" s="71"/>
      <c r="R417" s="6">
        <v>1940</v>
      </c>
      <c r="S417" s="3" t="s">
        <v>54</v>
      </c>
      <c r="T417" s="72"/>
      <c r="U417" s="73"/>
      <c r="W417" s="2" t="s">
        <v>1140</v>
      </c>
      <c r="X417" s="10" t="s">
        <v>56</v>
      </c>
      <c r="Y417" s="10" t="s">
        <v>181</v>
      </c>
      <c r="Z417" s="75"/>
      <c r="AA417" s="76"/>
      <c r="AB417" s="77">
        <v>14024</v>
      </c>
      <c r="AC417" s="77">
        <v>14024</v>
      </c>
      <c r="AD417" s="10"/>
      <c r="AG417" s="7">
        <v>1938</v>
      </c>
      <c r="AH417" s="7">
        <v>1930</v>
      </c>
      <c r="AI417" s="7"/>
      <c r="AJ417" s="73"/>
      <c r="AK417" s="7"/>
      <c r="AL417" s="16" t="s">
        <v>224</v>
      </c>
      <c r="AM417" s="2" t="s">
        <v>59</v>
      </c>
      <c r="AO417" s="6" t="s">
        <v>59</v>
      </c>
      <c r="AP417" s="6" t="s">
        <v>104</v>
      </c>
      <c r="AQ417" s="5" t="s">
        <v>104</v>
      </c>
      <c r="AU417" s="16" t="s">
        <v>1141</v>
      </c>
      <c r="AW417" s="6">
        <f t="shared" ca="1" si="7"/>
        <v>84</v>
      </c>
    </row>
    <row r="418" ht="45" customHeight="1">
      <c r="A418" s="69"/>
      <c r="B418" s="3" t="s">
        <v>47</v>
      </c>
      <c r="E418" s="2" t="s">
        <v>63</v>
      </c>
      <c r="F418" s="6" t="s">
        <v>172</v>
      </c>
      <c r="G418" s="5" t="s">
        <v>173</v>
      </c>
      <c r="H418" s="2" t="s">
        <v>51</v>
      </c>
      <c r="I418" s="3" t="s">
        <v>1142</v>
      </c>
      <c r="J418" s="7">
        <v>1</v>
      </c>
      <c r="K418" s="70" t="s">
        <v>53</v>
      </c>
      <c r="L418" s="9">
        <v>1</v>
      </c>
      <c r="M418" s="3">
        <v>273</v>
      </c>
      <c r="N418" s="6">
        <v>1941</v>
      </c>
      <c r="P418" s="71"/>
      <c r="R418" s="6">
        <v>1940</v>
      </c>
      <c r="S418" s="3" t="s">
        <v>54</v>
      </c>
      <c r="T418" s="72"/>
      <c r="U418" s="73"/>
      <c r="W418" s="2" t="s">
        <v>1143</v>
      </c>
      <c r="X418" s="10" t="s">
        <v>56</v>
      </c>
      <c r="Y418" s="10" t="s">
        <v>57</v>
      </c>
      <c r="Z418" s="75" t="s">
        <v>58</v>
      </c>
      <c r="AA418" s="76"/>
      <c r="AB418" s="77">
        <v>15244</v>
      </c>
      <c r="AC418" s="77">
        <v>15244</v>
      </c>
      <c r="AD418" s="10"/>
      <c r="AG418" s="7">
        <v>1941</v>
      </c>
      <c r="AH418" s="7">
        <v>1940</v>
      </c>
      <c r="AI418" s="7"/>
      <c r="AJ418" s="73"/>
      <c r="AK418" s="7"/>
      <c r="AL418" s="16"/>
      <c r="AM418" s="2" t="s">
        <v>59</v>
      </c>
      <c r="AW418" s="6">
        <f t="shared" ca="1" si="7"/>
        <v>84</v>
      </c>
    </row>
    <row r="419" ht="45" customHeight="1">
      <c r="A419" s="69"/>
      <c r="B419" s="3" t="s">
        <v>47</v>
      </c>
      <c r="E419" s="2" t="s">
        <v>63</v>
      </c>
      <c r="F419" s="6" t="s">
        <v>172</v>
      </c>
      <c r="G419" s="5" t="s">
        <v>173</v>
      </c>
      <c r="H419" s="2" t="s">
        <v>51</v>
      </c>
      <c r="I419" s="3" t="s">
        <v>198</v>
      </c>
      <c r="J419" s="7">
        <v>1</v>
      </c>
      <c r="K419" s="70" t="s">
        <v>53</v>
      </c>
      <c r="L419" s="9">
        <v>1</v>
      </c>
      <c r="M419" s="3">
        <v>274</v>
      </c>
      <c r="N419" s="6">
        <v>1941</v>
      </c>
      <c r="P419" s="71"/>
      <c r="R419" s="6">
        <v>1940</v>
      </c>
      <c r="S419" s="3" t="s">
        <v>54</v>
      </c>
      <c r="T419" s="72"/>
      <c r="U419" s="73"/>
      <c r="W419" s="2" t="s">
        <v>1144</v>
      </c>
      <c r="X419" s="10" t="s">
        <v>56</v>
      </c>
      <c r="Y419" s="10" t="s">
        <v>57</v>
      </c>
      <c r="Z419" s="75" t="s">
        <v>58</v>
      </c>
      <c r="AA419" s="76"/>
      <c r="AB419" s="77">
        <v>15244</v>
      </c>
      <c r="AC419" s="77">
        <v>15244</v>
      </c>
      <c r="AD419" s="10"/>
      <c r="AG419" s="7">
        <v>1941</v>
      </c>
      <c r="AH419" s="7">
        <v>1940</v>
      </c>
      <c r="AI419" s="7"/>
      <c r="AJ419" s="73"/>
      <c r="AK419" s="7"/>
      <c r="AL419" s="16"/>
      <c r="AM419" s="2" t="s">
        <v>59</v>
      </c>
      <c r="AW419" s="6">
        <f t="shared" ref="AW419:AW482" ca="1" si="8">IF(N419&lt;&gt;0,(YEAR(TODAY())-N419),(""))</f>
        <v>84</v>
      </c>
    </row>
    <row r="420" ht="45" customHeight="1">
      <c r="A420" s="69"/>
      <c r="B420" s="3" t="s">
        <v>47</v>
      </c>
      <c r="E420" s="2" t="s">
        <v>63</v>
      </c>
      <c r="F420" s="6" t="s">
        <v>172</v>
      </c>
      <c r="G420" s="5" t="s">
        <v>173</v>
      </c>
      <c r="H420" s="2" t="s">
        <v>51</v>
      </c>
      <c r="I420" s="3" t="s">
        <v>990</v>
      </c>
      <c r="J420" s="7">
        <v>1</v>
      </c>
      <c r="K420" s="70" t="s">
        <v>53</v>
      </c>
      <c r="L420" s="9">
        <v>1</v>
      </c>
      <c r="M420" s="3">
        <v>275</v>
      </c>
      <c r="N420" s="6">
        <v>1941</v>
      </c>
      <c r="P420" s="71"/>
      <c r="R420" s="6">
        <v>1940</v>
      </c>
      <c r="S420" s="3" t="s">
        <v>54</v>
      </c>
      <c r="T420" s="72"/>
      <c r="U420" s="73"/>
      <c r="W420" s="2" t="s">
        <v>1145</v>
      </c>
      <c r="X420" s="10" t="s">
        <v>56</v>
      </c>
      <c r="Y420" s="10" t="s">
        <v>57</v>
      </c>
      <c r="Z420" s="75" t="s">
        <v>58</v>
      </c>
      <c r="AA420" s="76"/>
      <c r="AB420" s="77">
        <v>15244</v>
      </c>
      <c r="AC420" s="77">
        <v>15244</v>
      </c>
      <c r="AD420" s="10"/>
      <c r="AG420" s="7">
        <v>1941</v>
      </c>
      <c r="AH420" s="7">
        <v>1940</v>
      </c>
      <c r="AI420" s="7"/>
      <c r="AJ420" s="73"/>
      <c r="AK420" s="7"/>
      <c r="AL420" s="16"/>
      <c r="AM420" s="2" t="s">
        <v>59</v>
      </c>
      <c r="AW420" s="6">
        <f t="shared" ca="1" si="8"/>
        <v>84</v>
      </c>
    </row>
    <row r="421" ht="45" customHeight="1">
      <c r="A421" s="69"/>
      <c r="B421" s="3" t="s">
        <v>47</v>
      </c>
      <c r="E421" s="2" t="s">
        <v>63</v>
      </c>
      <c r="F421" s="6" t="s">
        <v>172</v>
      </c>
      <c r="G421" s="5" t="s">
        <v>173</v>
      </c>
      <c r="H421" s="2" t="s">
        <v>68</v>
      </c>
      <c r="I421" s="3" t="s">
        <v>1146</v>
      </c>
      <c r="J421" s="7">
        <v>1</v>
      </c>
      <c r="K421" s="70" t="s">
        <v>53</v>
      </c>
      <c r="L421" s="9">
        <v>1</v>
      </c>
      <c r="M421" s="3">
        <v>276</v>
      </c>
      <c r="N421" s="6">
        <v>1941</v>
      </c>
      <c r="P421" s="71"/>
      <c r="R421" s="6">
        <v>1940</v>
      </c>
      <c r="S421" s="3" t="s">
        <v>54</v>
      </c>
      <c r="T421" s="72"/>
      <c r="U421" s="73"/>
      <c r="W421" s="2" t="s">
        <v>1147</v>
      </c>
      <c r="X421" s="10" t="s">
        <v>56</v>
      </c>
      <c r="Y421" s="10" t="s">
        <v>57</v>
      </c>
      <c r="Z421" s="75" t="s">
        <v>58</v>
      </c>
      <c r="AA421" s="76"/>
      <c r="AB421" s="77">
        <v>15244</v>
      </c>
      <c r="AC421" s="77">
        <v>15244</v>
      </c>
      <c r="AD421" s="10"/>
      <c r="AG421" s="7">
        <v>1941</v>
      </c>
      <c r="AH421" s="7">
        <v>1940</v>
      </c>
      <c r="AI421" s="7"/>
      <c r="AJ421" s="73"/>
      <c r="AK421" s="7"/>
      <c r="AL421" s="16"/>
      <c r="AM421" s="2" t="s">
        <v>59</v>
      </c>
      <c r="AW421" s="6">
        <f t="shared" ca="1" si="8"/>
        <v>84</v>
      </c>
    </row>
    <row r="422" ht="45" customHeight="1" outlineLevel="1">
      <c r="A422" s="69"/>
      <c r="B422" s="3" t="s">
        <v>47</v>
      </c>
      <c r="E422" s="2" t="s">
        <v>63</v>
      </c>
      <c r="F422" s="6" t="s">
        <v>172</v>
      </c>
      <c r="G422" s="5" t="s">
        <v>173</v>
      </c>
      <c r="H422" s="2" t="s">
        <v>51</v>
      </c>
      <c r="I422" s="3" t="s">
        <v>1148</v>
      </c>
      <c r="J422" s="7">
        <v>1</v>
      </c>
      <c r="K422" s="70" t="s">
        <v>53</v>
      </c>
      <c r="L422" s="9">
        <v>1</v>
      </c>
      <c r="M422" s="3">
        <v>277</v>
      </c>
      <c r="N422" s="6">
        <v>1941</v>
      </c>
      <c r="P422" s="71"/>
      <c r="R422" s="6">
        <v>1940</v>
      </c>
      <c r="S422" s="3" t="s">
        <v>54</v>
      </c>
      <c r="T422" s="72"/>
      <c r="U422" s="73"/>
      <c r="W422" s="2" t="s">
        <v>1149</v>
      </c>
      <c r="X422" s="10" t="s">
        <v>56</v>
      </c>
      <c r="Y422" s="10" t="s">
        <v>57</v>
      </c>
      <c r="Z422" s="75" t="s">
        <v>58</v>
      </c>
      <c r="AA422" s="76"/>
      <c r="AB422" s="77">
        <v>15244</v>
      </c>
      <c r="AC422" s="77">
        <v>15244</v>
      </c>
      <c r="AD422" s="10"/>
      <c r="AG422" s="7">
        <v>1941</v>
      </c>
      <c r="AH422" s="7">
        <v>1940</v>
      </c>
      <c r="AI422" s="7"/>
      <c r="AJ422" s="73"/>
      <c r="AK422" s="7"/>
      <c r="AL422" s="16"/>
      <c r="AM422" s="2" t="s">
        <v>59</v>
      </c>
      <c r="AW422" s="6">
        <f t="shared" ca="1" si="8"/>
        <v>84</v>
      </c>
    </row>
    <row r="423" ht="45" customHeight="1">
      <c r="A423" s="69"/>
      <c r="B423" s="3" t="s">
        <v>47</v>
      </c>
      <c r="E423" s="2" t="s">
        <v>63</v>
      </c>
      <c r="F423" s="6" t="s">
        <v>172</v>
      </c>
      <c r="G423" s="5" t="s">
        <v>173</v>
      </c>
      <c r="H423" s="2" t="s">
        <v>57</v>
      </c>
      <c r="I423" s="3" t="s">
        <v>1150</v>
      </c>
      <c r="J423" s="7">
        <v>1</v>
      </c>
      <c r="K423" s="70" t="s">
        <v>53</v>
      </c>
      <c r="L423" s="9">
        <v>1</v>
      </c>
      <c r="M423" s="3">
        <v>278</v>
      </c>
      <c r="N423" s="6">
        <v>1941</v>
      </c>
      <c r="P423" s="71"/>
      <c r="R423" s="6">
        <v>1940</v>
      </c>
      <c r="S423" s="3" t="s">
        <v>54</v>
      </c>
      <c r="T423" s="72"/>
      <c r="U423" s="73"/>
      <c r="W423" s="2" t="s">
        <v>1151</v>
      </c>
      <c r="X423" s="10" t="s">
        <v>56</v>
      </c>
      <c r="Y423" s="10" t="s">
        <v>57</v>
      </c>
      <c r="Z423" s="75"/>
      <c r="AA423" s="76"/>
      <c r="AB423" s="77">
        <v>15244</v>
      </c>
      <c r="AC423" s="77">
        <v>15244</v>
      </c>
      <c r="AD423" s="10"/>
      <c r="AG423" s="7">
        <v>1941</v>
      </c>
      <c r="AH423" s="7">
        <v>1940</v>
      </c>
      <c r="AI423" s="7"/>
      <c r="AJ423" s="73"/>
      <c r="AK423" s="7"/>
      <c r="AL423" s="16"/>
      <c r="AM423" s="2" t="s">
        <v>59</v>
      </c>
      <c r="AU423" s="16" t="s">
        <v>1152</v>
      </c>
      <c r="AW423" s="6">
        <f t="shared" ca="1" si="8"/>
        <v>84</v>
      </c>
    </row>
    <row r="424" ht="45" customHeight="1">
      <c r="A424" s="69"/>
      <c r="B424" s="3" t="s">
        <v>47</v>
      </c>
      <c r="E424" s="2" t="s">
        <v>63</v>
      </c>
      <c r="F424" s="6" t="s">
        <v>172</v>
      </c>
      <c r="G424" s="5" t="s">
        <v>173</v>
      </c>
      <c r="H424" s="2" t="s">
        <v>68</v>
      </c>
      <c r="I424" s="3" t="s">
        <v>1153</v>
      </c>
      <c r="J424" s="7">
        <v>1</v>
      </c>
      <c r="K424" s="70" t="s">
        <v>53</v>
      </c>
      <c r="L424" s="9">
        <v>1</v>
      </c>
      <c r="M424" s="3">
        <v>279</v>
      </c>
      <c r="N424" s="6">
        <v>1941</v>
      </c>
      <c r="P424" s="71"/>
      <c r="R424" s="6">
        <v>1940</v>
      </c>
      <c r="S424" s="3" t="s">
        <v>54</v>
      </c>
      <c r="T424" s="72"/>
      <c r="U424" s="73"/>
      <c r="W424" s="2" t="s">
        <v>1154</v>
      </c>
      <c r="X424" s="10" t="s">
        <v>56</v>
      </c>
      <c r="Y424" s="10" t="s">
        <v>68</v>
      </c>
      <c r="Z424" s="75" t="s">
        <v>260</v>
      </c>
      <c r="AA424" s="76"/>
      <c r="AB424" s="77">
        <v>15965</v>
      </c>
      <c r="AC424" s="77">
        <v>15965</v>
      </c>
      <c r="AD424" s="10"/>
      <c r="AG424" s="7">
        <v>1943</v>
      </c>
      <c r="AH424" s="7">
        <v>1940</v>
      </c>
      <c r="AI424" s="7"/>
      <c r="AJ424" s="73"/>
      <c r="AK424" s="7"/>
      <c r="AL424" s="16"/>
      <c r="AM424" s="2" t="s">
        <v>82</v>
      </c>
      <c r="AU424" s="16" t="s">
        <v>1155</v>
      </c>
      <c r="AW424" s="6">
        <f t="shared" ca="1" si="8"/>
        <v>84</v>
      </c>
    </row>
    <row r="425" ht="45" customHeight="1">
      <c r="A425" s="69"/>
      <c r="B425" s="3" t="s">
        <v>47</v>
      </c>
      <c r="E425" s="2" t="s">
        <v>63</v>
      </c>
      <c r="F425" s="6" t="s">
        <v>172</v>
      </c>
      <c r="G425" s="5" t="s">
        <v>618</v>
      </c>
      <c r="H425" s="2" t="s">
        <v>181</v>
      </c>
      <c r="I425" s="3" t="s">
        <v>1156</v>
      </c>
      <c r="J425" s="7">
        <v>1</v>
      </c>
      <c r="K425" s="70" t="s">
        <v>53</v>
      </c>
      <c r="L425" s="9">
        <v>1</v>
      </c>
      <c r="M425" s="3">
        <v>280</v>
      </c>
      <c r="N425" s="6">
        <v>1941</v>
      </c>
      <c r="P425" s="71"/>
      <c r="R425" s="6">
        <v>1940</v>
      </c>
      <c r="S425" s="3" t="s">
        <v>54</v>
      </c>
      <c r="T425" s="72"/>
      <c r="U425" s="73"/>
      <c r="W425" s="2" t="s">
        <v>1157</v>
      </c>
      <c r="X425" s="10" t="s">
        <v>56</v>
      </c>
      <c r="Y425" s="10" t="s">
        <v>181</v>
      </c>
      <c r="Z425" s="75"/>
      <c r="AA425" s="76"/>
      <c r="AB425" s="77">
        <v>15244</v>
      </c>
      <c r="AC425" s="77">
        <v>15244</v>
      </c>
      <c r="AD425" s="10"/>
      <c r="AG425" s="7">
        <v>1941</v>
      </c>
      <c r="AH425" s="7">
        <v>1940</v>
      </c>
      <c r="AI425" s="7"/>
      <c r="AJ425" s="73"/>
      <c r="AK425" s="7"/>
      <c r="AL425" s="16"/>
      <c r="AM425" s="2" t="s">
        <v>59</v>
      </c>
      <c r="AU425" s="16" t="s">
        <v>447</v>
      </c>
      <c r="AW425" s="6">
        <f t="shared" ca="1" si="8"/>
        <v>84</v>
      </c>
    </row>
    <row r="426" ht="45" customHeight="1">
      <c r="A426" s="69"/>
      <c r="B426" s="3" t="s">
        <v>47</v>
      </c>
      <c r="E426" s="2" t="s">
        <v>63</v>
      </c>
      <c r="F426" s="6" t="s">
        <v>172</v>
      </c>
      <c r="G426" s="5" t="s">
        <v>1123</v>
      </c>
      <c r="H426" s="2" t="s">
        <v>51</v>
      </c>
      <c r="I426" s="3" t="s">
        <v>1158</v>
      </c>
      <c r="J426" s="7">
        <v>1</v>
      </c>
      <c r="K426" s="70" t="s">
        <v>53</v>
      </c>
      <c r="L426" s="9">
        <v>1</v>
      </c>
      <c r="M426" s="3">
        <v>281</v>
      </c>
      <c r="N426" s="6">
        <v>1941</v>
      </c>
      <c r="P426" s="71"/>
      <c r="R426" s="6">
        <v>1940</v>
      </c>
      <c r="S426" s="3" t="s">
        <v>54</v>
      </c>
      <c r="T426" s="72"/>
      <c r="U426" s="73"/>
      <c r="W426" s="2" t="s">
        <v>1159</v>
      </c>
      <c r="X426" s="10" t="s">
        <v>56</v>
      </c>
      <c r="Y426" s="10" t="s">
        <v>57</v>
      </c>
      <c r="Z426" s="75" t="s">
        <v>58</v>
      </c>
      <c r="AA426" s="76"/>
      <c r="AB426" s="77">
        <v>15244</v>
      </c>
      <c r="AC426" s="77">
        <v>15244</v>
      </c>
      <c r="AD426" s="10"/>
      <c r="AG426" s="7">
        <v>1941</v>
      </c>
      <c r="AH426" s="7">
        <v>1940</v>
      </c>
      <c r="AI426" s="7"/>
      <c r="AJ426" s="73"/>
      <c r="AK426" s="7"/>
      <c r="AL426" s="16"/>
      <c r="AM426" s="2" t="s">
        <v>59</v>
      </c>
      <c r="AU426" s="16" t="s">
        <v>447</v>
      </c>
      <c r="AW426" s="6">
        <f t="shared" ca="1" si="8"/>
        <v>84</v>
      </c>
    </row>
    <row r="427" ht="45" customHeight="1">
      <c r="A427" s="69"/>
      <c r="B427" s="3" t="s">
        <v>47</v>
      </c>
      <c r="E427" s="2" t="s">
        <v>63</v>
      </c>
      <c r="F427" s="6" t="s">
        <v>172</v>
      </c>
      <c r="G427" s="5" t="s">
        <v>1160</v>
      </c>
      <c r="H427" s="2" t="s">
        <v>57</v>
      </c>
      <c r="I427" s="3" t="s">
        <v>1161</v>
      </c>
      <c r="J427" s="7">
        <v>1</v>
      </c>
      <c r="K427" s="70" t="s">
        <v>53</v>
      </c>
      <c r="L427" s="9">
        <v>1</v>
      </c>
      <c r="M427" s="3">
        <v>282</v>
      </c>
      <c r="N427" s="6">
        <v>1941</v>
      </c>
      <c r="P427" s="71"/>
      <c r="R427" s="6">
        <v>1940</v>
      </c>
      <c r="S427" s="3" t="s">
        <v>54</v>
      </c>
      <c r="T427" s="72"/>
      <c r="U427" s="73"/>
      <c r="W427" s="2" t="s">
        <v>1162</v>
      </c>
      <c r="X427" s="10" t="s">
        <v>56</v>
      </c>
      <c r="Y427" s="10" t="s">
        <v>57</v>
      </c>
      <c r="Z427" s="75"/>
      <c r="AA427" s="76"/>
      <c r="AB427" s="77">
        <v>15244</v>
      </c>
      <c r="AC427" s="77">
        <v>15244</v>
      </c>
      <c r="AD427" s="10"/>
      <c r="AG427" s="7">
        <v>1941</v>
      </c>
      <c r="AH427" s="7">
        <v>1940</v>
      </c>
      <c r="AI427" s="7"/>
      <c r="AJ427" s="73"/>
      <c r="AK427" s="7"/>
      <c r="AL427" s="16"/>
      <c r="AM427" s="2" t="s">
        <v>59</v>
      </c>
      <c r="AW427" s="6">
        <f t="shared" ca="1" si="8"/>
        <v>84</v>
      </c>
    </row>
    <row r="428" ht="45" customHeight="1">
      <c r="A428" s="69"/>
      <c r="B428" s="3" t="s">
        <v>47</v>
      </c>
      <c r="E428" s="2" t="s">
        <v>63</v>
      </c>
      <c r="F428" s="6" t="s">
        <v>172</v>
      </c>
      <c r="G428" s="5" t="s">
        <v>173</v>
      </c>
      <c r="H428" s="2" t="s">
        <v>57</v>
      </c>
      <c r="I428" s="3" t="s">
        <v>1163</v>
      </c>
      <c r="J428" s="7">
        <v>1</v>
      </c>
      <c r="K428" s="70" t="s">
        <v>53</v>
      </c>
      <c r="L428" s="9">
        <v>1</v>
      </c>
      <c r="M428" s="3">
        <v>283</v>
      </c>
      <c r="N428" s="6">
        <v>1941</v>
      </c>
      <c r="P428" s="71"/>
      <c r="R428" s="6">
        <v>1940</v>
      </c>
      <c r="S428" s="3" t="s">
        <v>54</v>
      </c>
      <c r="T428" s="72"/>
      <c r="U428" s="73"/>
      <c r="W428" s="2" t="s">
        <v>1164</v>
      </c>
      <c r="X428" s="10" t="s">
        <v>56</v>
      </c>
      <c r="Y428" s="10" t="s">
        <v>57</v>
      </c>
      <c r="Z428" s="75"/>
      <c r="AA428" s="76"/>
      <c r="AB428" s="77">
        <v>15788</v>
      </c>
      <c r="AC428" s="77"/>
      <c r="AD428" s="6"/>
      <c r="AG428" s="7">
        <v>1943</v>
      </c>
      <c r="AH428" s="7">
        <v>1940</v>
      </c>
      <c r="AI428" s="7"/>
      <c r="AJ428" s="73"/>
      <c r="AK428" s="7"/>
      <c r="AL428" s="16"/>
      <c r="AM428" s="2" t="s">
        <v>59</v>
      </c>
      <c r="AW428" s="6">
        <f t="shared" ca="1" si="8"/>
        <v>84</v>
      </c>
    </row>
    <row r="429" ht="45" customHeight="1">
      <c r="A429" s="69"/>
      <c r="B429" s="3" t="s">
        <v>47</v>
      </c>
      <c r="E429" s="78" t="s">
        <v>63</v>
      </c>
      <c r="F429" s="79" t="s">
        <v>172</v>
      </c>
      <c r="G429" s="80" t="s">
        <v>618</v>
      </c>
      <c r="H429" s="78" t="s">
        <v>257</v>
      </c>
      <c r="I429" s="81" t="s">
        <v>1165</v>
      </c>
      <c r="J429" s="7">
        <v>1</v>
      </c>
      <c r="K429" s="70" t="s">
        <v>53</v>
      </c>
      <c r="L429" s="9">
        <v>1</v>
      </c>
      <c r="M429" s="3">
        <v>284</v>
      </c>
      <c r="N429" s="6">
        <v>1941</v>
      </c>
      <c r="P429" s="71"/>
      <c r="R429" s="6">
        <v>1940</v>
      </c>
      <c r="S429" s="3" t="s">
        <v>54</v>
      </c>
      <c r="T429" s="72"/>
      <c r="U429" s="73"/>
      <c r="W429" s="78" t="s">
        <v>1166</v>
      </c>
      <c r="X429" s="82" t="s">
        <v>56</v>
      </c>
      <c r="Y429" s="82" t="s">
        <v>68</v>
      </c>
      <c r="Z429" s="83" t="s">
        <v>260</v>
      </c>
      <c r="AA429" s="76"/>
      <c r="AB429" s="77">
        <v>15788</v>
      </c>
      <c r="AC429" s="77">
        <v>15788</v>
      </c>
      <c r="AD429" s="10"/>
      <c r="AG429" s="7">
        <v>1943</v>
      </c>
      <c r="AH429" s="7">
        <v>1940</v>
      </c>
      <c r="AI429" s="7"/>
      <c r="AJ429" s="73"/>
      <c r="AK429" s="7"/>
      <c r="AL429" s="16"/>
      <c r="AM429" s="2" t="s">
        <v>82</v>
      </c>
      <c r="AW429" s="6">
        <f t="shared" ca="1" si="8"/>
        <v>84</v>
      </c>
    </row>
    <row r="430" ht="45" customHeight="1">
      <c r="A430" s="69"/>
      <c r="B430" s="3" t="s">
        <v>47</v>
      </c>
      <c r="E430" s="2" t="s">
        <v>63</v>
      </c>
      <c r="F430" s="6" t="s">
        <v>172</v>
      </c>
      <c r="G430" s="5" t="s">
        <v>1160</v>
      </c>
      <c r="H430" s="2" t="s">
        <v>57</v>
      </c>
      <c r="I430" s="3" t="s">
        <v>946</v>
      </c>
      <c r="J430" s="7">
        <v>1</v>
      </c>
      <c r="K430" s="70" t="s">
        <v>53</v>
      </c>
      <c r="L430" s="9">
        <v>1</v>
      </c>
      <c r="M430" s="3">
        <v>285</v>
      </c>
      <c r="N430" s="6">
        <v>1941</v>
      </c>
      <c r="P430" s="71"/>
      <c r="R430" s="6">
        <v>1940</v>
      </c>
      <c r="S430" s="3" t="s">
        <v>54</v>
      </c>
      <c r="T430" s="72"/>
      <c r="U430" s="73"/>
      <c r="W430" s="2" t="s">
        <v>1167</v>
      </c>
      <c r="X430" s="10" t="s">
        <v>56</v>
      </c>
      <c r="Y430" s="10" t="s">
        <v>57</v>
      </c>
      <c r="Z430" s="75"/>
      <c r="AA430" s="76"/>
      <c r="AB430" s="77">
        <v>15265</v>
      </c>
      <c r="AC430" s="77"/>
      <c r="AD430" s="6"/>
      <c r="AG430" s="7">
        <v>1941</v>
      </c>
      <c r="AH430" s="7">
        <v>1940</v>
      </c>
      <c r="AI430" s="7"/>
      <c r="AJ430" s="73"/>
      <c r="AK430" s="7"/>
      <c r="AL430" s="16"/>
      <c r="AM430" s="2" t="s">
        <v>59</v>
      </c>
      <c r="AW430" s="6">
        <f t="shared" ca="1" si="8"/>
        <v>84</v>
      </c>
    </row>
    <row r="431" ht="45" customHeight="1">
      <c r="A431" s="69"/>
      <c r="B431" s="3" t="s">
        <v>47</v>
      </c>
      <c r="E431" s="2" t="s">
        <v>63</v>
      </c>
      <c r="F431" s="6" t="s">
        <v>172</v>
      </c>
      <c r="G431" s="5" t="s">
        <v>1160</v>
      </c>
      <c r="H431" s="2" t="s">
        <v>57</v>
      </c>
      <c r="I431" s="3" t="s">
        <v>1168</v>
      </c>
      <c r="J431" s="7">
        <v>1</v>
      </c>
      <c r="K431" s="70" t="s">
        <v>53</v>
      </c>
      <c r="L431" s="9">
        <v>1</v>
      </c>
      <c r="M431" s="3">
        <v>286</v>
      </c>
      <c r="N431" s="6">
        <v>1941</v>
      </c>
      <c r="P431" s="71"/>
      <c r="R431" s="6">
        <v>1940</v>
      </c>
      <c r="S431" s="3" t="s">
        <v>54</v>
      </c>
      <c r="T431" s="72"/>
      <c r="U431" s="73"/>
      <c r="W431" s="2" t="s">
        <v>1169</v>
      </c>
      <c r="X431" s="10" t="s">
        <v>56</v>
      </c>
      <c r="Y431" s="10" t="s">
        <v>57</v>
      </c>
      <c r="Z431" s="75"/>
      <c r="AA431" s="76"/>
      <c r="AB431" s="77">
        <v>15965</v>
      </c>
      <c r="AC431" s="77"/>
      <c r="AD431" s="6"/>
      <c r="AG431" s="7">
        <v>1943</v>
      </c>
      <c r="AH431" s="7">
        <v>1940</v>
      </c>
      <c r="AI431" s="7"/>
      <c r="AJ431" s="73"/>
      <c r="AK431" s="7"/>
      <c r="AL431" s="16"/>
      <c r="AM431" s="2" t="s">
        <v>59</v>
      </c>
      <c r="AW431" s="6">
        <f t="shared" ca="1" si="8"/>
        <v>84</v>
      </c>
    </row>
    <row r="432" ht="45" customHeight="1">
      <c r="A432" s="69"/>
      <c r="B432" s="3" t="s">
        <v>47</v>
      </c>
      <c r="E432" s="2" t="s">
        <v>63</v>
      </c>
      <c r="F432" s="6" t="s">
        <v>172</v>
      </c>
      <c r="G432" s="5" t="s">
        <v>1160</v>
      </c>
      <c r="H432" s="2" t="s">
        <v>57</v>
      </c>
      <c r="I432" s="3" t="s">
        <v>1170</v>
      </c>
      <c r="J432" s="7">
        <v>1</v>
      </c>
      <c r="K432" s="70" t="s">
        <v>53</v>
      </c>
      <c r="L432" s="9">
        <v>1</v>
      </c>
      <c r="M432" s="3">
        <v>287</v>
      </c>
      <c r="N432" s="6">
        <v>1941</v>
      </c>
      <c r="P432" s="71"/>
      <c r="R432" s="6">
        <v>1940</v>
      </c>
      <c r="S432" s="3" t="s">
        <v>54</v>
      </c>
      <c r="T432" s="72"/>
      <c r="U432" s="73"/>
      <c r="W432" s="2" t="s">
        <v>1171</v>
      </c>
      <c r="X432" s="10" t="s">
        <v>56</v>
      </c>
      <c r="Y432" s="10" t="s">
        <v>57</v>
      </c>
      <c r="Z432" s="75"/>
      <c r="AA432" s="76"/>
      <c r="AB432" s="77">
        <v>22868</v>
      </c>
      <c r="AC432" s="77"/>
      <c r="AD432" s="6"/>
      <c r="AG432" s="7">
        <v>1962</v>
      </c>
      <c r="AH432" s="7">
        <v>1960</v>
      </c>
      <c r="AI432" s="7"/>
      <c r="AJ432" s="73"/>
      <c r="AK432" s="7"/>
      <c r="AL432" s="16"/>
      <c r="AM432" s="2" t="s">
        <v>59</v>
      </c>
      <c r="AW432" s="6">
        <f t="shared" ca="1" si="8"/>
        <v>84</v>
      </c>
    </row>
    <row r="433" ht="45" customHeight="1">
      <c r="A433" s="69"/>
      <c r="B433" s="3" t="s">
        <v>47</v>
      </c>
      <c r="E433" s="2" t="s">
        <v>63</v>
      </c>
      <c r="F433" s="6" t="s">
        <v>172</v>
      </c>
      <c r="G433" s="5" t="s">
        <v>173</v>
      </c>
      <c r="H433" s="2" t="s">
        <v>57</v>
      </c>
      <c r="I433" s="3" t="s">
        <v>1172</v>
      </c>
      <c r="J433" s="7">
        <v>1</v>
      </c>
      <c r="K433" s="70" t="s">
        <v>53</v>
      </c>
      <c r="L433" s="9">
        <v>1</v>
      </c>
      <c r="M433" s="3">
        <v>288</v>
      </c>
      <c r="N433" s="6">
        <v>1941</v>
      </c>
      <c r="P433" s="71"/>
      <c r="R433" s="6">
        <v>1940</v>
      </c>
      <c r="S433" s="3" t="s">
        <v>54</v>
      </c>
      <c r="T433" s="72"/>
      <c r="U433" s="73"/>
      <c r="W433" s="2" t="s">
        <v>1173</v>
      </c>
      <c r="X433" s="10" t="s">
        <v>56</v>
      </c>
      <c r="Y433" s="10" t="s">
        <v>57</v>
      </c>
      <c r="Z433" s="75"/>
      <c r="AA433" s="76"/>
      <c r="AB433" s="77">
        <v>15265</v>
      </c>
      <c r="AC433" s="77"/>
      <c r="AD433" s="6"/>
      <c r="AG433" s="7">
        <v>1941</v>
      </c>
      <c r="AH433" s="7">
        <v>1940</v>
      </c>
      <c r="AI433" s="7"/>
      <c r="AJ433" s="73"/>
      <c r="AK433" s="7"/>
      <c r="AL433" s="16"/>
      <c r="AM433" s="2" t="s">
        <v>59</v>
      </c>
      <c r="AW433" s="6">
        <f t="shared" ca="1" si="8"/>
        <v>84</v>
      </c>
    </row>
    <row r="434" ht="45" customHeight="1">
      <c r="A434" s="69"/>
      <c r="B434" s="3" t="s">
        <v>47</v>
      </c>
      <c r="E434" s="2" t="s">
        <v>63</v>
      </c>
      <c r="F434" s="6" t="s">
        <v>172</v>
      </c>
      <c r="G434" s="5" t="s">
        <v>173</v>
      </c>
      <c r="H434" s="2" t="s">
        <v>382</v>
      </c>
      <c r="I434" s="3" t="s">
        <v>1174</v>
      </c>
      <c r="J434" s="7">
        <v>1</v>
      </c>
      <c r="K434" s="70" t="s">
        <v>53</v>
      </c>
      <c r="L434" s="9">
        <v>0</v>
      </c>
      <c r="M434" s="3">
        <v>288</v>
      </c>
      <c r="N434" s="6">
        <v>1941</v>
      </c>
      <c r="P434" s="71"/>
      <c r="R434" s="6">
        <v>1940</v>
      </c>
      <c r="S434" s="3" t="s">
        <v>54</v>
      </c>
      <c r="T434" s="72"/>
      <c r="U434" s="73"/>
      <c r="W434" s="2" t="s">
        <v>1175</v>
      </c>
      <c r="X434" s="10" t="s">
        <v>91</v>
      </c>
      <c r="Y434" s="10" t="s">
        <v>385</v>
      </c>
      <c r="Z434" s="75"/>
      <c r="AA434" s="76"/>
      <c r="AB434" s="77">
        <v>15265</v>
      </c>
      <c r="AC434" s="77"/>
      <c r="AD434" s="6"/>
      <c r="AG434" s="7">
        <v>1941</v>
      </c>
      <c r="AH434" s="7">
        <v>1940</v>
      </c>
      <c r="AI434" s="7"/>
      <c r="AJ434" s="73"/>
      <c r="AK434" s="7"/>
      <c r="AL434" s="16"/>
      <c r="AM434" s="2" t="s">
        <v>59</v>
      </c>
      <c r="AO434" s="6" t="s">
        <v>59</v>
      </c>
      <c r="AW434" s="6">
        <f t="shared" ca="1" si="8"/>
        <v>84</v>
      </c>
    </row>
    <row r="435" ht="45" customHeight="1">
      <c r="A435" s="69"/>
      <c r="B435" s="3" t="s">
        <v>47</v>
      </c>
      <c r="E435" s="78" t="s">
        <v>63</v>
      </c>
      <c r="F435" s="79" t="s">
        <v>83</v>
      </c>
      <c r="G435" s="80" t="s">
        <v>1176</v>
      </c>
      <c r="H435" s="78" t="s">
        <v>68</v>
      </c>
      <c r="I435" s="81" t="s">
        <v>1177</v>
      </c>
      <c r="J435" s="7">
        <v>1</v>
      </c>
      <c r="K435" s="70" t="s">
        <v>53</v>
      </c>
      <c r="L435" s="9">
        <v>1</v>
      </c>
      <c r="M435" s="3">
        <v>289</v>
      </c>
      <c r="N435" s="6">
        <v>1941</v>
      </c>
      <c r="P435" s="71"/>
      <c r="R435" s="6">
        <v>1940</v>
      </c>
      <c r="S435" s="3" t="s">
        <v>54</v>
      </c>
      <c r="T435" s="72"/>
      <c r="U435" s="73"/>
      <c r="W435" s="78" t="s">
        <v>1178</v>
      </c>
      <c r="X435" s="82" t="s">
        <v>56</v>
      </c>
      <c r="Y435" s="82" t="s">
        <v>68</v>
      </c>
      <c r="Z435" s="83"/>
      <c r="AA435" s="76"/>
      <c r="AB435" s="77">
        <v>15847</v>
      </c>
      <c r="AC435" s="77"/>
      <c r="AD435" s="6"/>
      <c r="AG435" s="7">
        <v>1943</v>
      </c>
      <c r="AH435" s="7">
        <v>1940</v>
      </c>
      <c r="AI435" s="7"/>
      <c r="AJ435" s="73"/>
      <c r="AK435" s="7"/>
      <c r="AL435" s="16"/>
      <c r="AM435" s="2" t="s">
        <v>82</v>
      </c>
      <c r="AW435" s="6">
        <f t="shared" ca="1" si="8"/>
        <v>84</v>
      </c>
    </row>
    <row r="436" ht="45" customHeight="1">
      <c r="A436" s="69"/>
      <c r="B436" s="3" t="s">
        <v>47</v>
      </c>
      <c r="E436" s="2" t="s">
        <v>63</v>
      </c>
      <c r="F436" s="6" t="s">
        <v>83</v>
      </c>
      <c r="G436" s="5" t="s">
        <v>1179</v>
      </c>
      <c r="H436" s="2" t="s">
        <v>51</v>
      </c>
      <c r="I436" s="3" t="s">
        <v>1180</v>
      </c>
      <c r="J436" s="7">
        <v>1</v>
      </c>
      <c r="K436" s="70" t="s">
        <v>53</v>
      </c>
      <c r="L436" s="9">
        <v>1</v>
      </c>
      <c r="M436" s="3">
        <v>290</v>
      </c>
      <c r="N436" s="6">
        <v>1941</v>
      </c>
      <c r="P436" s="71"/>
      <c r="R436" s="6">
        <v>1940</v>
      </c>
      <c r="S436" s="3" t="s">
        <v>54</v>
      </c>
      <c r="T436" s="72"/>
      <c r="U436" s="73"/>
      <c r="W436" s="2" t="s">
        <v>1181</v>
      </c>
      <c r="X436" s="10" t="s">
        <v>56</v>
      </c>
      <c r="Y436" s="10" t="s">
        <v>57</v>
      </c>
      <c r="Z436" s="75" t="s">
        <v>58</v>
      </c>
      <c r="AA436" s="76"/>
      <c r="AB436" s="77">
        <v>15785</v>
      </c>
      <c r="AC436" s="77">
        <v>15785</v>
      </c>
      <c r="AD436" s="10"/>
      <c r="AG436" s="7">
        <v>1943</v>
      </c>
      <c r="AH436" s="7">
        <v>1940</v>
      </c>
      <c r="AI436" s="7"/>
      <c r="AJ436" s="73"/>
      <c r="AK436" s="7"/>
      <c r="AL436" s="16"/>
      <c r="AM436" s="2" t="s">
        <v>59</v>
      </c>
      <c r="AW436" s="6">
        <f t="shared" ca="1" si="8"/>
        <v>84</v>
      </c>
    </row>
    <row r="437" ht="45" customHeight="1" outlineLevel="1">
      <c r="A437" s="69"/>
      <c r="B437" s="3" t="s">
        <v>47</v>
      </c>
      <c r="E437" s="2" t="s">
        <v>63</v>
      </c>
      <c r="F437" s="6" t="s">
        <v>83</v>
      </c>
      <c r="G437" s="5" t="s">
        <v>1182</v>
      </c>
      <c r="H437" s="2" t="s">
        <v>51</v>
      </c>
      <c r="I437" s="3" t="s">
        <v>1183</v>
      </c>
      <c r="J437" s="7">
        <v>1</v>
      </c>
      <c r="K437" s="70" t="s">
        <v>53</v>
      </c>
      <c r="L437" s="9">
        <v>1</v>
      </c>
      <c r="M437" s="3">
        <v>291</v>
      </c>
      <c r="N437" s="6">
        <v>1941</v>
      </c>
      <c r="P437" s="71"/>
      <c r="R437" s="6">
        <v>1940</v>
      </c>
      <c r="S437" s="3" t="s">
        <v>54</v>
      </c>
      <c r="T437" s="72"/>
      <c r="U437" s="73"/>
      <c r="W437" s="2" t="s">
        <v>1184</v>
      </c>
      <c r="X437" s="10" t="s">
        <v>56</v>
      </c>
      <c r="Y437" s="10" t="s">
        <v>57</v>
      </c>
      <c r="Z437" s="75" t="s">
        <v>58</v>
      </c>
      <c r="AA437" s="76"/>
      <c r="AB437" s="77">
        <v>15785</v>
      </c>
      <c r="AC437" s="77">
        <v>15785</v>
      </c>
      <c r="AD437" s="10"/>
      <c r="AG437" s="7">
        <v>1943</v>
      </c>
      <c r="AH437" s="7">
        <v>1940</v>
      </c>
      <c r="AI437" s="7"/>
      <c r="AJ437" s="73"/>
      <c r="AK437" s="7"/>
      <c r="AL437" s="16"/>
      <c r="AM437" s="2" t="s">
        <v>59</v>
      </c>
      <c r="AW437" s="6">
        <f t="shared" ca="1" si="8"/>
        <v>84</v>
      </c>
    </row>
    <row r="438" ht="45" customHeight="1">
      <c r="A438" s="69"/>
      <c r="B438" s="3" t="s">
        <v>47</v>
      </c>
      <c r="E438" s="2" t="s">
        <v>63</v>
      </c>
      <c r="F438" s="6" t="s">
        <v>83</v>
      </c>
      <c r="G438" s="5" t="s">
        <v>1185</v>
      </c>
      <c r="H438" s="2" t="s">
        <v>51</v>
      </c>
      <c r="I438" s="3" t="s">
        <v>1023</v>
      </c>
      <c r="J438" s="7">
        <v>1</v>
      </c>
      <c r="K438" s="70" t="s">
        <v>53</v>
      </c>
      <c r="L438" s="9">
        <v>1</v>
      </c>
      <c r="M438" s="3">
        <v>292</v>
      </c>
      <c r="N438" s="6">
        <v>1941</v>
      </c>
      <c r="P438" s="71"/>
      <c r="R438" s="6">
        <v>1940</v>
      </c>
      <c r="S438" s="3" t="s">
        <v>54</v>
      </c>
      <c r="T438" s="72"/>
      <c r="U438" s="73"/>
      <c r="W438" s="2" t="s">
        <v>1186</v>
      </c>
      <c r="X438" s="10" t="s">
        <v>56</v>
      </c>
      <c r="Y438" s="10" t="s">
        <v>57</v>
      </c>
      <c r="Z438" s="75" t="s">
        <v>58</v>
      </c>
      <c r="AA438" s="76"/>
      <c r="AB438" s="77">
        <v>15785</v>
      </c>
      <c r="AC438" s="77">
        <v>15785</v>
      </c>
      <c r="AD438" s="10"/>
      <c r="AG438" s="7">
        <v>1943</v>
      </c>
      <c r="AH438" s="7">
        <v>1940</v>
      </c>
      <c r="AI438" s="7"/>
      <c r="AJ438" s="73"/>
      <c r="AK438" s="7"/>
      <c r="AL438" s="16"/>
      <c r="AM438" s="2" t="s">
        <v>59</v>
      </c>
      <c r="AO438" s="6" t="s">
        <v>59</v>
      </c>
      <c r="AQ438" s="5" t="s">
        <v>73</v>
      </c>
      <c r="AU438" s="16" t="s">
        <v>1187</v>
      </c>
      <c r="AW438" s="6">
        <f t="shared" ca="1" si="8"/>
        <v>84</v>
      </c>
    </row>
    <row r="439" ht="45" customHeight="1">
      <c r="A439" s="69"/>
      <c r="B439" s="3" t="s">
        <v>47</v>
      </c>
      <c r="E439" s="2" t="s">
        <v>63</v>
      </c>
      <c r="F439" s="6" t="s">
        <v>83</v>
      </c>
      <c r="G439" s="5" t="s">
        <v>1185</v>
      </c>
      <c r="H439" s="2" t="s">
        <v>51</v>
      </c>
      <c r="I439" s="3" t="s">
        <v>1188</v>
      </c>
      <c r="J439" s="7">
        <v>1</v>
      </c>
      <c r="K439" s="70" t="s">
        <v>53</v>
      </c>
      <c r="L439" s="9">
        <v>1</v>
      </c>
      <c r="M439" s="3">
        <v>293</v>
      </c>
      <c r="N439" s="6">
        <v>1941</v>
      </c>
      <c r="P439" s="71"/>
      <c r="R439" s="6">
        <v>1940</v>
      </c>
      <c r="S439" s="3" t="s">
        <v>54</v>
      </c>
      <c r="T439" s="72"/>
      <c r="U439" s="73"/>
      <c r="W439" s="2" t="s">
        <v>1189</v>
      </c>
      <c r="X439" s="10" t="s">
        <v>56</v>
      </c>
      <c r="Y439" s="10" t="s">
        <v>57</v>
      </c>
      <c r="Z439" s="75" t="s">
        <v>58</v>
      </c>
      <c r="AA439" s="76"/>
      <c r="AB439" s="77">
        <v>15785</v>
      </c>
      <c r="AC439" s="77">
        <v>15785</v>
      </c>
      <c r="AD439" s="10"/>
      <c r="AG439" s="7">
        <v>1943</v>
      </c>
      <c r="AH439" s="7">
        <v>1940</v>
      </c>
      <c r="AI439" s="7"/>
      <c r="AJ439" s="73"/>
      <c r="AK439" s="7"/>
      <c r="AL439" s="16"/>
      <c r="AM439" s="2" t="s">
        <v>59</v>
      </c>
      <c r="AO439" s="6" t="s">
        <v>59</v>
      </c>
      <c r="AQ439" s="5" t="s">
        <v>73</v>
      </c>
      <c r="AU439" s="16" t="s">
        <v>1187</v>
      </c>
      <c r="AW439" s="6">
        <f t="shared" ca="1" si="8"/>
        <v>84</v>
      </c>
    </row>
    <row r="440" ht="45" customHeight="1">
      <c r="A440" s="69"/>
      <c r="B440" s="3" t="s">
        <v>47</v>
      </c>
      <c r="E440" s="2" t="s">
        <v>63</v>
      </c>
      <c r="F440" s="6" t="s">
        <v>83</v>
      </c>
      <c r="G440" s="5" t="s">
        <v>1190</v>
      </c>
      <c r="H440" s="2" t="s">
        <v>51</v>
      </c>
      <c r="I440" s="3" t="s">
        <v>1191</v>
      </c>
      <c r="J440" s="7">
        <v>1</v>
      </c>
      <c r="K440" s="70" t="s">
        <v>53</v>
      </c>
      <c r="L440" s="9">
        <v>1</v>
      </c>
      <c r="M440" s="3">
        <v>294</v>
      </c>
      <c r="N440" s="6">
        <v>1941</v>
      </c>
      <c r="P440" s="71"/>
      <c r="R440" s="6">
        <v>1940</v>
      </c>
      <c r="S440" s="3" t="s">
        <v>54</v>
      </c>
      <c r="T440" s="72"/>
      <c r="U440" s="73"/>
      <c r="W440" s="2" t="s">
        <v>1192</v>
      </c>
      <c r="X440" s="10" t="s">
        <v>56</v>
      </c>
      <c r="Y440" s="10" t="s">
        <v>57</v>
      </c>
      <c r="Z440" s="75" t="s">
        <v>58</v>
      </c>
      <c r="AA440" s="76"/>
      <c r="AB440" s="77">
        <v>15785</v>
      </c>
      <c r="AC440" s="77">
        <v>15785</v>
      </c>
      <c r="AD440" s="10"/>
      <c r="AG440" s="7">
        <v>1943</v>
      </c>
      <c r="AH440" s="7">
        <v>1940</v>
      </c>
      <c r="AI440" s="7"/>
      <c r="AJ440" s="73"/>
      <c r="AK440" s="7"/>
      <c r="AL440" s="16"/>
      <c r="AM440" s="2" t="s">
        <v>59</v>
      </c>
      <c r="AN440" s="6" t="s">
        <v>104</v>
      </c>
      <c r="AO440" s="6" t="s">
        <v>59</v>
      </c>
      <c r="AP440" s="6" t="s">
        <v>104</v>
      </c>
      <c r="AQ440" s="5" t="s">
        <v>104</v>
      </c>
      <c r="AU440" s="16" t="s">
        <v>1193</v>
      </c>
      <c r="AW440" s="6">
        <f t="shared" ca="1" si="8"/>
        <v>84</v>
      </c>
    </row>
    <row r="441" ht="45" customHeight="1">
      <c r="A441" s="69"/>
      <c r="B441" s="3" t="s">
        <v>47</v>
      </c>
      <c r="E441" s="2" t="s">
        <v>63</v>
      </c>
      <c r="F441" s="6" t="s">
        <v>83</v>
      </c>
      <c r="G441" s="5" t="s">
        <v>1194</v>
      </c>
      <c r="H441" s="2" t="s">
        <v>51</v>
      </c>
      <c r="I441" s="3" t="s">
        <v>1195</v>
      </c>
      <c r="J441" s="7">
        <v>1</v>
      </c>
      <c r="K441" s="70" t="s">
        <v>53</v>
      </c>
      <c r="L441" s="9">
        <v>1</v>
      </c>
      <c r="M441" s="3">
        <v>295</v>
      </c>
      <c r="N441" s="6">
        <v>1941</v>
      </c>
      <c r="P441" s="71"/>
      <c r="R441" s="6">
        <v>1940</v>
      </c>
      <c r="S441" s="3" t="s">
        <v>54</v>
      </c>
      <c r="T441" s="72"/>
      <c r="U441" s="73"/>
      <c r="W441" s="2" t="s">
        <v>1196</v>
      </c>
      <c r="X441" s="10" t="s">
        <v>56</v>
      </c>
      <c r="Y441" s="10" t="s">
        <v>57</v>
      </c>
      <c r="Z441" s="75" t="s">
        <v>58</v>
      </c>
      <c r="AA441" s="76"/>
      <c r="AB441" s="77">
        <v>15785</v>
      </c>
      <c r="AC441" s="77">
        <v>15785</v>
      </c>
      <c r="AD441" s="10"/>
      <c r="AG441" s="7">
        <v>1943</v>
      </c>
      <c r="AH441" s="7">
        <v>1940</v>
      </c>
      <c r="AI441" s="7"/>
      <c r="AJ441" s="73"/>
      <c r="AK441" s="7"/>
      <c r="AL441" s="16"/>
      <c r="AM441" s="2" t="s">
        <v>59</v>
      </c>
      <c r="AW441" s="6">
        <f t="shared" ca="1" si="8"/>
        <v>84</v>
      </c>
    </row>
    <row r="442" ht="45" customHeight="1">
      <c r="A442" s="69"/>
      <c r="B442" s="3" t="s">
        <v>47</v>
      </c>
      <c r="E442" s="2" t="s">
        <v>63</v>
      </c>
      <c r="F442" s="6" t="s">
        <v>83</v>
      </c>
      <c r="G442" s="5" t="s">
        <v>1197</v>
      </c>
      <c r="H442" s="2" t="s">
        <v>51</v>
      </c>
      <c r="I442" s="3" t="s">
        <v>1198</v>
      </c>
      <c r="J442" s="7">
        <v>1</v>
      </c>
      <c r="K442" s="70" t="s">
        <v>53</v>
      </c>
      <c r="L442" s="9">
        <v>1</v>
      </c>
      <c r="M442" s="3">
        <v>296</v>
      </c>
      <c r="N442" s="6">
        <v>1941</v>
      </c>
      <c r="P442" s="71"/>
      <c r="R442" s="6">
        <v>1940</v>
      </c>
      <c r="S442" s="3" t="s">
        <v>54</v>
      </c>
      <c r="T442" s="72"/>
      <c r="U442" s="73"/>
      <c r="W442" s="2" t="s">
        <v>1199</v>
      </c>
      <c r="X442" s="10" t="s">
        <v>56</v>
      </c>
      <c r="Y442" s="10" t="s">
        <v>57</v>
      </c>
      <c r="Z442" s="75" t="s">
        <v>58</v>
      </c>
      <c r="AA442" s="76"/>
      <c r="AB442" s="77">
        <v>15785</v>
      </c>
      <c r="AC442" s="77">
        <v>15785</v>
      </c>
      <c r="AD442" s="10"/>
      <c r="AG442" s="7">
        <v>1943</v>
      </c>
      <c r="AH442" s="7">
        <v>1940</v>
      </c>
      <c r="AI442" s="7"/>
      <c r="AJ442" s="73"/>
      <c r="AK442" s="7"/>
      <c r="AL442" s="16"/>
      <c r="AM442" s="2" t="s">
        <v>59</v>
      </c>
      <c r="AW442" s="6">
        <f t="shared" ca="1" si="8"/>
        <v>84</v>
      </c>
    </row>
    <row r="443" s="86" customFormat="1" ht="45" customHeight="1" outlineLevel="1">
      <c r="A443" s="69"/>
      <c r="B443" s="3" t="s">
        <v>47</v>
      </c>
      <c r="C443" s="4"/>
      <c r="D443" s="5"/>
      <c r="E443" s="78" t="s">
        <v>63</v>
      </c>
      <c r="F443" s="79" t="s">
        <v>83</v>
      </c>
      <c r="G443" s="80" t="s">
        <v>1190</v>
      </c>
      <c r="H443" s="78" t="s">
        <v>257</v>
      </c>
      <c r="I443" s="81" t="s">
        <v>1200</v>
      </c>
      <c r="J443" s="7">
        <v>1</v>
      </c>
      <c r="K443" s="70" t="s">
        <v>53</v>
      </c>
      <c r="L443" s="9">
        <v>1</v>
      </c>
      <c r="M443" s="3">
        <v>297</v>
      </c>
      <c r="N443" s="6">
        <v>1941</v>
      </c>
      <c r="O443" s="10"/>
      <c r="P443" s="71"/>
      <c r="Q443" s="10"/>
      <c r="R443" s="6">
        <v>1940</v>
      </c>
      <c r="S443" s="3" t="s">
        <v>54</v>
      </c>
      <c r="T443" s="72"/>
      <c r="U443" s="73"/>
      <c r="V443" s="12"/>
      <c r="W443" s="78" t="s">
        <v>1201</v>
      </c>
      <c r="X443" s="82" t="s">
        <v>56</v>
      </c>
      <c r="Y443" s="82" t="s">
        <v>68</v>
      </c>
      <c r="Z443" s="83" t="s">
        <v>260</v>
      </c>
      <c r="AA443" s="76"/>
      <c r="AB443" s="77">
        <v>16085</v>
      </c>
      <c r="AC443" s="77">
        <v>16085</v>
      </c>
      <c r="AD443" s="10"/>
      <c r="AE443" s="7"/>
      <c r="AF443" s="7"/>
      <c r="AG443" s="7">
        <v>1944</v>
      </c>
      <c r="AH443" s="7">
        <v>1940</v>
      </c>
      <c r="AI443" s="7"/>
      <c r="AJ443" s="73"/>
      <c r="AK443" s="7"/>
      <c r="AL443" s="16"/>
      <c r="AM443" s="2" t="s">
        <v>82</v>
      </c>
      <c r="AN443" s="6" t="s">
        <v>104</v>
      </c>
      <c r="AO443" s="6" t="s">
        <v>136</v>
      </c>
      <c r="AP443" s="6" t="s">
        <v>104</v>
      </c>
      <c r="AQ443" s="5" t="s">
        <v>104</v>
      </c>
      <c r="AR443" s="2"/>
      <c r="AS443" s="6"/>
      <c r="AT443" s="6"/>
      <c r="AU443" s="16"/>
      <c r="AV443" s="17"/>
      <c r="AW443" s="6">
        <f t="shared" ca="1" si="8"/>
        <v>84</v>
      </c>
    </row>
    <row r="444" s="86" customFormat="1" ht="45" customHeight="1">
      <c r="A444" s="69"/>
      <c r="B444" s="3" t="s">
        <v>47</v>
      </c>
      <c r="C444" s="4"/>
      <c r="D444" s="5"/>
      <c r="E444" s="78" t="s">
        <v>63</v>
      </c>
      <c r="F444" s="79" t="s">
        <v>83</v>
      </c>
      <c r="G444" s="80" t="s">
        <v>1185</v>
      </c>
      <c r="H444" s="78" t="s">
        <v>257</v>
      </c>
      <c r="I444" s="81" t="s">
        <v>1202</v>
      </c>
      <c r="J444" s="7">
        <v>1</v>
      </c>
      <c r="K444" s="70" t="s">
        <v>53</v>
      </c>
      <c r="L444" s="9">
        <v>1</v>
      </c>
      <c r="M444" s="3">
        <v>298</v>
      </c>
      <c r="N444" s="6">
        <v>1941</v>
      </c>
      <c r="O444" s="10"/>
      <c r="P444" s="71"/>
      <c r="Q444" s="10"/>
      <c r="R444" s="6">
        <v>1940</v>
      </c>
      <c r="S444" s="3" t="s">
        <v>54</v>
      </c>
      <c r="T444" s="72"/>
      <c r="U444" s="73"/>
      <c r="V444" s="12"/>
      <c r="W444" s="78" t="s">
        <v>1203</v>
      </c>
      <c r="X444" s="82" t="s">
        <v>56</v>
      </c>
      <c r="Y444" s="82" t="s">
        <v>68</v>
      </c>
      <c r="Z444" s="83" t="s">
        <v>260</v>
      </c>
      <c r="AA444" s="76"/>
      <c r="AB444" s="77">
        <v>15970</v>
      </c>
      <c r="AC444" s="77">
        <v>15970</v>
      </c>
      <c r="AD444" s="10"/>
      <c r="AE444" s="7"/>
      <c r="AF444" s="7"/>
      <c r="AG444" s="7">
        <v>1943</v>
      </c>
      <c r="AH444" s="7">
        <v>1940</v>
      </c>
      <c r="AI444" s="7"/>
      <c r="AJ444" s="73"/>
      <c r="AK444" s="7"/>
      <c r="AL444" s="16"/>
      <c r="AM444" s="2" t="s">
        <v>82</v>
      </c>
      <c r="AN444" s="6"/>
      <c r="AO444" s="6" t="s">
        <v>136</v>
      </c>
      <c r="AP444" s="6" t="s">
        <v>104</v>
      </c>
      <c r="AQ444" s="5" t="s">
        <v>104</v>
      </c>
      <c r="AR444" s="2"/>
      <c r="AS444" s="6"/>
      <c r="AT444" s="6"/>
      <c r="AU444" s="16"/>
      <c r="AV444" s="17"/>
      <c r="AW444" s="6">
        <f t="shared" ca="1" si="8"/>
        <v>84</v>
      </c>
    </row>
    <row r="445" s="86" customFormat="1" ht="45" customHeight="1">
      <c r="A445" s="69"/>
      <c r="B445" s="3" t="s">
        <v>47</v>
      </c>
      <c r="C445" s="4"/>
      <c r="D445" s="5"/>
      <c r="E445" s="2" t="s">
        <v>63</v>
      </c>
      <c r="F445" s="6" t="s">
        <v>83</v>
      </c>
      <c r="G445" s="5" t="s">
        <v>1190</v>
      </c>
      <c r="H445" s="2" t="s">
        <v>51</v>
      </c>
      <c r="I445" s="3" t="s">
        <v>1204</v>
      </c>
      <c r="J445" s="7">
        <v>1</v>
      </c>
      <c r="K445" s="70" t="s">
        <v>53</v>
      </c>
      <c r="L445" s="9">
        <v>1</v>
      </c>
      <c r="M445" s="3">
        <v>299</v>
      </c>
      <c r="N445" s="6">
        <v>1941</v>
      </c>
      <c r="O445" s="10"/>
      <c r="P445" s="71"/>
      <c r="Q445" s="10"/>
      <c r="R445" s="6">
        <v>1940</v>
      </c>
      <c r="S445" s="3" t="s">
        <v>54</v>
      </c>
      <c r="T445" s="72"/>
      <c r="U445" s="73"/>
      <c r="V445" s="12"/>
      <c r="W445" s="2" t="s">
        <v>1205</v>
      </c>
      <c r="X445" s="10" t="s">
        <v>56</v>
      </c>
      <c r="Y445" s="10" t="s">
        <v>57</v>
      </c>
      <c r="Z445" s="75" t="s">
        <v>58</v>
      </c>
      <c r="AA445" s="76"/>
      <c r="AB445" s="77">
        <v>15788</v>
      </c>
      <c r="AC445" s="77">
        <v>15788</v>
      </c>
      <c r="AD445" s="10"/>
      <c r="AE445" s="7"/>
      <c r="AF445" s="7"/>
      <c r="AG445" s="7">
        <v>1943</v>
      </c>
      <c r="AH445" s="7">
        <v>1940</v>
      </c>
      <c r="AI445" s="7"/>
      <c r="AJ445" s="73"/>
      <c r="AK445" s="7"/>
      <c r="AL445" s="16"/>
      <c r="AM445" s="2" t="s">
        <v>59</v>
      </c>
      <c r="AN445" s="6" t="s">
        <v>104</v>
      </c>
      <c r="AO445" s="6" t="s">
        <v>136</v>
      </c>
      <c r="AP445" s="6" t="s">
        <v>104</v>
      </c>
      <c r="AQ445" s="5" t="s">
        <v>104</v>
      </c>
      <c r="AR445" s="2"/>
      <c r="AS445" s="6"/>
      <c r="AT445" s="6"/>
      <c r="AU445" s="16"/>
      <c r="AV445" s="17"/>
      <c r="AW445" s="6">
        <f t="shared" ca="1" si="8"/>
        <v>84</v>
      </c>
    </row>
    <row r="446" ht="45" customHeight="1">
      <c r="A446" s="69"/>
      <c r="B446" s="3" t="s">
        <v>47</v>
      </c>
      <c r="E446" s="78" t="s">
        <v>63</v>
      </c>
      <c r="F446" s="79" t="s">
        <v>83</v>
      </c>
      <c r="G446" s="80" t="s">
        <v>1194</v>
      </c>
      <c r="H446" s="78" t="s">
        <v>257</v>
      </c>
      <c r="I446" s="81" t="s">
        <v>1206</v>
      </c>
      <c r="J446" s="7">
        <v>1</v>
      </c>
      <c r="K446" s="70" t="s">
        <v>53</v>
      </c>
      <c r="L446" s="9">
        <v>1</v>
      </c>
      <c r="M446" s="3">
        <v>300</v>
      </c>
      <c r="N446" s="6">
        <v>1941</v>
      </c>
      <c r="P446" s="71"/>
      <c r="R446" s="6">
        <v>1940</v>
      </c>
      <c r="S446" s="3" t="s">
        <v>54</v>
      </c>
      <c r="T446" s="72"/>
      <c r="U446" s="73"/>
      <c r="W446" s="78" t="s">
        <v>1207</v>
      </c>
      <c r="X446" s="82" t="s">
        <v>56</v>
      </c>
      <c r="Y446" s="82" t="s">
        <v>68</v>
      </c>
      <c r="Z446" s="83" t="s">
        <v>260</v>
      </c>
      <c r="AA446" s="76"/>
      <c r="AB446" s="77">
        <v>16085</v>
      </c>
      <c r="AC446" s="77">
        <v>16085</v>
      </c>
      <c r="AD446" s="10"/>
      <c r="AG446" s="7">
        <v>1944</v>
      </c>
      <c r="AH446" s="7">
        <v>1940</v>
      </c>
      <c r="AI446" s="7"/>
      <c r="AJ446" s="73"/>
      <c r="AK446" s="7"/>
      <c r="AL446" s="16"/>
      <c r="AM446" s="2" t="s">
        <v>82</v>
      </c>
      <c r="AW446" s="6">
        <f t="shared" ca="1" si="8"/>
        <v>84</v>
      </c>
    </row>
    <row r="447" ht="45" customHeight="1" outlineLevel="1">
      <c r="A447" s="69"/>
      <c r="B447" s="3" t="s">
        <v>47</v>
      </c>
      <c r="E447" s="78" t="s">
        <v>63</v>
      </c>
      <c r="F447" s="79" t="s">
        <v>83</v>
      </c>
      <c r="G447" s="80" t="s">
        <v>1185</v>
      </c>
      <c r="H447" s="78" t="s">
        <v>51</v>
      </c>
      <c r="I447" s="81" t="s">
        <v>1208</v>
      </c>
      <c r="J447" s="7">
        <v>1</v>
      </c>
      <c r="K447" s="70" t="s">
        <v>53</v>
      </c>
      <c r="L447" s="9">
        <v>1</v>
      </c>
      <c r="M447" s="3">
        <v>301</v>
      </c>
      <c r="N447" s="6">
        <v>1941</v>
      </c>
      <c r="P447" s="71"/>
      <c r="R447" s="6">
        <v>1940</v>
      </c>
      <c r="S447" s="3" t="s">
        <v>54</v>
      </c>
      <c r="T447" s="72"/>
      <c r="U447" s="73"/>
      <c r="W447" s="78" t="s">
        <v>1209</v>
      </c>
      <c r="X447" s="82" t="s">
        <v>56</v>
      </c>
      <c r="Y447" s="82" t="s">
        <v>57</v>
      </c>
      <c r="Z447" s="83" t="s">
        <v>58</v>
      </c>
      <c r="AA447" s="76"/>
      <c r="AB447" s="77">
        <v>15798</v>
      </c>
      <c r="AC447" s="77">
        <v>15798</v>
      </c>
      <c r="AD447" s="10"/>
      <c r="AG447" s="7">
        <v>1943</v>
      </c>
      <c r="AH447" s="7">
        <v>1940</v>
      </c>
      <c r="AI447" s="7"/>
      <c r="AJ447" s="73"/>
      <c r="AK447" s="7"/>
      <c r="AL447" s="16"/>
      <c r="AM447" s="2" t="s">
        <v>59</v>
      </c>
      <c r="AO447" s="6" t="s">
        <v>59</v>
      </c>
      <c r="AQ447" s="5" t="s">
        <v>73</v>
      </c>
      <c r="AU447" s="16" t="s">
        <v>1187</v>
      </c>
      <c r="AW447" s="6">
        <f t="shared" ca="1" si="8"/>
        <v>84</v>
      </c>
    </row>
    <row r="448" ht="45" customHeight="1">
      <c r="A448" s="69"/>
      <c r="B448" s="3" t="s">
        <v>47</v>
      </c>
      <c r="E448" s="78" t="s">
        <v>63</v>
      </c>
      <c r="F448" s="79" t="s">
        <v>83</v>
      </c>
      <c r="G448" s="80" t="s">
        <v>1185</v>
      </c>
      <c r="H448" s="78" t="s">
        <v>51</v>
      </c>
      <c r="I448" s="81" t="s">
        <v>1210</v>
      </c>
      <c r="J448" s="7">
        <v>1</v>
      </c>
      <c r="K448" s="70" t="s">
        <v>53</v>
      </c>
      <c r="L448" s="9">
        <v>1</v>
      </c>
      <c r="M448" s="3">
        <v>302</v>
      </c>
      <c r="N448" s="6">
        <v>1941</v>
      </c>
      <c r="P448" s="71"/>
      <c r="R448" s="6">
        <v>1940</v>
      </c>
      <c r="S448" s="3" t="s">
        <v>54</v>
      </c>
      <c r="T448" s="72"/>
      <c r="U448" s="73"/>
      <c r="W448" s="78" t="s">
        <v>1211</v>
      </c>
      <c r="X448" s="82" t="s">
        <v>56</v>
      </c>
      <c r="Y448" s="82" t="s">
        <v>57</v>
      </c>
      <c r="Z448" s="83" t="s">
        <v>58</v>
      </c>
      <c r="AA448" s="76"/>
      <c r="AB448" s="77">
        <v>16085</v>
      </c>
      <c r="AC448" s="77">
        <v>16085</v>
      </c>
      <c r="AD448" s="10"/>
      <c r="AG448" s="7">
        <v>1944</v>
      </c>
      <c r="AH448" s="7">
        <v>1940</v>
      </c>
      <c r="AI448" s="7"/>
      <c r="AJ448" s="73"/>
      <c r="AK448" s="7"/>
      <c r="AL448" s="16"/>
      <c r="AM448" s="2" t="s">
        <v>59</v>
      </c>
      <c r="AO448" s="6" t="s">
        <v>59</v>
      </c>
      <c r="AQ448" s="5" t="s">
        <v>73</v>
      </c>
      <c r="AU448" s="16" t="s">
        <v>1187</v>
      </c>
      <c r="AW448" s="6">
        <f t="shared" ca="1" si="8"/>
        <v>84</v>
      </c>
    </row>
    <row r="449" ht="45" customHeight="1">
      <c r="A449" s="69"/>
      <c r="B449" s="3" t="s">
        <v>47</v>
      </c>
      <c r="E449" s="78" t="s">
        <v>63</v>
      </c>
      <c r="F449" s="79" t="s">
        <v>83</v>
      </c>
      <c r="G449" s="80" t="s">
        <v>1185</v>
      </c>
      <c r="H449" s="78" t="s">
        <v>51</v>
      </c>
      <c r="I449" s="81" t="s">
        <v>1212</v>
      </c>
      <c r="J449" s="7">
        <v>1</v>
      </c>
      <c r="K449" s="70" t="s">
        <v>53</v>
      </c>
      <c r="L449" s="9">
        <v>1</v>
      </c>
      <c r="M449" s="3">
        <v>303</v>
      </c>
      <c r="N449" s="6">
        <v>1941</v>
      </c>
      <c r="P449" s="71"/>
      <c r="R449" s="6">
        <v>1940</v>
      </c>
      <c r="S449" s="3" t="s">
        <v>54</v>
      </c>
      <c r="T449" s="72"/>
      <c r="U449" s="73"/>
      <c r="W449" s="78" t="s">
        <v>1213</v>
      </c>
      <c r="X449" s="82" t="s">
        <v>56</v>
      </c>
      <c r="Y449" s="82" t="s">
        <v>57</v>
      </c>
      <c r="Z449" s="83" t="s">
        <v>58</v>
      </c>
      <c r="AA449" s="76"/>
      <c r="AB449" s="77">
        <v>15339</v>
      </c>
      <c r="AC449" s="77">
        <v>15339</v>
      </c>
      <c r="AD449" s="10"/>
      <c r="AG449" s="7">
        <v>1941</v>
      </c>
      <c r="AH449" s="7">
        <v>1940</v>
      </c>
      <c r="AI449" s="7"/>
      <c r="AJ449" s="73"/>
      <c r="AK449" s="7"/>
      <c r="AL449" s="16"/>
      <c r="AM449" s="2" t="s">
        <v>59</v>
      </c>
      <c r="AO449" s="6" t="s">
        <v>59</v>
      </c>
      <c r="AQ449" s="5" t="s">
        <v>73</v>
      </c>
      <c r="AU449" s="16" t="s">
        <v>1187</v>
      </c>
      <c r="AW449" s="6">
        <f t="shared" ca="1" si="8"/>
        <v>84</v>
      </c>
    </row>
    <row r="450" ht="45" customHeight="1" outlineLevel="1">
      <c r="A450" s="69"/>
      <c r="B450" s="3" t="s">
        <v>47</v>
      </c>
      <c r="E450" s="2" t="s">
        <v>63</v>
      </c>
      <c r="F450" s="6" t="s">
        <v>83</v>
      </c>
      <c r="G450" s="5" t="s">
        <v>1185</v>
      </c>
      <c r="H450" s="2" t="s">
        <v>51</v>
      </c>
      <c r="I450" s="3" t="s">
        <v>662</v>
      </c>
      <c r="J450" s="7">
        <v>1</v>
      </c>
      <c r="K450" s="70" t="s">
        <v>53</v>
      </c>
      <c r="L450" s="9">
        <v>1</v>
      </c>
      <c r="M450" s="3">
        <v>304</v>
      </c>
      <c r="N450" s="6">
        <v>1941</v>
      </c>
      <c r="P450" s="71"/>
      <c r="R450" s="6">
        <v>1940</v>
      </c>
      <c r="S450" s="3" t="s">
        <v>54</v>
      </c>
      <c r="T450" s="72"/>
      <c r="U450" s="73"/>
      <c r="W450" s="2" t="s">
        <v>1214</v>
      </c>
      <c r="X450" s="10" t="s">
        <v>56</v>
      </c>
      <c r="Y450" s="10" t="s">
        <v>57</v>
      </c>
      <c r="Z450" s="75" t="s">
        <v>58</v>
      </c>
      <c r="AA450" s="76"/>
      <c r="AB450" s="77">
        <v>15810</v>
      </c>
      <c r="AC450" s="77">
        <v>15810</v>
      </c>
      <c r="AD450" s="10"/>
      <c r="AG450" s="7">
        <v>1943</v>
      </c>
      <c r="AH450" s="7">
        <v>1940</v>
      </c>
      <c r="AI450" s="7"/>
      <c r="AJ450" s="73"/>
      <c r="AK450" s="7"/>
      <c r="AL450" s="16"/>
      <c r="AM450" s="2" t="s">
        <v>59</v>
      </c>
      <c r="AO450" s="6" t="s">
        <v>59</v>
      </c>
      <c r="AQ450" s="5" t="s">
        <v>73</v>
      </c>
      <c r="AU450" s="16" t="s">
        <v>1187</v>
      </c>
      <c r="AW450" s="6">
        <f t="shared" ca="1" si="8"/>
        <v>84</v>
      </c>
    </row>
    <row r="451" ht="45" hidden="1" customHeight="1">
      <c r="A451" s="69"/>
      <c r="B451" s="3" t="s">
        <v>47</v>
      </c>
      <c r="C451" s="4" t="s">
        <v>1215</v>
      </c>
      <c r="D451" s="5" t="s">
        <v>1216</v>
      </c>
      <c r="E451" s="2" t="s">
        <v>83</v>
      </c>
      <c r="F451" s="6" t="s">
        <v>84</v>
      </c>
      <c r="G451" s="5" t="s">
        <v>1068</v>
      </c>
      <c r="H451" s="2" t="s">
        <v>382</v>
      </c>
      <c r="I451" s="3" t="s">
        <v>1217</v>
      </c>
      <c r="J451" s="7">
        <v>1</v>
      </c>
      <c r="K451" s="70"/>
      <c r="L451" s="9">
        <v>1</v>
      </c>
      <c r="M451" s="3">
        <v>305</v>
      </c>
      <c r="P451" s="71"/>
      <c r="R451" s="6">
        <v>1940</v>
      </c>
      <c r="S451" s="3" t="s">
        <v>236</v>
      </c>
      <c r="T451" s="72"/>
      <c r="W451" s="2" t="s">
        <v>62</v>
      </c>
      <c r="X451" s="10" t="s">
        <v>91</v>
      </c>
      <c r="Y451" s="10" t="s">
        <v>385</v>
      </c>
      <c r="Z451" s="75"/>
      <c r="AA451" s="76"/>
      <c r="AB451" s="77"/>
      <c r="AC451" s="77"/>
      <c r="AD451" s="10"/>
      <c r="AI451" s="7"/>
      <c r="AJ451" s="10">
        <v>44706</v>
      </c>
      <c r="AK451" s="7">
        <v>2020</v>
      </c>
      <c r="AL451" s="16"/>
      <c r="AW451" s="6" t="str">
        <f t="shared" ca="1" si="8"/>
        <v/>
      </c>
    </row>
    <row r="452" ht="45" customHeight="1">
      <c r="A452" s="69"/>
      <c r="B452" s="3" t="s">
        <v>47</v>
      </c>
      <c r="E452" s="2" t="s">
        <v>63</v>
      </c>
      <c r="F452" s="6" t="s">
        <v>83</v>
      </c>
      <c r="G452" s="5" t="s">
        <v>1185</v>
      </c>
      <c r="H452" s="2" t="s">
        <v>57</v>
      </c>
      <c r="I452" s="3" t="s">
        <v>1218</v>
      </c>
      <c r="J452" s="7">
        <v>1</v>
      </c>
      <c r="K452" s="70" t="s">
        <v>53</v>
      </c>
      <c r="L452" s="9">
        <v>1</v>
      </c>
      <c r="M452" s="3">
        <v>306</v>
      </c>
      <c r="N452" s="6">
        <v>1942</v>
      </c>
      <c r="P452" s="71"/>
      <c r="R452" s="6">
        <v>1940</v>
      </c>
      <c r="S452" s="3" t="s">
        <v>54</v>
      </c>
      <c r="T452" s="72"/>
      <c r="U452" s="73"/>
      <c r="W452" s="2" t="s">
        <v>1219</v>
      </c>
      <c r="X452" s="10" t="s">
        <v>56</v>
      </c>
      <c r="Y452" s="10" t="s">
        <v>57</v>
      </c>
      <c r="Z452" s="75"/>
      <c r="AA452" s="76"/>
      <c r="AB452" s="77">
        <v>15970</v>
      </c>
      <c r="AC452" s="77">
        <v>15970</v>
      </c>
      <c r="AD452" s="10"/>
      <c r="AG452" s="7">
        <v>1943</v>
      </c>
      <c r="AH452" s="7">
        <v>1940</v>
      </c>
      <c r="AI452" s="7"/>
      <c r="AJ452" s="73"/>
      <c r="AK452" s="7"/>
      <c r="AL452" s="16"/>
      <c r="AM452" s="2" t="s">
        <v>59</v>
      </c>
      <c r="AO452" s="6" t="s">
        <v>59</v>
      </c>
      <c r="AQ452" s="5" t="s">
        <v>73</v>
      </c>
      <c r="AU452" s="16" t="s">
        <v>1187</v>
      </c>
      <c r="AW452" s="6">
        <f t="shared" ca="1" si="8"/>
        <v>83</v>
      </c>
    </row>
    <row r="453" ht="45" customHeight="1">
      <c r="A453" s="69"/>
      <c r="B453" s="3" t="s">
        <v>47</v>
      </c>
      <c r="E453" s="2" t="s">
        <v>63</v>
      </c>
      <c r="F453" s="6" t="s">
        <v>83</v>
      </c>
      <c r="G453" s="5" t="s">
        <v>1185</v>
      </c>
      <c r="H453" s="2" t="s">
        <v>57</v>
      </c>
      <c r="I453" s="3" t="s">
        <v>1220</v>
      </c>
      <c r="J453" s="7">
        <v>1</v>
      </c>
      <c r="K453" s="70" t="s">
        <v>53</v>
      </c>
      <c r="L453" s="9">
        <v>1</v>
      </c>
      <c r="M453" s="3">
        <v>307</v>
      </c>
      <c r="N453" s="6">
        <v>1942</v>
      </c>
      <c r="P453" s="71"/>
      <c r="R453" s="6">
        <v>1940</v>
      </c>
      <c r="S453" s="3" t="s">
        <v>54</v>
      </c>
      <c r="T453" s="72"/>
      <c r="U453" s="73"/>
      <c r="W453" s="2" t="s">
        <v>1221</v>
      </c>
      <c r="X453" s="10" t="s">
        <v>56</v>
      </c>
      <c r="Y453" s="10" t="s">
        <v>57</v>
      </c>
      <c r="Z453" s="75"/>
      <c r="AA453" s="76"/>
      <c r="AB453" s="77">
        <v>15970</v>
      </c>
      <c r="AC453" s="77">
        <v>15970</v>
      </c>
      <c r="AD453" s="10"/>
      <c r="AG453" s="7">
        <v>1943</v>
      </c>
      <c r="AH453" s="7">
        <v>1940</v>
      </c>
      <c r="AI453" s="7"/>
      <c r="AJ453" s="73"/>
      <c r="AK453" s="7"/>
      <c r="AL453" s="16"/>
      <c r="AM453" s="2" t="s">
        <v>59</v>
      </c>
      <c r="AO453" s="6" t="s">
        <v>59</v>
      </c>
      <c r="AQ453" s="5" t="s">
        <v>73</v>
      </c>
      <c r="AU453" s="16" t="s">
        <v>1187</v>
      </c>
      <c r="AW453" s="6">
        <f t="shared" ca="1" si="8"/>
        <v>83</v>
      </c>
    </row>
    <row r="454" ht="45" customHeight="1">
      <c r="A454" s="69"/>
      <c r="B454" s="3" t="s">
        <v>47</v>
      </c>
      <c r="E454" s="2" t="s">
        <v>63</v>
      </c>
      <c r="F454" s="6" t="s">
        <v>83</v>
      </c>
      <c r="G454" s="5" t="s">
        <v>1190</v>
      </c>
      <c r="H454" s="2" t="s">
        <v>51</v>
      </c>
      <c r="I454" s="3" t="s">
        <v>1222</v>
      </c>
      <c r="J454" s="7">
        <v>1</v>
      </c>
      <c r="K454" s="70" t="s">
        <v>53</v>
      </c>
      <c r="L454" s="9">
        <v>1</v>
      </c>
      <c r="M454" s="3">
        <v>308</v>
      </c>
      <c r="N454" s="6">
        <v>1942</v>
      </c>
      <c r="P454" s="71"/>
      <c r="R454" s="6">
        <v>1940</v>
      </c>
      <c r="S454" s="3" t="s">
        <v>54</v>
      </c>
      <c r="T454" s="72"/>
      <c r="U454" s="73"/>
      <c r="W454" s="2" t="s">
        <v>1223</v>
      </c>
      <c r="X454" s="10" t="s">
        <v>56</v>
      </c>
      <c r="Y454" s="10" t="s">
        <v>57</v>
      </c>
      <c r="Z454" s="75" t="s">
        <v>58</v>
      </c>
      <c r="AA454" s="76"/>
      <c r="AB454" s="77">
        <v>15788</v>
      </c>
      <c r="AC454" s="77">
        <v>15788</v>
      </c>
      <c r="AD454" s="10"/>
      <c r="AG454" s="7">
        <v>1943</v>
      </c>
      <c r="AH454" s="7">
        <v>1940</v>
      </c>
      <c r="AI454" s="7"/>
      <c r="AJ454" s="73"/>
      <c r="AK454" s="7"/>
      <c r="AL454" s="101" t="s">
        <v>1224</v>
      </c>
      <c r="AM454" s="2" t="s">
        <v>59</v>
      </c>
      <c r="AN454" s="6" t="s">
        <v>104</v>
      </c>
      <c r="AO454" s="6" t="s">
        <v>136</v>
      </c>
      <c r="AP454" s="6" t="s">
        <v>104</v>
      </c>
      <c r="AQ454" s="5" t="s">
        <v>104</v>
      </c>
      <c r="AW454" s="6">
        <f t="shared" ca="1" si="8"/>
        <v>83</v>
      </c>
    </row>
    <row r="455" ht="45" customHeight="1">
      <c r="A455" s="69"/>
      <c r="B455" s="3" t="s">
        <v>47</v>
      </c>
      <c r="E455" s="2" t="s">
        <v>63</v>
      </c>
      <c r="F455" s="6" t="s">
        <v>83</v>
      </c>
      <c r="G455" s="5" t="s">
        <v>1225</v>
      </c>
      <c r="H455" s="2" t="s">
        <v>51</v>
      </c>
      <c r="I455" s="3" t="s">
        <v>1226</v>
      </c>
      <c r="J455" s="7">
        <v>1</v>
      </c>
      <c r="K455" s="70" t="s">
        <v>53</v>
      </c>
      <c r="L455" s="9">
        <v>0</v>
      </c>
      <c r="M455" s="3">
        <v>308</v>
      </c>
      <c r="N455" s="6">
        <v>1942</v>
      </c>
      <c r="P455" s="71"/>
      <c r="R455" s="6">
        <v>1940</v>
      </c>
      <c r="S455" s="3" t="s">
        <v>54</v>
      </c>
      <c r="T455" s="72"/>
      <c r="U455" s="73"/>
      <c r="W455" s="2" t="s">
        <v>1227</v>
      </c>
      <c r="X455" s="10" t="s">
        <v>56</v>
      </c>
      <c r="Y455" s="10" t="s">
        <v>57</v>
      </c>
      <c r="Z455" s="75" t="s">
        <v>58</v>
      </c>
      <c r="AA455" s="76"/>
      <c r="AB455" s="77">
        <v>15788</v>
      </c>
      <c r="AC455" s="77">
        <v>15788</v>
      </c>
      <c r="AD455" s="10"/>
      <c r="AG455" s="7">
        <v>1943</v>
      </c>
      <c r="AH455" s="7">
        <v>1940</v>
      </c>
      <c r="AI455" s="7"/>
      <c r="AJ455" s="73"/>
      <c r="AK455" s="7"/>
      <c r="AL455" s="101" t="s">
        <v>1224</v>
      </c>
      <c r="AM455" s="2" t="s">
        <v>59</v>
      </c>
      <c r="AW455" s="6">
        <f t="shared" ca="1" si="8"/>
        <v>83</v>
      </c>
    </row>
    <row r="456" ht="45" customHeight="1">
      <c r="A456" s="69"/>
      <c r="B456" s="3" t="s">
        <v>47</v>
      </c>
      <c r="E456" s="2" t="s">
        <v>63</v>
      </c>
      <c r="F456" s="6" t="s">
        <v>83</v>
      </c>
      <c r="G456" s="5" t="s">
        <v>1185</v>
      </c>
      <c r="H456" s="2" t="s">
        <v>57</v>
      </c>
      <c r="I456" s="3" t="s">
        <v>1228</v>
      </c>
      <c r="J456" s="7">
        <v>1</v>
      </c>
      <c r="K456" s="70" t="s">
        <v>53</v>
      </c>
      <c r="L456" s="9">
        <v>1</v>
      </c>
      <c r="M456" s="3">
        <v>309</v>
      </c>
      <c r="N456" s="6">
        <v>1942</v>
      </c>
      <c r="P456" s="71"/>
      <c r="R456" s="6">
        <v>1940</v>
      </c>
      <c r="S456" s="3" t="s">
        <v>54</v>
      </c>
      <c r="T456" s="72"/>
      <c r="U456" s="73"/>
      <c r="W456" s="2" t="s">
        <v>1229</v>
      </c>
      <c r="X456" s="10" t="s">
        <v>56</v>
      </c>
      <c r="Y456" s="10" t="s">
        <v>57</v>
      </c>
      <c r="Z456" s="75"/>
      <c r="AA456" s="76"/>
      <c r="AB456" s="77">
        <v>15970</v>
      </c>
      <c r="AC456" s="77">
        <v>15970</v>
      </c>
      <c r="AD456" s="10"/>
      <c r="AG456" s="7">
        <v>1943</v>
      </c>
      <c r="AH456" s="7">
        <v>1940</v>
      </c>
      <c r="AI456" s="7"/>
      <c r="AJ456" s="73"/>
      <c r="AK456" s="7"/>
      <c r="AL456" s="16"/>
      <c r="AM456" s="2" t="s">
        <v>59</v>
      </c>
      <c r="AO456" s="6" t="s">
        <v>59</v>
      </c>
      <c r="AQ456" s="5" t="s">
        <v>73</v>
      </c>
      <c r="AU456" s="16" t="s">
        <v>1187</v>
      </c>
      <c r="AW456" s="6">
        <f t="shared" ca="1" si="8"/>
        <v>83</v>
      </c>
    </row>
    <row r="457" ht="45" customHeight="1" outlineLevel="1">
      <c r="A457" s="69"/>
      <c r="B457" s="3" t="s">
        <v>47</v>
      </c>
      <c r="E457" s="78" t="s">
        <v>63</v>
      </c>
      <c r="F457" s="79" t="s">
        <v>1230</v>
      </c>
      <c r="G457" s="80" t="s">
        <v>1231</v>
      </c>
      <c r="H457" s="78" t="s">
        <v>51</v>
      </c>
      <c r="I457" s="81" t="s">
        <v>1232</v>
      </c>
      <c r="J457" s="7">
        <v>1</v>
      </c>
      <c r="K457" s="70" t="s">
        <v>53</v>
      </c>
      <c r="L457" s="9">
        <v>1</v>
      </c>
      <c r="M457" s="3">
        <v>310</v>
      </c>
      <c r="N457" s="6">
        <v>1942</v>
      </c>
      <c r="P457" s="71"/>
      <c r="R457" s="6">
        <v>1940</v>
      </c>
      <c r="S457" s="3" t="s">
        <v>54</v>
      </c>
      <c r="T457" s="72"/>
      <c r="U457" s="73"/>
      <c r="W457" s="78" t="s">
        <v>1233</v>
      </c>
      <c r="X457" s="82" t="s">
        <v>56</v>
      </c>
      <c r="Y457" s="82" t="s">
        <v>57</v>
      </c>
      <c r="Z457" s="83" t="s">
        <v>58</v>
      </c>
      <c r="AA457" s="76"/>
      <c r="AB457" s="77">
        <v>15339</v>
      </c>
      <c r="AC457" s="77">
        <v>15339</v>
      </c>
      <c r="AD457" s="10"/>
      <c r="AG457" s="7">
        <v>1941</v>
      </c>
      <c r="AH457" s="7">
        <v>1940</v>
      </c>
      <c r="AI457" s="7"/>
      <c r="AJ457" s="73"/>
      <c r="AK457" s="7"/>
      <c r="AL457" s="16"/>
      <c r="AM457" s="2" t="s">
        <v>59</v>
      </c>
      <c r="AU457" s="16" t="s">
        <v>447</v>
      </c>
      <c r="AW457" s="6">
        <f t="shared" ca="1" si="8"/>
        <v>83</v>
      </c>
    </row>
    <row r="458" ht="45" customHeight="1" outlineLevel="1">
      <c r="A458" s="69"/>
      <c r="B458" s="3" t="s">
        <v>47</v>
      </c>
      <c r="E458" s="2" t="s">
        <v>83</v>
      </c>
      <c r="F458" s="6" t="s">
        <v>84</v>
      </c>
      <c r="G458" s="5" t="s">
        <v>85</v>
      </c>
      <c r="H458" s="2" t="s">
        <v>51</v>
      </c>
      <c r="I458" s="3" t="s">
        <v>594</v>
      </c>
      <c r="J458" s="7">
        <v>1</v>
      </c>
      <c r="K458" s="70" t="s">
        <v>53</v>
      </c>
      <c r="L458" s="9">
        <v>1</v>
      </c>
      <c r="M458" s="3">
        <v>311</v>
      </c>
      <c r="N458" s="6">
        <v>1942</v>
      </c>
      <c r="P458" s="71"/>
      <c r="R458" s="6">
        <v>1940</v>
      </c>
      <c r="S458" s="3" t="s">
        <v>54</v>
      </c>
      <c r="T458" s="72"/>
      <c r="U458" s="73"/>
      <c r="W458" s="2" t="s">
        <v>155</v>
      </c>
      <c r="X458" s="10" t="s">
        <v>56</v>
      </c>
      <c r="Y458" s="10" t="s">
        <v>57</v>
      </c>
      <c r="Z458" s="75" t="s">
        <v>58</v>
      </c>
      <c r="AA458" s="76"/>
      <c r="AB458" s="77">
        <v>15357</v>
      </c>
      <c r="AC458" s="77">
        <v>15357</v>
      </c>
      <c r="AD458" s="10"/>
      <c r="AG458" s="7">
        <v>1942</v>
      </c>
      <c r="AH458" s="7">
        <v>1940</v>
      </c>
      <c r="AI458" s="7"/>
      <c r="AJ458" s="73"/>
      <c r="AK458" s="7"/>
      <c r="AL458" s="16" t="s">
        <v>1234</v>
      </c>
      <c r="AM458" s="2" t="s">
        <v>59</v>
      </c>
      <c r="AO458" s="6" t="s">
        <v>59</v>
      </c>
      <c r="AP458" s="6" t="s">
        <v>73</v>
      </c>
      <c r="AQ458" s="5" t="s">
        <v>73</v>
      </c>
      <c r="AU458" s="16" t="s">
        <v>1234</v>
      </c>
      <c r="AW458" s="6">
        <f t="shared" ca="1" si="8"/>
        <v>83</v>
      </c>
    </row>
    <row r="459" ht="45" hidden="1" customHeight="1" outlineLevel="1">
      <c r="A459" s="69"/>
      <c r="B459" s="3" t="s">
        <v>190</v>
      </c>
      <c r="C459" s="4" t="s">
        <v>1235</v>
      </c>
      <c r="D459" s="5" t="s">
        <v>1236</v>
      </c>
      <c r="E459" s="2" t="s">
        <v>83</v>
      </c>
      <c r="F459" s="6" t="s">
        <v>84</v>
      </c>
      <c r="G459" s="5" t="s">
        <v>85</v>
      </c>
      <c r="H459" s="2" t="s">
        <v>382</v>
      </c>
      <c r="I459" s="3" t="s">
        <v>1237</v>
      </c>
      <c r="J459" s="7">
        <v>1</v>
      </c>
      <c r="K459" s="70"/>
      <c r="L459" s="9">
        <v>1</v>
      </c>
      <c r="M459" s="3">
        <v>312</v>
      </c>
      <c r="P459" s="71"/>
      <c r="R459" s="6">
        <v>1940</v>
      </c>
      <c r="S459" s="3" t="s">
        <v>283</v>
      </c>
      <c r="T459" s="72" t="s">
        <v>1136</v>
      </c>
      <c r="U459" s="73"/>
      <c r="W459" s="74" t="s">
        <v>62</v>
      </c>
      <c r="X459" s="10" t="s">
        <v>91</v>
      </c>
      <c r="Y459" s="10" t="s">
        <v>385</v>
      </c>
      <c r="Z459" s="75"/>
      <c r="AA459" s="76"/>
      <c r="AB459" s="77"/>
      <c r="AC459" s="77"/>
      <c r="AD459" s="10"/>
      <c r="AI459" s="7"/>
      <c r="AJ459" s="73"/>
      <c r="AK459" s="7"/>
      <c r="AL459" s="16"/>
      <c r="AW459" s="6" t="str">
        <f t="shared" ca="1" si="8"/>
        <v/>
      </c>
    </row>
    <row r="460" ht="45" customHeight="1">
      <c r="A460" s="69"/>
      <c r="B460" s="3" t="s">
        <v>47</v>
      </c>
      <c r="E460" s="2" t="s">
        <v>63</v>
      </c>
      <c r="F460" s="6" t="s">
        <v>172</v>
      </c>
      <c r="G460" s="5" t="s">
        <v>1238</v>
      </c>
      <c r="H460" s="2" t="s">
        <v>257</v>
      </c>
      <c r="I460" s="3" t="s">
        <v>1239</v>
      </c>
      <c r="J460" s="7">
        <v>1</v>
      </c>
      <c r="K460" s="70" t="s">
        <v>53</v>
      </c>
      <c r="L460" s="9">
        <v>1</v>
      </c>
      <c r="M460" s="3">
        <v>313</v>
      </c>
      <c r="N460" s="6">
        <v>1942</v>
      </c>
      <c r="P460" s="71"/>
      <c r="R460" s="6">
        <v>1940</v>
      </c>
      <c r="S460" s="3" t="s">
        <v>54</v>
      </c>
      <c r="T460" s="72"/>
      <c r="U460" s="73"/>
      <c r="W460" s="2" t="s">
        <v>1240</v>
      </c>
      <c r="X460" s="10" t="s">
        <v>56</v>
      </c>
      <c r="Y460" s="10" t="s">
        <v>68</v>
      </c>
      <c r="Z460" s="75" t="s">
        <v>260</v>
      </c>
      <c r="AA460" s="76"/>
      <c r="AB460" s="77">
        <v>15528</v>
      </c>
      <c r="AC460" s="77">
        <v>15528</v>
      </c>
      <c r="AD460" s="10"/>
      <c r="AG460" s="7">
        <v>1942</v>
      </c>
      <c r="AH460" s="7">
        <v>1940</v>
      </c>
      <c r="AI460" s="7"/>
      <c r="AJ460" s="73"/>
      <c r="AK460" s="7"/>
      <c r="AL460" s="16"/>
      <c r="AM460" s="2" t="s">
        <v>82</v>
      </c>
      <c r="AW460" s="6">
        <f t="shared" ca="1" si="8"/>
        <v>83</v>
      </c>
    </row>
    <row r="461" ht="45" customHeight="1" outlineLevel="1">
      <c r="A461" s="69"/>
      <c r="B461" s="3" t="s">
        <v>47</v>
      </c>
      <c r="E461" s="2" t="s">
        <v>63</v>
      </c>
      <c r="F461" s="6" t="s">
        <v>172</v>
      </c>
      <c r="G461" s="5" t="s">
        <v>1160</v>
      </c>
      <c r="H461" s="2" t="s">
        <v>51</v>
      </c>
      <c r="I461" s="3" t="s">
        <v>1241</v>
      </c>
      <c r="J461" s="7">
        <v>1</v>
      </c>
      <c r="K461" s="70" t="s">
        <v>53</v>
      </c>
      <c r="L461" s="9">
        <v>1</v>
      </c>
      <c r="M461" s="3">
        <v>314</v>
      </c>
      <c r="N461" s="6">
        <v>1942</v>
      </c>
      <c r="P461" s="71"/>
      <c r="R461" s="6">
        <v>1940</v>
      </c>
      <c r="S461" s="3" t="s">
        <v>54</v>
      </c>
      <c r="T461" s="72"/>
      <c r="U461" s="73"/>
      <c r="W461" s="2" t="s">
        <v>1242</v>
      </c>
      <c r="X461" s="10" t="s">
        <v>56</v>
      </c>
      <c r="Y461" s="10" t="s">
        <v>57</v>
      </c>
      <c r="Z461" s="75" t="s">
        <v>58</v>
      </c>
      <c r="AA461" s="76"/>
      <c r="AB461" s="77">
        <v>15516</v>
      </c>
      <c r="AC461" s="77">
        <v>15516</v>
      </c>
      <c r="AD461" s="10"/>
      <c r="AG461" s="7">
        <v>1942</v>
      </c>
      <c r="AH461" s="7">
        <v>1940</v>
      </c>
      <c r="AI461" s="7"/>
      <c r="AJ461" s="73"/>
      <c r="AK461" s="7"/>
      <c r="AL461" s="16"/>
      <c r="AM461" s="2" t="s">
        <v>59</v>
      </c>
      <c r="AW461" s="6">
        <f t="shared" ca="1" si="8"/>
        <v>83</v>
      </c>
    </row>
    <row r="462" ht="45" customHeight="1" outlineLevel="1">
      <c r="A462" s="69"/>
      <c r="B462" s="3" t="s">
        <v>47</v>
      </c>
      <c r="E462" s="2" t="s">
        <v>694</v>
      </c>
      <c r="F462" s="6" t="s">
        <v>695</v>
      </c>
      <c r="G462" s="5" t="s">
        <v>696</v>
      </c>
      <c r="H462" s="2" t="s">
        <v>57</v>
      </c>
      <c r="I462" s="3" t="s">
        <v>1243</v>
      </c>
      <c r="J462" s="7">
        <v>1</v>
      </c>
      <c r="K462" s="70" t="s">
        <v>53</v>
      </c>
      <c r="L462" s="9">
        <v>1</v>
      </c>
      <c r="M462" s="3">
        <v>315</v>
      </c>
      <c r="N462" s="6">
        <v>1942</v>
      </c>
      <c r="P462" s="71"/>
      <c r="R462" s="6">
        <v>1940</v>
      </c>
      <c r="S462" s="3" t="s">
        <v>54</v>
      </c>
      <c r="T462" s="72"/>
      <c r="U462" s="73"/>
      <c r="W462" s="2" t="s">
        <v>1244</v>
      </c>
      <c r="X462" s="10" t="s">
        <v>56</v>
      </c>
      <c r="Y462" s="10" t="s">
        <v>57</v>
      </c>
      <c r="Z462" s="75"/>
      <c r="AA462" s="76"/>
      <c r="AB462" s="77">
        <v>15529</v>
      </c>
      <c r="AC462" s="77">
        <v>15529</v>
      </c>
      <c r="AD462" s="10"/>
      <c r="AG462" s="7">
        <v>1942</v>
      </c>
      <c r="AH462" s="7">
        <v>1940</v>
      </c>
      <c r="AI462" s="7"/>
      <c r="AJ462" s="73"/>
      <c r="AK462" s="7"/>
      <c r="AL462" s="16"/>
      <c r="AM462" s="2" t="s">
        <v>59</v>
      </c>
      <c r="AO462" s="6" t="s">
        <v>59</v>
      </c>
      <c r="AQ462" s="5" t="s">
        <v>73</v>
      </c>
      <c r="AW462" s="6">
        <f t="shared" ca="1" si="8"/>
        <v>83</v>
      </c>
    </row>
    <row r="463" ht="45" customHeight="1" outlineLevel="1">
      <c r="A463" s="69"/>
      <c r="B463" s="3" t="s">
        <v>47</v>
      </c>
      <c r="E463" s="2" t="s">
        <v>63</v>
      </c>
      <c r="F463" s="6" t="s">
        <v>172</v>
      </c>
      <c r="G463" s="5" t="s">
        <v>794</v>
      </c>
      <c r="H463" s="2" t="s">
        <v>257</v>
      </c>
      <c r="I463" s="3" t="s">
        <v>1245</v>
      </c>
      <c r="J463" s="7">
        <v>1</v>
      </c>
      <c r="K463" s="70" t="s">
        <v>53</v>
      </c>
      <c r="L463" s="9">
        <v>1</v>
      </c>
      <c r="M463" s="3">
        <v>316</v>
      </c>
      <c r="N463" s="6">
        <v>1942</v>
      </c>
      <c r="P463" s="71"/>
      <c r="R463" s="6">
        <v>1940</v>
      </c>
      <c r="S463" s="3" t="s">
        <v>54</v>
      </c>
      <c r="T463" s="72"/>
      <c r="U463" s="73"/>
      <c r="W463" s="2" t="s">
        <v>1246</v>
      </c>
      <c r="X463" s="10" t="s">
        <v>56</v>
      </c>
      <c r="Y463" s="10" t="s">
        <v>68</v>
      </c>
      <c r="Z463" s="75" t="s">
        <v>260</v>
      </c>
      <c r="AA463" s="76"/>
      <c r="AB463" s="77">
        <v>15753</v>
      </c>
      <c r="AC463" s="77">
        <v>15753</v>
      </c>
      <c r="AD463" s="10"/>
      <c r="AG463" s="7">
        <v>1943</v>
      </c>
      <c r="AH463" s="7">
        <v>1940</v>
      </c>
      <c r="AI463" s="7"/>
      <c r="AJ463" s="73"/>
      <c r="AK463" s="7"/>
      <c r="AL463" s="16"/>
      <c r="AM463" s="2" t="s">
        <v>82</v>
      </c>
      <c r="AU463" s="16" t="s">
        <v>447</v>
      </c>
      <c r="AW463" s="6">
        <f t="shared" ca="1" si="8"/>
        <v>83</v>
      </c>
    </row>
    <row r="464" ht="45" customHeight="1" outlineLevel="1">
      <c r="A464" s="69"/>
      <c r="B464" s="3" t="s">
        <v>47</v>
      </c>
      <c r="E464" s="78" t="s">
        <v>83</v>
      </c>
      <c r="F464" s="79" t="s">
        <v>84</v>
      </c>
      <c r="G464" s="80" t="s">
        <v>1068</v>
      </c>
      <c r="H464" s="78" t="s">
        <v>257</v>
      </c>
      <c r="I464" s="81" t="s">
        <v>1247</v>
      </c>
      <c r="J464" s="7">
        <v>1</v>
      </c>
      <c r="K464" s="70" t="s">
        <v>53</v>
      </c>
      <c r="L464" s="9">
        <v>1</v>
      </c>
      <c r="M464" s="3">
        <v>317</v>
      </c>
      <c r="N464" s="6">
        <v>1942</v>
      </c>
      <c r="P464" s="71"/>
      <c r="R464" s="6">
        <v>1940</v>
      </c>
      <c r="S464" s="3" t="s">
        <v>54</v>
      </c>
      <c r="T464" s="72"/>
      <c r="U464" s="73"/>
      <c r="W464" s="78" t="s">
        <v>1248</v>
      </c>
      <c r="X464" s="82" t="s">
        <v>56</v>
      </c>
      <c r="Y464" s="82" t="s">
        <v>68</v>
      </c>
      <c r="Z464" s="83" t="s">
        <v>260</v>
      </c>
      <c r="AA464" s="76"/>
      <c r="AB464" s="77">
        <v>15545</v>
      </c>
      <c r="AC464" s="77"/>
      <c r="AD464" s="6"/>
      <c r="AG464" s="7">
        <v>1942</v>
      </c>
      <c r="AH464" s="7">
        <v>1940</v>
      </c>
      <c r="AI464" s="7"/>
      <c r="AJ464" s="73"/>
      <c r="AK464" s="7"/>
      <c r="AL464" s="16"/>
      <c r="AM464" s="2" t="s">
        <v>82</v>
      </c>
      <c r="AO464" s="6" t="s">
        <v>136</v>
      </c>
      <c r="AQ464" s="5" t="s">
        <v>104</v>
      </c>
      <c r="AW464" s="6">
        <f t="shared" ca="1" si="8"/>
        <v>83</v>
      </c>
    </row>
    <row r="465" ht="45" customHeight="1" outlineLevel="1">
      <c r="A465" s="69"/>
      <c r="B465" s="3" t="s">
        <v>47</v>
      </c>
      <c r="E465" s="2" t="s">
        <v>83</v>
      </c>
      <c r="F465" s="6" t="s">
        <v>179</v>
      </c>
      <c r="G465" s="5" t="s">
        <v>294</v>
      </c>
      <c r="H465" s="2" t="s">
        <v>51</v>
      </c>
      <c r="I465" s="3" t="s">
        <v>594</v>
      </c>
      <c r="J465" s="7">
        <v>1</v>
      </c>
      <c r="K465" s="70" t="s">
        <v>53</v>
      </c>
      <c r="L465" s="9">
        <v>1</v>
      </c>
      <c r="M465" s="3">
        <v>318</v>
      </c>
      <c r="N465" s="6">
        <v>1942</v>
      </c>
      <c r="P465" s="71"/>
      <c r="R465" s="6">
        <v>1940</v>
      </c>
      <c r="S465" s="3" t="s">
        <v>54</v>
      </c>
      <c r="T465" s="72"/>
      <c r="U465" s="73"/>
      <c r="W465" s="2" t="s">
        <v>1249</v>
      </c>
      <c r="X465" s="10" t="s">
        <v>56</v>
      </c>
      <c r="Y465" s="10" t="s">
        <v>57</v>
      </c>
      <c r="Z465" s="75" t="s">
        <v>58</v>
      </c>
      <c r="AA465" s="76"/>
      <c r="AB465" s="77">
        <v>18226</v>
      </c>
      <c r="AC465" s="77"/>
      <c r="AD465" s="6"/>
      <c r="AG465" s="7">
        <v>1949</v>
      </c>
      <c r="AH465" s="7">
        <v>1940</v>
      </c>
      <c r="AI465" s="7"/>
      <c r="AJ465" s="73"/>
      <c r="AK465" s="7"/>
      <c r="AL465" s="16"/>
      <c r="AM465" s="2" t="s">
        <v>59</v>
      </c>
      <c r="AW465" s="6">
        <f t="shared" ca="1" si="8"/>
        <v>83</v>
      </c>
    </row>
    <row r="466" ht="45" customHeight="1">
      <c r="A466" s="69"/>
      <c r="B466" s="3" t="s">
        <v>47</v>
      </c>
      <c r="E466" s="2" t="s">
        <v>83</v>
      </c>
      <c r="F466" s="6" t="s">
        <v>179</v>
      </c>
      <c r="G466" s="5" t="s">
        <v>294</v>
      </c>
      <c r="H466" s="2" t="s">
        <v>51</v>
      </c>
      <c r="I466" s="3" t="s">
        <v>1250</v>
      </c>
      <c r="J466" s="7">
        <v>1</v>
      </c>
      <c r="K466" s="70" t="s">
        <v>53</v>
      </c>
      <c r="L466" s="9">
        <v>1</v>
      </c>
      <c r="M466" s="3">
        <v>319</v>
      </c>
      <c r="N466" s="6">
        <v>1942</v>
      </c>
      <c r="P466" s="71"/>
      <c r="R466" s="6">
        <v>1940</v>
      </c>
      <c r="S466" s="3" t="s">
        <v>54</v>
      </c>
      <c r="T466" s="72"/>
      <c r="U466" s="73"/>
      <c r="W466" s="2" t="s">
        <v>1251</v>
      </c>
      <c r="X466" s="10" t="s">
        <v>56</v>
      </c>
      <c r="Y466" s="10" t="s">
        <v>57</v>
      </c>
      <c r="Z466" s="75" t="s">
        <v>58</v>
      </c>
      <c r="AA466" s="76"/>
      <c r="AB466" s="77">
        <v>16085</v>
      </c>
      <c r="AC466" s="77">
        <v>16085</v>
      </c>
      <c r="AD466" s="10"/>
      <c r="AG466" s="7">
        <v>1944</v>
      </c>
      <c r="AH466" s="7">
        <v>1940</v>
      </c>
      <c r="AI466" s="7"/>
      <c r="AJ466" s="73"/>
      <c r="AK466" s="7"/>
      <c r="AL466" s="16"/>
      <c r="AM466" s="2" t="s">
        <v>59</v>
      </c>
      <c r="AW466" s="6">
        <f t="shared" ca="1" si="8"/>
        <v>83</v>
      </c>
    </row>
    <row r="467" ht="45" hidden="1" customHeight="1">
      <c r="A467" s="69"/>
      <c r="B467" s="3" t="s">
        <v>47</v>
      </c>
      <c r="C467" s="116" t="s">
        <v>1252</v>
      </c>
      <c r="D467" s="5" t="s">
        <v>1253</v>
      </c>
      <c r="E467" s="2" t="s">
        <v>63</v>
      </c>
      <c r="F467" s="6" t="s">
        <v>64</v>
      </c>
      <c r="G467" s="5" t="s">
        <v>69</v>
      </c>
      <c r="H467" s="2" t="s">
        <v>57</v>
      </c>
      <c r="I467" s="3" t="s">
        <v>1254</v>
      </c>
      <c r="J467" s="7">
        <v>1</v>
      </c>
      <c r="K467" s="70" t="s">
        <v>127</v>
      </c>
      <c r="L467" s="9">
        <v>1</v>
      </c>
      <c r="M467" s="3">
        <v>320</v>
      </c>
      <c r="N467" s="6">
        <v>1942</v>
      </c>
      <c r="P467" s="71"/>
      <c r="R467" s="6">
        <v>1940</v>
      </c>
      <c r="S467" s="3" t="s">
        <v>128</v>
      </c>
      <c r="T467" s="72"/>
      <c r="U467" s="73"/>
      <c r="W467" s="2" t="s">
        <v>62</v>
      </c>
      <c r="X467" s="10" t="s">
        <v>56</v>
      </c>
      <c r="Y467" s="10" t="s">
        <v>57</v>
      </c>
      <c r="Z467" s="75"/>
      <c r="AA467" s="76"/>
      <c r="AB467" s="77"/>
      <c r="AC467" s="77"/>
      <c r="AD467" s="10"/>
      <c r="AE467" s="7">
        <v>1968</v>
      </c>
      <c r="AF467" s="7">
        <v>50</v>
      </c>
      <c r="AI467" s="7"/>
      <c r="AJ467" s="73"/>
      <c r="AK467" s="7"/>
      <c r="AL467" s="16" t="s">
        <v>1255</v>
      </c>
      <c r="AW467" s="6">
        <f t="shared" ca="1" si="8"/>
        <v>83</v>
      </c>
    </row>
    <row r="468" s="86" customFormat="1" ht="45" customHeight="1">
      <c r="A468" s="69"/>
      <c r="B468" s="3" t="s">
        <v>47</v>
      </c>
      <c r="C468" s="4"/>
      <c r="D468" s="5"/>
      <c r="E468" s="2" t="s">
        <v>63</v>
      </c>
      <c r="F468" s="6" t="s">
        <v>172</v>
      </c>
      <c r="G468" s="5" t="s">
        <v>778</v>
      </c>
      <c r="H468" s="2" t="s">
        <v>57</v>
      </c>
      <c r="I468" s="3" t="s">
        <v>1256</v>
      </c>
      <c r="J468" s="7">
        <v>1</v>
      </c>
      <c r="K468" s="70" t="s">
        <v>53</v>
      </c>
      <c r="L468" s="9">
        <v>1</v>
      </c>
      <c r="M468" s="3">
        <v>321</v>
      </c>
      <c r="N468" s="6">
        <v>1942</v>
      </c>
      <c r="O468" s="10"/>
      <c r="P468" s="71"/>
      <c r="Q468" s="10"/>
      <c r="R468" s="6">
        <v>1940</v>
      </c>
      <c r="S468" s="3" t="s">
        <v>54</v>
      </c>
      <c r="T468" s="72"/>
      <c r="U468" s="73"/>
      <c r="V468" s="12"/>
      <c r="W468" s="2" t="s">
        <v>1257</v>
      </c>
      <c r="X468" s="10" t="s">
        <v>56</v>
      </c>
      <c r="Y468" s="10" t="s">
        <v>57</v>
      </c>
      <c r="Z468" s="75"/>
      <c r="AA468" s="76"/>
      <c r="AB468" s="77">
        <v>15926</v>
      </c>
      <c r="AC468" s="77">
        <v>15946</v>
      </c>
      <c r="AD468" s="10"/>
      <c r="AE468" s="7"/>
      <c r="AF468" s="7"/>
      <c r="AG468" s="7">
        <v>1943</v>
      </c>
      <c r="AH468" s="7">
        <v>1940</v>
      </c>
      <c r="AI468" s="7"/>
      <c r="AJ468" s="73"/>
      <c r="AK468" s="7"/>
      <c r="AL468" s="16"/>
      <c r="AM468" s="2" t="s">
        <v>59</v>
      </c>
      <c r="AN468" s="6"/>
      <c r="AO468" s="6"/>
      <c r="AP468" s="6"/>
      <c r="AQ468" s="5"/>
      <c r="AR468" s="2"/>
      <c r="AS468" s="6"/>
      <c r="AT468" s="6"/>
      <c r="AU468" s="16"/>
      <c r="AV468" s="17"/>
      <c r="AW468" s="6">
        <f t="shared" ca="1" si="8"/>
        <v>83</v>
      </c>
    </row>
    <row r="469" ht="45" customHeight="1">
      <c r="A469" s="69"/>
      <c r="B469" s="3" t="s">
        <v>47</v>
      </c>
      <c r="E469" s="78" t="s">
        <v>63</v>
      </c>
      <c r="F469" s="79" t="s">
        <v>172</v>
      </c>
      <c r="G469" s="80" t="s">
        <v>1258</v>
      </c>
      <c r="H469" s="78" t="s">
        <v>257</v>
      </c>
      <c r="I469" s="81" t="s">
        <v>1259</v>
      </c>
      <c r="J469" s="7">
        <v>1</v>
      </c>
      <c r="K469" s="70" t="s">
        <v>53</v>
      </c>
      <c r="L469" s="9">
        <v>1</v>
      </c>
      <c r="M469" s="3">
        <v>322</v>
      </c>
      <c r="N469" s="6">
        <v>1943</v>
      </c>
      <c r="P469" s="71"/>
      <c r="R469" s="6">
        <v>1940</v>
      </c>
      <c r="S469" s="3" t="s">
        <v>54</v>
      </c>
      <c r="T469" s="72"/>
      <c r="U469" s="73"/>
      <c r="W469" s="78" t="s">
        <v>1260</v>
      </c>
      <c r="X469" s="82" t="s">
        <v>56</v>
      </c>
      <c r="Y469" s="82" t="s">
        <v>68</v>
      </c>
      <c r="Z469" s="83" t="s">
        <v>260</v>
      </c>
      <c r="AA469" s="76"/>
      <c r="AB469" s="77">
        <v>16329</v>
      </c>
      <c r="AC469" s="77">
        <v>16329</v>
      </c>
      <c r="AD469" s="10"/>
      <c r="AG469" s="7">
        <v>1944</v>
      </c>
      <c r="AH469" s="7">
        <v>1940</v>
      </c>
      <c r="AI469" s="7"/>
      <c r="AJ469" s="73"/>
      <c r="AK469" s="7"/>
      <c r="AL469" s="16"/>
      <c r="AM469" s="2" t="s">
        <v>82</v>
      </c>
      <c r="AW469" s="6">
        <f t="shared" ca="1" si="8"/>
        <v>82</v>
      </c>
    </row>
    <row r="470" ht="45" customHeight="1">
      <c r="A470" s="69"/>
      <c r="B470" s="3" t="s">
        <v>47</v>
      </c>
      <c r="E470" s="78" t="s">
        <v>63</v>
      </c>
      <c r="F470" s="79" t="s">
        <v>172</v>
      </c>
      <c r="G470" s="80" t="s">
        <v>1258</v>
      </c>
      <c r="H470" s="78" t="s">
        <v>257</v>
      </c>
      <c r="I470" s="81" t="s">
        <v>1261</v>
      </c>
      <c r="J470" s="7">
        <v>1</v>
      </c>
      <c r="K470" s="70" t="s">
        <v>53</v>
      </c>
      <c r="L470" s="9">
        <v>1</v>
      </c>
      <c r="M470" s="3">
        <v>323</v>
      </c>
      <c r="N470" s="6">
        <v>1943</v>
      </c>
      <c r="P470" s="71"/>
      <c r="R470" s="6">
        <v>1940</v>
      </c>
      <c r="S470" s="3" t="s">
        <v>54</v>
      </c>
      <c r="T470" s="72"/>
      <c r="U470" s="73"/>
      <c r="W470" s="78" t="s">
        <v>1262</v>
      </c>
      <c r="X470" s="82" t="s">
        <v>56</v>
      </c>
      <c r="Y470" s="82" t="s">
        <v>68</v>
      </c>
      <c r="Z470" s="83" t="s">
        <v>260</v>
      </c>
      <c r="AA470" s="76"/>
      <c r="AB470" s="77">
        <v>15955</v>
      </c>
      <c r="AC470" s="77"/>
      <c r="AD470" s="6"/>
      <c r="AG470" s="7">
        <v>1943</v>
      </c>
      <c r="AH470" s="7">
        <v>1940</v>
      </c>
      <c r="AI470" s="7"/>
      <c r="AJ470" s="73"/>
      <c r="AK470" s="7"/>
      <c r="AL470" s="16"/>
      <c r="AM470" s="2" t="s">
        <v>82</v>
      </c>
      <c r="AW470" s="6">
        <f t="shared" ca="1" si="8"/>
        <v>82</v>
      </c>
    </row>
    <row r="471" ht="45" hidden="1" customHeight="1">
      <c r="A471" s="69"/>
      <c r="B471" s="3" t="s">
        <v>47</v>
      </c>
      <c r="C471" s="4" t="s">
        <v>1263</v>
      </c>
      <c r="E471" s="2" t="s">
        <v>63</v>
      </c>
      <c r="F471" s="6" t="s">
        <v>172</v>
      </c>
      <c r="G471" s="5" t="s">
        <v>173</v>
      </c>
      <c r="H471" s="2" t="s">
        <v>68</v>
      </c>
      <c r="I471" s="3" t="s">
        <v>1264</v>
      </c>
      <c r="J471" s="7">
        <v>1</v>
      </c>
      <c r="K471" s="104"/>
      <c r="L471" s="9">
        <v>1</v>
      </c>
      <c r="M471" s="3">
        <v>324</v>
      </c>
      <c r="N471" s="6">
        <v>1943</v>
      </c>
      <c r="P471" s="71"/>
      <c r="R471" s="6">
        <v>1940</v>
      </c>
      <c r="S471" s="3" t="s">
        <v>236</v>
      </c>
      <c r="T471" s="72"/>
      <c r="U471" s="73"/>
      <c r="W471" s="2" t="s">
        <v>62</v>
      </c>
      <c r="X471" s="10" t="s">
        <v>56</v>
      </c>
      <c r="Y471" s="10" t="s">
        <v>68</v>
      </c>
      <c r="Z471" s="75"/>
      <c r="AA471" s="76"/>
      <c r="AB471" s="77"/>
      <c r="AC471" s="77"/>
      <c r="AD471" s="6"/>
      <c r="AI471" s="7"/>
      <c r="AJ471" s="10">
        <v>38044</v>
      </c>
      <c r="AK471" s="7">
        <v>2000</v>
      </c>
      <c r="AL471" s="16"/>
      <c r="AW471" s="6">
        <f t="shared" ca="1" si="8"/>
        <v>82</v>
      </c>
    </row>
    <row r="472" ht="45" customHeight="1">
      <c r="A472" s="69"/>
      <c r="B472" s="3" t="s">
        <v>47</v>
      </c>
      <c r="E472" s="78" t="s">
        <v>83</v>
      </c>
      <c r="F472" s="79" t="s">
        <v>704</v>
      </c>
      <c r="G472" s="80" t="s">
        <v>705</v>
      </c>
      <c r="H472" s="78" t="s">
        <v>51</v>
      </c>
      <c r="I472" s="81" t="s">
        <v>1265</v>
      </c>
      <c r="J472" s="7">
        <v>1</v>
      </c>
      <c r="K472" s="70" t="s">
        <v>53</v>
      </c>
      <c r="L472" s="9">
        <v>1</v>
      </c>
      <c r="M472" s="3">
        <v>325</v>
      </c>
      <c r="N472" s="6">
        <v>1943</v>
      </c>
      <c r="P472" s="71"/>
      <c r="R472" s="6">
        <v>1940</v>
      </c>
      <c r="S472" s="3" t="s">
        <v>54</v>
      </c>
      <c r="T472" s="72"/>
      <c r="U472" s="73"/>
      <c r="W472" s="78" t="s">
        <v>1266</v>
      </c>
      <c r="X472" s="82" t="s">
        <v>56</v>
      </c>
      <c r="Y472" s="82" t="s">
        <v>68</v>
      </c>
      <c r="Z472" s="83" t="s">
        <v>58</v>
      </c>
      <c r="AA472" s="76"/>
      <c r="AB472" s="77">
        <v>15934</v>
      </c>
      <c r="AC472" s="77">
        <v>15934</v>
      </c>
      <c r="AD472" s="10"/>
      <c r="AG472" s="7">
        <v>1943</v>
      </c>
      <c r="AH472" s="7">
        <v>1940</v>
      </c>
      <c r="AI472" s="7"/>
      <c r="AJ472" s="73"/>
      <c r="AK472" s="7"/>
      <c r="AL472" s="16"/>
      <c r="AM472" s="2" t="s">
        <v>59</v>
      </c>
      <c r="AU472" s="16" t="s">
        <v>1267</v>
      </c>
      <c r="AW472" s="6">
        <f t="shared" ca="1" si="8"/>
        <v>82</v>
      </c>
    </row>
    <row r="473" ht="45" customHeight="1">
      <c r="A473" s="69"/>
      <c r="B473" s="3" t="s">
        <v>47</v>
      </c>
      <c r="E473" s="2" t="s">
        <v>63</v>
      </c>
      <c r="F473" s="6" t="s">
        <v>172</v>
      </c>
      <c r="G473" s="5" t="s">
        <v>1268</v>
      </c>
      <c r="H473" s="2" t="s">
        <v>51</v>
      </c>
      <c r="I473" s="3" t="s">
        <v>1269</v>
      </c>
      <c r="J473" s="7">
        <v>1</v>
      </c>
      <c r="K473" s="70" t="s">
        <v>53</v>
      </c>
      <c r="L473" s="9">
        <v>1</v>
      </c>
      <c r="M473" s="3">
        <v>326</v>
      </c>
      <c r="N473" s="6">
        <v>1943</v>
      </c>
      <c r="P473" s="71"/>
      <c r="R473" s="6">
        <v>1940</v>
      </c>
      <c r="S473" s="3" t="s">
        <v>54</v>
      </c>
      <c r="T473" s="72"/>
      <c r="U473" s="73"/>
      <c r="W473" s="2" t="s">
        <v>1270</v>
      </c>
      <c r="X473" s="10" t="s">
        <v>56</v>
      </c>
      <c r="Y473" s="10" t="s">
        <v>57</v>
      </c>
      <c r="Z473" s="75" t="s">
        <v>58</v>
      </c>
      <c r="AA473" s="76"/>
      <c r="AB473" s="77">
        <v>16102</v>
      </c>
      <c r="AC473" s="77">
        <v>16102</v>
      </c>
      <c r="AD473" s="10"/>
      <c r="AG473" s="7">
        <v>1944</v>
      </c>
      <c r="AH473" s="7">
        <v>1940</v>
      </c>
      <c r="AI473" s="7"/>
      <c r="AJ473" s="73"/>
      <c r="AK473" s="7"/>
      <c r="AL473" s="16"/>
      <c r="AM473" s="2" t="s">
        <v>59</v>
      </c>
      <c r="AU473" s="16" t="s">
        <v>447</v>
      </c>
      <c r="AW473" s="6">
        <f t="shared" ca="1" si="8"/>
        <v>82</v>
      </c>
    </row>
    <row r="474" ht="45" customHeight="1">
      <c r="A474" s="69"/>
      <c r="B474" s="3" t="s">
        <v>47</v>
      </c>
      <c r="E474" s="2" t="s">
        <v>694</v>
      </c>
      <c r="F474" s="6" t="s">
        <v>695</v>
      </c>
      <c r="G474" s="5" t="s">
        <v>696</v>
      </c>
      <c r="H474" s="2" t="s">
        <v>57</v>
      </c>
      <c r="I474" s="3" t="s">
        <v>1271</v>
      </c>
      <c r="J474" s="7">
        <v>1</v>
      </c>
      <c r="K474" s="70" t="s">
        <v>53</v>
      </c>
      <c r="L474" s="9">
        <v>1</v>
      </c>
      <c r="M474" s="3">
        <v>327</v>
      </c>
      <c r="N474" s="6">
        <v>1943</v>
      </c>
      <c r="P474" s="71"/>
      <c r="R474" s="6">
        <v>1940</v>
      </c>
      <c r="S474" s="3" t="s">
        <v>54</v>
      </c>
      <c r="T474" s="72"/>
      <c r="U474" s="73"/>
      <c r="W474" s="2" t="s">
        <v>1272</v>
      </c>
      <c r="X474" s="10" t="s">
        <v>56</v>
      </c>
      <c r="Y474" s="10" t="s">
        <v>57</v>
      </c>
      <c r="Z474" s="75"/>
      <c r="AA474" s="76"/>
      <c r="AB474" s="77">
        <v>18406</v>
      </c>
      <c r="AC474" s="77">
        <v>18406</v>
      </c>
      <c r="AD474" s="10"/>
      <c r="AG474" s="7">
        <v>1950</v>
      </c>
      <c r="AH474" s="7">
        <v>1950</v>
      </c>
      <c r="AI474" s="7"/>
      <c r="AJ474" s="73"/>
      <c r="AK474" s="7"/>
      <c r="AL474" s="16"/>
      <c r="AM474" s="2" t="s">
        <v>59</v>
      </c>
      <c r="AO474" s="6" t="s">
        <v>59</v>
      </c>
      <c r="AQ474" s="5" t="s">
        <v>73</v>
      </c>
      <c r="AW474" s="6">
        <f t="shared" ca="1" si="8"/>
        <v>82</v>
      </c>
    </row>
    <row r="475" ht="45" hidden="1" customHeight="1">
      <c r="A475" s="69"/>
      <c r="B475" s="3" t="s">
        <v>47</v>
      </c>
      <c r="C475" s="4" t="s">
        <v>1114</v>
      </c>
      <c r="E475" s="2" t="s">
        <v>63</v>
      </c>
      <c r="F475" s="6" t="s">
        <v>172</v>
      </c>
      <c r="G475" s="5" t="s">
        <v>618</v>
      </c>
      <c r="H475" s="2" t="s">
        <v>57</v>
      </c>
      <c r="I475" s="3" t="s">
        <v>1273</v>
      </c>
      <c r="J475" s="7">
        <v>1</v>
      </c>
      <c r="K475" s="104"/>
      <c r="L475" s="9">
        <v>1</v>
      </c>
      <c r="M475" s="3">
        <v>328</v>
      </c>
      <c r="N475" s="6">
        <v>1943</v>
      </c>
      <c r="P475" s="71"/>
      <c r="R475" s="6">
        <v>1940</v>
      </c>
      <c r="S475" s="3" t="s">
        <v>236</v>
      </c>
      <c r="T475" s="72"/>
      <c r="U475" s="73"/>
      <c r="W475" s="2" t="s">
        <v>62</v>
      </c>
      <c r="X475" s="10" t="s">
        <v>56</v>
      </c>
      <c r="Y475" s="10" t="s">
        <v>57</v>
      </c>
      <c r="Z475" s="75"/>
      <c r="AA475" s="76"/>
      <c r="AB475" s="77"/>
      <c r="AC475" s="77"/>
      <c r="AD475" s="6"/>
      <c r="AI475" s="7"/>
      <c r="AJ475" s="95">
        <v>38028</v>
      </c>
      <c r="AK475" s="7">
        <v>2000</v>
      </c>
      <c r="AL475" s="16"/>
      <c r="AW475" s="6">
        <f t="shared" ca="1" si="8"/>
        <v>82</v>
      </c>
    </row>
    <row r="476" ht="45" hidden="1" customHeight="1">
      <c r="A476" s="69"/>
      <c r="B476" s="3" t="s">
        <v>47</v>
      </c>
      <c r="C476" s="4" t="s">
        <v>1263</v>
      </c>
      <c r="E476" s="2" t="s">
        <v>63</v>
      </c>
      <c r="F476" s="6" t="s">
        <v>172</v>
      </c>
      <c r="G476" s="5" t="s">
        <v>1160</v>
      </c>
      <c r="H476" s="2" t="s">
        <v>51</v>
      </c>
      <c r="I476" s="3" t="s">
        <v>1274</v>
      </c>
      <c r="J476" s="7">
        <v>1</v>
      </c>
      <c r="K476" s="104"/>
      <c r="L476" s="9">
        <v>1</v>
      </c>
      <c r="M476" s="3">
        <v>329</v>
      </c>
      <c r="P476" s="71"/>
      <c r="R476" s="6">
        <v>1940</v>
      </c>
      <c r="S476" s="3" t="s">
        <v>236</v>
      </c>
      <c r="T476" s="72"/>
      <c r="U476" s="73"/>
      <c r="W476" s="2" t="s">
        <v>62</v>
      </c>
      <c r="X476" s="10" t="s">
        <v>56</v>
      </c>
      <c r="Y476" s="10" t="s">
        <v>57</v>
      </c>
      <c r="Z476" s="75" t="s">
        <v>58</v>
      </c>
      <c r="AA476" s="76"/>
      <c r="AB476" s="77"/>
      <c r="AC476" s="77"/>
      <c r="AD476" s="6"/>
      <c r="AI476" s="7"/>
      <c r="AJ476" s="95">
        <v>38044</v>
      </c>
      <c r="AK476" s="7">
        <v>2000</v>
      </c>
      <c r="AL476" s="16"/>
      <c r="AW476" s="6" t="str">
        <f t="shared" ca="1" si="8"/>
        <v/>
      </c>
    </row>
    <row r="477" ht="45" customHeight="1">
      <c r="A477" s="69">
        <v>42443</v>
      </c>
      <c r="B477" s="3" t="s">
        <v>190</v>
      </c>
      <c r="C477" s="4" t="s">
        <v>1275</v>
      </c>
      <c r="D477" s="5" t="s">
        <v>1276</v>
      </c>
      <c r="E477" s="2" t="s">
        <v>63</v>
      </c>
      <c r="F477" s="6" t="s">
        <v>217</v>
      </c>
      <c r="G477" s="5" t="s">
        <v>1277</v>
      </c>
      <c r="H477" s="2" t="s">
        <v>977</v>
      </c>
      <c r="I477" s="3" t="s">
        <v>1278</v>
      </c>
      <c r="J477" s="7">
        <v>1</v>
      </c>
      <c r="K477" s="70" t="s">
        <v>53</v>
      </c>
      <c r="L477" s="9">
        <v>1</v>
      </c>
      <c r="M477" s="3">
        <v>330</v>
      </c>
      <c r="N477" s="6">
        <v>1943</v>
      </c>
      <c r="P477" s="71"/>
      <c r="R477" s="6">
        <v>1940</v>
      </c>
      <c r="S477" s="3" t="s">
        <v>195</v>
      </c>
      <c r="T477" s="72" t="s">
        <v>998</v>
      </c>
      <c r="U477" s="73"/>
      <c r="W477" s="74" t="s">
        <v>1279</v>
      </c>
      <c r="X477" s="10" t="s">
        <v>213</v>
      </c>
      <c r="Y477" s="10" t="s">
        <v>980</v>
      </c>
      <c r="Z477" s="75"/>
      <c r="AA477" s="76"/>
      <c r="AB477" s="77">
        <v>16221</v>
      </c>
      <c r="AC477" s="77">
        <v>16221</v>
      </c>
      <c r="AD477" s="10"/>
      <c r="AG477" s="7">
        <v>1944</v>
      </c>
      <c r="AH477" s="7">
        <v>1940</v>
      </c>
      <c r="AI477" s="7"/>
      <c r="AJ477" s="73"/>
      <c r="AK477" s="7"/>
      <c r="AL477" s="16"/>
      <c r="AW477" s="6">
        <f t="shared" ca="1" si="8"/>
        <v>82</v>
      </c>
    </row>
    <row r="478" ht="45" customHeight="1">
      <c r="A478" s="69"/>
      <c r="B478" s="3" t="s">
        <v>47</v>
      </c>
      <c r="E478" s="2" t="s">
        <v>63</v>
      </c>
      <c r="F478" s="6" t="s">
        <v>172</v>
      </c>
      <c r="G478" s="5" t="s">
        <v>173</v>
      </c>
      <c r="H478" s="2" t="s">
        <v>57</v>
      </c>
      <c r="I478" s="3" t="s">
        <v>1280</v>
      </c>
      <c r="J478" s="7">
        <v>1</v>
      </c>
      <c r="K478" s="70" t="s">
        <v>53</v>
      </c>
      <c r="L478" s="9">
        <v>1</v>
      </c>
      <c r="M478" s="3">
        <v>331</v>
      </c>
      <c r="P478" s="71"/>
      <c r="R478" s="6">
        <v>1940</v>
      </c>
      <c r="S478" s="3" t="s">
        <v>54</v>
      </c>
      <c r="T478" s="72"/>
      <c r="U478" s="73"/>
      <c r="W478" s="2" t="s">
        <v>1281</v>
      </c>
      <c r="X478" s="10" t="s">
        <v>56</v>
      </c>
      <c r="Y478" s="10" t="s">
        <v>57</v>
      </c>
      <c r="Z478" s="75"/>
      <c r="AA478" s="76"/>
      <c r="AB478" s="77">
        <v>24405</v>
      </c>
      <c r="AC478" s="77"/>
      <c r="AD478" s="6"/>
      <c r="AG478" s="7">
        <v>1966</v>
      </c>
      <c r="AH478" s="7">
        <v>1960</v>
      </c>
      <c r="AI478" s="7"/>
      <c r="AJ478" s="73"/>
      <c r="AK478" s="7"/>
      <c r="AL478" s="16"/>
      <c r="AM478" s="2" t="s">
        <v>59</v>
      </c>
      <c r="AW478" s="6" t="str">
        <f t="shared" ca="1" si="8"/>
        <v/>
      </c>
    </row>
    <row r="479" ht="45" customHeight="1">
      <c r="A479" s="69"/>
      <c r="B479" s="3" t="s">
        <v>47</v>
      </c>
      <c r="E479" s="2" t="s">
        <v>63</v>
      </c>
      <c r="F479" s="6" t="s">
        <v>172</v>
      </c>
      <c r="G479" s="5" t="s">
        <v>1282</v>
      </c>
      <c r="H479" s="2" t="s">
        <v>51</v>
      </c>
      <c r="I479" s="3" t="s">
        <v>1283</v>
      </c>
      <c r="J479" s="7">
        <v>1</v>
      </c>
      <c r="K479" s="70" t="s">
        <v>53</v>
      </c>
      <c r="L479" s="9">
        <v>1</v>
      </c>
      <c r="M479" s="3">
        <v>332</v>
      </c>
      <c r="N479" s="6">
        <v>1941</v>
      </c>
      <c r="P479" s="71"/>
      <c r="R479" s="6">
        <v>1940</v>
      </c>
      <c r="S479" s="3" t="s">
        <v>54</v>
      </c>
      <c r="T479" s="72"/>
      <c r="U479" s="73"/>
      <c r="W479" s="2" t="s">
        <v>1284</v>
      </c>
      <c r="X479" s="10" t="s">
        <v>56</v>
      </c>
      <c r="Y479" s="10" t="s">
        <v>57</v>
      </c>
      <c r="Z479" s="75" t="s">
        <v>58</v>
      </c>
      <c r="AA479" s="76"/>
      <c r="AB479" s="77">
        <v>22676</v>
      </c>
      <c r="AC479" s="77"/>
      <c r="AD479" s="6"/>
      <c r="AG479" s="7">
        <v>1962</v>
      </c>
      <c r="AH479" s="7">
        <v>1960</v>
      </c>
      <c r="AI479" s="7"/>
      <c r="AJ479" s="73"/>
      <c r="AK479" s="7"/>
      <c r="AL479" s="16"/>
      <c r="AM479" s="2" t="s">
        <v>59</v>
      </c>
      <c r="AW479" s="6">
        <f t="shared" ca="1" si="8"/>
        <v>84</v>
      </c>
    </row>
    <row r="480" ht="45" hidden="1" customHeight="1">
      <c r="A480" s="69"/>
      <c r="B480" s="3" t="s">
        <v>47</v>
      </c>
      <c r="C480" s="4" t="s">
        <v>1285</v>
      </c>
      <c r="E480" s="2" t="s">
        <v>63</v>
      </c>
      <c r="F480" s="6" t="s">
        <v>172</v>
      </c>
      <c r="G480" s="5" t="s">
        <v>1110</v>
      </c>
      <c r="H480" s="2" t="s">
        <v>257</v>
      </c>
      <c r="I480" s="3" t="s">
        <v>1286</v>
      </c>
      <c r="J480" s="7">
        <v>1</v>
      </c>
      <c r="K480" s="70"/>
      <c r="L480" s="9">
        <v>1</v>
      </c>
      <c r="M480" s="3">
        <v>333</v>
      </c>
      <c r="N480" s="6">
        <v>1944</v>
      </c>
      <c r="P480" s="71"/>
      <c r="R480" s="6">
        <v>1940</v>
      </c>
      <c r="S480" s="3" t="s">
        <v>236</v>
      </c>
      <c r="T480" s="72"/>
      <c r="U480" s="73"/>
      <c r="W480" s="2" t="s">
        <v>62</v>
      </c>
      <c r="X480" s="10" t="s">
        <v>56</v>
      </c>
      <c r="Y480" s="10" t="s">
        <v>68</v>
      </c>
      <c r="Z480" s="75" t="s">
        <v>260</v>
      </c>
      <c r="AA480" s="76"/>
      <c r="AB480" s="77"/>
      <c r="AC480" s="77"/>
      <c r="AD480" s="10"/>
      <c r="AI480" s="7"/>
      <c r="AJ480" s="95">
        <v>36287</v>
      </c>
      <c r="AK480" s="7">
        <v>1990</v>
      </c>
      <c r="AL480" s="16"/>
      <c r="AM480" s="2" t="s">
        <v>82</v>
      </c>
      <c r="AW480" s="6">
        <f t="shared" ca="1" si="8"/>
        <v>81</v>
      </c>
    </row>
    <row r="481" ht="45" customHeight="1">
      <c r="A481" s="69"/>
      <c r="B481" s="3" t="s">
        <v>47</v>
      </c>
      <c r="E481" s="2" t="s">
        <v>63</v>
      </c>
      <c r="F481" s="6" t="s">
        <v>172</v>
      </c>
      <c r="G481" s="5" t="s">
        <v>1110</v>
      </c>
      <c r="H481" s="2" t="s">
        <v>181</v>
      </c>
      <c r="I481" s="3" t="s">
        <v>1287</v>
      </c>
      <c r="J481" s="7">
        <v>1</v>
      </c>
      <c r="K481" s="70" t="s">
        <v>53</v>
      </c>
      <c r="L481" s="9">
        <v>1</v>
      </c>
      <c r="M481" s="3">
        <v>334</v>
      </c>
      <c r="N481" s="6">
        <v>1944</v>
      </c>
      <c r="P481" s="71"/>
      <c r="R481" s="6">
        <v>1940</v>
      </c>
      <c r="S481" s="3" t="s">
        <v>54</v>
      </c>
      <c r="T481" s="72"/>
      <c r="U481" s="73"/>
      <c r="W481" s="2" t="s">
        <v>1288</v>
      </c>
      <c r="X481" s="10" t="s">
        <v>56</v>
      </c>
      <c r="Y481" s="10" t="s">
        <v>68</v>
      </c>
      <c r="Z481" s="75" t="s">
        <v>260</v>
      </c>
      <c r="AA481" s="76"/>
      <c r="AB481" s="77">
        <v>16251</v>
      </c>
      <c r="AC481" s="77">
        <v>16251</v>
      </c>
      <c r="AD481" s="10"/>
      <c r="AG481" s="7">
        <v>1944</v>
      </c>
      <c r="AH481" s="7">
        <v>1940</v>
      </c>
      <c r="AI481" s="7"/>
      <c r="AJ481" s="73"/>
      <c r="AK481" s="7"/>
      <c r="AL481" s="16"/>
      <c r="AM481" s="2" t="s">
        <v>82</v>
      </c>
      <c r="AW481" s="6">
        <f t="shared" ca="1" si="8"/>
        <v>81</v>
      </c>
    </row>
    <row r="482" s="86" customFormat="1" ht="45" customHeight="1">
      <c r="A482" s="69"/>
      <c r="B482" s="3" t="s">
        <v>47</v>
      </c>
      <c r="C482" s="4"/>
      <c r="D482" s="5"/>
      <c r="E482" s="2" t="s">
        <v>63</v>
      </c>
      <c r="F482" s="6" t="s">
        <v>172</v>
      </c>
      <c r="G482" s="5" t="s">
        <v>173</v>
      </c>
      <c r="H482" s="2" t="s">
        <v>57</v>
      </c>
      <c r="I482" s="3" t="s">
        <v>1289</v>
      </c>
      <c r="J482" s="7">
        <v>1</v>
      </c>
      <c r="K482" s="70" t="s">
        <v>53</v>
      </c>
      <c r="L482" s="9">
        <v>1</v>
      </c>
      <c r="M482" s="3">
        <v>335</v>
      </c>
      <c r="N482" s="6">
        <v>1944</v>
      </c>
      <c r="O482" s="10"/>
      <c r="P482" s="71"/>
      <c r="Q482" s="10"/>
      <c r="R482" s="6">
        <v>1940</v>
      </c>
      <c r="S482" s="3" t="s">
        <v>54</v>
      </c>
      <c r="T482" s="72"/>
      <c r="U482" s="73"/>
      <c r="V482" s="12"/>
      <c r="W482" s="98" t="s">
        <v>1290</v>
      </c>
      <c r="X482" s="10" t="s">
        <v>56</v>
      </c>
      <c r="Y482" s="10" t="s">
        <v>57</v>
      </c>
      <c r="Z482" s="75"/>
      <c r="AA482" s="76"/>
      <c r="AB482" s="77"/>
      <c r="AC482" s="77">
        <v>27173</v>
      </c>
      <c r="AD482" s="10"/>
      <c r="AE482" s="7"/>
      <c r="AF482" s="7"/>
      <c r="AG482" s="7">
        <v>1974</v>
      </c>
      <c r="AH482" s="7">
        <v>1970</v>
      </c>
      <c r="AI482" s="7"/>
      <c r="AJ482" s="73"/>
      <c r="AK482" s="7"/>
      <c r="AL482" s="16"/>
      <c r="AM482" s="2" t="s">
        <v>59</v>
      </c>
      <c r="AN482" s="6"/>
      <c r="AO482" s="6"/>
      <c r="AP482" s="6"/>
      <c r="AQ482" s="5"/>
      <c r="AR482" s="2"/>
      <c r="AS482" s="6"/>
      <c r="AT482" s="6"/>
      <c r="AU482" s="16"/>
      <c r="AV482" s="17"/>
      <c r="AW482" s="6">
        <f t="shared" ca="1" si="8"/>
        <v>81</v>
      </c>
    </row>
    <row r="483" ht="45" customHeight="1" outlineLevel="1">
      <c r="A483" s="69"/>
      <c r="B483" s="3" t="s">
        <v>47</v>
      </c>
      <c r="E483" s="2" t="s">
        <v>694</v>
      </c>
      <c r="F483" s="6" t="s">
        <v>695</v>
      </c>
      <c r="G483" s="5" t="s">
        <v>696</v>
      </c>
      <c r="H483" s="2" t="s">
        <v>51</v>
      </c>
      <c r="I483" s="3" t="s">
        <v>326</v>
      </c>
      <c r="J483" s="7">
        <v>1</v>
      </c>
      <c r="K483" s="70" t="s">
        <v>53</v>
      </c>
      <c r="L483" s="9">
        <v>1</v>
      </c>
      <c r="M483" s="3">
        <v>336</v>
      </c>
      <c r="N483" s="6">
        <v>1944</v>
      </c>
      <c r="P483" s="71"/>
      <c r="R483" s="6">
        <v>1940</v>
      </c>
      <c r="S483" s="3" t="s">
        <v>54</v>
      </c>
      <c r="T483" s="72"/>
      <c r="U483" s="73"/>
      <c r="W483" s="2" t="s">
        <v>1291</v>
      </c>
      <c r="X483" s="10" t="s">
        <v>56</v>
      </c>
      <c r="Y483" s="10" t="s">
        <v>57</v>
      </c>
      <c r="Z483" s="75" t="s">
        <v>58</v>
      </c>
      <c r="AA483" s="76"/>
      <c r="AB483" s="77">
        <v>18406</v>
      </c>
      <c r="AC483" s="77">
        <v>18406</v>
      </c>
      <c r="AD483" s="10"/>
      <c r="AG483" s="7">
        <v>1950</v>
      </c>
      <c r="AH483" s="7">
        <v>1950</v>
      </c>
      <c r="AI483" s="7"/>
      <c r="AJ483" s="73"/>
      <c r="AK483" s="7"/>
      <c r="AL483" s="16"/>
      <c r="AM483" s="2" t="s">
        <v>59</v>
      </c>
      <c r="AO483" s="6" t="s">
        <v>59</v>
      </c>
      <c r="AQ483" s="5" t="s">
        <v>73</v>
      </c>
      <c r="AW483" s="6">
        <f t="shared" ref="AW483:AW546" ca="1" si="9">IF(N483&lt;&gt;0,(YEAR(TODAY())-N483),(""))</f>
        <v>81</v>
      </c>
    </row>
    <row r="484" ht="45" customHeight="1">
      <c r="A484" s="69"/>
      <c r="B484" s="3" t="s">
        <v>47</v>
      </c>
      <c r="E484" s="2" t="s">
        <v>48</v>
      </c>
      <c r="F484" s="6" t="s">
        <v>49</v>
      </c>
      <c r="G484" s="5" t="s">
        <v>1292</v>
      </c>
      <c r="H484" s="2" t="s">
        <v>51</v>
      </c>
      <c r="I484" s="3" t="s">
        <v>1293</v>
      </c>
      <c r="J484" s="7">
        <v>1</v>
      </c>
      <c r="K484" s="70" t="s">
        <v>53</v>
      </c>
      <c r="L484" s="9">
        <v>1</v>
      </c>
      <c r="M484" s="3">
        <v>337</v>
      </c>
      <c r="N484" s="6">
        <v>1944</v>
      </c>
      <c r="P484" s="71"/>
      <c r="R484" s="6">
        <v>1940</v>
      </c>
      <c r="S484" s="3" t="s">
        <v>54</v>
      </c>
      <c r="T484" s="72"/>
      <c r="U484" s="73"/>
      <c r="W484" s="2" t="s">
        <v>1294</v>
      </c>
      <c r="X484" s="10" t="s">
        <v>56</v>
      </c>
      <c r="Y484" s="10" t="s">
        <v>57</v>
      </c>
      <c r="Z484" s="75" t="s">
        <v>58</v>
      </c>
      <c r="AA484" s="76"/>
      <c r="AB484" s="77">
        <v>20106</v>
      </c>
      <c r="AC484" s="77"/>
      <c r="AD484" s="6"/>
      <c r="AE484" s="7">
        <v>1953</v>
      </c>
      <c r="AF484" s="7">
        <v>17</v>
      </c>
      <c r="AG484" s="7">
        <v>1955</v>
      </c>
      <c r="AH484" s="7">
        <v>1950</v>
      </c>
      <c r="AI484" s="7"/>
      <c r="AJ484" s="73"/>
      <c r="AK484" s="7"/>
      <c r="AL484" s="16"/>
      <c r="AM484" s="2" t="s">
        <v>59</v>
      </c>
      <c r="AW484" s="6">
        <f t="shared" ca="1" si="9"/>
        <v>81</v>
      </c>
    </row>
    <row r="485" ht="45" customHeight="1">
      <c r="A485" s="69"/>
      <c r="B485" s="3" t="s">
        <v>47</v>
      </c>
      <c r="E485" s="2" t="s">
        <v>83</v>
      </c>
      <c r="F485" s="6" t="s">
        <v>179</v>
      </c>
      <c r="G485" s="5" t="s">
        <v>1295</v>
      </c>
      <c r="H485" s="2" t="s">
        <v>57</v>
      </c>
      <c r="I485" s="3" t="s">
        <v>1296</v>
      </c>
      <c r="J485" s="7">
        <v>1</v>
      </c>
      <c r="K485" s="70" t="s">
        <v>53</v>
      </c>
      <c r="L485" s="9">
        <v>1</v>
      </c>
      <c r="M485" s="3">
        <v>338</v>
      </c>
      <c r="N485" s="6">
        <v>1944</v>
      </c>
      <c r="P485" s="71"/>
      <c r="R485" s="6">
        <v>1940</v>
      </c>
      <c r="S485" s="3" t="s">
        <v>54</v>
      </c>
      <c r="T485" s="72"/>
      <c r="U485" s="73"/>
      <c r="W485" s="2" t="s">
        <v>1297</v>
      </c>
      <c r="X485" s="10" t="s">
        <v>56</v>
      </c>
      <c r="Y485" s="10" t="s">
        <v>57</v>
      </c>
      <c r="Z485" s="75"/>
      <c r="AA485" s="76"/>
      <c r="AB485" s="77"/>
      <c r="AC485" s="77">
        <v>18255</v>
      </c>
      <c r="AD485" s="10"/>
      <c r="AG485" s="7">
        <v>1949</v>
      </c>
      <c r="AH485" s="7">
        <v>1940</v>
      </c>
      <c r="AI485" s="7"/>
      <c r="AJ485" s="73"/>
      <c r="AK485" s="7"/>
      <c r="AL485" s="16"/>
      <c r="AM485" s="2" t="s">
        <v>59</v>
      </c>
      <c r="AW485" s="6">
        <f t="shared" ca="1" si="9"/>
        <v>81</v>
      </c>
    </row>
    <row r="486" ht="45" hidden="1" customHeight="1">
      <c r="A486" s="69"/>
      <c r="B486" s="3" t="s">
        <v>47</v>
      </c>
      <c r="C486" s="4" t="s">
        <v>1298</v>
      </c>
      <c r="E486" s="2" t="s">
        <v>83</v>
      </c>
      <c r="F486" s="6" t="s">
        <v>704</v>
      </c>
      <c r="G486" s="5" t="s">
        <v>705</v>
      </c>
      <c r="H486" s="2" t="s">
        <v>57</v>
      </c>
      <c r="I486" s="96" t="s">
        <v>1299</v>
      </c>
      <c r="J486" s="7">
        <v>1</v>
      </c>
      <c r="K486" s="70"/>
      <c r="L486" s="9">
        <v>1</v>
      </c>
      <c r="M486" s="3">
        <v>339</v>
      </c>
      <c r="P486" s="71"/>
      <c r="R486" s="6">
        <v>1940</v>
      </c>
      <c r="S486" s="3" t="s">
        <v>236</v>
      </c>
      <c r="T486" s="72"/>
      <c r="U486" s="73"/>
      <c r="W486" s="2" t="s">
        <v>62</v>
      </c>
      <c r="X486" s="10" t="s">
        <v>56</v>
      </c>
      <c r="Y486" s="10" t="s">
        <v>57</v>
      </c>
      <c r="Z486" s="75"/>
      <c r="AA486" s="76"/>
      <c r="AB486" s="77"/>
      <c r="AC486" s="77"/>
      <c r="AD486" s="10"/>
      <c r="AI486" s="7"/>
      <c r="AJ486" s="95">
        <v>36283</v>
      </c>
      <c r="AK486" s="7">
        <v>1990</v>
      </c>
      <c r="AL486" s="16"/>
      <c r="AW486" s="6" t="str">
        <f t="shared" ca="1" si="9"/>
        <v/>
      </c>
    </row>
    <row r="487" ht="45" customHeight="1">
      <c r="A487" s="69"/>
      <c r="B487" s="3" t="s">
        <v>47</v>
      </c>
      <c r="E487" s="2" t="s">
        <v>83</v>
      </c>
      <c r="F487" s="6" t="s">
        <v>179</v>
      </c>
      <c r="G487" s="5" t="s">
        <v>339</v>
      </c>
      <c r="H487" s="2" t="s">
        <v>51</v>
      </c>
      <c r="I487" s="3" t="s">
        <v>1300</v>
      </c>
      <c r="J487" s="7">
        <v>1</v>
      </c>
      <c r="K487" s="70" t="s">
        <v>53</v>
      </c>
      <c r="L487" s="9">
        <v>1</v>
      </c>
      <c r="M487" s="3">
        <v>340</v>
      </c>
      <c r="P487" s="71"/>
      <c r="R487" s="6">
        <v>1940</v>
      </c>
      <c r="S487" s="3" t="s">
        <v>54</v>
      </c>
      <c r="T487" s="72"/>
      <c r="U487" s="73"/>
      <c r="W487" s="2" t="s">
        <v>1301</v>
      </c>
      <c r="X487" s="10" t="s">
        <v>56</v>
      </c>
      <c r="Y487" s="10" t="s">
        <v>57</v>
      </c>
      <c r="Z487" s="75" t="s">
        <v>58</v>
      </c>
      <c r="AA487" s="76"/>
      <c r="AB487" s="77"/>
      <c r="AC487" s="77">
        <v>19504</v>
      </c>
      <c r="AD487" s="10"/>
      <c r="AG487" s="7">
        <v>1953</v>
      </c>
      <c r="AH487" s="7">
        <v>1950</v>
      </c>
      <c r="AI487" s="7"/>
      <c r="AJ487" s="73"/>
      <c r="AK487" s="7"/>
      <c r="AL487" s="16"/>
      <c r="AM487" s="2" t="s">
        <v>59</v>
      </c>
      <c r="AW487" s="6" t="str">
        <f t="shared" ca="1" si="9"/>
        <v/>
      </c>
    </row>
    <row r="488" ht="45" customHeight="1">
      <c r="A488" s="69"/>
      <c r="B488" s="3" t="s">
        <v>47</v>
      </c>
      <c r="E488" s="2" t="s">
        <v>694</v>
      </c>
      <c r="F488" s="6" t="s">
        <v>695</v>
      </c>
      <c r="G488" s="5" t="s">
        <v>696</v>
      </c>
      <c r="H488" s="2" t="s">
        <v>57</v>
      </c>
      <c r="I488" s="3" t="s">
        <v>1302</v>
      </c>
      <c r="J488" s="7">
        <v>1</v>
      </c>
      <c r="K488" s="70" t="s">
        <v>53</v>
      </c>
      <c r="L488" s="9">
        <v>1</v>
      </c>
      <c r="M488" s="3">
        <v>341</v>
      </c>
      <c r="N488" s="6">
        <v>1943</v>
      </c>
      <c r="P488" s="71"/>
      <c r="R488" s="6">
        <v>1940</v>
      </c>
      <c r="S488" s="3" t="s">
        <v>54</v>
      </c>
      <c r="T488" s="72"/>
      <c r="U488" s="73"/>
      <c r="W488" s="2" t="s">
        <v>1303</v>
      </c>
      <c r="X488" s="10" t="s">
        <v>56</v>
      </c>
      <c r="Y488" s="10" t="s">
        <v>57</v>
      </c>
      <c r="Z488" s="75"/>
      <c r="AA488" s="76"/>
      <c r="AB488" s="77">
        <v>16305</v>
      </c>
      <c r="AC488" s="77">
        <v>16305</v>
      </c>
      <c r="AD488" s="10"/>
      <c r="AG488" s="7">
        <v>1944</v>
      </c>
      <c r="AH488" s="7">
        <v>1940</v>
      </c>
      <c r="AI488" s="7"/>
      <c r="AJ488" s="73"/>
      <c r="AK488" s="7"/>
      <c r="AL488" s="16"/>
      <c r="AM488" s="2" t="s">
        <v>59</v>
      </c>
      <c r="AO488" s="6" t="s">
        <v>59</v>
      </c>
      <c r="AQ488" s="5" t="s">
        <v>73</v>
      </c>
      <c r="AW488" s="6">
        <f t="shared" ca="1" si="9"/>
        <v>82</v>
      </c>
    </row>
    <row r="489" ht="45" customHeight="1">
      <c r="A489" s="69"/>
      <c r="B489" s="3" t="s">
        <v>47</v>
      </c>
      <c r="E489" s="2" t="s">
        <v>48</v>
      </c>
      <c r="F489" s="6" t="s">
        <v>564</v>
      </c>
      <c r="G489" s="5" t="s">
        <v>565</v>
      </c>
      <c r="H489" s="2" t="s">
        <v>57</v>
      </c>
      <c r="I489" s="3" t="s">
        <v>1304</v>
      </c>
      <c r="J489" s="7">
        <v>1</v>
      </c>
      <c r="K489" s="70" t="s">
        <v>53</v>
      </c>
      <c r="L489" s="9">
        <v>1</v>
      </c>
      <c r="M489" s="3">
        <v>342</v>
      </c>
      <c r="N489" s="6">
        <v>1944</v>
      </c>
      <c r="P489" s="71"/>
      <c r="R489" s="6">
        <v>1940</v>
      </c>
      <c r="S489" s="3" t="s">
        <v>54</v>
      </c>
      <c r="T489" s="72"/>
      <c r="U489" s="73"/>
      <c r="W489" s="2" t="s">
        <v>1305</v>
      </c>
      <c r="X489" s="10" t="s">
        <v>56</v>
      </c>
      <c r="Y489" s="10" t="s">
        <v>57</v>
      </c>
      <c r="Z489" s="75"/>
      <c r="AA489" s="76"/>
      <c r="AB489" s="77">
        <v>18293</v>
      </c>
      <c r="AC489" s="77"/>
      <c r="AD489" s="6"/>
      <c r="AG489" s="7">
        <v>1950</v>
      </c>
      <c r="AH489" s="7">
        <v>1950</v>
      </c>
      <c r="AI489" s="7"/>
      <c r="AJ489" s="73"/>
      <c r="AK489" s="7"/>
      <c r="AL489" s="16"/>
      <c r="AM489" s="2" t="s">
        <v>59</v>
      </c>
      <c r="AN489" s="6" t="s">
        <v>73</v>
      </c>
      <c r="AO489" s="6" t="s">
        <v>100</v>
      </c>
      <c r="AP489" s="6" t="s">
        <v>73</v>
      </c>
      <c r="AU489" s="16" t="s">
        <v>784</v>
      </c>
      <c r="AW489" s="6">
        <f t="shared" ca="1" si="9"/>
        <v>81</v>
      </c>
    </row>
    <row r="490" ht="45" customHeight="1" outlineLevel="1">
      <c r="A490" s="69"/>
      <c r="B490" s="3" t="s">
        <v>47</v>
      </c>
      <c r="E490" s="2" t="s">
        <v>83</v>
      </c>
      <c r="F490" s="6" t="s">
        <v>704</v>
      </c>
      <c r="G490" s="5" t="s">
        <v>1306</v>
      </c>
      <c r="H490" s="2" t="s">
        <v>51</v>
      </c>
      <c r="I490" s="3" t="s">
        <v>1307</v>
      </c>
      <c r="J490" s="7">
        <v>1</v>
      </c>
      <c r="K490" s="70" t="s">
        <v>53</v>
      </c>
      <c r="L490" s="9">
        <v>1</v>
      </c>
      <c r="M490" s="3">
        <v>343</v>
      </c>
      <c r="N490" s="6">
        <v>1944</v>
      </c>
      <c r="P490" s="71"/>
      <c r="R490" s="6">
        <v>1940</v>
      </c>
      <c r="S490" s="3" t="s">
        <v>54</v>
      </c>
      <c r="T490" s="72"/>
      <c r="U490" s="73"/>
      <c r="W490" s="2" t="s">
        <v>1308</v>
      </c>
      <c r="X490" s="10" t="s">
        <v>56</v>
      </c>
      <c r="Y490" s="10" t="s">
        <v>57</v>
      </c>
      <c r="Z490" s="75" t="s">
        <v>58</v>
      </c>
      <c r="AA490" s="76"/>
      <c r="AB490" s="77">
        <v>16371</v>
      </c>
      <c r="AC490" s="77">
        <v>16371</v>
      </c>
      <c r="AD490" s="10"/>
      <c r="AG490" s="7">
        <v>1944</v>
      </c>
      <c r="AH490" s="7">
        <v>1940</v>
      </c>
      <c r="AI490" s="7"/>
      <c r="AJ490" s="73"/>
      <c r="AK490" s="7"/>
      <c r="AL490" s="16"/>
      <c r="AM490" s="2" t="s">
        <v>59</v>
      </c>
      <c r="AW490" s="6">
        <f t="shared" ca="1" si="9"/>
        <v>81</v>
      </c>
    </row>
    <row r="491" ht="45" customHeight="1" outlineLevel="1">
      <c r="A491" s="69"/>
      <c r="B491" s="3" t="s">
        <v>47</v>
      </c>
      <c r="E491" s="78" t="s">
        <v>83</v>
      </c>
      <c r="F491" s="79" t="s">
        <v>84</v>
      </c>
      <c r="G491" s="80" t="s">
        <v>1068</v>
      </c>
      <c r="H491" s="78" t="s">
        <v>51</v>
      </c>
      <c r="I491" s="81" t="s">
        <v>460</v>
      </c>
      <c r="J491" s="7">
        <v>1</v>
      </c>
      <c r="K491" s="70" t="s">
        <v>53</v>
      </c>
      <c r="L491" s="9">
        <v>1</v>
      </c>
      <c r="M491" s="3">
        <v>344</v>
      </c>
      <c r="P491" s="71"/>
      <c r="R491" s="6">
        <v>1940</v>
      </c>
      <c r="S491" s="3" t="s">
        <v>54</v>
      </c>
      <c r="T491" s="72"/>
      <c r="U491" s="73"/>
      <c r="W491" s="78" t="s">
        <v>1309</v>
      </c>
      <c r="X491" s="82" t="s">
        <v>56</v>
      </c>
      <c r="Y491" s="82" t="s">
        <v>57</v>
      </c>
      <c r="Z491" s="83" t="s">
        <v>58</v>
      </c>
      <c r="AA491" s="76"/>
      <c r="AB491" s="77">
        <v>16404</v>
      </c>
      <c r="AC491" s="77"/>
      <c r="AD491" s="6"/>
      <c r="AG491" s="7">
        <v>1944</v>
      </c>
      <c r="AH491" s="7">
        <v>1940</v>
      </c>
      <c r="AI491" s="7"/>
      <c r="AJ491" s="73"/>
      <c r="AK491" s="7"/>
      <c r="AL491" s="16"/>
      <c r="AM491" s="2" t="s">
        <v>59</v>
      </c>
      <c r="AO491" s="6" t="s">
        <v>136</v>
      </c>
      <c r="AQ491" s="5" t="s">
        <v>104</v>
      </c>
      <c r="AW491" s="6" t="str">
        <f t="shared" ca="1" si="9"/>
        <v/>
      </c>
    </row>
    <row r="492" ht="45" customHeight="1" outlineLevel="1">
      <c r="A492" s="69"/>
      <c r="B492" s="3" t="s">
        <v>47</v>
      </c>
      <c r="E492" s="2" t="s">
        <v>1074</v>
      </c>
      <c r="F492" s="6" t="s">
        <v>1075</v>
      </c>
      <c r="G492" s="5" t="s">
        <v>1310</v>
      </c>
      <c r="H492" s="2" t="s">
        <v>51</v>
      </c>
      <c r="I492" s="3" t="s">
        <v>1311</v>
      </c>
      <c r="J492" s="7">
        <v>1</v>
      </c>
      <c r="K492" s="70" t="s">
        <v>53</v>
      </c>
      <c r="L492" s="9">
        <v>1</v>
      </c>
      <c r="M492" s="3">
        <v>345</v>
      </c>
      <c r="N492" s="6">
        <v>1942</v>
      </c>
      <c r="P492" s="71"/>
      <c r="R492" s="6">
        <v>1940</v>
      </c>
      <c r="S492" s="3" t="s">
        <v>54</v>
      </c>
      <c r="T492" s="72"/>
      <c r="U492" s="73"/>
      <c r="W492" s="2" t="s">
        <v>1312</v>
      </c>
      <c r="X492" s="10" t="s">
        <v>56</v>
      </c>
      <c r="Y492" s="10" t="s">
        <v>57</v>
      </c>
      <c r="Z492" s="75" t="s">
        <v>58</v>
      </c>
      <c r="AA492" s="76"/>
      <c r="AB492" s="77"/>
      <c r="AC492" s="77">
        <v>18366</v>
      </c>
      <c r="AD492" s="10"/>
      <c r="AG492" s="7">
        <v>1950</v>
      </c>
      <c r="AH492" s="7">
        <v>1950</v>
      </c>
      <c r="AI492" s="7"/>
      <c r="AJ492" s="73"/>
      <c r="AK492" s="7"/>
      <c r="AL492" s="16"/>
      <c r="AM492" s="2" t="s">
        <v>59</v>
      </c>
      <c r="AU492" s="16" t="s">
        <v>1313</v>
      </c>
      <c r="AW492" s="6">
        <f t="shared" ca="1" si="9"/>
        <v>83</v>
      </c>
    </row>
    <row r="493" ht="45" customHeight="1" outlineLevel="1">
      <c r="A493" s="69"/>
      <c r="B493" s="3" t="s">
        <v>47</v>
      </c>
      <c r="E493" s="2" t="s">
        <v>1074</v>
      </c>
      <c r="F493" s="6" t="s">
        <v>1075</v>
      </c>
      <c r="G493" s="5" t="s">
        <v>1310</v>
      </c>
      <c r="H493" s="2" t="s">
        <v>51</v>
      </c>
      <c r="I493" s="3" t="s">
        <v>1314</v>
      </c>
      <c r="J493" s="7">
        <v>1</v>
      </c>
      <c r="K493" s="70" t="s">
        <v>53</v>
      </c>
      <c r="L493" s="9">
        <v>0</v>
      </c>
      <c r="M493" s="3">
        <v>345</v>
      </c>
      <c r="N493" s="6">
        <v>1942</v>
      </c>
      <c r="P493" s="71"/>
      <c r="R493" s="6">
        <v>1940</v>
      </c>
      <c r="S493" s="3" t="s">
        <v>54</v>
      </c>
      <c r="T493" s="72"/>
      <c r="U493" s="73"/>
      <c r="W493" s="2" t="s">
        <v>1315</v>
      </c>
      <c r="X493" s="10" t="s">
        <v>56</v>
      </c>
      <c r="Y493" s="10" t="s">
        <v>57</v>
      </c>
      <c r="Z493" s="75" t="s">
        <v>58</v>
      </c>
      <c r="AA493" s="76"/>
      <c r="AB493" s="77"/>
      <c r="AC493" s="77">
        <v>18366</v>
      </c>
      <c r="AD493" s="10"/>
      <c r="AG493" s="7">
        <v>1950</v>
      </c>
      <c r="AH493" s="7">
        <v>1950</v>
      </c>
      <c r="AI493" s="7"/>
      <c r="AJ493" s="73"/>
      <c r="AK493" s="7"/>
      <c r="AL493" s="16"/>
      <c r="AM493" s="2" t="s">
        <v>59</v>
      </c>
      <c r="AU493" s="16" t="s">
        <v>1313</v>
      </c>
      <c r="AW493" s="6">
        <f t="shared" ca="1" si="9"/>
        <v>83</v>
      </c>
    </row>
    <row r="494" ht="45" customHeight="1" outlineLevel="1">
      <c r="A494" s="69"/>
      <c r="B494" s="3" t="s">
        <v>47</v>
      </c>
      <c r="E494" s="2" t="s">
        <v>1074</v>
      </c>
      <c r="F494" s="6" t="s">
        <v>1075</v>
      </c>
      <c r="G494" s="5" t="s">
        <v>1310</v>
      </c>
      <c r="H494" s="2" t="s">
        <v>51</v>
      </c>
      <c r="I494" s="3" t="s">
        <v>324</v>
      </c>
      <c r="J494" s="7">
        <v>1</v>
      </c>
      <c r="K494" s="70" t="s">
        <v>53</v>
      </c>
      <c r="L494" s="9">
        <v>0</v>
      </c>
      <c r="M494" s="3">
        <v>345</v>
      </c>
      <c r="N494" s="6">
        <v>1942</v>
      </c>
      <c r="P494" s="71"/>
      <c r="R494" s="6">
        <v>1940</v>
      </c>
      <c r="S494" s="3" t="s">
        <v>54</v>
      </c>
      <c r="T494" s="72"/>
      <c r="U494" s="73"/>
      <c r="W494" s="2" t="s">
        <v>1316</v>
      </c>
      <c r="X494" s="10" t="s">
        <v>56</v>
      </c>
      <c r="Y494" s="10" t="s">
        <v>57</v>
      </c>
      <c r="Z494" s="75" t="s">
        <v>58</v>
      </c>
      <c r="AA494" s="76"/>
      <c r="AB494" s="77"/>
      <c r="AC494" s="77">
        <v>18366</v>
      </c>
      <c r="AD494" s="10"/>
      <c r="AG494" s="7">
        <v>1950</v>
      </c>
      <c r="AH494" s="7">
        <v>1950</v>
      </c>
      <c r="AI494" s="7"/>
      <c r="AJ494" s="73"/>
      <c r="AK494" s="7"/>
      <c r="AL494" s="16"/>
      <c r="AM494" s="2" t="s">
        <v>59</v>
      </c>
      <c r="AU494" s="16" t="s">
        <v>1313</v>
      </c>
      <c r="AW494" s="6">
        <f t="shared" ca="1" si="9"/>
        <v>83</v>
      </c>
    </row>
    <row r="495" ht="45" customHeight="1" outlineLevel="1">
      <c r="A495" s="69"/>
      <c r="B495" s="3" t="s">
        <v>47</v>
      </c>
      <c r="E495" s="2" t="s">
        <v>1074</v>
      </c>
      <c r="F495" s="6" t="s">
        <v>1075</v>
      </c>
      <c r="G495" s="5" t="s">
        <v>1310</v>
      </c>
      <c r="H495" s="2" t="s">
        <v>51</v>
      </c>
      <c r="I495" s="3" t="s">
        <v>1317</v>
      </c>
      <c r="J495" s="7">
        <v>1</v>
      </c>
      <c r="K495" s="70" t="s">
        <v>53</v>
      </c>
      <c r="L495" s="9">
        <v>0</v>
      </c>
      <c r="M495" s="3">
        <v>345</v>
      </c>
      <c r="N495" s="6">
        <v>1942</v>
      </c>
      <c r="P495" s="71"/>
      <c r="R495" s="6">
        <v>1940</v>
      </c>
      <c r="S495" s="3" t="s">
        <v>54</v>
      </c>
      <c r="T495" s="72"/>
      <c r="U495" s="73"/>
      <c r="W495" s="2" t="s">
        <v>1318</v>
      </c>
      <c r="X495" s="10" t="s">
        <v>56</v>
      </c>
      <c r="Y495" s="10" t="s">
        <v>57</v>
      </c>
      <c r="Z495" s="75" t="s">
        <v>58</v>
      </c>
      <c r="AA495" s="76"/>
      <c r="AB495" s="77"/>
      <c r="AC495" s="77">
        <v>18366</v>
      </c>
      <c r="AD495" s="10"/>
      <c r="AG495" s="7">
        <v>1950</v>
      </c>
      <c r="AH495" s="7">
        <v>1950</v>
      </c>
      <c r="AI495" s="7"/>
      <c r="AJ495" s="73"/>
      <c r="AK495" s="7"/>
      <c r="AL495" s="16"/>
      <c r="AM495" s="2" t="s">
        <v>59</v>
      </c>
      <c r="AU495" s="16" t="s">
        <v>1313</v>
      </c>
      <c r="AW495" s="6">
        <f t="shared" ca="1" si="9"/>
        <v>83</v>
      </c>
    </row>
    <row r="496" ht="45" customHeight="1" outlineLevel="1">
      <c r="A496" s="69"/>
      <c r="B496" s="3" t="s">
        <v>47</v>
      </c>
      <c r="E496" s="2" t="s">
        <v>1074</v>
      </c>
      <c r="F496" s="6" t="s">
        <v>1075</v>
      </c>
      <c r="G496" s="5" t="s">
        <v>1310</v>
      </c>
      <c r="H496" s="2" t="s">
        <v>51</v>
      </c>
      <c r="I496" s="3" t="s">
        <v>186</v>
      </c>
      <c r="J496" s="7">
        <v>1</v>
      </c>
      <c r="K496" s="70" t="s">
        <v>53</v>
      </c>
      <c r="L496" s="9">
        <v>0</v>
      </c>
      <c r="M496" s="3">
        <v>345</v>
      </c>
      <c r="N496" s="6">
        <v>1942</v>
      </c>
      <c r="P496" s="71"/>
      <c r="R496" s="6">
        <v>1940</v>
      </c>
      <c r="S496" s="3" t="s">
        <v>54</v>
      </c>
      <c r="T496" s="72"/>
      <c r="U496" s="73"/>
      <c r="W496" s="2" t="s">
        <v>1319</v>
      </c>
      <c r="X496" s="10" t="s">
        <v>56</v>
      </c>
      <c r="Y496" s="10" t="s">
        <v>57</v>
      </c>
      <c r="Z496" s="75" t="s">
        <v>58</v>
      </c>
      <c r="AA496" s="76"/>
      <c r="AB496" s="77"/>
      <c r="AC496" s="77">
        <v>18366</v>
      </c>
      <c r="AD496" s="10"/>
      <c r="AG496" s="7">
        <v>1950</v>
      </c>
      <c r="AH496" s="7">
        <v>1950</v>
      </c>
      <c r="AI496" s="7"/>
      <c r="AJ496" s="73"/>
      <c r="AK496" s="7"/>
      <c r="AL496" s="16"/>
      <c r="AM496" s="2" t="s">
        <v>59</v>
      </c>
      <c r="AU496" s="16" t="s">
        <v>1313</v>
      </c>
      <c r="AW496" s="6">
        <f t="shared" ca="1" si="9"/>
        <v>83</v>
      </c>
    </row>
    <row r="497" ht="45" customHeight="1" outlineLevel="1">
      <c r="A497" s="69"/>
      <c r="B497" s="3" t="s">
        <v>47</v>
      </c>
      <c r="E497" s="2" t="s">
        <v>1074</v>
      </c>
      <c r="F497" s="6" t="s">
        <v>1075</v>
      </c>
      <c r="G497" s="5" t="s">
        <v>1310</v>
      </c>
      <c r="H497" s="2" t="s">
        <v>57</v>
      </c>
      <c r="I497" s="3" t="s">
        <v>1320</v>
      </c>
      <c r="J497" s="7">
        <v>1</v>
      </c>
      <c r="K497" s="70" t="s">
        <v>53</v>
      </c>
      <c r="L497" s="9">
        <v>0</v>
      </c>
      <c r="M497" s="3">
        <v>345</v>
      </c>
      <c r="N497" s="6">
        <v>1942</v>
      </c>
      <c r="P497" s="71"/>
      <c r="R497" s="6">
        <v>1940</v>
      </c>
      <c r="S497" s="3" t="s">
        <v>54</v>
      </c>
      <c r="T497" s="72"/>
      <c r="U497" s="73"/>
      <c r="W497" s="2" t="s">
        <v>1321</v>
      </c>
      <c r="X497" s="10" t="s">
        <v>56</v>
      </c>
      <c r="Y497" s="10" t="s">
        <v>57</v>
      </c>
      <c r="Z497" s="75"/>
      <c r="AA497" s="76"/>
      <c r="AB497" s="77">
        <v>18475</v>
      </c>
      <c r="AC497" s="77"/>
      <c r="AD497" s="6"/>
      <c r="AG497" s="7">
        <v>1950</v>
      </c>
      <c r="AH497" s="7">
        <v>1950</v>
      </c>
      <c r="AI497" s="7"/>
      <c r="AJ497" s="73"/>
      <c r="AK497" s="7"/>
      <c r="AL497" s="16"/>
      <c r="AM497" s="2" t="s">
        <v>59</v>
      </c>
      <c r="AW497" s="6">
        <f t="shared" ca="1" si="9"/>
        <v>83</v>
      </c>
    </row>
    <row r="498" ht="45" customHeight="1" outlineLevel="1">
      <c r="A498" s="69"/>
      <c r="B498" s="3" t="s">
        <v>47</v>
      </c>
      <c r="E498" s="2" t="s">
        <v>1074</v>
      </c>
      <c r="F498" s="6" t="s">
        <v>1075</v>
      </c>
      <c r="G498" s="5" t="s">
        <v>1310</v>
      </c>
      <c r="H498" s="2" t="s">
        <v>57</v>
      </c>
      <c r="I498" s="3" t="s">
        <v>582</v>
      </c>
      <c r="J498" s="7">
        <v>1</v>
      </c>
      <c r="K498" s="70" t="s">
        <v>53</v>
      </c>
      <c r="L498" s="9">
        <v>0</v>
      </c>
      <c r="M498" s="3">
        <v>345</v>
      </c>
      <c r="N498" s="6">
        <v>1942</v>
      </c>
      <c r="P498" s="71"/>
      <c r="R498" s="6">
        <v>1940</v>
      </c>
      <c r="S498" s="3" t="s">
        <v>54</v>
      </c>
      <c r="T498" s="72"/>
      <c r="U498" s="73"/>
      <c r="W498" s="2" t="s">
        <v>1322</v>
      </c>
      <c r="X498" s="10" t="s">
        <v>56</v>
      </c>
      <c r="Y498" s="10" t="s">
        <v>57</v>
      </c>
      <c r="Z498" s="75"/>
      <c r="AA498" s="76"/>
      <c r="AB498" s="77"/>
      <c r="AC498" s="77">
        <v>18751</v>
      </c>
      <c r="AD498" s="10"/>
      <c r="AG498" s="7">
        <v>1951</v>
      </c>
      <c r="AH498" s="7">
        <v>1950</v>
      </c>
      <c r="AI498" s="7"/>
      <c r="AJ498" s="73"/>
      <c r="AK498" s="7"/>
      <c r="AL498" s="16"/>
      <c r="AM498" s="2" t="s">
        <v>59</v>
      </c>
      <c r="AW498" s="6">
        <f t="shared" ca="1" si="9"/>
        <v>83</v>
      </c>
    </row>
    <row r="499" ht="45" customHeight="1" outlineLevel="1">
      <c r="A499" s="69"/>
      <c r="B499" s="3" t="s">
        <v>47</v>
      </c>
      <c r="E499" s="2" t="s">
        <v>1074</v>
      </c>
      <c r="F499" s="6" t="s">
        <v>1075</v>
      </c>
      <c r="G499" s="5" t="s">
        <v>1310</v>
      </c>
      <c r="H499" s="2" t="s">
        <v>68</v>
      </c>
      <c r="I499" s="3" t="s">
        <v>1323</v>
      </c>
      <c r="J499" s="7">
        <v>1</v>
      </c>
      <c r="K499" s="70" t="s">
        <v>53</v>
      </c>
      <c r="L499" s="9">
        <v>0</v>
      </c>
      <c r="M499" s="3">
        <v>345</v>
      </c>
      <c r="N499" s="6">
        <v>1942</v>
      </c>
      <c r="P499" s="71"/>
      <c r="R499" s="6">
        <v>1940</v>
      </c>
      <c r="S499" s="3" t="s">
        <v>54</v>
      </c>
      <c r="T499" s="72"/>
      <c r="U499" s="73"/>
      <c r="W499" s="2" t="s">
        <v>1324</v>
      </c>
      <c r="X499" s="10" t="s">
        <v>56</v>
      </c>
      <c r="Y499" s="10" t="s">
        <v>68</v>
      </c>
      <c r="Z499" s="75"/>
      <c r="AA499" s="76">
        <v>28751</v>
      </c>
      <c r="AB499" s="77"/>
      <c r="AC499" s="77">
        <v>18751</v>
      </c>
      <c r="AD499" s="10"/>
      <c r="AG499" s="7">
        <v>1951</v>
      </c>
      <c r="AH499" s="7">
        <v>1950</v>
      </c>
      <c r="AI499" s="7"/>
      <c r="AJ499" s="73"/>
      <c r="AK499" s="7"/>
      <c r="AL499" s="16"/>
      <c r="AM499" s="2" t="s">
        <v>82</v>
      </c>
      <c r="AW499" s="6">
        <f t="shared" ca="1" si="9"/>
        <v>83</v>
      </c>
    </row>
    <row r="500" ht="45" customHeight="1" outlineLevel="1">
      <c r="A500" s="69"/>
      <c r="B500" s="3" t="s">
        <v>47</v>
      </c>
      <c r="E500" s="2" t="s">
        <v>1074</v>
      </c>
      <c r="F500" s="6" t="s">
        <v>1075</v>
      </c>
      <c r="G500" s="5" t="s">
        <v>1310</v>
      </c>
      <c r="H500" s="2" t="s">
        <v>68</v>
      </c>
      <c r="I500" s="3" t="s">
        <v>1325</v>
      </c>
      <c r="J500" s="7">
        <v>1</v>
      </c>
      <c r="K500" s="70" t="s">
        <v>53</v>
      </c>
      <c r="L500" s="9">
        <v>0</v>
      </c>
      <c r="M500" s="3">
        <v>345</v>
      </c>
      <c r="N500" s="6">
        <v>1942</v>
      </c>
      <c r="P500" s="71"/>
      <c r="R500" s="6">
        <v>1940</v>
      </c>
      <c r="S500" s="3" t="s">
        <v>54</v>
      </c>
      <c r="T500" s="72"/>
      <c r="U500" s="73"/>
      <c r="W500" s="2" t="s">
        <v>1326</v>
      </c>
      <c r="X500" s="10" t="s">
        <v>56</v>
      </c>
      <c r="Y500" s="10" t="s">
        <v>68</v>
      </c>
      <c r="Z500" s="75"/>
      <c r="AA500" s="76">
        <v>28751</v>
      </c>
      <c r="AB500" s="77"/>
      <c r="AC500" s="77">
        <v>18751</v>
      </c>
      <c r="AD500" s="10"/>
      <c r="AG500" s="7">
        <v>1951</v>
      </c>
      <c r="AH500" s="7">
        <v>1950</v>
      </c>
      <c r="AI500" s="7"/>
      <c r="AJ500" s="73"/>
      <c r="AK500" s="7"/>
      <c r="AL500" s="16"/>
      <c r="AM500" s="2" t="s">
        <v>82</v>
      </c>
      <c r="AW500" s="6">
        <f t="shared" ca="1" si="9"/>
        <v>83</v>
      </c>
    </row>
    <row r="501" ht="45" customHeight="1" outlineLevel="1">
      <c r="A501" s="69"/>
      <c r="B501" s="3" t="s">
        <v>47</v>
      </c>
      <c r="E501" s="2" t="s">
        <v>1074</v>
      </c>
      <c r="F501" s="6" t="s">
        <v>1075</v>
      </c>
      <c r="G501" s="5" t="s">
        <v>1310</v>
      </c>
      <c r="H501" s="2" t="s">
        <v>382</v>
      </c>
      <c r="I501" s="3" t="s">
        <v>1327</v>
      </c>
      <c r="J501" s="7">
        <v>1</v>
      </c>
      <c r="K501" s="70" t="s">
        <v>53</v>
      </c>
      <c r="L501" s="9">
        <v>0</v>
      </c>
      <c r="M501" s="3">
        <v>345</v>
      </c>
      <c r="N501" s="6">
        <v>1942</v>
      </c>
      <c r="P501" s="71"/>
      <c r="R501" s="6">
        <v>1940</v>
      </c>
      <c r="S501" s="3" t="s">
        <v>54</v>
      </c>
      <c r="T501" s="72"/>
      <c r="U501" s="73"/>
      <c r="W501" s="2" t="s">
        <v>1328</v>
      </c>
      <c r="X501" s="10" t="s">
        <v>91</v>
      </c>
      <c r="Y501" s="10" t="s">
        <v>385</v>
      </c>
      <c r="Z501" s="75"/>
      <c r="AA501" s="76"/>
      <c r="AB501" s="77"/>
      <c r="AC501" s="77">
        <v>18366</v>
      </c>
      <c r="AD501" s="10"/>
      <c r="AG501" s="7">
        <v>1950</v>
      </c>
      <c r="AH501" s="7">
        <v>1950</v>
      </c>
      <c r="AI501" s="7"/>
      <c r="AJ501" s="73"/>
      <c r="AK501" s="7"/>
      <c r="AL501" s="16"/>
      <c r="AM501" s="2" t="s">
        <v>59</v>
      </c>
      <c r="AO501" s="6" t="s">
        <v>59</v>
      </c>
      <c r="AU501" s="16" t="s">
        <v>1329</v>
      </c>
      <c r="AW501" s="6">
        <f t="shared" ca="1" si="9"/>
        <v>83</v>
      </c>
    </row>
    <row r="502" ht="45" customHeight="1" outlineLevel="1">
      <c r="A502" s="69"/>
      <c r="B502" s="3" t="s">
        <v>47</v>
      </c>
      <c r="E502" s="2" t="s">
        <v>1074</v>
      </c>
      <c r="F502" s="6" t="s">
        <v>1075</v>
      </c>
      <c r="G502" s="5" t="s">
        <v>1310</v>
      </c>
      <c r="H502" s="2" t="s">
        <v>57</v>
      </c>
      <c r="I502" s="3" t="s">
        <v>1330</v>
      </c>
      <c r="J502" s="7">
        <v>1</v>
      </c>
      <c r="K502" s="70" t="s">
        <v>53</v>
      </c>
      <c r="L502" s="9">
        <v>0</v>
      </c>
      <c r="M502" s="3">
        <v>345</v>
      </c>
      <c r="N502" s="6">
        <v>1942</v>
      </c>
      <c r="P502" s="71"/>
      <c r="R502" s="6">
        <v>1940</v>
      </c>
      <c r="S502" s="3" t="s">
        <v>54</v>
      </c>
      <c r="T502" s="72"/>
      <c r="U502" s="73"/>
      <c r="W502" s="2" t="s">
        <v>1331</v>
      </c>
      <c r="X502" s="10" t="s">
        <v>56</v>
      </c>
      <c r="Y502" s="10" t="s">
        <v>57</v>
      </c>
      <c r="Z502" s="75"/>
      <c r="AA502" s="76"/>
      <c r="AB502" s="77">
        <v>18751</v>
      </c>
      <c r="AC502" s="77">
        <v>18751</v>
      </c>
      <c r="AD502" s="10"/>
      <c r="AG502" s="7">
        <v>1951</v>
      </c>
      <c r="AH502" s="7">
        <v>1950</v>
      </c>
      <c r="AI502" s="7"/>
      <c r="AJ502" s="73"/>
      <c r="AK502" s="7"/>
      <c r="AL502" s="16"/>
      <c r="AM502" s="2" t="s">
        <v>59</v>
      </c>
      <c r="AW502" s="6">
        <f t="shared" ca="1" si="9"/>
        <v>83</v>
      </c>
    </row>
    <row r="503" ht="45" customHeight="1" outlineLevel="1">
      <c r="A503" s="69"/>
      <c r="B503" s="3" t="s">
        <v>47</v>
      </c>
      <c r="E503" s="2" t="s">
        <v>1074</v>
      </c>
      <c r="F503" s="6" t="s">
        <v>1075</v>
      </c>
      <c r="G503" s="5" t="s">
        <v>1310</v>
      </c>
      <c r="H503" s="2" t="s">
        <v>288</v>
      </c>
      <c r="I503" s="3" t="s">
        <v>1332</v>
      </c>
      <c r="J503" s="7">
        <v>1</v>
      </c>
      <c r="K503" s="70" t="s">
        <v>53</v>
      </c>
      <c r="L503" s="9">
        <v>0</v>
      </c>
      <c r="M503" s="3">
        <v>345</v>
      </c>
      <c r="N503" s="6">
        <v>1942</v>
      </c>
      <c r="P503" s="71"/>
      <c r="R503" s="6">
        <v>1940</v>
      </c>
      <c r="S503" s="3" t="s">
        <v>54</v>
      </c>
      <c r="T503" s="72"/>
      <c r="U503" s="73"/>
      <c r="W503" s="2" t="s">
        <v>1333</v>
      </c>
      <c r="X503" s="10" t="s">
        <v>56</v>
      </c>
      <c r="Y503" s="10" t="s">
        <v>288</v>
      </c>
      <c r="Z503" s="75"/>
      <c r="AA503" s="76">
        <v>28751</v>
      </c>
      <c r="AB503" s="77">
        <v>28751</v>
      </c>
      <c r="AC503" s="77">
        <v>28751</v>
      </c>
      <c r="AD503" s="10"/>
      <c r="AF503" s="7" t="s">
        <v>1334</v>
      </c>
      <c r="AG503" s="7">
        <v>1978</v>
      </c>
      <c r="AH503" s="7">
        <v>1970</v>
      </c>
      <c r="AI503" s="7">
        <v>2003</v>
      </c>
      <c r="AJ503" s="73"/>
      <c r="AK503" s="7"/>
      <c r="AL503" s="16"/>
      <c r="AM503" s="2" t="s">
        <v>53</v>
      </c>
      <c r="AN503" s="6" t="s">
        <v>73</v>
      </c>
      <c r="AO503" s="6" t="s">
        <v>53</v>
      </c>
      <c r="AP503" s="6" t="s">
        <v>73</v>
      </c>
      <c r="AQ503" s="5" t="s">
        <v>73</v>
      </c>
      <c r="AR503" s="2" t="s">
        <v>73</v>
      </c>
      <c r="AS503" s="6" t="s">
        <v>73</v>
      </c>
      <c r="AT503" s="6" t="s">
        <v>1335</v>
      </c>
      <c r="AU503" s="16" t="s">
        <v>1336</v>
      </c>
      <c r="AW503" s="6">
        <f t="shared" ca="1" si="9"/>
        <v>83</v>
      </c>
    </row>
    <row r="504" ht="45" customHeight="1" outlineLevel="1">
      <c r="A504" s="69"/>
      <c r="B504" s="3" t="s">
        <v>47</v>
      </c>
      <c r="E504" s="2" t="s">
        <v>83</v>
      </c>
      <c r="F504" s="6" t="s">
        <v>704</v>
      </c>
      <c r="G504" s="5" t="s">
        <v>985</v>
      </c>
      <c r="H504" s="2" t="s">
        <v>382</v>
      </c>
      <c r="I504" s="3" t="s">
        <v>1337</v>
      </c>
      <c r="J504" s="7">
        <v>1</v>
      </c>
      <c r="K504" s="70" t="s">
        <v>53</v>
      </c>
      <c r="L504" s="9">
        <v>1</v>
      </c>
      <c r="M504" s="3">
        <v>346</v>
      </c>
      <c r="N504" s="6">
        <v>1941</v>
      </c>
      <c r="P504" s="71"/>
      <c r="R504" s="6">
        <v>1940</v>
      </c>
      <c r="S504" s="3" t="s">
        <v>54</v>
      </c>
      <c r="T504" s="72"/>
      <c r="U504" s="73"/>
      <c r="W504" s="2" t="s">
        <v>1338</v>
      </c>
      <c r="X504" s="10" t="s">
        <v>91</v>
      </c>
      <c r="Y504" s="10" t="s">
        <v>385</v>
      </c>
      <c r="Z504" s="75"/>
      <c r="AA504" s="76"/>
      <c r="AB504" s="77">
        <v>18309</v>
      </c>
      <c r="AC504" s="77"/>
      <c r="AD504" s="6"/>
      <c r="AG504" s="7">
        <v>1950</v>
      </c>
      <c r="AH504" s="7">
        <v>1950</v>
      </c>
      <c r="AI504" s="7"/>
      <c r="AJ504" s="73"/>
      <c r="AK504" s="7"/>
      <c r="AL504" s="16"/>
      <c r="AM504" s="2" t="s">
        <v>59</v>
      </c>
      <c r="AO504" s="6" t="s">
        <v>59</v>
      </c>
      <c r="AW504" s="6">
        <f t="shared" ca="1" si="9"/>
        <v>84</v>
      </c>
    </row>
    <row r="505" ht="45" customHeight="1" outlineLevel="1">
      <c r="A505" s="69"/>
      <c r="B505" s="3" t="s">
        <v>47</v>
      </c>
      <c r="E505" s="2" t="s">
        <v>83</v>
      </c>
      <c r="F505" s="6" t="s">
        <v>704</v>
      </c>
      <c r="G505" s="5" t="s">
        <v>1339</v>
      </c>
      <c r="H505" s="2" t="s">
        <v>57</v>
      </c>
      <c r="I505" s="3" t="s">
        <v>1340</v>
      </c>
      <c r="J505" s="7">
        <v>1</v>
      </c>
      <c r="K505" s="70" t="s">
        <v>53</v>
      </c>
      <c r="L505" s="9">
        <v>1</v>
      </c>
      <c r="M505" s="3">
        <v>347</v>
      </c>
      <c r="N505" s="6">
        <v>1945</v>
      </c>
      <c r="P505" s="71"/>
      <c r="R505" s="6">
        <v>1940</v>
      </c>
      <c r="S505" s="3" t="s">
        <v>54</v>
      </c>
      <c r="T505" s="72"/>
      <c r="U505" s="73"/>
      <c r="W505" s="2" t="s">
        <v>1341</v>
      </c>
      <c r="X505" s="10" t="s">
        <v>56</v>
      </c>
      <c r="Y505" s="10" t="s">
        <v>57</v>
      </c>
      <c r="Z505" s="75"/>
      <c r="AA505" s="76"/>
      <c r="AB505" s="77">
        <v>18923</v>
      </c>
      <c r="AC505" s="77">
        <v>18923</v>
      </c>
      <c r="AD505" s="10"/>
      <c r="AG505" s="7">
        <v>1951</v>
      </c>
      <c r="AH505" s="7">
        <v>1950</v>
      </c>
      <c r="AI505" s="7"/>
      <c r="AJ505" s="73"/>
      <c r="AK505" s="7"/>
      <c r="AL505" s="16"/>
      <c r="AM505" s="2" t="s">
        <v>59</v>
      </c>
      <c r="AW505" s="6">
        <f t="shared" ca="1" si="9"/>
        <v>80</v>
      </c>
    </row>
    <row r="506" ht="45" customHeight="1" outlineLevel="1">
      <c r="A506" s="69"/>
      <c r="B506" s="3" t="s">
        <v>47</v>
      </c>
      <c r="E506" s="78" t="s">
        <v>83</v>
      </c>
      <c r="F506" s="79" t="s">
        <v>704</v>
      </c>
      <c r="G506" s="80" t="s">
        <v>996</v>
      </c>
      <c r="H506" s="78" t="s">
        <v>51</v>
      </c>
      <c r="I506" s="81" t="s">
        <v>94</v>
      </c>
      <c r="J506" s="7">
        <v>1</v>
      </c>
      <c r="K506" s="70" t="s">
        <v>53</v>
      </c>
      <c r="L506" s="9">
        <v>1</v>
      </c>
      <c r="M506" s="3">
        <v>348</v>
      </c>
      <c r="N506" s="6">
        <v>1945</v>
      </c>
      <c r="P506" s="71"/>
      <c r="R506" s="6">
        <v>1940</v>
      </c>
      <c r="S506" s="3" t="s">
        <v>54</v>
      </c>
      <c r="T506" s="72"/>
      <c r="U506" s="73"/>
      <c r="W506" s="78" t="s">
        <v>1342</v>
      </c>
      <c r="X506" s="82" t="s">
        <v>56</v>
      </c>
      <c r="Y506" s="82" t="s">
        <v>57</v>
      </c>
      <c r="Z506" s="83" t="s">
        <v>58</v>
      </c>
      <c r="AA506" s="76"/>
      <c r="AB506" s="77"/>
      <c r="AC506" s="77">
        <v>17610</v>
      </c>
      <c r="AD506" s="10"/>
      <c r="AG506" s="7">
        <v>1948</v>
      </c>
      <c r="AH506" s="7">
        <v>1940</v>
      </c>
      <c r="AI506" s="7"/>
      <c r="AJ506" s="73"/>
      <c r="AK506" s="7"/>
      <c r="AL506" s="16"/>
      <c r="AM506" s="2" t="s">
        <v>59</v>
      </c>
      <c r="AW506" s="6">
        <f t="shared" ca="1" si="9"/>
        <v>80</v>
      </c>
    </row>
    <row r="507" ht="45" hidden="1" customHeight="1" outlineLevel="1">
      <c r="A507" s="69"/>
      <c r="B507" s="3" t="s">
        <v>47</v>
      </c>
      <c r="C507" s="4" t="s">
        <v>1114</v>
      </c>
      <c r="E507" s="2" t="s">
        <v>83</v>
      </c>
      <c r="F507" s="6" t="s">
        <v>179</v>
      </c>
      <c r="G507" s="5" t="s">
        <v>1343</v>
      </c>
      <c r="H507" s="2" t="s">
        <v>88</v>
      </c>
      <c r="I507" s="96" t="s">
        <v>1344</v>
      </c>
      <c r="J507" s="7">
        <v>1</v>
      </c>
      <c r="K507" s="70"/>
      <c r="L507" s="9">
        <v>1</v>
      </c>
      <c r="M507" s="3">
        <v>349</v>
      </c>
      <c r="N507" s="6">
        <v>1945</v>
      </c>
      <c r="P507" s="71"/>
      <c r="R507" s="6">
        <v>1940</v>
      </c>
      <c r="S507" s="3" t="s">
        <v>236</v>
      </c>
      <c r="T507" s="72"/>
      <c r="U507" s="73"/>
      <c r="W507" s="2" t="s">
        <v>62</v>
      </c>
      <c r="X507" s="10" t="s">
        <v>91</v>
      </c>
      <c r="Y507" s="10" t="s">
        <v>214</v>
      </c>
      <c r="Z507" s="75"/>
      <c r="AA507" s="76"/>
      <c r="AB507" s="77"/>
      <c r="AC507" s="77"/>
      <c r="AD507" s="10"/>
      <c r="AI507" s="7"/>
      <c r="AJ507" s="95">
        <v>38028</v>
      </c>
      <c r="AK507" s="7">
        <v>2000</v>
      </c>
      <c r="AW507" s="6">
        <f t="shared" ca="1" si="9"/>
        <v>80</v>
      </c>
    </row>
    <row r="508" ht="45" hidden="1" customHeight="1" outlineLevel="1">
      <c r="A508" s="69"/>
      <c r="B508" s="3" t="s">
        <v>47</v>
      </c>
      <c r="C508" s="4" t="s">
        <v>1345</v>
      </c>
      <c r="D508" s="5" t="s">
        <v>1346</v>
      </c>
      <c r="E508" s="2" t="s">
        <v>48</v>
      </c>
      <c r="F508" s="6" t="s">
        <v>49</v>
      </c>
      <c r="G508" s="5" t="s">
        <v>1347</v>
      </c>
      <c r="H508" s="2" t="s">
        <v>508</v>
      </c>
      <c r="I508" s="3" t="s">
        <v>1348</v>
      </c>
      <c r="J508" s="7">
        <v>1</v>
      </c>
      <c r="K508" s="70"/>
      <c r="L508" s="9">
        <v>1</v>
      </c>
      <c r="M508" s="3">
        <v>350</v>
      </c>
      <c r="N508" s="6">
        <v>1945</v>
      </c>
      <c r="P508" s="71"/>
      <c r="R508" s="6">
        <v>1940</v>
      </c>
      <c r="S508" s="3" t="s">
        <v>236</v>
      </c>
      <c r="T508" s="72"/>
      <c r="U508" s="73"/>
      <c r="W508" s="2" t="s">
        <v>62</v>
      </c>
      <c r="X508" s="10" t="s">
        <v>504</v>
      </c>
      <c r="Y508" s="10" t="s">
        <v>511</v>
      </c>
      <c r="Z508" s="75"/>
      <c r="AA508" s="76"/>
      <c r="AB508" s="77"/>
      <c r="AC508" s="77"/>
      <c r="AD508" s="10"/>
      <c r="AI508" s="7"/>
      <c r="AJ508" s="95">
        <v>41878</v>
      </c>
      <c r="AK508" s="7">
        <v>2010</v>
      </c>
      <c r="AL508" s="16"/>
      <c r="AW508" s="6">
        <f t="shared" ca="1" si="9"/>
        <v>80</v>
      </c>
    </row>
    <row r="509" ht="45" hidden="1" customHeight="1" outlineLevel="1">
      <c r="A509" s="69"/>
      <c r="B509" s="3" t="s">
        <v>47</v>
      </c>
      <c r="C509" s="4" t="s">
        <v>1349</v>
      </c>
      <c r="E509" s="2" t="s">
        <v>48</v>
      </c>
      <c r="F509" s="6" t="s">
        <v>49</v>
      </c>
      <c r="G509" s="5" t="s">
        <v>1350</v>
      </c>
      <c r="H509" s="2" t="s">
        <v>895</v>
      </c>
      <c r="I509" s="3" t="s">
        <v>1351</v>
      </c>
      <c r="J509" s="7">
        <v>1</v>
      </c>
      <c r="K509" s="70"/>
      <c r="L509" s="9">
        <v>1</v>
      </c>
      <c r="M509" s="3">
        <v>351</v>
      </c>
      <c r="P509" s="71"/>
      <c r="R509" s="6">
        <v>1940</v>
      </c>
      <c r="S509" s="3" t="s">
        <v>236</v>
      </c>
      <c r="T509" s="72"/>
      <c r="U509" s="73"/>
      <c r="W509" s="2" t="s">
        <v>62</v>
      </c>
      <c r="X509" s="10" t="s">
        <v>56</v>
      </c>
      <c r="Y509" s="10" t="s">
        <v>288</v>
      </c>
      <c r="Z509" s="75"/>
      <c r="AA509" s="76"/>
      <c r="AB509" s="77"/>
      <c r="AC509" s="77"/>
      <c r="AD509" s="10"/>
      <c r="AI509" s="7"/>
      <c r="AJ509" s="95">
        <v>22868</v>
      </c>
      <c r="AK509" s="7">
        <v>1960</v>
      </c>
      <c r="AL509" s="16"/>
      <c r="AW509" s="6" t="str">
        <f t="shared" ca="1" si="9"/>
        <v/>
      </c>
    </row>
    <row r="510" ht="45" hidden="1" customHeight="1" outlineLevel="1">
      <c r="A510" s="69"/>
      <c r="B510" s="3" t="s">
        <v>47</v>
      </c>
      <c r="C510" s="4" t="s">
        <v>1352</v>
      </c>
      <c r="D510" s="5" t="s">
        <v>1353</v>
      </c>
      <c r="E510" s="2" t="s">
        <v>83</v>
      </c>
      <c r="F510" s="6" t="s">
        <v>704</v>
      </c>
      <c r="G510" s="5" t="s">
        <v>1339</v>
      </c>
      <c r="H510" s="2" t="s">
        <v>57</v>
      </c>
      <c r="I510" s="3" t="s">
        <v>1354</v>
      </c>
      <c r="J510" s="7">
        <v>1</v>
      </c>
      <c r="K510" s="70"/>
      <c r="L510" s="9">
        <v>1</v>
      </c>
      <c r="M510" s="3">
        <v>352</v>
      </c>
      <c r="N510" s="6">
        <v>1945</v>
      </c>
      <c r="P510" s="71"/>
      <c r="R510" s="6">
        <v>1940</v>
      </c>
      <c r="S510" s="3" t="s">
        <v>236</v>
      </c>
      <c r="T510" s="72"/>
      <c r="U510" s="73"/>
      <c r="W510" s="2" t="s">
        <v>62</v>
      </c>
      <c r="X510" s="10" t="s">
        <v>56</v>
      </c>
      <c r="Y510" s="10" t="s">
        <v>57</v>
      </c>
      <c r="Z510" s="75"/>
      <c r="AA510" s="76"/>
      <c r="AB510" s="77"/>
      <c r="AC510" s="77"/>
      <c r="AD510" s="10"/>
      <c r="AI510" s="7"/>
      <c r="AJ510" s="10">
        <v>42659</v>
      </c>
      <c r="AK510" s="7">
        <v>2010</v>
      </c>
      <c r="AL510" s="16"/>
      <c r="AW510" s="6">
        <f t="shared" ca="1" si="9"/>
        <v>80</v>
      </c>
    </row>
    <row r="511" ht="45" customHeight="1" outlineLevel="1">
      <c r="A511" s="69"/>
      <c r="B511" s="3" t="s">
        <v>47</v>
      </c>
      <c r="E511" s="2" t="s">
        <v>83</v>
      </c>
      <c r="F511" s="6" t="s">
        <v>704</v>
      </c>
      <c r="G511" s="5" t="s">
        <v>705</v>
      </c>
      <c r="H511" s="2" t="s">
        <v>57</v>
      </c>
      <c r="I511" s="3" t="s">
        <v>1355</v>
      </c>
      <c r="J511" s="7">
        <v>1</v>
      </c>
      <c r="K511" s="70" t="s">
        <v>53</v>
      </c>
      <c r="L511" s="9">
        <v>1</v>
      </c>
      <c r="M511" s="3">
        <v>353</v>
      </c>
      <c r="P511" s="71"/>
      <c r="R511" s="6">
        <v>1940</v>
      </c>
      <c r="S511" s="3" t="s">
        <v>54</v>
      </c>
      <c r="T511" s="72"/>
      <c r="U511" s="73"/>
      <c r="W511" s="2" t="s">
        <v>1356</v>
      </c>
      <c r="X511" s="10" t="s">
        <v>56</v>
      </c>
      <c r="Y511" s="10" t="s">
        <v>57</v>
      </c>
      <c r="Z511" s="75"/>
      <c r="AA511" s="76"/>
      <c r="AB511" s="77">
        <v>18923</v>
      </c>
      <c r="AC511" s="77">
        <v>18923</v>
      </c>
      <c r="AD511" s="10"/>
      <c r="AG511" s="7">
        <v>1951</v>
      </c>
      <c r="AH511" s="7">
        <v>1950</v>
      </c>
      <c r="AI511" s="7"/>
      <c r="AJ511" s="73"/>
      <c r="AK511" s="7"/>
      <c r="AL511" s="16"/>
      <c r="AM511" s="2" t="s">
        <v>59</v>
      </c>
      <c r="AW511" s="6" t="str">
        <f t="shared" ca="1" si="9"/>
        <v/>
      </c>
    </row>
    <row r="512" ht="45" hidden="1" customHeight="1" outlineLevel="1">
      <c r="A512" s="69"/>
      <c r="B512" s="3" t="s">
        <v>47</v>
      </c>
      <c r="C512" s="4" t="s">
        <v>1357</v>
      </c>
      <c r="E512" s="2" t="s">
        <v>83</v>
      </c>
      <c r="F512" s="6" t="s">
        <v>704</v>
      </c>
      <c r="G512" s="5" t="s">
        <v>705</v>
      </c>
      <c r="H512" s="2" t="s">
        <v>51</v>
      </c>
      <c r="I512" s="96" t="s">
        <v>1358</v>
      </c>
      <c r="J512" s="7">
        <v>1</v>
      </c>
      <c r="K512" s="70"/>
      <c r="L512" s="9">
        <v>1</v>
      </c>
      <c r="M512" s="3">
        <v>354</v>
      </c>
      <c r="P512" s="71"/>
      <c r="R512" s="6">
        <v>1940</v>
      </c>
      <c r="S512" s="3" t="s">
        <v>236</v>
      </c>
      <c r="T512" s="72"/>
      <c r="U512" s="73"/>
      <c r="W512" s="2" t="s">
        <v>62</v>
      </c>
      <c r="X512" s="10"/>
      <c r="Y512" s="10"/>
      <c r="Z512" s="75"/>
      <c r="AA512" s="76"/>
      <c r="AB512" s="77"/>
      <c r="AC512" s="77"/>
      <c r="AD512" s="10"/>
      <c r="AI512" s="7"/>
      <c r="AJ512" s="95"/>
      <c r="AK512" s="114"/>
      <c r="AL512" s="16"/>
      <c r="AW512" s="6" t="str">
        <f t="shared" ca="1" si="9"/>
        <v/>
      </c>
    </row>
    <row r="513" ht="45" customHeight="1" outlineLevel="1">
      <c r="A513" s="69"/>
      <c r="B513" s="3" t="s">
        <v>47</v>
      </c>
      <c r="E513" s="2" t="s">
        <v>83</v>
      </c>
      <c r="F513" s="6" t="s">
        <v>704</v>
      </c>
      <c r="G513" s="5" t="s">
        <v>1359</v>
      </c>
      <c r="H513" s="2" t="s">
        <v>57</v>
      </c>
      <c r="I513" s="3" t="s">
        <v>1360</v>
      </c>
      <c r="J513" s="7">
        <v>1</v>
      </c>
      <c r="K513" s="70" t="s">
        <v>53</v>
      </c>
      <c r="L513" s="9">
        <v>1</v>
      </c>
      <c r="M513" s="3">
        <v>355</v>
      </c>
      <c r="P513" s="71"/>
      <c r="R513" s="6">
        <v>1940</v>
      </c>
      <c r="S513" s="3" t="s">
        <v>54</v>
      </c>
      <c r="T513" s="72"/>
      <c r="U513" s="73"/>
      <c r="W513" s="2" t="s">
        <v>1361</v>
      </c>
      <c r="X513" s="10" t="s">
        <v>56</v>
      </c>
      <c r="Y513" s="10" t="s">
        <v>57</v>
      </c>
      <c r="Z513" s="75"/>
      <c r="AA513" s="76"/>
      <c r="AB513" s="77">
        <v>18909</v>
      </c>
      <c r="AC513" s="77">
        <v>18909</v>
      </c>
      <c r="AD513" s="10"/>
      <c r="AG513" s="7">
        <v>1951</v>
      </c>
      <c r="AH513" s="7">
        <v>1950</v>
      </c>
      <c r="AI513" s="7"/>
      <c r="AJ513" s="73"/>
      <c r="AK513" s="7"/>
      <c r="AL513" s="16"/>
      <c r="AM513" s="2" t="s">
        <v>59</v>
      </c>
      <c r="AW513" s="6" t="str">
        <f t="shared" ca="1" si="9"/>
        <v/>
      </c>
    </row>
    <row r="514" ht="45" customHeight="1" outlineLevel="1">
      <c r="A514" s="69"/>
      <c r="B514" s="3" t="s">
        <v>47</v>
      </c>
      <c r="E514" s="2" t="s">
        <v>83</v>
      </c>
      <c r="F514" s="6" t="s">
        <v>179</v>
      </c>
      <c r="G514" s="5" t="s">
        <v>339</v>
      </c>
      <c r="H514" s="2" t="s">
        <v>51</v>
      </c>
      <c r="I514" s="3" t="s">
        <v>1362</v>
      </c>
      <c r="J514" s="7">
        <v>1</v>
      </c>
      <c r="K514" s="70" t="s">
        <v>53</v>
      </c>
      <c r="L514" s="9">
        <v>1</v>
      </c>
      <c r="M514" s="3">
        <v>356</v>
      </c>
      <c r="P514" s="71"/>
      <c r="R514" s="6">
        <v>1940</v>
      </c>
      <c r="S514" s="3" t="s">
        <v>54</v>
      </c>
      <c r="T514" s="72"/>
      <c r="U514" s="73"/>
      <c r="W514" s="2" t="s">
        <v>1363</v>
      </c>
      <c r="X514" s="10" t="s">
        <v>56</v>
      </c>
      <c r="Y514" s="10" t="s">
        <v>57</v>
      </c>
      <c r="Z514" s="75" t="s">
        <v>58</v>
      </c>
      <c r="AA514" s="76"/>
      <c r="AB514" s="77">
        <v>16746</v>
      </c>
      <c r="AC514" s="77">
        <v>16746</v>
      </c>
      <c r="AD514" s="10"/>
      <c r="AG514" s="7">
        <v>1945</v>
      </c>
      <c r="AH514" s="7">
        <v>1940</v>
      </c>
      <c r="AI514" s="7"/>
      <c r="AJ514" s="73"/>
      <c r="AK514" s="7"/>
      <c r="AL514" s="16"/>
      <c r="AM514" s="2" t="s">
        <v>59</v>
      </c>
      <c r="AU514" s="16" t="s">
        <v>1364</v>
      </c>
      <c r="AW514" s="6" t="str">
        <f t="shared" ca="1" si="9"/>
        <v/>
      </c>
    </row>
    <row r="515" ht="45" customHeight="1" outlineLevel="1">
      <c r="A515" s="69"/>
      <c r="B515" s="3" t="s">
        <v>47</v>
      </c>
      <c r="E515" s="2" t="s">
        <v>83</v>
      </c>
      <c r="F515" s="6" t="s">
        <v>179</v>
      </c>
      <c r="G515" s="5" t="s">
        <v>339</v>
      </c>
      <c r="H515" s="2" t="s">
        <v>51</v>
      </c>
      <c r="I515" s="3" t="s">
        <v>326</v>
      </c>
      <c r="J515" s="7">
        <v>1</v>
      </c>
      <c r="K515" s="70" t="s">
        <v>53</v>
      </c>
      <c r="L515" s="9">
        <v>1</v>
      </c>
      <c r="M515" s="3">
        <v>357</v>
      </c>
      <c r="P515" s="71"/>
      <c r="R515" s="6">
        <v>1940</v>
      </c>
      <c r="S515" s="3" t="s">
        <v>54</v>
      </c>
      <c r="T515" s="72"/>
      <c r="U515" s="73"/>
      <c r="W515" s="2" t="s">
        <v>1365</v>
      </c>
      <c r="X515" s="10" t="s">
        <v>56</v>
      </c>
      <c r="Y515" s="10" t="s">
        <v>57</v>
      </c>
      <c r="Z515" s="75" t="s">
        <v>58</v>
      </c>
      <c r="AA515" s="76"/>
      <c r="AB515" s="77">
        <v>16746</v>
      </c>
      <c r="AC515" s="77">
        <v>16746</v>
      </c>
      <c r="AD515" s="10"/>
      <c r="AG515" s="7">
        <v>1945</v>
      </c>
      <c r="AH515" s="7">
        <v>1940</v>
      </c>
      <c r="AI515" s="7"/>
      <c r="AJ515" s="73"/>
      <c r="AK515" s="7"/>
      <c r="AL515" s="16"/>
      <c r="AM515" s="2" t="s">
        <v>59</v>
      </c>
      <c r="AW515" s="6" t="str">
        <f t="shared" ca="1" si="9"/>
        <v/>
      </c>
    </row>
    <row r="516" ht="45" customHeight="1" outlineLevel="1">
      <c r="A516" s="69"/>
      <c r="B516" s="3" t="s">
        <v>47</v>
      </c>
      <c r="E516" s="2" t="s">
        <v>63</v>
      </c>
      <c r="F516" s="6" t="s">
        <v>64</v>
      </c>
      <c r="G516" s="5" t="s">
        <v>1366</v>
      </c>
      <c r="H516" s="2" t="s">
        <v>257</v>
      </c>
      <c r="I516" s="3" t="s">
        <v>1367</v>
      </c>
      <c r="J516" s="7">
        <v>1</v>
      </c>
      <c r="K516" s="70" t="s">
        <v>53</v>
      </c>
      <c r="L516" s="9">
        <v>1</v>
      </c>
      <c r="M516" s="3">
        <v>358</v>
      </c>
      <c r="N516" s="6">
        <v>1946</v>
      </c>
      <c r="P516" s="71"/>
      <c r="R516" s="6">
        <v>1940</v>
      </c>
      <c r="S516" s="3" t="s">
        <v>54</v>
      </c>
      <c r="T516" s="72"/>
      <c r="U516" s="73"/>
      <c r="W516" s="2" t="s">
        <v>1368</v>
      </c>
      <c r="X516" s="10" t="s">
        <v>56</v>
      </c>
      <c r="Y516" s="10" t="s">
        <v>68</v>
      </c>
      <c r="Z516" s="75" t="s">
        <v>260</v>
      </c>
      <c r="AA516" s="76"/>
      <c r="AB516" s="77"/>
      <c r="AC516" s="77">
        <v>22787</v>
      </c>
      <c r="AD516" s="10"/>
      <c r="AG516" s="7">
        <v>1962</v>
      </c>
      <c r="AH516" s="7">
        <v>1960</v>
      </c>
      <c r="AI516" s="7"/>
      <c r="AJ516" s="73"/>
      <c r="AK516" s="7"/>
      <c r="AL516" s="16"/>
      <c r="AM516" s="2" t="s">
        <v>82</v>
      </c>
      <c r="AW516" s="6">
        <f t="shared" ca="1" si="9"/>
        <v>79</v>
      </c>
    </row>
    <row r="517" ht="45" customHeight="1">
      <c r="A517" s="69"/>
      <c r="B517" s="3" t="s">
        <v>47</v>
      </c>
      <c r="E517" s="2" t="s">
        <v>63</v>
      </c>
      <c r="F517" s="6" t="s">
        <v>64</v>
      </c>
      <c r="G517" s="5" t="s">
        <v>679</v>
      </c>
      <c r="H517" s="2" t="s">
        <v>288</v>
      </c>
      <c r="I517" s="3" t="s">
        <v>1369</v>
      </c>
      <c r="J517" s="7">
        <v>1</v>
      </c>
      <c r="K517" s="70" t="s">
        <v>53</v>
      </c>
      <c r="L517" s="9">
        <v>1</v>
      </c>
      <c r="M517" s="3">
        <v>359</v>
      </c>
      <c r="N517" s="6">
        <v>1945</v>
      </c>
      <c r="P517" s="71"/>
      <c r="R517" s="6">
        <v>1940</v>
      </c>
      <c r="S517" s="3" t="s">
        <v>54</v>
      </c>
      <c r="T517" s="72"/>
      <c r="U517" s="73"/>
      <c r="W517" s="2" t="s">
        <v>1370</v>
      </c>
      <c r="X517" s="10" t="s">
        <v>56</v>
      </c>
      <c r="Y517" s="10" t="s">
        <v>288</v>
      </c>
      <c r="Z517" s="75"/>
      <c r="AA517" s="76">
        <v>26582</v>
      </c>
      <c r="AB517" s="77"/>
      <c r="AC517" s="77"/>
      <c r="AD517" s="6"/>
      <c r="AE517" s="7">
        <v>1972</v>
      </c>
      <c r="AF517" s="7">
        <v>58</v>
      </c>
      <c r="AG517" s="7">
        <v>1972</v>
      </c>
      <c r="AH517" s="7">
        <v>1970</v>
      </c>
      <c r="AI517" s="7"/>
      <c r="AJ517" s="73"/>
      <c r="AK517" s="7"/>
      <c r="AL517" s="16" t="s">
        <v>1371</v>
      </c>
      <c r="AM517" s="2" t="s">
        <v>73</v>
      </c>
      <c r="AO517" s="6" t="s">
        <v>73</v>
      </c>
      <c r="AU517" s="16" t="s">
        <v>718</v>
      </c>
      <c r="AW517" s="6">
        <f t="shared" ca="1" si="9"/>
        <v>80</v>
      </c>
    </row>
    <row r="518" ht="45" customHeight="1">
      <c r="A518" s="69"/>
      <c r="B518" s="3" t="s">
        <v>47</v>
      </c>
      <c r="E518" s="2" t="s">
        <v>63</v>
      </c>
      <c r="F518" s="6" t="s">
        <v>64</v>
      </c>
      <c r="G518" s="5" t="s">
        <v>679</v>
      </c>
      <c r="H518" s="2" t="s">
        <v>51</v>
      </c>
      <c r="I518" s="3" t="s">
        <v>1372</v>
      </c>
      <c r="J518" s="7">
        <v>1</v>
      </c>
      <c r="K518" s="70" t="s">
        <v>53</v>
      </c>
      <c r="L518" s="9">
        <v>0</v>
      </c>
      <c r="M518" s="3">
        <v>359</v>
      </c>
      <c r="N518" s="6">
        <v>1945</v>
      </c>
      <c r="P518" s="71"/>
      <c r="R518" s="6">
        <v>1940</v>
      </c>
      <c r="S518" s="3" t="s">
        <v>54</v>
      </c>
      <c r="T518" s="72"/>
      <c r="U518" s="73"/>
      <c r="W518" s="2" t="s">
        <v>1373</v>
      </c>
      <c r="X518" s="10" t="s">
        <v>56</v>
      </c>
      <c r="Y518" s="10" t="s">
        <v>57</v>
      </c>
      <c r="Z518" s="75" t="s">
        <v>58</v>
      </c>
      <c r="AA518" s="76"/>
      <c r="AB518" s="77">
        <v>18773</v>
      </c>
      <c r="AC518" s="77">
        <v>18773</v>
      </c>
      <c r="AD518" s="10"/>
      <c r="AG518" s="7">
        <v>1951</v>
      </c>
      <c r="AH518" s="7">
        <v>1950</v>
      </c>
      <c r="AI518" s="7"/>
      <c r="AJ518" s="73"/>
      <c r="AK518" s="7"/>
      <c r="AL518" s="99"/>
      <c r="AM518" s="2" t="s">
        <v>59</v>
      </c>
      <c r="AW518" s="6">
        <f t="shared" ca="1" si="9"/>
        <v>80</v>
      </c>
    </row>
    <row r="519" ht="45" customHeight="1">
      <c r="A519" s="69"/>
      <c r="B519" s="3" t="s">
        <v>47</v>
      </c>
      <c r="E519" s="2" t="s">
        <v>63</v>
      </c>
      <c r="F519" s="6" t="s">
        <v>64</v>
      </c>
      <c r="G519" s="5" t="s">
        <v>679</v>
      </c>
      <c r="H519" s="2" t="s">
        <v>51</v>
      </c>
      <c r="I519" s="3" t="s">
        <v>1374</v>
      </c>
      <c r="J519" s="7">
        <v>1</v>
      </c>
      <c r="K519" s="70" t="s">
        <v>53</v>
      </c>
      <c r="L519" s="9">
        <v>0</v>
      </c>
      <c r="M519" s="3">
        <v>359</v>
      </c>
      <c r="N519" s="6">
        <v>1945</v>
      </c>
      <c r="P519" s="71"/>
      <c r="R519" s="6">
        <v>1940</v>
      </c>
      <c r="S519" s="3" t="s">
        <v>54</v>
      </c>
      <c r="T519" s="72"/>
      <c r="U519" s="73"/>
      <c r="W519" s="2" t="s">
        <v>1375</v>
      </c>
      <c r="X519" s="10" t="s">
        <v>56</v>
      </c>
      <c r="Y519" s="10" t="s">
        <v>57</v>
      </c>
      <c r="Z519" s="75" t="s">
        <v>58</v>
      </c>
      <c r="AA519" s="76"/>
      <c r="AB519" s="77">
        <v>18773</v>
      </c>
      <c r="AC519" s="77">
        <v>18773</v>
      </c>
      <c r="AD519" s="10"/>
      <c r="AG519" s="7">
        <v>1951</v>
      </c>
      <c r="AH519" s="7">
        <v>1950</v>
      </c>
      <c r="AI519" s="7"/>
      <c r="AJ519" s="73"/>
      <c r="AK519" s="7"/>
      <c r="AL519" s="99"/>
      <c r="AM519" s="2" t="s">
        <v>59</v>
      </c>
      <c r="AW519" s="6">
        <f t="shared" ca="1" si="9"/>
        <v>80</v>
      </c>
    </row>
    <row r="520" ht="45" customHeight="1">
      <c r="A520" s="69"/>
      <c r="B520" s="3" t="s">
        <v>47</v>
      </c>
      <c r="E520" s="2" t="s">
        <v>63</v>
      </c>
      <c r="F520" s="6" t="s">
        <v>64</v>
      </c>
      <c r="G520" s="5" t="s">
        <v>679</v>
      </c>
      <c r="H520" s="2" t="s">
        <v>51</v>
      </c>
      <c r="I520" s="3" t="s">
        <v>1376</v>
      </c>
      <c r="J520" s="7">
        <v>1</v>
      </c>
      <c r="K520" s="70" t="s">
        <v>53</v>
      </c>
      <c r="L520" s="9">
        <v>0</v>
      </c>
      <c r="M520" s="3">
        <v>359</v>
      </c>
      <c r="N520" s="6">
        <v>1945</v>
      </c>
      <c r="P520" s="71"/>
      <c r="R520" s="6">
        <v>1940</v>
      </c>
      <c r="S520" s="3" t="s">
        <v>54</v>
      </c>
      <c r="T520" s="72"/>
      <c r="U520" s="73"/>
      <c r="W520" s="2" t="s">
        <v>1377</v>
      </c>
      <c r="X520" s="10" t="s">
        <v>56</v>
      </c>
      <c r="Y520" s="10" t="s">
        <v>57</v>
      </c>
      <c r="Z520" s="75" t="s">
        <v>58</v>
      </c>
      <c r="AA520" s="76"/>
      <c r="AB520" s="77">
        <v>18773</v>
      </c>
      <c r="AC520" s="77">
        <v>18773</v>
      </c>
      <c r="AD520" s="10"/>
      <c r="AG520" s="7">
        <v>1951</v>
      </c>
      <c r="AH520" s="7">
        <v>1950</v>
      </c>
      <c r="AI520" s="7"/>
      <c r="AJ520" s="73"/>
      <c r="AK520" s="7"/>
      <c r="AL520" s="99"/>
      <c r="AM520" s="2" t="s">
        <v>59</v>
      </c>
      <c r="AW520" s="6">
        <f t="shared" ca="1" si="9"/>
        <v>80</v>
      </c>
    </row>
    <row r="521" ht="45" customHeight="1">
      <c r="A521" s="69"/>
      <c r="B521" s="3" t="s">
        <v>47</v>
      </c>
      <c r="E521" s="2" t="s">
        <v>63</v>
      </c>
      <c r="F521" s="6" t="s">
        <v>64</v>
      </c>
      <c r="G521" s="5" t="s">
        <v>679</v>
      </c>
      <c r="H521" s="2" t="s">
        <v>51</v>
      </c>
      <c r="I521" s="3" t="s">
        <v>1378</v>
      </c>
      <c r="J521" s="7">
        <v>1</v>
      </c>
      <c r="K521" s="70" t="s">
        <v>53</v>
      </c>
      <c r="L521" s="9">
        <v>0</v>
      </c>
      <c r="M521" s="3">
        <v>359</v>
      </c>
      <c r="N521" s="6">
        <v>1945</v>
      </c>
      <c r="P521" s="71"/>
      <c r="R521" s="6">
        <v>1940</v>
      </c>
      <c r="S521" s="3" t="s">
        <v>54</v>
      </c>
      <c r="T521" s="72"/>
      <c r="U521" s="73"/>
      <c r="W521" s="2" t="s">
        <v>1379</v>
      </c>
      <c r="X521" s="10" t="s">
        <v>56</v>
      </c>
      <c r="Y521" s="10" t="s">
        <v>57</v>
      </c>
      <c r="Z521" s="75" t="s">
        <v>58</v>
      </c>
      <c r="AA521" s="76"/>
      <c r="AB521" s="77">
        <v>18773</v>
      </c>
      <c r="AC521" s="77">
        <v>18773</v>
      </c>
      <c r="AD521" s="10"/>
      <c r="AG521" s="7">
        <v>1951</v>
      </c>
      <c r="AH521" s="7">
        <v>1950</v>
      </c>
      <c r="AI521" s="7"/>
      <c r="AJ521" s="73"/>
      <c r="AK521" s="7"/>
      <c r="AL521" s="99"/>
      <c r="AM521" s="2" t="s">
        <v>59</v>
      </c>
      <c r="AW521" s="6">
        <f t="shared" ca="1" si="9"/>
        <v>80</v>
      </c>
    </row>
    <row r="522" ht="45" customHeight="1">
      <c r="A522" s="69"/>
      <c r="B522" s="3" t="s">
        <v>47</v>
      </c>
      <c r="E522" s="2" t="s">
        <v>83</v>
      </c>
      <c r="F522" s="6" t="s">
        <v>931</v>
      </c>
      <c r="G522" s="5" t="s">
        <v>932</v>
      </c>
      <c r="H522" s="2" t="s">
        <v>51</v>
      </c>
      <c r="I522" s="3" t="s">
        <v>326</v>
      </c>
      <c r="J522" s="7">
        <v>1</v>
      </c>
      <c r="K522" s="70" t="s">
        <v>53</v>
      </c>
      <c r="L522" s="9">
        <v>1</v>
      </c>
      <c r="M522" s="3">
        <v>360</v>
      </c>
      <c r="N522" s="6">
        <v>1946</v>
      </c>
      <c r="P522" s="71"/>
      <c r="R522" s="6">
        <v>1940</v>
      </c>
      <c r="S522" s="3" t="s">
        <v>54</v>
      </c>
      <c r="T522" s="72"/>
      <c r="U522" s="73"/>
      <c r="W522" s="2" t="s">
        <v>1380</v>
      </c>
      <c r="X522" s="10" t="s">
        <v>56</v>
      </c>
      <c r="Y522" s="10" t="s">
        <v>57</v>
      </c>
      <c r="Z522" s="75" t="s">
        <v>58</v>
      </c>
      <c r="AA522" s="76"/>
      <c r="AB522" s="77">
        <v>17007</v>
      </c>
      <c r="AC522" s="77"/>
      <c r="AD522" s="6"/>
      <c r="AG522" s="7">
        <v>1946</v>
      </c>
      <c r="AH522" s="7">
        <v>1940</v>
      </c>
      <c r="AI522" s="7"/>
      <c r="AJ522" s="73"/>
      <c r="AK522" s="7"/>
      <c r="AL522" s="16"/>
      <c r="AM522" s="2" t="s">
        <v>59</v>
      </c>
      <c r="AO522" s="6" t="s">
        <v>136</v>
      </c>
      <c r="AW522" s="6">
        <f t="shared" ca="1" si="9"/>
        <v>79</v>
      </c>
    </row>
    <row r="523" ht="45" customHeight="1">
      <c r="A523" s="69"/>
      <c r="B523" s="3" t="s">
        <v>47</v>
      </c>
      <c r="E523" s="2" t="s">
        <v>83</v>
      </c>
      <c r="F523" s="6" t="s">
        <v>179</v>
      </c>
      <c r="G523" s="5" t="s">
        <v>334</v>
      </c>
      <c r="H523" s="2" t="s">
        <v>57</v>
      </c>
      <c r="I523" s="3" t="s">
        <v>1381</v>
      </c>
      <c r="J523" s="7">
        <v>1</v>
      </c>
      <c r="K523" s="70" t="s">
        <v>53</v>
      </c>
      <c r="L523" s="9">
        <v>1</v>
      </c>
      <c r="M523" s="3">
        <v>361</v>
      </c>
      <c r="N523" s="6">
        <v>1946</v>
      </c>
      <c r="P523" s="71"/>
      <c r="R523" s="6">
        <v>1940</v>
      </c>
      <c r="S523" s="3" t="s">
        <v>54</v>
      </c>
      <c r="T523" s="72"/>
      <c r="U523" s="73"/>
      <c r="W523" s="2" t="s">
        <v>1382</v>
      </c>
      <c r="X523" s="10" t="s">
        <v>56</v>
      </c>
      <c r="Y523" s="10" t="s">
        <v>57</v>
      </c>
      <c r="Z523" s="75"/>
      <c r="AA523" s="76"/>
      <c r="AB523" s="77">
        <v>17015</v>
      </c>
      <c r="AC523" s="77">
        <v>17015</v>
      </c>
      <c r="AD523" s="10"/>
      <c r="AE523" s="7">
        <v>1946</v>
      </c>
      <c r="AF523" s="7">
        <v>12</v>
      </c>
      <c r="AG523" s="7">
        <v>1946</v>
      </c>
      <c r="AH523" s="7">
        <v>1940</v>
      </c>
      <c r="AI523" s="7"/>
      <c r="AJ523" s="73"/>
      <c r="AK523" s="7"/>
      <c r="AL523" s="16"/>
      <c r="AM523" s="2" t="s">
        <v>59</v>
      </c>
      <c r="AU523" s="16" t="s">
        <v>1383</v>
      </c>
      <c r="AW523" s="6">
        <f t="shared" ca="1" si="9"/>
        <v>79</v>
      </c>
    </row>
    <row r="524" ht="45" hidden="1" customHeight="1">
      <c r="A524" s="69"/>
      <c r="B524" s="3" t="s">
        <v>47</v>
      </c>
      <c r="C524" s="4" t="s">
        <v>1298</v>
      </c>
      <c r="E524" s="2" t="s">
        <v>83</v>
      </c>
      <c r="F524" s="6" t="s">
        <v>704</v>
      </c>
      <c r="G524" s="5" t="s">
        <v>1306</v>
      </c>
      <c r="H524" s="2" t="s">
        <v>382</v>
      </c>
      <c r="I524" s="3" t="s">
        <v>1384</v>
      </c>
      <c r="J524" s="7">
        <v>1</v>
      </c>
      <c r="K524" s="70"/>
      <c r="L524" s="9">
        <v>1</v>
      </c>
      <c r="M524" s="3">
        <v>362</v>
      </c>
      <c r="N524" s="6">
        <v>1946</v>
      </c>
      <c r="P524" s="71"/>
      <c r="R524" s="6">
        <v>1940</v>
      </c>
      <c r="S524" s="3" t="s">
        <v>236</v>
      </c>
      <c r="T524" s="72"/>
      <c r="U524" s="73"/>
      <c r="W524" s="2" t="s">
        <v>62</v>
      </c>
      <c r="X524" s="10" t="s">
        <v>91</v>
      </c>
      <c r="Y524" s="10" t="s">
        <v>385</v>
      </c>
      <c r="Z524" s="75"/>
      <c r="AA524" s="76"/>
      <c r="AB524" s="77"/>
      <c r="AC524" s="77"/>
      <c r="AD524" s="10"/>
      <c r="AI524" s="7"/>
      <c r="AJ524" s="95">
        <v>36283</v>
      </c>
      <c r="AK524" s="7">
        <v>1990</v>
      </c>
      <c r="AL524" s="16"/>
      <c r="AM524" s="2" t="s">
        <v>82</v>
      </c>
      <c r="AW524" s="6">
        <f t="shared" ca="1" si="9"/>
        <v>79</v>
      </c>
    </row>
    <row r="525" ht="45" hidden="1" customHeight="1">
      <c r="A525" s="69"/>
      <c r="B525" s="3" t="s">
        <v>47</v>
      </c>
      <c r="C525" s="4" t="s">
        <v>1385</v>
      </c>
      <c r="E525" s="2" t="s">
        <v>48</v>
      </c>
      <c r="F525" s="6" t="s">
        <v>564</v>
      </c>
      <c r="G525" s="5" t="s">
        <v>565</v>
      </c>
      <c r="H525" s="2" t="s">
        <v>57</v>
      </c>
      <c r="I525" s="3" t="s">
        <v>1386</v>
      </c>
      <c r="J525" s="7">
        <v>1</v>
      </c>
      <c r="K525" s="70"/>
      <c r="L525" s="9">
        <v>1</v>
      </c>
      <c r="M525" s="3">
        <v>363</v>
      </c>
      <c r="P525" s="71"/>
      <c r="R525" s="6">
        <v>1940</v>
      </c>
      <c r="S525" s="3" t="s">
        <v>236</v>
      </c>
      <c r="T525" s="72"/>
      <c r="U525" s="73"/>
      <c r="W525" s="2" t="s">
        <v>62</v>
      </c>
      <c r="X525" s="10" t="s">
        <v>56</v>
      </c>
      <c r="Y525" s="10" t="s">
        <v>57</v>
      </c>
      <c r="Z525" s="75"/>
      <c r="AA525" s="76"/>
      <c r="AB525" s="77"/>
      <c r="AC525" s="77"/>
      <c r="AD525" s="10"/>
      <c r="AI525" s="7"/>
      <c r="AJ525" s="95">
        <v>18426</v>
      </c>
      <c r="AK525" s="7">
        <v>1950</v>
      </c>
      <c r="AL525" s="16"/>
      <c r="AW525" s="6" t="str">
        <f t="shared" ca="1" si="9"/>
        <v/>
      </c>
    </row>
    <row r="526" ht="45" hidden="1" customHeight="1">
      <c r="A526" s="69"/>
      <c r="B526" s="3" t="s">
        <v>190</v>
      </c>
      <c r="C526" s="4" t="s">
        <v>1387</v>
      </c>
      <c r="D526" s="5" t="s">
        <v>1388</v>
      </c>
      <c r="E526" s="2" t="s">
        <v>83</v>
      </c>
      <c r="F526" s="6" t="s">
        <v>84</v>
      </c>
      <c r="G526" s="5" t="s">
        <v>85</v>
      </c>
      <c r="H526" s="2" t="s">
        <v>88</v>
      </c>
      <c r="I526" s="3" t="s">
        <v>1389</v>
      </c>
      <c r="J526" s="7">
        <v>1</v>
      </c>
      <c r="K526" s="70"/>
      <c r="L526" s="9">
        <v>1</v>
      </c>
      <c r="M526" s="3">
        <v>364</v>
      </c>
      <c r="N526" s="6">
        <v>1946</v>
      </c>
      <c r="P526" s="71"/>
      <c r="R526" s="6">
        <v>1940</v>
      </c>
      <c r="S526" s="3" t="s">
        <v>283</v>
      </c>
      <c r="T526" s="72"/>
      <c r="U526" s="73"/>
      <c r="W526" s="74" t="s">
        <v>62</v>
      </c>
      <c r="X526" s="10" t="s">
        <v>91</v>
      </c>
      <c r="Y526" s="10" t="s">
        <v>214</v>
      </c>
      <c r="Z526" s="75"/>
      <c r="AA526" s="76"/>
      <c r="AB526" s="77"/>
      <c r="AC526" s="77"/>
      <c r="AD526" s="10"/>
      <c r="AI526" s="7"/>
      <c r="AJ526" s="73"/>
      <c r="AK526" s="7"/>
      <c r="AW526" s="6">
        <f t="shared" ca="1" si="9"/>
        <v>79</v>
      </c>
    </row>
    <row r="527" ht="45" customHeight="1">
      <c r="A527" s="69"/>
      <c r="B527" s="3" t="s">
        <v>47</v>
      </c>
      <c r="E527" s="2" t="s">
        <v>83</v>
      </c>
      <c r="F527" s="6" t="s">
        <v>84</v>
      </c>
      <c r="G527" s="5" t="s">
        <v>797</v>
      </c>
      <c r="H527" s="2" t="s">
        <v>181</v>
      </c>
      <c r="I527" s="3" t="s">
        <v>1390</v>
      </c>
      <c r="J527" s="7">
        <v>1</v>
      </c>
      <c r="K527" s="70" t="s">
        <v>53</v>
      </c>
      <c r="L527" s="9">
        <v>1</v>
      </c>
      <c r="M527" s="3">
        <v>365</v>
      </c>
      <c r="N527" s="6">
        <v>1946</v>
      </c>
      <c r="P527" s="71"/>
      <c r="R527" s="6">
        <v>1940</v>
      </c>
      <c r="S527" s="3" t="s">
        <v>54</v>
      </c>
      <c r="T527" s="72"/>
      <c r="U527" s="73"/>
      <c r="W527" s="2" t="s">
        <v>1391</v>
      </c>
      <c r="X527" s="10" t="s">
        <v>56</v>
      </c>
      <c r="Y527" s="10" t="s">
        <v>181</v>
      </c>
      <c r="Z527" s="75"/>
      <c r="AA527" s="76"/>
      <c r="AB527" s="77"/>
      <c r="AC527" s="77">
        <v>20097</v>
      </c>
      <c r="AD527" s="10"/>
      <c r="AG527" s="7">
        <v>1955</v>
      </c>
      <c r="AH527" s="7">
        <v>1950</v>
      </c>
      <c r="AI527" s="7"/>
      <c r="AJ527" s="73"/>
      <c r="AK527" s="7"/>
      <c r="AL527" s="16"/>
      <c r="AM527" s="2" t="s">
        <v>59</v>
      </c>
      <c r="AU527" s="16" t="s">
        <v>1392</v>
      </c>
      <c r="AW527" s="6">
        <f t="shared" ca="1" si="9"/>
        <v>79</v>
      </c>
    </row>
    <row r="528" ht="45" hidden="1" customHeight="1">
      <c r="A528" s="69"/>
      <c r="B528" s="3" t="s">
        <v>47</v>
      </c>
      <c r="C528" s="4" t="s">
        <v>1393</v>
      </c>
      <c r="E528" s="2" t="s">
        <v>83</v>
      </c>
      <c r="F528" s="6" t="s">
        <v>704</v>
      </c>
      <c r="G528" s="5" t="s">
        <v>915</v>
      </c>
      <c r="H528" s="2" t="s">
        <v>51</v>
      </c>
      <c r="I528" s="131" t="s">
        <v>406</v>
      </c>
      <c r="J528" s="7">
        <v>1</v>
      </c>
      <c r="L528" s="9">
        <v>1</v>
      </c>
      <c r="M528" s="3">
        <v>366</v>
      </c>
      <c r="N528" s="6">
        <v>1946</v>
      </c>
      <c r="P528" s="71"/>
      <c r="R528" s="6">
        <v>1940</v>
      </c>
      <c r="S528" s="3" t="s">
        <v>236</v>
      </c>
      <c r="T528" s="72"/>
      <c r="U528" s="73"/>
      <c r="W528" s="2" t="s">
        <v>62</v>
      </c>
      <c r="X528" s="10" t="s">
        <v>56</v>
      </c>
      <c r="Y528" s="10" t="s">
        <v>57</v>
      </c>
      <c r="Z528" s="75" t="s">
        <v>58</v>
      </c>
      <c r="AI528" s="7"/>
      <c r="AJ528" s="95">
        <v>36283</v>
      </c>
      <c r="AK528" s="7">
        <v>1990</v>
      </c>
      <c r="AL528" s="16"/>
      <c r="AW528" s="6">
        <f t="shared" ca="1" si="9"/>
        <v>79</v>
      </c>
    </row>
    <row r="529" ht="45" customHeight="1">
      <c r="A529" s="69"/>
      <c r="B529" s="3" t="s">
        <v>47</v>
      </c>
      <c r="E529" s="2" t="s">
        <v>83</v>
      </c>
      <c r="F529" s="6" t="s">
        <v>84</v>
      </c>
      <c r="G529" s="5" t="s">
        <v>85</v>
      </c>
      <c r="H529" s="2" t="s">
        <v>57</v>
      </c>
      <c r="I529" s="3" t="s">
        <v>1394</v>
      </c>
      <c r="J529" s="7">
        <v>1</v>
      </c>
      <c r="K529" s="70" t="s">
        <v>53</v>
      </c>
      <c r="L529" s="9">
        <v>1</v>
      </c>
      <c r="M529" s="3">
        <v>367</v>
      </c>
      <c r="N529" s="6">
        <v>1947</v>
      </c>
      <c r="P529" s="71"/>
      <c r="R529" s="6">
        <v>1940</v>
      </c>
      <c r="S529" s="3" t="s">
        <v>54</v>
      </c>
      <c r="T529" s="72"/>
      <c r="U529" s="73"/>
      <c r="W529" s="2" t="s">
        <v>1395</v>
      </c>
      <c r="X529" s="10" t="s">
        <v>56</v>
      </c>
      <c r="Y529" s="10" t="s">
        <v>57</v>
      </c>
      <c r="Z529" s="75"/>
      <c r="AA529" s="76"/>
      <c r="AB529" s="77"/>
      <c r="AC529" s="77">
        <v>17409</v>
      </c>
      <c r="AD529" s="10"/>
      <c r="AE529" s="7">
        <v>1947</v>
      </c>
      <c r="AF529" s="7">
        <v>14</v>
      </c>
      <c r="AG529" s="7">
        <v>1947</v>
      </c>
      <c r="AH529" s="7">
        <v>1940</v>
      </c>
      <c r="AI529" s="7"/>
      <c r="AJ529" s="73"/>
      <c r="AK529" s="7"/>
      <c r="AL529" s="16"/>
      <c r="AM529" s="2" t="s">
        <v>59</v>
      </c>
      <c r="AW529" s="6">
        <f t="shared" ca="1" si="9"/>
        <v>78</v>
      </c>
    </row>
    <row r="530" ht="45" customHeight="1">
      <c r="A530" s="69"/>
      <c r="B530" s="3" t="s">
        <v>47</v>
      </c>
      <c r="E530" s="2" t="s">
        <v>83</v>
      </c>
      <c r="F530" s="6" t="s">
        <v>179</v>
      </c>
      <c r="G530" s="5" t="s">
        <v>1396</v>
      </c>
      <c r="H530" s="2" t="s">
        <v>51</v>
      </c>
      <c r="I530" s="3" t="s">
        <v>738</v>
      </c>
      <c r="J530" s="7">
        <v>1</v>
      </c>
      <c r="K530" s="70" t="s">
        <v>53</v>
      </c>
      <c r="L530" s="9">
        <v>1</v>
      </c>
      <c r="M530" s="3">
        <v>368</v>
      </c>
      <c r="N530" s="6">
        <v>1948</v>
      </c>
      <c r="P530" s="71"/>
      <c r="R530" s="6">
        <v>1940</v>
      </c>
      <c r="S530" s="3" t="s">
        <v>54</v>
      </c>
      <c r="T530" s="72"/>
      <c r="U530" s="73"/>
      <c r="W530" s="2" t="s">
        <v>1397</v>
      </c>
      <c r="X530" s="10" t="s">
        <v>56</v>
      </c>
      <c r="Y530" s="10" t="s">
        <v>57</v>
      </c>
      <c r="Z530" s="75" t="s">
        <v>58</v>
      </c>
      <c r="AA530" s="76"/>
      <c r="AB530" s="77"/>
      <c r="AC530" s="77">
        <v>17778</v>
      </c>
      <c r="AD530" s="10"/>
      <c r="AG530" s="7">
        <v>1948</v>
      </c>
      <c r="AH530" s="7">
        <v>1940</v>
      </c>
      <c r="AI530" s="7"/>
      <c r="AJ530" s="73"/>
      <c r="AK530" s="7"/>
      <c r="AL530" s="16"/>
      <c r="AM530" s="2" t="s">
        <v>59</v>
      </c>
      <c r="AW530" s="6">
        <f t="shared" ca="1" si="9"/>
        <v>77</v>
      </c>
    </row>
    <row r="531" ht="45" hidden="1" customHeight="1">
      <c r="A531" s="69"/>
      <c r="B531" s="3" t="s">
        <v>47</v>
      </c>
      <c r="C531" s="4" t="s">
        <v>1398</v>
      </c>
      <c r="E531" s="2" t="s">
        <v>63</v>
      </c>
      <c r="F531" s="6" t="s">
        <v>172</v>
      </c>
      <c r="G531" s="5" t="s">
        <v>173</v>
      </c>
      <c r="H531" s="2" t="s">
        <v>57</v>
      </c>
      <c r="I531" s="3" t="s">
        <v>1399</v>
      </c>
      <c r="J531" s="7">
        <v>1</v>
      </c>
      <c r="K531" s="70"/>
      <c r="L531" s="9">
        <v>1</v>
      </c>
      <c r="M531" s="3">
        <v>369</v>
      </c>
      <c r="P531" s="71"/>
      <c r="R531" s="6">
        <v>1940</v>
      </c>
      <c r="S531" s="3" t="s">
        <v>236</v>
      </c>
      <c r="T531" s="72"/>
      <c r="U531" s="73"/>
      <c r="W531" s="2" t="s">
        <v>62</v>
      </c>
      <c r="X531" s="10" t="s">
        <v>56</v>
      </c>
      <c r="Y531" s="10" t="s">
        <v>57</v>
      </c>
      <c r="Z531" s="75"/>
      <c r="AA531" s="76"/>
      <c r="AB531" s="77"/>
      <c r="AC531" s="77"/>
      <c r="AD531" s="10"/>
      <c r="AI531" s="7"/>
      <c r="AJ531" s="95">
        <v>18437</v>
      </c>
      <c r="AK531" s="7">
        <v>1950</v>
      </c>
      <c r="AL531" s="16"/>
      <c r="AW531" s="6" t="str">
        <f t="shared" ca="1" si="9"/>
        <v/>
      </c>
    </row>
    <row r="532" ht="45" customHeight="1">
      <c r="A532" s="69"/>
      <c r="B532" s="3" t="s">
        <v>47</v>
      </c>
      <c r="E532" s="2" t="s">
        <v>83</v>
      </c>
      <c r="F532" s="6" t="s">
        <v>704</v>
      </c>
      <c r="G532" s="5" t="s">
        <v>705</v>
      </c>
      <c r="H532" s="2" t="s">
        <v>57</v>
      </c>
      <c r="I532" s="3" t="s">
        <v>1400</v>
      </c>
      <c r="J532" s="7">
        <v>1</v>
      </c>
      <c r="K532" s="70" t="s">
        <v>53</v>
      </c>
      <c r="L532" s="9">
        <v>1</v>
      </c>
      <c r="M532" s="3">
        <v>370</v>
      </c>
      <c r="P532" s="71"/>
      <c r="R532" s="6">
        <v>1940</v>
      </c>
      <c r="S532" s="3" t="s">
        <v>54</v>
      </c>
      <c r="T532" s="72"/>
      <c r="U532" s="73"/>
      <c r="W532" s="2" t="s">
        <v>1401</v>
      </c>
      <c r="X532" s="10" t="s">
        <v>56</v>
      </c>
      <c r="Y532" s="10" t="s">
        <v>57</v>
      </c>
      <c r="Z532" s="75"/>
      <c r="AA532" s="76"/>
      <c r="AB532" s="77">
        <v>17570</v>
      </c>
      <c r="AC532" s="77"/>
      <c r="AD532" s="6"/>
      <c r="AG532" s="7">
        <v>1948</v>
      </c>
      <c r="AH532" s="7">
        <v>1940</v>
      </c>
      <c r="AI532" s="7"/>
      <c r="AJ532" s="73"/>
      <c r="AK532" s="7"/>
      <c r="AL532" s="16"/>
      <c r="AM532" s="2" t="s">
        <v>59</v>
      </c>
      <c r="AW532" s="6" t="str">
        <f t="shared" ca="1" si="9"/>
        <v/>
      </c>
    </row>
    <row r="533" ht="45" customHeight="1">
      <c r="A533" s="69"/>
      <c r="B533" s="3" t="s">
        <v>47</v>
      </c>
      <c r="E533" s="78" t="s">
        <v>83</v>
      </c>
      <c r="F533" s="79" t="s">
        <v>84</v>
      </c>
      <c r="G533" s="80" t="s">
        <v>1068</v>
      </c>
      <c r="H533" s="78" t="s">
        <v>51</v>
      </c>
      <c r="I533" s="81" t="s">
        <v>1402</v>
      </c>
      <c r="J533" s="7">
        <v>1</v>
      </c>
      <c r="K533" s="70" t="s">
        <v>53</v>
      </c>
      <c r="L533" s="9">
        <v>1</v>
      </c>
      <c r="M533" s="3">
        <v>371</v>
      </c>
      <c r="P533" s="71"/>
      <c r="R533" s="6">
        <v>1940</v>
      </c>
      <c r="S533" s="3" t="s">
        <v>54</v>
      </c>
      <c r="T533" s="72"/>
      <c r="U533" s="73"/>
      <c r="W533" s="78" t="s">
        <v>1403</v>
      </c>
      <c r="X533" s="82" t="s">
        <v>56</v>
      </c>
      <c r="Y533" s="82" t="s">
        <v>57</v>
      </c>
      <c r="Z533" s="83" t="s">
        <v>58</v>
      </c>
      <c r="AA533" s="76"/>
      <c r="AB533" s="77">
        <v>17371</v>
      </c>
      <c r="AC533" s="77"/>
      <c r="AD533" s="6"/>
      <c r="AE533" s="7">
        <v>1947</v>
      </c>
      <c r="AF533" s="7">
        <v>13</v>
      </c>
      <c r="AG533" s="7">
        <v>1947</v>
      </c>
      <c r="AH533" s="7">
        <v>1940</v>
      </c>
      <c r="AI533" s="7"/>
      <c r="AJ533" s="73"/>
      <c r="AK533" s="7"/>
      <c r="AL533" s="16"/>
      <c r="AM533" s="2" t="s">
        <v>59</v>
      </c>
      <c r="AO533" s="6" t="s">
        <v>136</v>
      </c>
      <c r="AQ533" s="5" t="s">
        <v>104</v>
      </c>
      <c r="AW533" s="6" t="str">
        <f t="shared" ca="1" si="9"/>
        <v/>
      </c>
    </row>
    <row r="534" ht="45" customHeight="1">
      <c r="A534" s="69"/>
      <c r="B534" s="3" t="s">
        <v>47</v>
      </c>
      <c r="E534" s="2" t="s">
        <v>83</v>
      </c>
      <c r="F534" s="6" t="s">
        <v>84</v>
      </c>
      <c r="G534" s="5" t="s">
        <v>850</v>
      </c>
      <c r="H534" s="2" t="s">
        <v>88</v>
      </c>
      <c r="I534" s="3" t="s">
        <v>1404</v>
      </c>
      <c r="J534" s="7">
        <v>1</v>
      </c>
      <c r="K534" s="70" t="s">
        <v>53</v>
      </c>
      <c r="L534" s="9">
        <v>1</v>
      </c>
      <c r="M534" s="3">
        <v>372</v>
      </c>
      <c r="N534" s="6">
        <v>1947</v>
      </c>
      <c r="P534" s="71"/>
      <c r="R534" s="6">
        <v>1940</v>
      </c>
      <c r="S534" s="3" t="s">
        <v>54</v>
      </c>
      <c r="T534" s="72"/>
      <c r="U534" s="73"/>
      <c r="W534" s="2" t="s">
        <v>1405</v>
      </c>
      <c r="X534" s="10" t="s">
        <v>91</v>
      </c>
      <c r="Y534" s="10" t="s">
        <v>214</v>
      </c>
      <c r="Z534" s="75"/>
      <c r="AA534" s="76"/>
      <c r="AB534" s="77"/>
      <c r="AC534" s="77">
        <v>19885</v>
      </c>
      <c r="AD534" s="10"/>
      <c r="AE534" s="7">
        <v>1953</v>
      </c>
      <c r="AF534" s="7">
        <v>17</v>
      </c>
      <c r="AG534" s="7">
        <v>1954</v>
      </c>
      <c r="AH534" s="7">
        <v>1950</v>
      </c>
      <c r="AJ534" s="73"/>
      <c r="AM534" s="2" t="s">
        <v>59</v>
      </c>
      <c r="AO534" s="6" t="s">
        <v>59</v>
      </c>
      <c r="AU534" s="16" t="s">
        <v>1406</v>
      </c>
      <c r="AW534" s="6">
        <f t="shared" ca="1" si="9"/>
        <v>78</v>
      </c>
    </row>
    <row r="535" ht="45" customHeight="1">
      <c r="A535" s="69"/>
      <c r="B535" s="3" t="s">
        <v>47</v>
      </c>
      <c r="E535" s="2" t="s">
        <v>83</v>
      </c>
      <c r="F535" s="6" t="s">
        <v>179</v>
      </c>
      <c r="G535" s="5" t="s">
        <v>1343</v>
      </c>
      <c r="H535" s="2" t="s">
        <v>51</v>
      </c>
      <c r="I535" s="3" t="s">
        <v>328</v>
      </c>
      <c r="J535" s="7">
        <v>1</v>
      </c>
      <c r="K535" s="70" t="s">
        <v>53</v>
      </c>
      <c r="L535" s="9">
        <v>1</v>
      </c>
      <c r="M535" s="3">
        <v>373</v>
      </c>
      <c r="N535" s="6">
        <v>1947</v>
      </c>
      <c r="P535" s="71"/>
      <c r="R535" s="6">
        <v>1940</v>
      </c>
      <c r="S535" s="3" t="s">
        <v>54</v>
      </c>
      <c r="T535" s="72"/>
      <c r="U535" s="73"/>
      <c r="W535" s="2" t="s">
        <v>1407</v>
      </c>
      <c r="X535" s="10" t="s">
        <v>56</v>
      </c>
      <c r="Y535" s="10" t="s">
        <v>57</v>
      </c>
      <c r="Z535" s="75" t="s">
        <v>58</v>
      </c>
      <c r="AA535" s="76"/>
      <c r="AB535" s="77"/>
      <c r="AC535" s="77">
        <v>17502</v>
      </c>
      <c r="AD535" s="10"/>
      <c r="AG535" s="7">
        <v>1947</v>
      </c>
      <c r="AH535" s="7">
        <v>1940</v>
      </c>
      <c r="AI535" s="7"/>
      <c r="AJ535" s="73"/>
      <c r="AK535" s="7"/>
      <c r="AL535" s="16"/>
      <c r="AM535" s="2" t="s">
        <v>59</v>
      </c>
      <c r="AW535" s="6">
        <f t="shared" ca="1" si="9"/>
        <v>78</v>
      </c>
    </row>
    <row r="536" ht="45" hidden="1" customHeight="1">
      <c r="A536" s="69"/>
      <c r="B536" s="3" t="s">
        <v>47</v>
      </c>
      <c r="C536" s="4" t="s">
        <v>1408</v>
      </c>
      <c r="E536" s="2" t="s">
        <v>83</v>
      </c>
      <c r="F536" s="6" t="s">
        <v>179</v>
      </c>
      <c r="G536" s="5" t="s">
        <v>1409</v>
      </c>
      <c r="H536" s="2" t="s">
        <v>57</v>
      </c>
      <c r="I536" s="3" t="s">
        <v>1410</v>
      </c>
      <c r="J536" s="7">
        <v>1</v>
      </c>
      <c r="K536" s="70"/>
      <c r="L536" s="9">
        <v>1</v>
      </c>
      <c r="M536" s="3">
        <v>374</v>
      </c>
      <c r="N536" s="6">
        <v>1948</v>
      </c>
      <c r="P536" s="71"/>
      <c r="R536" s="6">
        <v>1940</v>
      </c>
      <c r="S536" s="3" t="s">
        <v>939</v>
      </c>
      <c r="T536" s="72"/>
      <c r="U536" s="73"/>
      <c r="W536" s="2" t="s">
        <v>1411</v>
      </c>
      <c r="X536" s="10" t="s">
        <v>56</v>
      </c>
      <c r="Y536" s="10" t="s">
        <v>57</v>
      </c>
      <c r="Z536" s="75"/>
      <c r="AA536" s="76"/>
      <c r="AB536" s="77"/>
      <c r="AC536" s="77"/>
      <c r="AD536" s="10"/>
      <c r="AI536" s="7"/>
      <c r="AJ536" s="73"/>
      <c r="AK536" s="7"/>
      <c r="AL536" s="16"/>
      <c r="AW536" s="6">
        <f t="shared" ca="1" si="9"/>
        <v>77</v>
      </c>
    </row>
    <row r="537" ht="45" customHeight="1">
      <c r="A537" s="69"/>
      <c r="B537" s="3" t="s">
        <v>47</v>
      </c>
      <c r="E537" s="2" t="s">
        <v>83</v>
      </c>
      <c r="F537" s="6" t="s">
        <v>84</v>
      </c>
      <c r="G537" s="5" t="s">
        <v>85</v>
      </c>
      <c r="H537" s="2" t="s">
        <v>51</v>
      </c>
      <c r="I537" s="3" t="s">
        <v>1412</v>
      </c>
      <c r="J537" s="7">
        <v>1</v>
      </c>
      <c r="K537" s="70" t="s">
        <v>53</v>
      </c>
      <c r="L537" s="9">
        <v>1</v>
      </c>
      <c r="M537" s="3">
        <v>375</v>
      </c>
      <c r="N537" s="6">
        <v>1948</v>
      </c>
      <c r="P537" s="71"/>
      <c r="R537" s="6">
        <v>1940</v>
      </c>
      <c r="S537" s="3" t="s">
        <v>54</v>
      </c>
      <c r="T537" s="72"/>
      <c r="U537" s="73"/>
      <c r="W537" s="2" t="s">
        <v>1413</v>
      </c>
      <c r="X537" s="10" t="s">
        <v>56</v>
      </c>
      <c r="Y537" s="10" t="s">
        <v>57</v>
      </c>
      <c r="Z537" s="75"/>
      <c r="AA537" s="76"/>
      <c r="AB537" s="77"/>
      <c r="AC537" s="77">
        <v>17610</v>
      </c>
      <c r="AD537" s="10"/>
      <c r="AG537" s="7">
        <v>1948</v>
      </c>
      <c r="AH537" s="7">
        <v>1940</v>
      </c>
      <c r="AI537" s="7"/>
      <c r="AJ537" s="73"/>
      <c r="AK537" s="7"/>
      <c r="AL537" s="16"/>
      <c r="AM537" s="2" t="s">
        <v>59</v>
      </c>
      <c r="AU537" s="16" t="s">
        <v>1414</v>
      </c>
      <c r="AW537" s="6">
        <f t="shared" ca="1" si="9"/>
        <v>77</v>
      </c>
    </row>
    <row r="538" ht="45" customHeight="1">
      <c r="A538" s="69"/>
      <c r="B538" s="3" t="s">
        <v>47</v>
      </c>
      <c r="C538" s="4" t="s">
        <v>1415</v>
      </c>
      <c r="D538" s="5" t="s">
        <v>1416</v>
      </c>
      <c r="E538" s="2" t="s">
        <v>694</v>
      </c>
      <c r="F538" s="6" t="s">
        <v>695</v>
      </c>
      <c r="G538" s="5" t="s">
        <v>696</v>
      </c>
      <c r="H538" s="2" t="s">
        <v>68</v>
      </c>
      <c r="I538" s="3" t="s">
        <v>1417</v>
      </c>
      <c r="J538" s="7">
        <v>1</v>
      </c>
      <c r="K538" s="70" t="s">
        <v>53</v>
      </c>
      <c r="L538" s="9">
        <v>1</v>
      </c>
      <c r="M538" s="3">
        <v>376</v>
      </c>
      <c r="N538" s="6">
        <v>1948</v>
      </c>
      <c r="P538" s="71"/>
      <c r="R538" s="6">
        <v>1940</v>
      </c>
      <c r="S538" s="3" t="s">
        <v>54</v>
      </c>
      <c r="T538" s="72"/>
      <c r="U538" s="73"/>
      <c r="W538" s="2" t="s">
        <v>1418</v>
      </c>
      <c r="X538" s="10" t="s">
        <v>56</v>
      </c>
      <c r="Y538" s="10" t="s">
        <v>68</v>
      </c>
      <c r="Z538" s="75" t="s">
        <v>905</v>
      </c>
      <c r="AA538" s="76">
        <v>23399</v>
      </c>
      <c r="AB538" s="77"/>
      <c r="AC538" s="77"/>
      <c r="AD538" s="6"/>
      <c r="AG538" s="7">
        <v>1964</v>
      </c>
      <c r="AH538" s="7">
        <v>1960</v>
      </c>
      <c r="AI538" s="7"/>
      <c r="AJ538" s="73"/>
      <c r="AK538" s="7"/>
      <c r="AL538" s="16"/>
      <c r="AM538" s="2" t="s">
        <v>59</v>
      </c>
      <c r="AO538" s="6" t="s">
        <v>59</v>
      </c>
      <c r="AQ538" s="5" t="s">
        <v>73</v>
      </c>
      <c r="AW538" s="6">
        <f t="shared" ca="1" si="9"/>
        <v>77</v>
      </c>
    </row>
    <row r="539" ht="45" hidden="1" customHeight="1">
      <c r="A539" s="69"/>
      <c r="B539" s="3" t="s">
        <v>47</v>
      </c>
      <c r="C539" s="4" t="s">
        <v>1419</v>
      </c>
      <c r="E539" s="2" t="s">
        <v>63</v>
      </c>
      <c r="F539" s="6" t="s">
        <v>172</v>
      </c>
      <c r="G539" s="5" t="s">
        <v>1420</v>
      </c>
      <c r="H539" s="2" t="s">
        <v>57</v>
      </c>
      <c r="I539" s="96" t="s">
        <v>1421</v>
      </c>
      <c r="J539" s="7">
        <v>1</v>
      </c>
      <c r="K539" s="70"/>
      <c r="L539" s="9">
        <v>1</v>
      </c>
      <c r="M539" s="3">
        <v>377</v>
      </c>
      <c r="N539" s="6">
        <v>1948</v>
      </c>
      <c r="P539" s="71"/>
      <c r="R539" s="6">
        <v>1940</v>
      </c>
      <c r="S539" s="3" t="s">
        <v>236</v>
      </c>
      <c r="T539" s="72"/>
      <c r="U539" s="73"/>
      <c r="W539" s="2" t="s">
        <v>62</v>
      </c>
      <c r="X539" s="10" t="s">
        <v>56</v>
      </c>
      <c r="Y539" s="10" t="s">
        <v>57</v>
      </c>
      <c r="Z539" s="75"/>
      <c r="AA539" s="76"/>
      <c r="AB539" s="77"/>
      <c r="AC539" s="77"/>
      <c r="AD539" s="6"/>
      <c r="AI539" s="7"/>
      <c r="AJ539" s="95">
        <v>24618</v>
      </c>
      <c r="AK539" s="7">
        <v>1960</v>
      </c>
      <c r="AL539" s="16"/>
      <c r="AW539" s="6">
        <f t="shared" ca="1" si="9"/>
        <v>77</v>
      </c>
    </row>
    <row r="540" ht="45" hidden="1" customHeight="1">
      <c r="A540" s="69"/>
      <c r="B540" s="3" t="s">
        <v>60</v>
      </c>
      <c r="C540" s="4" t="s">
        <v>1422</v>
      </c>
      <c r="I540" s="3" t="s">
        <v>1423</v>
      </c>
      <c r="J540" s="7">
        <v>0</v>
      </c>
      <c r="K540" s="70"/>
      <c r="L540" s="9">
        <v>1</v>
      </c>
      <c r="M540" s="3">
        <v>378</v>
      </c>
      <c r="P540" s="71"/>
      <c r="R540" s="6" t="s">
        <v>60</v>
      </c>
      <c r="S540" s="3" t="s">
        <v>60</v>
      </c>
      <c r="T540" s="72"/>
      <c r="U540" s="73"/>
      <c r="W540" s="74" t="s">
        <v>62</v>
      </c>
      <c r="X540" s="10"/>
      <c r="Y540" s="10"/>
      <c r="Z540" s="75"/>
      <c r="AA540" s="76"/>
      <c r="AB540" s="77"/>
      <c r="AC540" s="77"/>
      <c r="AD540" s="6"/>
      <c r="AI540" s="7"/>
      <c r="AJ540" s="73"/>
      <c r="AK540" s="7"/>
      <c r="AL540" s="16"/>
      <c r="AW540" s="6" t="str">
        <f t="shared" ca="1" si="9"/>
        <v/>
      </c>
    </row>
    <row r="541" ht="45" customHeight="1">
      <c r="A541" s="69"/>
      <c r="B541" s="3" t="s">
        <v>47</v>
      </c>
      <c r="E541" s="2" t="s">
        <v>83</v>
      </c>
      <c r="F541" s="6" t="s">
        <v>179</v>
      </c>
      <c r="G541" s="5" t="s">
        <v>1409</v>
      </c>
      <c r="H541" s="2" t="s">
        <v>51</v>
      </c>
      <c r="I541" s="3" t="s">
        <v>414</v>
      </c>
      <c r="J541" s="7">
        <v>1</v>
      </c>
      <c r="K541" s="70" t="s">
        <v>53</v>
      </c>
      <c r="L541" s="9">
        <v>0</v>
      </c>
      <c r="M541" s="3">
        <v>379</v>
      </c>
      <c r="N541" s="6">
        <v>1948</v>
      </c>
      <c r="P541" s="71"/>
      <c r="R541" s="6">
        <v>1940</v>
      </c>
      <c r="S541" s="3" t="s">
        <v>54</v>
      </c>
      <c r="T541" s="72"/>
      <c r="U541" s="73"/>
      <c r="W541" s="2" t="s">
        <v>1424</v>
      </c>
      <c r="X541" s="10" t="s">
        <v>56</v>
      </c>
      <c r="Y541" s="10" t="s">
        <v>57</v>
      </c>
      <c r="Z541" s="75" t="s">
        <v>58</v>
      </c>
      <c r="AA541" s="76"/>
      <c r="AB541" s="77">
        <v>17853</v>
      </c>
      <c r="AC541" s="77">
        <v>17856</v>
      </c>
      <c r="AD541" s="10"/>
      <c r="AG541" s="7">
        <v>1948</v>
      </c>
      <c r="AH541" s="7">
        <v>1940</v>
      </c>
      <c r="AI541" s="7"/>
      <c r="AJ541" s="73"/>
      <c r="AK541" s="7"/>
      <c r="AL541" s="16" t="s">
        <v>176</v>
      </c>
      <c r="AM541" s="2" t="s">
        <v>59</v>
      </c>
      <c r="AU541" s="16" t="s">
        <v>1425</v>
      </c>
      <c r="AW541" s="6">
        <f t="shared" ca="1" si="9"/>
        <v>77</v>
      </c>
    </row>
    <row r="542" ht="45" customHeight="1">
      <c r="A542" s="69"/>
      <c r="B542" s="3" t="s">
        <v>47</v>
      </c>
      <c r="E542" s="2" t="s">
        <v>83</v>
      </c>
      <c r="F542" s="6" t="s">
        <v>179</v>
      </c>
      <c r="G542" s="5" t="s">
        <v>1409</v>
      </c>
      <c r="H542" s="2" t="s">
        <v>51</v>
      </c>
      <c r="I542" s="3" t="s">
        <v>330</v>
      </c>
      <c r="J542" s="7">
        <v>1</v>
      </c>
      <c r="K542" s="70" t="s">
        <v>53</v>
      </c>
      <c r="L542" s="9">
        <v>0</v>
      </c>
      <c r="M542" s="3">
        <v>379</v>
      </c>
      <c r="N542" s="6">
        <v>1948</v>
      </c>
      <c r="P542" s="71"/>
      <c r="R542" s="6">
        <v>1940</v>
      </c>
      <c r="S542" s="3" t="s">
        <v>54</v>
      </c>
      <c r="T542" s="72"/>
      <c r="U542" s="73"/>
      <c r="W542" s="2" t="s">
        <v>1426</v>
      </c>
      <c r="X542" s="10" t="s">
        <v>56</v>
      </c>
      <c r="Y542" s="10" t="s">
        <v>57</v>
      </c>
      <c r="Z542" s="75" t="s">
        <v>58</v>
      </c>
      <c r="AA542" s="76"/>
      <c r="AB542" s="77">
        <v>17853</v>
      </c>
      <c r="AC542" s="77">
        <v>17856</v>
      </c>
      <c r="AD542" s="10"/>
      <c r="AG542" s="7">
        <v>1948</v>
      </c>
      <c r="AH542" s="7">
        <v>1940</v>
      </c>
      <c r="AI542" s="7"/>
      <c r="AJ542" s="73"/>
      <c r="AK542" s="7"/>
      <c r="AL542" s="16" t="s">
        <v>176</v>
      </c>
      <c r="AM542" s="2" t="s">
        <v>59</v>
      </c>
      <c r="AU542" s="16" t="s">
        <v>1425</v>
      </c>
      <c r="AW542" s="6">
        <f t="shared" ca="1" si="9"/>
        <v>77</v>
      </c>
    </row>
    <row r="543" ht="45" customHeight="1">
      <c r="A543" s="69"/>
      <c r="B543" s="3" t="s">
        <v>47</v>
      </c>
      <c r="E543" s="2" t="s">
        <v>83</v>
      </c>
      <c r="F543" s="6" t="s">
        <v>179</v>
      </c>
      <c r="G543" s="5" t="s">
        <v>1409</v>
      </c>
      <c r="H543" s="2" t="s">
        <v>57</v>
      </c>
      <c r="I543" s="3" t="s">
        <v>1427</v>
      </c>
      <c r="J543" s="7">
        <v>1</v>
      </c>
      <c r="K543" s="70" t="s">
        <v>53</v>
      </c>
      <c r="L543" s="9">
        <v>0</v>
      </c>
      <c r="M543" s="3">
        <v>379</v>
      </c>
      <c r="N543" s="6">
        <v>1948</v>
      </c>
      <c r="P543" s="71"/>
      <c r="R543" s="6">
        <v>1940</v>
      </c>
      <c r="S543" s="3" t="s">
        <v>54</v>
      </c>
      <c r="T543" s="72"/>
      <c r="U543" s="73"/>
      <c r="W543" s="2" t="s">
        <v>1411</v>
      </c>
      <c r="X543" s="10" t="s">
        <v>56</v>
      </c>
      <c r="Y543" s="10" t="s">
        <v>57</v>
      </c>
      <c r="Z543" s="75"/>
      <c r="AA543" s="76"/>
      <c r="AB543" s="77"/>
      <c r="AC543" s="77">
        <v>17856</v>
      </c>
      <c r="AD543" s="10"/>
      <c r="AG543" s="7">
        <v>1948</v>
      </c>
      <c r="AH543" s="7">
        <v>1940</v>
      </c>
      <c r="AI543" s="7"/>
      <c r="AJ543" s="73"/>
      <c r="AK543" s="7"/>
      <c r="AL543" s="16"/>
      <c r="AM543" s="2" t="s">
        <v>59</v>
      </c>
      <c r="AW543" s="6">
        <f t="shared" ca="1" si="9"/>
        <v>77</v>
      </c>
    </row>
    <row r="544" ht="45" customHeight="1">
      <c r="A544" s="69"/>
      <c r="B544" s="3" t="s">
        <v>47</v>
      </c>
      <c r="E544" s="2" t="s">
        <v>83</v>
      </c>
      <c r="F544" s="6" t="s">
        <v>179</v>
      </c>
      <c r="G544" s="5" t="s">
        <v>1409</v>
      </c>
      <c r="H544" s="2" t="s">
        <v>491</v>
      </c>
      <c r="I544" s="3" t="s">
        <v>1428</v>
      </c>
      <c r="J544" s="7">
        <v>1</v>
      </c>
      <c r="K544" s="70" t="s">
        <v>53</v>
      </c>
      <c r="L544" s="9">
        <v>0</v>
      </c>
      <c r="M544" s="3">
        <v>379</v>
      </c>
      <c r="N544" s="6">
        <v>1948</v>
      </c>
      <c r="P544" s="71"/>
      <c r="R544" s="6">
        <v>1940</v>
      </c>
      <c r="S544" s="3" t="s">
        <v>54</v>
      </c>
      <c r="T544" s="72"/>
      <c r="U544" s="73"/>
      <c r="W544" s="2" t="s">
        <v>1429</v>
      </c>
      <c r="X544" s="10" t="s">
        <v>56</v>
      </c>
      <c r="Y544" s="10" t="s">
        <v>494</v>
      </c>
      <c r="Z544" s="75"/>
      <c r="AA544" s="76"/>
      <c r="AB544" s="77"/>
      <c r="AC544" s="77">
        <v>21984</v>
      </c>
      <c r="AD544" s="10"/>
      <c r="AG544" s="7">
        <v>1960</v>
      </c>
      <c r="AH544" s="7">
        <v>1960</v>
      </c>
      <c r="AI544" s="7"/>
      <c r="AJ544" s="73"/>
      <c r="AK544" s="7"/>
      <c r="AL544" s="16"/>
      <c r="AM544" s="2" t="s">
        <v>59</v>
      </c>
      <c r="AW544" s="6">
        <f t="shared" ca="1" si="9"/>
        <v>77</v>
      </c>
    </row>
    <row r="545" ht="45" customHeight="1">
      <c r="A545" s="69"/>
      <c r="B545" s="3" t="s">
        <v>47</v>
      </c>
      <c r="E545" s="2" t="s">
        <v>83</v>
      </c>
      <c r="F545" s="6" t="s">
        <v>179</v>
      </c>
      <c r="G545" s="5" t="s">
        <v>1409</v>
      </c>
      <c r="H545" s="2" t="s">
        <v>382</v>
      </c>
      <c r="I545" s="3" t="s">
        <v>1430</v>
      </c>
      <c r="J545" s="7">
        <v>1</v>
      </c>
      <c r="K545" s="70" t="s">
        <v>53</v>
      </c>
      <c r="L545" s="9">
        <v>0</v>
      </c>
      <c r="M545" s="3">
        <v>379</v>
      </c>
      <c r="N545" s="6">
        <v>1948</v>
      </c>
      <c r="P545" s="71"/>
      <c r="R545" s="6">
        <v>1940</v>
      </c>
      <c r="S545" s="3" t="s">
        <v>54</v>
      </c>
      <c r="T545" s="72"/>
      <c r="U545" s="73"/>
      <c r="W545" s="2" t="s">
        <v>1431</v>
      </c>
      <c r="X545" s="10" t="s">
        <v>91</v>
      </c>
      <c r="Y545" s="10" t="s">
        <v>92</v>
      </c>
      <c r="Z545" s="75"/>
      <c r="AA545" s="76"/>
      <c r="AB545" s="77"/>
      <c r="AC545" s="77">
        <v>22922</v>
      </c>
      <c r="AD545" s="10"/>
      <c r="AG545" s="7">
        <v>1962</v>
      </c>
      <c r="AH545" s="7">
        <v>1960</v>
      </c>
      <c r="AI545" s="7"/>
      <c r="AJ545" s="73"/>
      <c r="AK545" s="7"/>
      <c r="AL545" s="16"/>
      <c r="AM545" s="2" t="s">
        <v>59</v>
      </c>
      <c r="AO545" s="6" t="s">
        <v>59</v>
      </c>
      <c r="AU545" s="16" t="s">
        <v>1432</v>
      </c>
      <c r="AW545" s="6">
        <f t="shared" ca="1" si="9"/>
        <v>77</v>
      </c>
    </row>
    <row r="546" ht="45" hidden="1" customHeight="1">
      <c r="A546" s="132">
        <v>43868</v>
      </c>
      <c r="B546" s="3" t="s">
        <v>47</v>
      </c>
      <c r="C546" s="4" t="s">
        <v>1433</v>
      </c>
      <c r="D546" s="117" t="s">
        <v>1434</v>
      </c>
      <c r="E546" s="2" t="s">
        <v>83</v>
      </c>
      <c r="F546" s="6" t="s">
        <v>179</v>
      </c>
      <c r="G546" s="5" t="s">
        <v>1409</v>
      </c>
      <c r="H546" s="2" t="s">
        <v>51</v>
      </c>
      <c r="I546" s="3" t="s">
        <v>1435</v>
      </c>
      <c r="J546" s="7">
        <v>2</v>
      </c>
      <c r="K546" s="133"/>
      <c r="L546" s="134">
        <v>0</v>
      </c>
      <c r="M546" s="3">
        <v>379</v>
      </c>
      <c r="N546" s="6">
        <v>1948</v>
      </c>
      <c r="P546" s="135"/>
      <c r="Q546" s="136"/>
      <c r="R546" s="6">
        <v>1940</v>
      </c>
      <c r="S546" s="3" t="s">
        <v>236</v>
      </c>
      <c r="T546" s="72" t="s">
        <v>1136</v>
      </c>
      <c r="W546" s="2" t="s">
        <v>62</v>
      </c>
      <c r="X546" s="10" t="s">
        <v>56</v>
      </c>
      <c r="Y546" s="10" t="s">
        <v>57</v>
      </c>
      <c r="Z546" s="75" t="s">
        <v>58</v>
      </c>
      <c r="AA546" s="137"/>
      <c r="AB546" s="138"/>
      <c r="AC546" s="138"/>
      <c r="AD546" s="136"/>
      <c r="AE546" s="139"/>
      <c r="AG546" s="139"/>
      <c r="AH546" s="139"/>
      <c r="AI546" s="139"/>
      <c r="AJ546" s="136">
        <v>44448</v>
      </c>
      <c r="AK546" s="139">
        <v>2020</v>
      </c>
      <c r="AL546" s="140"/>
      <c r="AO546" s="141"/>
      <c r="AP546" s="141"/>
      <c r="AQ546" s="117"/>
      <c r="AR546" s="142"/>
      <c r="AS546" s="141"/>
      <c r="AT546" s="141"/>
      <c r="AU546" s="140"/>
      <c r="AV546" s="143"/>
      <c r="AW546" s="6">
        <f t="shared" ca="1" si="9"/>
        <v>77</v>
      </c>
    </row>
    <row r="547" ht="45" hidden="1" customHeight="1">
      <c r="A547" s="69"/>
      <c r="B547" s="3" t="s">
        <v>47</v>
      </c>
      <c r="C547" s="4" t="s">
        <v>1436</v>
      </c>
      <c r="E547" s="2" t="s">
        <v>63</v>
      </c>
      <c r="F547" s="6" t="s">
        <v>172</v>
      </c>
      <c r="G547" s="5" t="s">
        <v>173</v>
      </c>
      <c r="H547" s="2" t="s">
        <v>288</v>
      </c>
      <c r="I547" s="96" t="s">
        <v>1437</v>
      </c>
      <c r="J547" s="7">
        <v>1</v>
      </c>
      <c r="K547" s="70"/>
      <c r="L547" s="9">
        <v>1</v>
      </c>
      <c r="M547" s="3">
        <v>380</v>
      </c>
      <c r="P547" s="71"/>
      <c r="R547" s="6">
        <v>1940</v>
      </c>
      <c r="S547" s="3" t="s">
        <v>236</v>
      </c>
      <c r="T547" s="72"/>
      <c r="U547" s="73"/>
      <c r="W547" s="2" t="s">
        <v>62</v>
      </c>
      <c r="X547" s="10" t="s">
        <v>56</v>
      </c>
      <c r="Y547" s="10" t="s">
        <v>288</v>
      </c>
      <c r="Z547" s="75"/>
      <c r="AA547" s="76"/>
      <c r="AB547" s="77"/>
      <c r="AC547" s="77"/>
      <c r="AD547" s="10"/>
      <c r="AI547" s="7"/>
      <c r="AJ547" s="95">
        <v>38363</v>
      </c>
      <c r="AK547" s="7">
        <v>2000</v>
      </c>
      <c r="AL547" s="16"/>
      <c r="AW547" s="6" t="str">
        <f t="shared" ref="AW547:AW610" ca="1" si="10">IF(N547&lt;&gt;0,(YEAR(TODAY())-N547),(""))</f>
        <v/>
      </c>
    </row>
    <row r="548" ht="45" customHeight="1">
      <c r="A548" s="69"/>
      <c r="B548" s="3" t="s">
        <v>47</v>
      </c>
      <c r="E548" s="2" t="s">
        <v>83</v>
      </c>
      <c r="F548" s="6" t="s">
        <v>931</v>
      </c>
      <c r="G548" s="5" t="s">
        <v>932</v>
      </c>
      <c r="H548" s="2" t="s">
        <v>51</v>
      </c>
      <c r="I548" s="3" t="s">
        <v>702</v>
      </c>
      <c r="J548" s="7">
        <v>1</v>
      </c>
      <c r="K548" s="70" t="s">
        <v>53</v>
      </c>
      <c r="L548" s="9">
        <v>1</v>
      </c>
      <c r="M548" s="3">
        <v>381</v>
      </c>
      <c r="N548" s="6">
        <v>1948</v>
      </c>
      <c r="P548" s="71"/>
      <c r="R548" s="6">
        <v>1940</v>
      </c>
      <c r="S548" s="3" t="s">
        <v>54</v>
      </c>
      <c r="T548" s="72"/>
      <c r="U548" s="73"/>
      <c r="W548" s="2" t="s">
        <v>1438</v>
      </c>
      <c r="X548" s="10" t="s">
        <v>56</v>
      </c>
      <c r="Y548" s="10" t="s">
        <v>57</v>
      </c>
      <c r="Z548" s="75" t="s">
        <v>58</v>
      </c>
      <c r="AA548" s="76"/>
      <c r="AB548" s="77">
        <v>17845</v>
      </c>
      <c r="AC548" s="77">
        <v>17843</v>
      </c>
      <c r="AD548" s="10"/>
      <c r="AG548" s="7">
        <v>1948</v>
      </c>
      <c r="AH548" s="7">
        <v>1940</v>
      </c>
      <c r="AI548" s="7"/>
      <c r="AJ548" s="73"/>
      <c r="AK548" s="7"/>
      <c r="AL548" s="16"/>
      <c r="AM548" s="2" t="s">
        <v>59</v>
      </c>
      <c r="AO548" s="6" t="s">
        <v>136</v>
      </c>
      <c r="AU548" s="16" t="s">
        <v>1439</v>
      </c>
      <c r="AW548" s="6">
        <f t="shared" ca="1" si="10"/>
        <v>77</v>
      </c>
    </row>
    <row r="549" ht="45" customHeight="1">
      <c r="A549" s="69"/>
      <c r="B549" s="3" t="s">
        <v>47</v>
      </c>
      <c r="E549" s="2" t="s">
        <v>83</v>
      </c>
      <c r="F549" s="6" t="s">
        <v>931</v>
      </c>
      <c r="G549" s="5" t="s">
        <v>1440</v>
      </c>
      <c r="H549" s="2" t="s">
        <v>51</v>
      </c>
      <c r="I549" s="3" t="s">
        <v>317</v>
      </c>
      <c r="J549" s="7">
        <v>1</v>
      </c>
      <c r="K549" s="70" t="s">
        <v>53</v>
      </c>
      <c r="L549" s="9">
        <v>1</v>
      </c>
      <c r="M549" s="3">
        <v>382</v>
      </c>
      <c r="N549" s="6">
        <v>1946</v>
      </c>
      <c r="P549" s="71"/>
      <c r="R549" s="6">
        <v>1940</v>
      </c>
      <c r="S549" s="3" t="s">
        <v>54</v>
      </c>
      <c r="T549" s="72"/>
      <c r="U549" s="73"/>
      <c r="W549" s="2" t="s">
        <v>1441</v>
      </c>
      <c r="X549" s="10" t="s">
        <v>56</v>
      </c>
      <c r="Y549" s="10" t="s">
        <v>57</v>
      </c>
      <c r="Z549" s="75" t="s">
        <v>58</v>
      </c>
      <c r="AA549" s="76"/>
      <c r="AB549" s="77">
        <v>25827</v>
      </c>
      <c r="AC549" s="77"/>
      <c r="AD549" s="6"/>
      <c r="AG549" s="7">
        <v>1970</v>
      </c>
      <c r="AH549" s="7">
        <v>1970</v>
      </c>
      <c r="AI549" s="7"/>
      <c r="AJ549" s="73"/>
      <c r="AK549" s="7"/>
      <c r="AL549" s="16"/>
      <c r="AM549" s="2" t="s">
        <v>59</v>
      </c>
      <c r="AO549" s="6" t="s">
        <v>136</v>
      </c>
      <c r="AW549" s="6">
        <f t="shared" ca="1" si="10"/>
        <v>79</v>
      </c>
    </row>
    <row r="550" ht="45" customHeight="1">
      <c r="A550" s="69"/>
      <c r="B550" s="3" t="s">
        <v>47</v>
      </c>
      <c r="E550" s="2" t="s">
        <v>83</v>
      </c>
      <c r="F550" s="6" t="s">
        <v>179</v>
      </c>
      <c r="G550" s="5" t="s">
        <v>1442</v>
      </c>
      <c r="H550" s="2" t="s">
        <v>51</v>
      </c>
      <c r="I550" s="3" t="s">
        <v>1443</v>
      </c>
      <c r="J550" s="7">
        <v>1</v>
      </c>
      <c r="K550" s="70" t="s">
        <v>53</v>
      </c>
      <c r="L550" s="9">
        <v>1</v>
      </c>
      <c r="M550" s="3">
        <v>383</v>
      </c>
      <c r="P550" s="71"/>
      <c r="R550" s="6">
        <v>1940</v>
      </c>
      <c r="S550" s="3" t="s">
        <v>54</v>
      </c>
      <c r="T550" s="72"/>
      <c r="U550" s="73"/>
      <c r="W550" s="2" t="s">
        <v>1444</v>
      </c>
      <c r="X550" s="10" t="s">
        <v>56</v>
      </c>
      <c r="Y550" s="10" t="s">
        <v>57</v>
      </c>
      <c r="Z550" s="75" t="s">
        <v>58</v>
      </c>
      <c r="AA550" s="76"/>
      <c r="AB550" s="77"/>
      <c r="AC550" s="77">
        <v>18106</v>
      </c>
      <c r="AD550" s="10"/>
      <c r="AG550" s="7">
        <v>1949</v>
      </c>
      <c r="AH550" s="7">
        <v>1940</v>
      </c>
      <c r="AI550" s="7"/>
      <c r="AJ550" s="73"/>
      <c r="AK550" s="7"/>
      <c r="AL550" s="16"/>
      <c r="AM550" s="2" t="s">
        <v>59</v>
      </c>
      <c r="AW550" s="6" t="str">
        <f t="shared" ca="1" si="10"/>
        <v/>
      </c>
    </row>
    <row r="551" ht="45" customHeight="1">
      <c r="A551" s="69"/>
      <c r="B551" s="3" t="s">
        <v>47</v>
      </c>
      <c r="E551" s="78" t="s">
        <v>83</v>
      </c>
      <c r="F551" s="79" t="s">
        <v>704</v>
      </c>
      <c r="G551" s="80" t="s">
        <v>915</v>
      </c>
      <c r="H551" s="78" t="s">
        <v>51</v>
      </c>
      <c r="I551" s="81" t="s">
        <v>1445</v>
      </c>
      <c r="J551" s="7">
        <v>1</v>
      </c>
      <c r="K551" s="70" t="s">
        <v>53</v>
      </c>
      <c r="L551" s="9">
        <v>1</v>
      </c>
      <c r="M551" s="3">
        <v>384</v>
      </c>
      <c r="N551" s="6">
        <v>1948</v>
      </c>
      <c r="P551" s="71"/>
      <c r="R551" s="6">
        <v>1940</v>
      </c>
      <c r="S551" s="3" t="s">
        <v>54</v>
      </c>
      <c r="T551" s="72"/>
      <c r="U551" s="73"/>
      <c r="W551" s="78" t="s">
        <v>1446</v>
      </c>
      <c r="X551" s="82" t="s">
        <v>56</v>
      </c>
      <c r="Y551" s="82" t="s">
        <v>68</v>
      </c>
      <c r="Z551" s="83" t="s">
        <v>58</v>
      </c>
      <c r="AA551" s="76"/>
      <c r="AB551" s="77">
        <v>24644</v>
      </c>
      <c r="AC551" s="77"/>
      <c r="AD551" s="6"/>
      <c r="AG551" s="7">
        <v>1967</v>
      </c>
      <c r="AH551" s="7">
        <v>1960</v>
      </c>
      <c r="AI551" s="7"/>
      <c r="AJ551" s="73"/>
      <c r="AK551" s="7"/>
      <c r="AL551" s="16"/>
      <c r="AM551" s="2" t="s">
        <v>59</v>
      </c>
      <c r="AO551" s="6" t="s">
        <v>136</v>
      </c>
      <c r="AQ551" s="5" t="s">
        <v>104</v>
      </c>
      <c r="AW551" s="6">
        <f t="shared" ca="1" si="10"/>
        <v>77</v>
      </c>
    </row>
    <row r="552" ht="45" customHeight="1">
      <c r="A552" s="69"/>
      <c r="B552" s="3" t="s">
        <v>47</v>
      </c>
      <c r="E552" s="2" t="s">
        <v>63</v>
      </c>
      <c r="F552" s="6" t="s">
        <v>172</v>
      </c>
      <c r="G552" s="5" t="s">
        <v>173</v>
      </c>
      <c r="H552" s="2" t="s">
        <v>57</v>
      </c>
      <c r="I552" s="3" t="s">
        <v>1447</v>
      </c>
      <c r="J552" s="7">
        <v>1</v>
      </c>
      <c r="K552" s="70" t="s">
        <v>53</v>
      </c>
      <c r="L552" s="9">
        <v>1</v>
      </c>
      <c r="M552" s="3">
        <v>385</v>
      </c>
      <c r="N552" s="6">
        <v>1941</v>
      </c>
      <c r="P552" s="71"/>
      <c r="R552" s="6">
        <v>1940</v>
      </c>
      <c r="S552" s="3" t="s">
        <v>54</v>
      </c>
      <c r="T552" s="72"/>
      <c r="U552" s="73"/>
      <c r="W552" s="2" t="s">
        <v>1448</v>
      </c>
      <c r="X552" s="10" t="s">
        <v>56</v>
      </c>
      <c r="Y552" s="10" t="s">
        <v>57</v>
      </c>
      <c r="Z552" s="75"/>
      <c r="AA552" s="76"/>
      <c r="AB552" s="77"/>
      <c r="AC552" s="77">
        <v>15193</v>
      </c>
      <c r="AD552" s="10"/>
      <c r="AG552" s="7">
        <v>1941</v>
      </c>
      <c r="AH552" s="7">
        <v>1940</v>
      </c>
      <c r="AI552" s="7"/>
      <c r="AJ552" s="73"/>
      <c r="AK552" s="7"/>
      <c r="AL552" s="16"/>
      <c r="AM552" s="2" t="s">
        <v>59</v>
      </c>
      <c r="AW552" s="6">
        <f t="shared" ca="1" si="10"/>
        <v>84</v>
      </c>
    </row>
    <row r="553" ht="45" hidden="1" customHeight="1">
      <c r="A553" s="69">
        <v>44082</v>
      </c>
      <c r="B553" s="3" t="s">
        <v>190</v>
      </c>
      <c r="C553" s="4" t="s">
        <v>1449</v>
      </c>
      <c r="D553" s="5" t="s">
        <v>1450</v>
      </c>
      <c r="E553" s="2" t="s">
        <v>63</v>
      </c>
      <c r="F553" s="6" t="s">
        <v>172</v>
      </c>
      <c r="G553" s="5" t="s">
        <v>1110</v>
      </c>
      <c r="H553" s="2" t="s">
        <v>257</v>
      </c>
      <c r="I553" s="3" t="s">
        <v>1451</v>
      </c>
      <c r="J553" s="7">
        <v>1</v>
      </c>
      <c r="L553" s="9">
        <v>1</v>
      </c>
      <c r="M553" s="3">
        <v>386</v>
      </c>
      <c r="N553" s="6">
        <v>1944</v>
      </c>
      <c r="O553" s="10">
        <v>16112</v>
      </c>
      <c r="P553" s="71" t="s">
        <v>1452</v>
      </c>
      <c r="Q553" s="10" t="s">
        <v>1453</v>
      </c>
      <c r="R553" s="6">
        <v>1940</v>
      </c>
      <c r="S553" s="3" t="s">
        <v>283</v>
      </c>
      <c r="T553" s="72" t="s">
        <v>998</v>
      </c>
      <c r="U553" s="73"/>
      <c r="W553" s="74" t="s">
        <v>62</v>
      </c>
      <c r="X553" s="10" t="s">
        <v>56</v>
      </c>
      <c r="Y553" s="10" t="s">
        <v>68</v>
      </c>
      <c r="Z553" s="75" t="s">
        <v>260</v>
      </c>
      <c r="AI553" s="7"/>
      <c r="AJ553" s="73"/>
      <c r="AK553" s="7"/>
      <c r="AL553" s="16"/>
      <c r="AW553" s="6">
        <f t="shared" ca="1" si="10"/>
        <v>81</v>
      </c>
    </row>
    <row r="554" ht="45" hidden="1" customHeight="1">
      <c r="A554" s="69"/>
      <c r="B554" s="3" t="s">
        <v>47</v>
      </c>
      <c r="C554" s="4" t="s">
        <v>1454</v>
      </c>
      <c r="E554" s="2" t="s">
        <v>63</v>
      </c>
      <c r="F554" s="6" t="s">
        <v>172</v>
      </c>
      <c r="G554" s="5" t="s">
        <v>791</v>
      </c>
      <c r="H554" s="2" t="s">
        <v>51</v>
      </c>
      <c r="I554" s="3" t="s">
        <v>1455</v>
      </c>
      <c r="J554" s="7">
        <v>1</v>
      </c>
      <c r="K554" s="70"/>
      <c r="L554" s="9">
        <v>1</v>
      </c>
      <c r="M554" s="3">
        <v>387</v>
      </c>
      <c r="P554" s="71"/>
      <c r="R554" s="6">
        <v>1940</v>
      </c>
      <c r="S554" s="3" t="s">
        <v>939</v>
      </c>
      <c r="T554" s="72"/>
      <c r="U554" s="73"/>
      <c r="W554" s="142" t="s">
        <v>1456</v>
      </c>
      <c r="X554" s="10" t="s">
        <v>56</v>
      </c>
      <c r="Y554" s="10" t="s">
        <v>57</v>
      </c>
      <c r="Z554" s="75" t="s">
        <v>58</v>
      </c>
      <c r="AA554" s="76"/>
      <c r="AB554" s="77"/>
      <c r="AC554" s="77"/>
      <c r="AD554" s="10"/>
      <c r="AI554" s="7"/>
      <c r="AJ554" s="73"/>
      <c r="AK554" s="7"/>
      <c r="AL554" s="16"/>
      <c r="AW554" s="6" t="str">
        <f t="shared" ca="1" si="10"/>
        <v/>
      </c>
    </row>
    <row r="555" ht="45" customHeight="1">
      <c r="A555" s="69"/>
      <c r="B555" s="3" t="s">
        <v>47</v>
      </c>
      <c r="E555" s="78" t="s">
        <v>694</v>
      </c>
      <c r="F555" s="79" t="s">
        <v>695</v>
      </c>
      <c r="G555" s="80" t="s">
        <v>696</v>
      </c>
      <c r="H555" s="78" t="s">
        <v>51</v>
      </c>
      <c r="I555" s="81" t="s">
        <v>1457</v>
      </c>
      <c r="J555" s="7">
        <v>1</v>
      </c>
      <c r="K555" s="70" t="s">
        <v>53</v>
      </c>
      <c r="L555" s="9">
        <v>1</v>
      </c>
      <c r="M555" s="3">
        <v>388</v>
      </c>
      <c r="N555" s="6">
        <v>1940</v>
      </c>
      <c r="P555" s="71"/>
      <c r="R555" s="6">
        <v>1940</v>
      </c>
      <c r="S555" s="3" t="s">
        <v>54</v>
      </c>
      <c r="T555" s="72"/>
      <c r="U555" s="73"/>
      <c r="W555" s="78" t="s">
        <v>1458</v>
      </c>
      <c r="X555" s="82" t="s">
        <v>56</v>
      </c>
      <c r="Y555" s="82" t="s">
        <v>57</v>
      </c>
      <c r="Z555" s="83" t="s">
        <v>58</v>
      </c>
      <c r="AA555" s="76"/>
      <c r="AB555" s="77">
        <v>14979</v>
      </c>
      <c r="AC555" s="77"/>
      <c r="AD555" s="6"/>
      <c r="AG555" s="7">
        <v>1941</v>
      </c>
      <c r="AH555" s="7">
        <v>1940</v>
      </c>
      <c r="AI555" s="7"/>
      <c r="AJ555" s="73"/>
      <c r="AK555" s="7"/>
      <c r="AL555" s="16"/>
      <c r="AM555" s="2" t="s">
        <v>59</v>
      </c>
      <c r="AO555" s="6" t="s">
        <v>59</v>
      </c>
      <c r="AQ555" s="5" t="s">
        <v>73</v>
      </c>
      <c r="AW555" s="6">
        <f t="shared" ca="1" si="10"/>
        <v>85</v>
      </c>
    </row>
    <row r="556" ht="45" hidden="1" customHeight="1">
      <c r="A556" s="69"/>
      <c r="B556" s="3" t="s">
        <v>47</v>
      </c>
      <c r="C556" s="4" t="s">
        <v>1263</v>
      </c>
      <c r="E556" s="2" t="s">
        <v>83</v>
      </c>
      <c r="F556" s="6" t="s">
        <v>84</v>
      </c>
      <c r="G556" s="5" t="s">
        <v>85</v>
      </c>
      <c r="H556" s="2" t="s">
        <v>382</v>
      </c>
      <c r="I556" s="3" t="s">
        <v>1459</v>
      </c>
      <c r="J556" s="7">
        <v>1</v>
      </c>
      <c r="K556" s="104"/>
      <c r="L556" s="9">
        <v>1</v>
      </c>
      <c r="M556" s="3">
        <v>389</v>
      </c>
      <c r="N556" s="6">
        <v>1948</v>
      </c>
      <c r="P556" s="71"/>
      <c r="R556" s="6">
        <v>1940</v>
      </c>
      <c r="S556" s="3" t="s">
        <v>236</v>
      </c>
      <c r="T556" s="72"/>
      <c r="U556" s="73">
        <v>38044</v>
      </c>
      <c r="W556" s="2" t="s">
        <v>62</v>
      </c>
      <c r="X556" s="10" t="s">
        <v>91</v>
      </c>
      <c r="Y556" s="95" t="s">
        <v>214</v>
      </c>
      <c r="Z556" s="75"/>
      <c r="AA556" s="76"/>
      <c r="AB556" s="77"/>
      <c r="AC556" s="77"/>
      <c r="AD556" s="6"/>
      <c r="AI556" s="7"/>
      <c r="AJ556" s="95">
        <v>38044</v>
      </c>
      <c r="AK556" s="7">
        <v>2000</v>
      </c>
      <c r="AL556" s="16" t="s">
        <v>1460</v>
      </c>
      <c r="AW556" s="6">
        <f t="shared" ca="1" si="10"/>
        <v>77</v>
      </c>
    </row>
    <row r="557" ht="45" hidden="1" customHeight="1" outlineLevel="1">
      <c r="A557" s="69"/>
      <c r="B557" s="3" t="s">
        <v>47</v>
      </c>
      <c r="C557" s="4" t="s">
        <v>1263</v>
      </c>
      <c r="E557" s="2" t="s">
        <v>83</v>
      </c>
      <c r="F557" s="6" t="s">
        <v>84</v>
      </c>
      <c r="G557" s="5" t="s">
        <v>85</v>
      </c>
      <c r="H557" s="2" t="s">
        <v>382</v>
      </c>
      <c r="I557" s="3" t="s">
        <v>1461</v>
      </c>
      <c r="J557" s="7">
        <v>1</v>
      </c>
      <c r="K557" s="104"/>
      <c r="L557" s="9">
        <v>0</v>
      </c>
      <c r="M557" s="3">
        <v>389</v>
      </c>
      <c r="N557" s="6">
        <v>1948</v>
      </c>
      <c r="P557" s="71"/>
      <c r="R557" s="6">
        <v>1940</v>
      </c>
      <c r="S557" s="3" t="s">
        <v>236</v>
      </c>
      <c r="T557" s="72"/>
      <c r="U557" s="73">
        <v>38044</v>
      </c>
      <c r="W557" s="2" t="s">
        <v>62</v>
      </c>
      <c r="X557" s="10" t="s">
        <v>91</v>
      </c>
      <c r="Y557" s="95" t="s">
        <v>214</v>
      </c>
      <c r="Z557" s="75"/>
      <c r="AA557" s="76"/>
      <c r="AB557" s="77"/>
      <c r="AC557" s="77"/>
      <c r="AD557" s="6"/>
      <c r="AI557" s="7"/>
      <c r="AJ557" s="95">
        <v>38044</v>
      </c>
      <c r="AK557" s="7">
        <v>2000</v>
      </c>
      <c r="AL557" s="16" t="s">
        <v>1460</v>
      </c>
      <c r="AW557" s="6">
        <f t="shared" ca="1" si="10"/>
        <v>77</v>
      </c>
    </row>
    <row r="558" ht="45" customHeight="1">
      <c r="A558" s="69"/>
      <c r="B558" s="3" t="s">
        <v>47</v>
      </c>
      <c r="E558" s="2" t="s">
        <v>63</v>
      </c>
      <c r="F558" s="6" t="s">
        <v>354</v>
      </c>
      <c r="G558" s="5" t="s">
        <v>1462</v>
      </c>
      <c r="H558" s="2" t="s">
        <v>288</v>
      </c>
      <c r="I558" s="3" t="s">
        <v>1463</v>
      </c>
      <c r="J558" s="7">
        <v>1</v>
      </c>
      <c r="K558" s="70" t="s">
        <v>53</v>
      </c>
      <c r="L558" s="9">
        <v>1</v>
      </c>
      <c r="M558" s="3">
        <v>390</v>
      </c>
      <c r="N558" s="6">
        <v>1948</v>
      </c>
      <c r="P558" s="71"/>
      <c r="R558" s="6">
        <v>1940</v>
      </c>
      <c r="S558" s="3" t="s">
        <v>54</v>
      </c>
      <c r="T558" s="72"/>
      <c r="U558" s="73"/>
      <c r="W558" s="2" t="s">
        <v>1464</v>
      </c>
      <c r="X558" s="10" t="s">
        <v>56</v>
      </c>
      <c r="Y558" s="10" t="s">
        <v>288</v>
      </c>
      <c r="Z558" s="75"/>
      <c r="AA558" s="76">
        <v>27312</v>
      </c>
      <c r="AB558" s="77">
        <v>17896</v>
      </c>
      <c r="AC558" s="77">
        <v>27312</v>
      </c>
      <c r="AD558" s="10"/>
      <c r="AF558" s="7" t="s">
        <v>1465</v>
      </c>
      <c r="AG558" s="7">
        <v>1948</v>
      </c>
      <c r="AH558" s="7">
        <v>1940</v>
      </c>
      <c r="AI558" s="7" t="s">
        <v>1466</v>
      </c>
      <c r="AJ558" s="73"/>
      <c r="AK558" s="7"/>
      <c r="AL558" s="16" t="s">
        <v>1467</v>
      </c>
      <c r="AM558" s="2" t="s">
        <v>53</v>
      </c>
      <c r="AN558" s="6" t="s">
        <v>73</v>
      </c>
      <c r="AO558" s="6" t="s">
        <v>136</v>
      </c>
      <c r="AP558" s="6" t="s">
        <v>104</v>
      </c>
      <c r="AQ558" s="5" t="s">
        <v>73</v>
      </c>
      <c r="AU558" s="16" t="s">
        <v>1468</v>
      </c>
      <c r="AW558" s="6">
        <f t="shared" ca="1" si="10"/>
        <v>77</v>
      </c>
    </row>
    <row r="559" ht="45" customHeight="1">
      <c r="A559" s="69"/>
      <c r="B559" s="3" t="s">
        <v>47</v>
      </c>
      <c r="E559" s="2" t="s">
        <v>63</v>
      </c>
      <c r="F559" s="6" t="s">
        <v>217</v>
      </c>
      <c r="G559" s="5" t="s">
        <v>1469</v>
      </c>
      <c r="H559" s="2" t="s">
        <v>257</v>
      </c>
      <c r="I559" s="3" t="s">
        <v>1470</v>
      </c>
      <c r="J559" s="7">
        <v>1</v>
      </c>
      <c r="K559" s="70" t="s">
        <v>53</v>
      </c>
      <c r="L559" s="9">
        <v>1</v>
      </c>
      <c r="M559" s="3">
        <v>391</v>
      </c>
      <c r="N559" s="6">
        <v>1939</v>
      </c>
      <c r="P559" s="71"/>
      <c r="R559" s="6">
        <v>1940</v>
      </c>
      <c r="S559" s="3" t="s">
        <v>54</v>
      </c>
      <c r="T559" s="72"/>
      <c r="U559" s="73"/>
      <c r="W559" s="110" t="s">
        <v>1471</v>
      </c>
      <c r="X559" s="10" t="s">
        <v>56</v>
      </c>
      <c r="Y559" s="10" t="s">
        <v>68</v>
      </c>
      <c r="Z559" s="75" t="s">
        <v>260</v>
      </c>
      <c r="AA559" s="76"/>
      <c r="AB559" s="77">
        <v>24589</v>
      </c>
      <c r="AC559" s="77"/>
      <c r="AD559" s="6"/>
      <c r="AG559" s="7">
        <v>1967</v>
      </c>
      <c r="AH559" s="7">
        <v>1960</v>
      </c>
      <c r="AI559" s="7"/>
      <c r="AJ559" s="73"/>
      <c r="AK559" s="7"/>
      <c r="AL559" s="16"/>
      <c r="AM559" s="2" t="s">
        <v>82</v>
      </c>
      <c r="AW559" s="6">
        <f t="shared" ca="1" si="10"/>
        <v>86</v>
      </c>
    </row>
    <row r="560" ht="45" customHeight="1">
      <c r="A560" s="69"/>
      <c r="B560" s="3" t="s">
        <v>47</v>
      </c>
      <c r="E560" s="2" t="s">
        <v>48</v>
      </c>
      <c r="F560" s="6" t="s">
        <v>49</v>
      </c>
      <c r="G560" s="5" t="s">
        <v>1292</v>
      </c>
      <c r="H560" s="2" t="s">
        <v>181</v>
      </c>
      <c r="I560" s="3" t="s">
        <v>1472</v>
      </c>
      <c r="J560" s="7">
        <v>1</v>
      </c>
      <c r="K560" s="70" t="s">
        <v>53</v>
      </c>
      <c r="L560" s="9">
        <v>1</v>
      </c>
      <c r="M560" s="3">
        <v>392</v>
      </c>
      <c r="N560" s="6">
        <v>1948</v>
      </c>
      <c r="P560" s="71"/>
      <c r="R560" s="6">
        <v>1940</v>
      </c>
      <c r="S560" s="3" t="s">
        <v>54</v>
      </c>
      <c r="T560" s="72"/>
      <c r="U560" s="73"/>
      <c r="W560" s="2" t="s">
        <v>1473</v>
      </c>
      <c r="X560" s="10" t="s">
        <v>56</v>
      </c>
      <c r="Y560" s="10" t="s">
        <v>181</v>
      </c>
      <c r="Z560" s="75"/>
      <c r="AA560" s="76">
        <v>25898</v>
      </c>
      <c r="AB560" s="77"/>
      <c r="AC560" s="77"/>
      <c r="AD560" s="6"/>
      <c r="AG560" s="7">
        <v>1970</v>
      </c>
      <c r="AH560" s="7">
        <v>1970</v>
      </c>
      <c r="AI560" s="7"/>
      <c r="AJ560" s="73"/>
      <c r="AK560" s="7"/>
      <c r="AL560" s="16"/>
      <c r="AM560" s="2" t="s">
        <v>82</v>
      </c>
      <c r="AW560" s="6">
        <f t="shared" ca="1" si="10"/>
        <v>77</v>
      </c>
    </row>
    <row r="561" ht="45" customHeight="1">
      <c r="A561" s="69"/>
      <c r="B561" s="3" t="s">
        <v>47</v>
      </c>
      <c r="E561" s="2" t="s">
        <v>63</v>
      </c>
      <c r="F561" s="6" t="s">
        <v>64</v>
      </c>
      <c r="G561" s="5" t="s">
        <v>1474</v>
      </c>
      <c r="H561" s="2" t="s">
        <v>51</v>
      </c>
      <c r="I561" s="3" t="s">
        <v>1475</v>
      </c>
      <c r="J561" s="7">
        <v>1</v>
      </c>
      <c r="K561" s="70" t="s">
        <v>53</v>
      </c>
      <c r="L561" s="9">
        <v>0</v>
      </c>
      <c r="M561" s="3">
        <v>393</v>
      </c>
      <c r="N561" s="6">
        <v>1949</v>
      </c>
      <c r="P561" s="71"/>
      <c r="R561" s="6">
        <v>1940</v>
      </c>
      <c r="S561" s="3" t="s">
        <v>54</v>
      </c>
      <c r="T561" s="72"/>
      <c r="U561" s="73"/>
      <c r="W561" s="2" t="s">
        <v>1476</v>
      </c>
      <c r="X561" s="10" t="s">
        <v>56</v>
      </c>
      <c r="Y561" s="10" t="s">
        <v>57</v>
      </c>
      <c r="Z561" s="75" t="s">
        <v>58</v>
      </c>
      <c r="AA561" s="76"/>
      <c r="AB561" s="77"/>
      <c r="AC561" s="77">
        <v>18066</v>
      </c>
      <c r="AD561" s="10"/>
      <c r="AG561" s="7">
        <v>1949</v>
      </c>
      <c r="AH561" s="7">
        <v>1940</v>
      </c>
      <c r="AI561" s="7"/>
      <c r="AJ561" s="73"/>
      <c r="AK561" s="7"/>
      <c r="AL561" s="16"/>
      <c r="AM561" s="2" t="s">
        <v>59</v>
      </c>
      <c r="AW561" s="6">
        <f t="shared" ca="1" si="10"/>
        <v>76</v>
      </c>
    </row>
    <row r="562" ht="45" customHeight="1">
      <c r="A562" s="69"/>
      <c r="B562" s="3" t="s">
        <v>47</v>
      </c>
      <c r="E562" s="2" t="s">
        <v>63</v>
      </c>
      <c r="F562" s="6" t="s">
        <v>217</v>
      </c>
      <c r="G562" s="5" t="s">
        <v>1477</v>
      </c>
      <c r="H562" s="2" t="s">
        <v>51</v>
      </c>
      <c r="I562" s="3" t="s">
        <v>1478</v>
      </c>
      <c r="J562" s="7">
        <v>1</v>
      </c>
      <c r="K562" s="70" t="s">
        <v>53</v>
      </c>
      <c r="L562" s="9">
        <v>1</v>
      </c>
      <c r="M562" s="3">
        <v>393</v>
      </c>
      <c r="N562" s="6">
        <v>1949</v>
      </c>
      <c r="P562" s="71"/>
      <c r="R562" s="6">
        <v>1940</v>
      </c>
      <c r="S562" s="3" t="s">
        <v>54</v>
      </c>
      <c r="T562" s="72"/>
      <c r="U562" s="73"/>
      <c r="W562" s="2" t="s">
        <v>1479</v>
      </c>
      <c r="X562" s="10" t="s">
        <v>56</v>
      </c>
      <c r="Y562" s="10" t="s">
        <v>57</v>
      </c>
      <c r="Z562" s="75" t="s">
        <v>58</v>
      </c>
      <c r="AA562" s="76"/>
      <c r="AB562" s="77"/>
      <c r="AC562" s="77">
        <v>18034</v>
      </c>
      <c r="AD562" s="10"/>
      <c r="AG562" s="7">
        <v>1949</v>
      </c>
      <c r="AH562" s="7">
        <v>1940</v>
      </c>
      <c r="AI562" s="7"/>
      <c r="AJ562" s="73"/>
      <c r="AK562" s="7"/>
      <c r="AL562" s="16"/>
      <c r="AM562" s="2" t="s">
        <v>59</v>
      </c>
      <c r="AW562" s="6">
        <f t="shared" ca="1" si="10"/>
        <v>76</v>
      </c>
    </row>
    <row r="563" ht="45" customHeight="1">
      <c r="A563" s="69"/>
      <c r="B563" s="3" t="s">
        <v>47</v>
      </c>
      <c r="E563" s="2" t="s">
        <v>63</v>
      </c>
      <c r="F563" s="6" t="s">
        <v>1480</v>
      </c>
      <c r="G563" s="5" t="s">
        <v>1481</v>
      </c>
      <c r="H563" s="2" t="s">
        <v>57</v>
      </c>
      <c r="I563" s="3" t="s">
        <v>1482</v>
      </c>
      <c r="J563" s="7">
        <v>1</v>
      </c>
      <c r="K563" s="70" t="s">
        <v>53</v>
      </c>
      <c r="L563" s="9">
        <v>1</v>
      </c>
      <c r="M563" s="3">
        <v>394</v>
      </c>
      <c r="N563" s="6">
        <v>1949</v>
      </c>
      <c r="P563" s="71"/>
      <c r="R563" s="6">
        <v>1940</v>
      </c>
      <c r="S563" s="3" t="s">
        <v>54</v>
      </c>
      <c r="T563" s="72"/>
      <c r="U563" s="73"/>
      <c r="W563" s="2" t="s">
        <v>1483</v>
      </c>
      <c r="X563" s="10" t="s">
        <v>56</v>
      </c>
      <c r="Y563" s="10" t="s">
        <v>57</v>
      </c>
      <c r="Z563" s="75"/>
      <c r="AA563" s="76"/>
      <c r="AB563" s="77">
        <v>18031</v>
      </c>
      <c r="AC563" s="77"/>
      <c r="AD563" s="6"/>
      <c r="AG563" s="7">
        <v>1949</v>
      </c>
      <c r="AH563" s="7">
        <v>1940</v>
      </c>
      <c r="AI563" s="7"/>
      <c r="AJ563" s="73"/>
      <c r="AK563" s="7"/>
      <c r="AL563" s="16"/>
      <c r="AM563" s="2" t="s">
        <v>59</v>
      </c>
      <c r="AS563" s="6" t="s">
        <v>73</v>
      </c>
      <c r="AT563" s="6">
        <v>2011</v>
      </c>
      <c r="AU563" s="16" t="s">
        <v>1484</v>
      </c>
      <c r="AW563" s="6">
        <f t="shared" ca="1" si="10"/>
        <v>76</v>
      </c>
    </row>
    <row r="564" ht="45" customHeight="1">
      <c r="A564" s="69">
        <v>44732</v>
      </c>
      <c r="B564" s="3" t="s">
        <v>190</v>
      </c>
      <c r="C564" s="4" t="s">
        <v>1485</v>
      </c>
      <c r="D564" s="85" t="s">
        <v>1486</v>
      </c>
      <c r="E564" s="2" t="s">
        <v>694</v>
      </c>
      <c r="F564" s="6" t="s">
        <v>1487</v>
      </c>
      <c r="G564" s="5" t="s">
        <v>1488</v>
      </c>
      <c r="H564" s="2" t="s">
        <v>57</v>
      </c>
      <c r="I564" s="3" t="s">
        <v>1489</v>
      </c>
      <c r="J564" s="7">
        <v>1</v>
      </c>
      <c r="K564" s="70" t="s">
        <v>53</v>
      </c>
      <c r="L564" s="9">
        <v>0</v>
      </c>
      <c r="M564" s="3">
        <v>395</v>
      </c>
      <c r="N564" s="6">
        <v>1950</v>
      </c>
      <c r="P564" s="71"/>
      <c r="R564" s="6">
        <v>1950</v>
      </c>
      <c r="S564" s="3" t="s">
        <v>195</v>
      </c>
      <c r="T564" s="72"/>
      <c r="U564" s="73"/>
      <c r="W564" s="74" t="s">
        <v>1490</v>
      </c>
      <c r="X564" s="10" t="s">
        <v>56</v>
      </c>
      <c r="Y564" s="10" t="s">
        <v>57</v>
      </c>
      <c r="Z564" s="75"/>
      <c r="AA564" s="76"/>
      <c r="AB564" s="77">
        <v>18482</v>
      </c>
      <c r="AC564" s="77"/>
      <c r="AD564" s="6"/>
      <c r="AG564" s="7">
        <v>1950</v>
      </c>
      <c r="AH564" s="7">
        <v>1950</v>
      </c>
      <c r="AI564" s="7"/>
      <c r="AJ564" s="73"/>
      <c r="AK564" s="7"/>
      <c r="AL564" s="16"/>
      <c r="AM564" s="2" t="s">
        <v>59</v>
      </c>
      <c r="AW564" s="6">
        <f t="shared" ca="1" si="10"/>
        <v>75</v>
      </c>
    </row>
    <row r="565" ht="45" customHeight="1">
      <c r="A565" s="69"/>
      <c r="B565" s="3" t="s">
        <v>47</v>
      </c>
      <c r="E565" s="2" t="s">
        <v>83</v>
      </c>
      <c r="F565" s="6" t="s">
        <v>179</v>
      </c>
      <c r="G565" s="5" t="s">
        <v>367</v>
      </c>
      <c r="H565" s="2" t="s">
        <v>51</v>
      </c>
      <c r="I565" s="3" t="s">
        <v>330</v>
      </c>
      <c r="J565" s="7">
        <v>1</v>
      </c>
      <c r="K565" s="70" t="s">
        <v>53</v>
      </c>
      <c r="L565" s="9">
        <v>0</v>
      </c>
      <c r="M565" s="3">
        <v>395</v>
      </c>
      <c r="N565" s="6">
        <v>1950</v>
      </c>
      <c r="P565" s="71"/>
      <c r="R565" s="6">
        <v>1950</v>
      </c>
      <c r="S565" s="3" t="s">
        <v>54</v>
      </c>
      <c r="T565" s="72"/>
      <c r="U565" s="73"/>
      <c r="W565" s="2" t="s">
        <v>1491</v>
      </c>
      <c r="X565" s="10" t="s">
        <v>56</v>
      </c>
      <c r="Y565" s="10" t="s">
        <v>57</v>
      </c>
      <c r="Z565" s="75" t="s">
        <v>58</v>
      </c>
      <c r="AA565" s="76"/>
      <c r="AB565" s="77"/>
      <c r="AC565" s="77">
        <v>18465</v>
      </c>
      <c r="AD565" s="10"/>
      <c r="AG565" s="7">
        <v>1950</v>
      </c>
      <c r="AH565" s="7">
        <v>1950</v>
      </c>
      <c r="AI565" s="7"/>
      <c r="AJ565" s="73"/>
      <c r="AK565" s="7"/>
      <c r="AL565" s="16"/>
      <c r="AM565" s="2" t="s">
        <v>59</v>
      </c>
      <c r="AW565" s="6">
        <f t="shared" ca="1" si="10"/>
        <v>75</v>
      </c>
    </row>
    <row r="566" ht="45" hidden="1" customHeight="1">
      <c r="A566" s="132"/>
      <c r="B566" s="3" t="s">
        <v>47</v>
      </c>
      <c r="C566" s="144" t="s">
        <v>1492</v>
      </c>
      <c r="D566" s="117" t="s">
        <v>964</v>
      </c>
      <c r="E566" s="2" t="s">
        <v>83</v>
      </c>
      <c r="F566" s="6" t="s">
        <v>179</v>
      </c>
      <c r="G566" s="5" t="s">
        <v>1493</v>
      </c>
      <c r="H566" s="2" t="s">
        <v>51</v>
      </c>
      <c r="I566" s="3" t="s">
        <v>1494</v>
      </c>
      <c r="J566" s="7">
        <v>1</v>
      </c>
      <c r="K566" s="145"/>
      <c r="L566" s="134">
        <v>1</v>
      </c>
      <c r="M566" s="3">
        <v>395</v>
      </c>
      <c r="N566" s="6">
        <v>1950</v>
      </c>
      <c r="P566" s="135"/>
      <c r="Q566" s="136"/>
      <c r="R566" s="6">
        <v>1950</v>
      </c>
      <c r="S566" s="3" t="s">
        <v>236</v>
      </c>
      <c r="T566" s="72"/>
      <c r="U566" s="73"/>
      <c r="W566" s="2" t="s">
        <v>1495</v>
      </c>
      <c r="X566" s="10" t="s">
        <v>56</v>
      </c>
      <c r="Y566" s="10" t="s">
        <v>57</v>
      </c>
      <c r="Z566" s="75" t="s">
        <v>58</v>
      </c>
      <c r="AA566" s="137"/>
      <c r="AB566" s="138"/>
      <c r="AC566" s="138"/>
      <c r="AD566" s="141"/>
      <c r="AE566" s="139"/>
      <c r="AG566" s="139"/>
      <c r="AH566" s="139"/>
      <c r="AI566" s="139"/>
      <c r="AJ566" s="136"/>
      <c r="AK566" s="139"/>
      <c r="AL566" s="16"/>
      <c r="AO566" s="141"/>
      <c r="AP566" s="141"/>
      <c r="AQ566" s="117"/>
      <c r="AR566" s="142"/>
      <c r="AS566" s="141"/>
      <c r="AT566" s="141"/>
      <c r="AU566" s="140"/>
      <c r="AV566" s="143"/>
      <c r="AW566" s="6">
        <f t="shared" ca="1" si="10"/>
        <v>75</v>
      </c>
    </row>
    <row r="567" ht="45" customHeight="1">
      <c r="A567" s="69"/>
      <c r="B567" s="3" t="s">
        <v>47</v>
      </c>
      <c r="E567" s="2" t="s">
        <v>63</v>
      </c>
      <c r="F567" s="6" t="s">
        <v>64</v>
      </c>
      <c r="G567" s="5" t="s">
        <v>69</v>
      </c>
      <c r="H567" s="2" t="s">
        <v>57</v>
      </c>
      <c r="I567" s="3" t="s">
        <v>1496</v>
      </c>
      <c r="J567" s="7">
        <v>1</v>
      </c>
      <c r="K567" s="70" t="s">
        <v>53</v>
      </c>
      <c r="L567" s="9">
        <v>1</v>
      </c>
      <c r="M567" s="3">
        <v>396</v>
      </c>
      <c r="N567" s="6">
        <v>1948</v>
      </c>
      <c r="P567" s="71"/>
      <c r="R567" s="6">
        <v>1940</v>
      </c>
      <c r="S567" s="3" t="s">
        <v>54</v>
      </c>
      <c r="T567" s="72"/>
      <c r="U567" s="73"/>
      <c r="W567" s="2" t="s">
        <v>1497</v>
      </c>
      <c r="X567" s="10" t="s">
        <v>56</v>
      </c>
      <c r="Y567" s="10" t="s">
        <v>57</v>
      </c>
      <c r="Z567" s="75"/>
      <c r="AA567" s="76"/>
      <c r="AB567" s="77">
        <v>18133</v>
      </c>
      <c r="AC567" s="77"/>
      <c r="AD567" s="6"/>
      <c r="AF567" s="7">
        <v>110</v>
      </c>
      <c r="AG567" s="7">
        <v>1949</v>
      </c>
      <c r="AH567" s="7">
        <v>1940</v>
      </c>
      <c r="AI567" s="7">
        <v>1984</v>
      </c>
      <c r="AJ567" s="73"/>
      <c r="AK567" s="7"/>
      <c r="AL567" s="16" t="s">
        <v>664</v>
      </c>
      <c r="AM567" s="2" t="s">
        <v>59</v>
      </c>
      <c r="AW567" s="6">
        <f t="shared" ca="1" si="10"/>
        <v>77</v>
      </c>
    </row>
    <row r="568" ht="45" customHeight="1">
      <c r="A568" s="69"/>
      <c r="B568" s="3" t="s">
        <v>47</v>
      </c>
      <c r="E568" s="2" t="s">
        <v>83</v>
      </c>
      <c r="F568" s="6" t="s">
        <v>179</v>
      </c>
      <c r="G568" s="5" t="s">
        <v>313</v>
      </c>
      <c r="H568" s="2" t="s">
        <v>51</v>
      </c>
      <c r="I568" s="3" t="s">
        <v>1362</v>
      </c>
      <c r="J568" s="7">
        <v>1</v>
      </c>
      <c r="K568" s="70" t="s">
        <v>53</v>
      </c>
      <c r="L568" s="9">
        <v>1</v>
      </c>
      <c r="M568" s="3">
        <v>397</v>
      </c>
      <c r="P568" s="71"/>
      <c r="R568" s="6">
        <v>1940</v>
      </c>
      <c r="S568" s="3" t="s">
        <v>54</v>
      </c>
      <c r="T568" s="72"/>
      <c r="U568" s="73"/>
      <c r="W568" s="2" t="s">
        <v>1498</v>
      </c>
      <c r="X568" s="10" t="s">
        <v>56</v>
      </c>
      <c r="Y568" s="10" t="s">
        <v>57</v>
      </c>
      <c r="Z568" s="75" t="s">
        <v>58</v>
      </c>
      <c r="AA568" s="76"/>
      <c r="AB568" s="77"/>
      <c r="AC568" s="77">
        <v>18392</v>
      </c>
      <c r="AD568" s="10"/>
      <c r="AG568" s="7">
        <v>1950</v>
      </c>
      <c r="AH568" s="7">
        <v>1950</v>
      </c>
      <c r="AI568" s="7"/>
      <c r="AJ568" s="73"/>
      <c r="AK568" s="7"/>
      <c r="AL568" s="16"/>
      <c r="AM568" s="2" t="s">
        <v>59</v>
      </c>
      <c r="AW568" s="6" t="str">
        <f t="shared" ca="1" si="10"/>
        <v/>
      </c>
    </row>
    <row r="569" ht="45" customHeight="1">
      <c r="A569" s="69"/>
      <c r="B569" s="3" t="s">
        <v>47</v>
      </c>
      <c r="E569" s="78" t="s">
        <v>63</v>
      </c>
      <c r="F569" s="79" t="s">
        <v>172</v>
      </c>
      <c r="G569" s="80" t="s">
        <v>173</v>
      </c>
      <c r="H569" s="78" t="s">
        <v>68</v>
      </c>
      <c r="I569" s="81" t="s">
        <v>1499</v>
      </c>
      <c r="J569" s="7">
        <v>1</v>
      </c>
      <c r="K569" s="70" t="s">
        <v>53</v>
      </c>
      <c r="L569" s="9">
        <v>1</v>
      </c>
      <c r="M569" s="3">
        <v>398</v>
      </c>
      <c r="P569" s="71"/>
      <c r="R569" s="6">
        <v>1940</v>
      </c>
      <c r="S569" s="3" t="s">
        <v>54</v>
      </c>
      <c r="T569" s="72"/>
      <c r="U569" s="73"/>
      <c r="W569" s="78" t="s">
        <v>1500</v>
      </c>
      <c r="X569" s="82" t="s">
        <v>56</v>
      </c>
      <c r="Y569" s="82" t="s">
        <v>68</v>
      </c>
      <c r="Z569" s="83" t="s">
        <v>260</v>
      </c>
      <c r="AA569" s="76"/>
      <c r="AB569" s="77">
        <v>18130</v>
      </c>
      <c r="AC569" s="77">
        <v>18130</v>
      </c>
      <c r="AD569" s="10"/>
      <c r="AG569" s="7">
        <v>1949</v>
      </c>
      <c r="AH569" s="7">
        <v>1940</v>
      </c>
      <c r="AI569" s="7"/>
      <c r="AJ569" s="73"/>
      <c r="AK569" s="7"/>
      <c r="AL569" s="16"/>
      <c r="AM569" s="2" t="s">
        <v>59</v>
      </c>
      <c r="AU569" s="16" t="s">
        <v>1501</v>
      </c>
      <c r="AW569" s="6" t="str">
        <f t="shared" ca="1" si="10"/>
        <v/>
      </c>
    </row>
    <row r="570" ht="45" hidden="1" customHeight="1">
      <c r="A570" s="69"/>
      <c r="B570" s="3" t="s">
        <v>47</v>
      </c>
      <c r="C570" s="4" t="s">
        <v>1263</v>
      </c>
      <c r="E570" s="2" t="s">
        <v>83</v>
      </c>
      <c r="F570" s="6" t="s">
        <v>704</v>
      </c>
      <c r="G570" s="5" t="s">
        <v>1502</v>
      </c>
      <c r="H570" s="2" t="s">
        <v>57</v>
      </c>
      <c r="I570" s="3" t="s">
        <v>1503</v>
      </c>
      <c r="J570" s="7">
        <v>1</v>
      </c>
      <c r="K570" s="70"/>
      <c r="L570" s="9">
        <v>1</v>
      </c>
      <c r="M570" s="3">
        <v>399</v>
      </c>
      <c r="N570" s="6">
        <v>1949</v>
      </c>
      <c r="P570" s="71"/>
      <c r="R570" s="6">
        <v>1940</v>
      </c>
      <c r="S570" s="3" t="s">
        <v>236</v>
      </c>
      <c r="T570" s="72"/>
      <c r="U570" s="73"/>
      <c r="W570" s="2" t="s">
        <v>62</v>
      </c>
      <c r="X570" s="10" t="s">
        <v>56</v>
      </c>
      <c r="Y570" s="10" t="s">
        <v>57</v>
      </c>
      <c r="Z570" s="75"/>
      <c r="AA570" s="76"/>
      <c r="AB570" s="77"/>
      <c r="AC570" s="77"/>
      <c r="AD570" s="10"/>
      <c r="AI570" s="7"/>
      <c r="AJ570" s="95">
        <v>38044</v>
      </c>
      <c r="AK570" s="7">
        <v>2000</v>
      </c>
      <c r="AL570" s="16"/>
      <c r="AW570" s="6">
        <f t="shared" ca="1" si="10"/>
        <v>76</v>
      </c>
    </row>
    <row r="571" ht="45" customHeight="1">
      <c r="A571" s="69"/>
      <c r="B571" s="3" t="s">
        <v>47</v>
      </c>
      <c r="E571" s="2" t="s">
        <v>63</v>
      </c>
      <c r="F571" s="6" t="s">
        <v>64</v>
      </c>
      <c r="G571" s="5" t="s">
        <v>69</v>
      </c>
      <c r="H571" s="2" t="s">
        <v>51</v>
      </c>
      <c r="I571" s="3" t="s">
        <v>1504</v>
      </c>
      <c r="J571" s="7">
        <v>1</v>
      </c>
      <c r="K571" s="70" t="s">
        <v>53</v>
      </c>
      <c r="L571" s="9">
        <v>1</v>
      </c>
      <c r="M571" s="3">
        <v>400</v>
      </c>
      <c r="N571" s="6">
        <v>1949</v>
      </c>
      <c r="P571" s="71"/>
      <c r="R571" s="6">
        <v>1940</v>
      </c>
      <c r="S571" s="3" t="s">
        <v>54</v>
      </c>
      <c r="T571" s="72"/>
      <c r="U571" s="73"/>
      <c r="W571" s="2" t="s">
        <v>1505</v>
      </c>
      <c r="X571" s="10" t="s">
        <v>56</v>
      </c>
      <c r="Y571" s="10" t="s">
        <v>57</v>
      </c>
      <c r="Z571" s="75" t="s">
        <v>58</v>
      </c>
      <c r="AA571" s="76"/>
      <c r="AB571" s="77">
        <v>18213</v>
      </c>
      <c r="AC571" s="77"/>
      <c r="AD571" s="6"/>
      <c r="AF571" s="7">
        <v>110</v>
      </c>
      <c r="AG571" s="7">
        <v>1949</v>
      </c>
      <c r="AH571" s="7">
        <v>1940</v>
      </c>
      <c r="AI571" s="7">
        <v>1984</v>
      </c>
      <c r="AJ571" s="73"/>
      <c r="AK571" s="7"/>
      <c r="AL571" s="16" t="s">
        <v>664</v>
      </c>
      <c r="AM571" s="2" t="s">
        <v>59</v>
      </c>
      <c r="AW571" s="6">
        <f t="shared" ca="1" si="10"/>
        <v>76</v>
      </c>
    </row>
    <row r="572" ht="45" customHeight="1" outlineLevel="1">
      <c r="A572" s="69"/>
      <c r="B572" s="3" t="s">
        <v>47</v>
      </c>
      <c r="E572" s="2" t="s">
        <v>63</v>
      </c>
      <c r="F572" s="6" t="s">
        <v>64</v>
      </c>
      <c r="G572" s="5" t="s">
        <v>69</v>
      </c>
      <c r="H572" s="2" t="s">
        <v>57</v>
      </c>
      <c r="I572" s="3" t="s">
        <v>1506</v>
      </c>
      <c r="J572" s="7">
        <v>1</v>
      </c>
      <c r="K572" s="70" t="s">
        <v>53</v>
      </c>
      <c r="L572" s="9">
        <v>1</v>
      </c>
      <c r="M572" s="3">
        <v>401</v>
      </c>
      <c r="N572" s="6">
        <v>1949</v>
      </c>
      <c r="P572" s="71"/>
      <c r="R572" s="6">
        <v>1940</v>
      </c>
      <c r="S572" s="3" t="s">
        <v>54</v>
      </c>
      <c r="T572" s="72"/>
      <c r="U572" s="73"/>
      <c r="W572" s="2" t="s">
        <v>1507</v>
      </c>
      <c r="X572" s="10" t="s">
        <v>56</v>
      </c>
      <c r="Y572" s="10" t="s">
        <v>57</v>
      </c>
      <c r="Z572" s="75"/>
      <c r="AA572" s="76"/>
      <c r="AB572" s="77">
        <v>18202</v>
      </c>
      <c r="AC572" s="77"/>
      <c r="AD572" s="6"/>
      <c r="AF572" s="7">
        <v>110</v>
      </c>
      <c r="AG572" s="7">
        <v>1949</v>
      </c>
      <c r="AH572" s="7">
        <v>1940</v>
      </c>
      <c r="AI572" s="7">
        <v>1984</v>
      </c>
      <c r="AJ572" s="73"/>
      <c r="AK572" s="7"/>
      <c r="AL572" s="16" t="s">
        <v>664</v>
      </c>
      <c r="AM572" s="2" t="s">
        <v>59</v>
      </c>
      <c r="AO572" s="6" t="s">
        <v>73</v>
      </c>
      <c r="AU572" s="16" t="s">
        <v>74</v>
      </c>
      <c r="AW572" s="6">
        <f t="shared" ca="1" si="10"/>
        <v>76</v>
      </c>
    </row>
    <row r="573" ht="45" customHeight="1">
      <c r="A573" s="69"/>
      <c r="B573" s="3" t="s">
        <v>47</v>
      </c>
      <c r="E573" s="2" t="s">
        <v>83</v>
      </c>
      <c r="F573" s="6" t="s">
        <v>179</v>
      </c>
      <c r="G573" s="5" t="s">
        <v>1508</v>
      </c>
      <c r="H573" s="2" t="s">
        <v>51</v>
      </c>
      <c r="I573" s="3" t="s">
        <v>579</v>
      </c>
      <c r="J573" s="7">
        <v>1</v>
      </c>
      <c r="K573" s="70" t="s">
        <v>53</v>
      </c>
      <c r="L573" s="9">
        <v>1</v>
      </c>
      <c r="M573" s="3">
        <v>402</v>
      </c>
      <c r="P573" s="71"/>
      <c r="R573" s="6">
        <v>1940</v>
      </c>
      <c r="S573" s="3" t="s">
        <v>54</v>
      </c>
      <c r="T573" s="72"/>
      <c r="U573" s="73"/>
      <c r="W573" s="2" t="s">
        <v>1509</v>
      </c>
      <c r="X573" s="10" t="s">
        <v>56</v>
      </c>
      <c r="Y573" s="10" t="s">
        <v>57</v>
      </c>
      <c r="Z573" s="75" t="s">
        <v>58</v>
      </c>
      <c r="AA573" s="76"/>
      <c r="AB573" s="77"/>
      <c r="AC573" s="77">
        <v>18231</v>
      </c>
      <c r="AD573" s="10"/>
      <c r="AG573" s="7">
        <v>1949</v>
      </c>
      <c r="AH573" s="7">
        <v>1940</v>
      </c>
      <c r="AI573" s="7"/>
      <c r="AJ573" s="73"/>
      <c r="AK573" s="7"/>
      <c r="AL573" s="16"/>
      <c r="AM573" s="2" t="s">
        <v>59</v>
      </c>
      <c r="AW573" s="6" t="str">
        <f t="shared" ca="1" si="10"/>
        <v/>
      </c>
    </row>
    <row r="574" ht="45" customHeight="1" outlineLevel="1">
      <c r="A574" s="69"/>
      <c r="B574" s="3" t="s">
        <v>47</v>
      </c>
      <c r="E574" s="2" t="s">
        <v>83</v>
      </c>
      <c r="F574" s="6" t="s">
        <v>179</v>
      </c>
      <c r="G574" s="5" t="s">
        <v>180</v>
      </c>
      <c r="H574" s="2" t="s">
        <v>51</v>
      </c>
      <c r="I574" s="3" t="s">
        <v>1362</v>
      </c>
      <c r="J574" s="7">
        <v>1</v>
      </c>
      <c r="K574" s="70" t="s">
        <v>53</v>
      </c>
      <c r="L574" s="9">
        <v>1</v>
      </c>
      <c r="M574" s="3">
        <v>403</v>
      </c>
      <c r="P574" s="71"/>
      <c r="R574" s="6">
        <v>1940</v>
      </c>
      <c r="S574" s="3" t="s">
        <v>54</v>
      </c>
      <c r="T574" s="72"/>
      <c r="U574" s="73"/>
      <c r="W574" s="2" t="s">
        <v>1510</v>
      </c>
      <c r="X574" s="10" t="s">
        <v>56</v>
      </c>
      <c r="Y574" s="10" t="s">
        <v>57</v>
      </c>
      <c r="Z574" s="75" t="s">
        <v>58</v>
      </c>
      <c r="AA574" s="76"/>
      <c r="AB574" s="77"/>
      <c r="AC574" s="77">
        <v>18231</v>
      </c>
      <c r="AD574" s="10"/>
      <c r="AG574" s="7">
        <v>1949</v>
      </c>
      <c r="AH574" s="7">
        <v>1940</v>
      </c>
      <c r="AI574" s="7"/>
      <c r="AJ574" s="73"/>
      <c r="AK574" s="7"/>
      <c r="AL574" s="16"/>
      <c r="AM574" s="2" t="s">
        <v>59</v>
      </c>
      <c r="AW574" s="6" t="str">
        <f t="shared" ca="1" si="10"/>
        <v/>
      </c>
    </row>
    <row r="575" ht="45" customHeight="1">
      <c r="A575" s="69"/>
      <c r="B575" s="3" t="s">
        <v>47</v>
      </c>
      <c r="E575" s="2" t="s">
        <v>83</v>
      </c>
      <c r="F575" s="6" t="s">
        <v>179</v>
      </c>
      <c r="G575" s="5" t="s">
        <v>334</v>
      </c>
      <c r="H575" s="2" t="s">
        <v>51</v>
      </c>
      <c r="I575" s="3" t="s">
        <v>378</v>
      </c>
      <c r="J575" s="7">
        <v>1</v>
      </c>
      <c r="K575" s="70" t="s">
        <v>53</v>
      </c>
      <c r="L575" s="9">
        <v>1</v>
      </c>
      <c r="M575" s="3">
        <v>404</v>
      </c>
      <c r="P575" s="71"/>
      <c r="R575" s="6">
        <v>1940</v>
      </c>
      <c r="S575" s="3" t="s">
        <v>54</v>
      </c>
      <c r="T575" s="72"/>
      <c r="U575" s="73"/>
      <c r="W575" s="2" t="s">
        <v>1511</v>
      </c>
      <c r="X575" s="10" t="s">
        <v>56</v>
      </c>
      <c r="Y575" s="10" t="s">
        <v>57</v>
      </c>
      <c r="Z575" s="75" t="s">
        <v>58</v>
      </c>
      <c r="AA575" s="76"/>
      <c r="AB575" s="77"/>
      <c r="AC575" s="77">
        <v>18231</v>
      </c>
      <c r="AD575" s="10"/>
      <c r="AG575" s="7">
        <v>1949</v>
      </c>
      <c r="AH575" s="7">
        <v>1940</v>
      </c>
      <c r="AI575" s="7"/>
      <c r="AJ575" s="73"/>
      <c r="AK575" s="7"/>
      <c r="AL575" s="16"/>
      <c r="AM575" s="2" t="s">
        <v>59</v>
      </c>
      <c r="AW575" s="6" t="str">
        <f t="shared" ca="1" si="10"/>
        <v/>
      </c>
    </row>
    <row r="576" ht="45" customHeight="1">
      <c r="A576" s="69"/>
      <c r="B576" s="3" t="s">
        <v>47</v>
      </c>
      <c r="E576" s="2" t="s">
        <v>83</v>
      </c>
      <c r="F576" s="6" t="s">
        <v>179</v>
      </c>
      <c r="G576" s="5" t="s">
        <v>298</v>
      </c>
      <c r="H576" s="2" t="s">
        <v>51</v>
      </c>
      <c r="I576" s="3" t="s">
        <v>579</v>
      </c>
      <c r="J576" s="7">
        <v>1</v>
      </c>
      <c r="K576" s="70" t="s">
        <v>53</v>
      </c>
      <c r="L576" s="9">
        <v>1</v>
      </c>
      <c r="M576" s="3">
        <v>405</v>
      </c>
      <c r="P576" s="71"/>
      <c r="R576" s="6">
        <v>1940</v>
      </c>
      <c r="S576" s="3" t="s">
        <v>54</v>
      </c>
      <c r="T576" s="72"/>
      <c r="U576" s="73"/>
      <c r="W576" s="2" t="s">
        <v>1512</v>
      </c>
      <c r="X576" s="10" t="s">
        <v>56</v>
      </c>
      <c r="Y576" s="10" t="s">
        <v>57</v>
      </c>
      <c r="Z576" s="75" t="s">
        <v>58</v>
      </c>
      <c r="AA576" s="76"/>
      <c r="AB576" s="77"/>
      <c r="AC576" s="77">
        <v>18231</v>
      </c>
      <c r="AD576" s="10"/>
      <c r="AG576" s="7">
        <v>1949</v>
      </c>
      <c r="AH576" s="7">
        <v>1940</v>
      </c>
      <c r="AI576" s="7"/>
      <c r="AJ576" s="73"/>
      <c r="AK576" s="7"/>
      <c r="AL576" s="16"/>
      <c r="AM576" s="2" t="s">
        <v>59</v>
      </c>
      <c r="AW576" s="6" t="str">
        <f t="shared" ca="1" si="10"/>
        <v/>
      </c>
    </row>
    <row r="577" ht="45" customHeight="1" outlineLevel="1">
      <c r="A577" s="69"/>
      <c r="B577" s="3" t="s">
        <v>47</v>
      </c>
      <c r="E577" s="2" t="s">
        <v>83</v>
      </c>
      <c r="F577" s="6" t="s">
        <v>179</v>
      </c>
      <c r="G577" s="5" t="s">
        <v>298</v>
      </c>
      <c r="H577" s="2" t="s">
        <v>491</v>
      </c>
      <c r="I577" s="3" t="s">
        <v>1513</v>
      </c>
      <c r="J577" s="7">
        <v>1</v>
      </c>
      <c r="K577" s="70" t="s">
        <v>53</v>
      </c>
      <c r="L577" s="9">
        <v>1</v>
      </c>
      <c r="M577" s="3">
        <v>406</v>
      </c>
      <c r="N577" s="6">
        <v>1949</v>
      </c>
      <c r="P577" s="71"/>
      <c r="R577" s="6">
        <v>1940</v>
      </c>
      <c r="S577" s="3" t="s">
        <v>54</v>
      </c>
      <c r="T577" s="72"/>
      <c r="U577" s="73"/>
      <c r="W577" s="2" t="s">
        <v>1514</v>
      </c>
      <c r="X577" s="10" t="s">
        <v>56</v>
      </c>
      <c r="Y577" s="10" t="s">
        <v>494</v>
      </c>
      <c r="Z577" s="75"/>
      <c r="AA577" s="76"/>
      <c r="AB577" s="77"/>
      <c r="AC577" s="77">
        <v>18235</v>
      </c>
      <c r="AD577" s="10"/>
      <c r="AG577" s="7">
        <v>1949</v>
      </c>
      <c r="AH577" s="7">
        <v>1940</v>
      </c>
      <c r="AI577" s="7"/>
      <c r="AJ577" s="73"/>
      <c r="AK577" s="7"/>
      <c r="AL577" s="16"/>
      <c r="AM577" s="2" t="s">
        <v>59</v>
      </c>
      <c r="AW577" s="6">
        <f t="shared" ca="1" si="10"/>
        <v>76</v>
      </c>
    </row>
    <row r="578" ht="45" customHeight="1" outlineLevel="1">
      <c r="A578" s="69"/>
      <c r="B578" s="3" t="s">
        <v>47</v>
      </c>
      <c r="E578" s="2" t="s">
        <v>83</v>
      </c>
      <c r="F578" s="6" t="s">
        <v>179</v>
      </c>
      <c r="G578" s="5" t="s">
        <v>365</v>
      </c>
      <c r="H578" s="2" t="s">
        <v>68</v>
      </c>
      <c r="I578" s="3" t="s">
        <v>1515</v>
      </c>
      <c r="J578" s="7">
        <v>1</v>
      </c>
      <c r="K578" s="70" t="s">
        <v>53</v>
      </c>
      <c r="L578" s="9">
        <v>1</v>
      </c>
      <c r="M578" s="3">
        <v>407</v>
      </c>
      <c r="N578" s="6">
        <v>1949</v>
      </c>
      <c r="P578" s="71"/>
      <c r="R578" s="6">
        <v>1940</v>
      </c>
      <c r="S578" s="3" t="s">
        <v>54</v>
      </c>
      <c r="T578" s="72"/>
      <c r="U578" s="73"/>
      <c r="W578" s="2" t="s">
        <v>1516</v>
      </c>
      <c r="X578" s="10" t="s">
        <v>56</v>
      </c>
      <c r="Y578" s="10" t="s">
        <v>68</v>
      </c>
      <c r="Z578" s="75"/>
      <c r="AA578" s="76">
        <v>20116</v>
      </c>
      <c r="AB578" s="77">
        <v>20116</v>
      </c>
      <c r="AC578" s="77"/>
      <c r="AD578" s="6"/>
      <c r="AG578" s="7">
        <v>1955</v>
      </c>
      <c r="AH578" s="7">
        <v>1950</v>
      </c>
      <c r="AI578" s="7"/>
      <c r="AJ578" s="73"/>
      <c r="AK578" s="7"/>
      <c r="AL578" s="16"/>
      <c r="AM578" s="2" t="s">
        <v>82</v>
      </c>
      <c r="AW578" s="6">
        <f t="shared" ca="1" si="10"/>
        <v>76</v>
      </c>
    </row>
    <row r="579" ht="45" customHeight="1">
      <c r="A579" s="69"/>
      <c r="B579" s="3" t="s">
        <v>47</v>
      </c>
      <c r="E579" s="2" t="s">
        <v>83</v>
      </c>
      <c r="F579" s="6" t="s">
        <v>179</v>
      </c>
      <c r="G579" s="5" t="s">
        <v>319</v>
      </c>
      <c r="H579" s="2" t="s">
        <v>51</v>
      </c>
      <c r="I579" s="3" t="s">
        <v>1517</v>
      </c>
      <c r="J579" s="7">
        <v>1</v>
      </c>
      <c r="K579" s="70" t="s">
        <v>53</v>
      </c>
      <c r="L579" s="9">
        <v>0</v>
      </c>
      <c r="M579" s="3">
        <v>408</v>
      </c>
      <c r="N579" s="6">
        <v>1949</v>
      </c>
      <c r="P579" s="71"/>
      <c r="R579" s="6">
        <v>1940</v>
      </c>
      <c r="S579" s="3" t="s">
        <v>54</v>
      </c>
      <c r="T579" s="72"/>
      <c r="U579" s="73"/>
      <c r="W579" s="2" t="s">
        <v>1518</v>
      </c>
      <c r="X579" s="10" t="s">
        <v>56</v>
      </c>
      <c r="Y579" s="10" t="s">
        <v>57</v>
      </c>
      <c r="Z579" s="75" t="s">
        <v>58</v>
      </c>
      <c r="AA579" s="76"/>
      <c r="AB579" s="77"/>
      <c r="AC579" s="77">
        <v>18392</v>
      </c>
      <c r="AD579" s="10"/>
      <c r="AG579" s="7">
        <v>1950</v>
      </c>
      <c r="AH579" s="7">
        <v>1950</v>
      </c>
      <c r="AI579" s="7"/>
      <c r="AJ579" s="73"/>
      <c r="AK579" s="7"/>
      <c r="AL579" s="16"/>
      <c r="AM579" s="2" t="s">
        <v>59</v>
      </c>
      <c r="AW579" s="6">
        <f t="shared" ca="1" si="10"/>
        <v>76</v>
      </c>
    </row>
    <row r="580" ht="45" customHeight="1">
      <c r="A580" s="69"/>
      <c r="B580" s="3" t="s">
        <v>47</v>
      </c>
      <c r="E580" s="2" t="s">
        <v>83</v>
      </c>
      <c r="F580" s="6" t="s">
        <v>179</v>
      </c>
      <c r="G580" s="5" t="s">
        <v>319</v>
      </c>
      <c r="H580" s="2" t="s">
        <v>51</v>
      </c>
      <c r="I580" s="3" t="s">
        <v>1519</v>
      </c>
      <c r="J580" s="7">
        <v>1</v>
      </c>
      <c r="K580" s="70" t="s">
        <v>53</v>
      </c>
      <c r="L580" s="9">
        <v>0</v>
      </c>
      <c r="M580" s="3">
        <v>408</v>
      </c>
      <c r="N580" s="6">
        <v>1949</v>
      </c>
      <c r="P580" s="71"/>
      <c r="R580" s="6">
        <v>1940</v>
      </c>
      <c r="S580" s="3" t="s">
        <v>54</v>
      </c>
      <c r="T580" s="72"/>
      <c r="U580" s="73"/>
      <c r="W580" s="2" t="s">
        <v>1520</v>
      </c>
      <c r="X580" s="10" t="s">
        <v>56</v>
      </c>
      <c r="Y580" s="10" t="s">
        <v>57</v>
      </c>
      <c r="Z580" s="75"/>
      <c r="AA580" s="76"/>
      <c r="AB580" s="77"/>
      <c r="AC580" s="77">
        <v>18392</v>
      </c>
      <c r="AD580" s="10"/>
      <c r="AG580" s="7">
        <v>1950</v>
      </c>
      <c r="AH580" s="7">
        <v>1950</v>
      </c>
      <c r="AI580" s="7"/>
      <c r="AJ580" s="73"/>
      <c r="AK580" s="7"/>
      <c r="AL580" s="16"/>
      <c r="AM580" s="2" t="s">
        <v>59</v>
      </c>
      <c r="AW580" s="6">
        <f t="shared" ca="1" si="10"/>
        <v>76</v>
      </c>
    </row>
    <row r="581" ht="45" customHeight="1">
      <c r="A581" s="69"/>
      <c r="B581" s="3" t="s">
        <v>47</v>
      </c>
      <c r="E581" s="2" t="s">
        <v>83</v>
      </c>
      <c r="F581" s="6" t="s">
        <v>179</v>
      </c>
      <c r="G581" s="5" t="s">
        <v>313</v>
      </c>
      <c r="H581" s="2" t="s">
        <v>51</v>
      </c>
      <c r="I581" s="3" t="s">
        <v>326</v>
      </c>
      <c r="J581" s="7">
        <v>1</v>
      </c>
      <c r="K581" s="70" t="s">
        <v>53</v>
      </c>
      <c r="L581" s="9">
        <v>1</v>
      </c>
      <c r="M581" s="3">
        <v>408</v>
      </c>
      <c r="N581" s="6">
        <v>1949</v>
      </c>
      <c r="P581" s="71"/>
      <c r="R581" s="6">
        <v>1940</v>
      </c>
      <c r="S581" s="3" t="s">
        <v>54</v>
      </c>
      <c r="T581" s="72"/>
      <c r="U581" s="73"/>
      <c r="W581" s="2" t="s">
        <v>1521</v>
      </c>
      <c r="X581" s="10" t="s">
        <v>56</v>
      </c>
      <c r="Y581" s="10" t="s">
        <v>57</v>
      </c>
      <c r="Z581" s="75" t="s">
        <v>58</v>
      </c>
      <c r="AA581" s="76"/>
      <c r="AB581" s="77"/>
      <c r="AC581" s="77">
        <v>18392</v>
      </c>
      <c r="AD581" s="10"/>
      <c r="AG581" s="7">
        <v>1950</v>
      </c>
      <c r="AH581" s="7">
        <v>1950</v>
      </c>
      <c r="AI581" s="7"/>
      <c r="AJ581" s="73"/>
      <c r="AK581" s="7"/>
      <c r="AL581" s="16"/>
      <c r="AM581" s="2" t="s">
        <v>59</v>
      </c>
      <c r="AW581" s="6">
        <f t="shared" ca="1" si="10"/>
        <v>76</v>
      </c>
    </row>
    <row r="582" ht="45" customHeight="1" outlineLevel="1">
      <c r="A582" s="69"/>
      <c r="B582" s="3" t="s">
        <v>47</v>
      </c>
      <c r="E582" s="2" t="s">
        <v>83</v>
      </c>
      <c r="F582" s="6" t="s">
        <v>179</v>
      </c>
      <c r="G582" s="5" t="s">
        <v>319</v>
      </c>
      <c r="H582" s="2" t="s">
        <v>68</v>
      </c>
      <c r="I582" s="3" t="s">
        <v>1522</v>
      </c>
      <c r="J582" s="7">
        <v>1</v>
      </c>
      <c r="K582" s="70" t="s">
        <v>53</v>
      </c>
      <c r="L582" s="9">
        <v>0</v>
      </c>
      <c r="M582" s="3">
        <v>408</v>
      </c>
      <c r="N582" s="6">
        <v>1949</v>
      </c>
      <c r="P582" s="71"/>
      <c r="R582" s="6">
        <v>1940</v>
      </c>
      <c r="S582" s="3" t="s">
        <v>54</v>
      </c>
      <c r="T582" s="72"/>
      <c r="U582" s="73"/>
      <c r="W582" s="2" t="s">
        <v>1523</v>
      </c>
      <c r="X582" s="10" t="s">
        <v>56</v>
      </c>
      <c r="Y582" s="10" t="s">
        <v>68</v>
      </c>
      <c r="Z582" s="75"/>
      <c r="AA582" s="76"/>
      <c r="AB582" s="77"/>
      <c r="AC582" s="77">
        <v>18392</v>
      </c>
      <c r="AD582" s="10"/>
      <c r="AG582" s="7">
        <v>1950</v>
      </c>
      <c r="AH582" s="7">
        <v>1950</v>
      </c>
      <c r="AI582" s="7"/>
      <c r="AJ582" s="73"/>
      <c r="AK582" s="7"/>
      <c r="AL582" s="16"/>
      <c r="AM582" s="2" t="s">
        <v>82</v>
      </c>
      <c r="AW582" s="6">
        <f t="shared" ca="1" si="10"/>
        <v>76</v>
      </c>
    </row>
    <row r="583" ht="45" customHeight="1">
      <c r="A583" s="69"/>
      <c r="B583" s="3" t="s">
        <v>47</v>
      </c>
      <c r="E583" s="2" t="s">
        <v>83</v>
      </c>
      <c r="F583" s="6" t="s">
        <v>179</v>
      </c>
      <c r="G583" s="5" t="s">
        <v>319</v>
      </c>
      <c r="H583" s="2" t="s">
        <v>51</v>
      </c>
      <c r="I583" s="3" t="s">
        <v>1524</v>
      </c>
      <c r="J583" s="7">
        <v>1</v>
      </c>
      <c r="K583" s="70" t="s">
        <v>53</v>
      </c>
      <c r="L583" s="9">
        <v>0</v>
      </c>
      <c r="M583" s="3">
        <v>408</v>
      </c>
      <c r="N583" s="6">
        <v>1949</v>
      </c>
      <c r="P583" s="71"/>
      <c r="R583" s="6">
        <v>1940</v>
      </c>
      <c r="S583" s="3" t="s">
        <v>54</v>
      </c>
      <c r="T583" s="72"/>
      <c r="U583" s="73"/>
      <c r="W583" s="2" t="s">
        <v>1525</v>
      </c>
      <c r="X583" s="10" t="s">
        <v>56</v>
      </c>
      <c r="Y583" s="10" t="s">
        <v>57</v>
      </c>
      <c r="Z583" s="75"/>
      <c r="AA583" s="76"/>
      <c r="AB583" s="77"/>
      <c r="AC583" s="77">
        <v>18392</v>
      </c>
      <c r="AD583" s="10"/>
      <c r="AG583" s="7">
        <v>1950</v>
      </c>
      <c r="AH583" s="7">
        <v>1950</v>
      </c>
      <c r="AI583" s="7"/>
      <c r="AJ583" s="73"/>
      <c r="AK583" s="7"/>
      <c r="AL583" s="16"/>
      <c r="AM583" s="2" t="s">
        <v>59</v>
      </c>
      <c r="AW583" s="6">
        <f t="shared" ca="1" si="10"/>
        <v>76</v>
      </c>
    </row>
    <row r="584" ht="45" customHeight="1">
      <c r="A584" s="69"/>
      <c r="B584" s="3" t="s">
        <v>47</v>
      </c>
      <c r="E584" s="2" t="s">
        <v>83</v>
      </c>
      <c r="F584" s="6" t="s">
        <v>179</v>
      </c>
      <c r="G584" s="5" t="s">
        <v>287</v>
      </c>
      <c r="H584" s="2" t="s">
        <v>51</v>
      </c>
      <c r="I584" s="3" t="s">
        <v>632</v>
      </c>
      <c r="J584" s="7">
        <v>1</v>
      </c>
      <c r="K584" s="70" t="s">
        <v>53</v>
      </c>
      <c r="L584" s="9">
        <v>0</v>
      </c>
      <c r="M584" s="3">
        <v>409</v>
      </c>
      <c r="N584" s="6">
        <v>1949</v>
      </c>
      <c r="P584" s="71"/>
      <c r="R584" s="6">
        <v>1940</v>
      </c>
      <c r="S584" s="3" t="s">
        <v>54</v>
      </c>
      <c r="T584" s="72"/>
      <c r="U584" s="73"/>
      <c r="W584" s="2" t="s">
        <v>1526</v>
      </c>
      <c r="X584" s="10" t="s">
        <v>56</v>
      </c>
      <c r="Y584" s="10" t="s">
        <v>57</v>
      </c>
      <c r="Z584" s="75" t="s">
        <v>58</v>
      </c>
      <c r="AA584" s="76"/>
      <c r="AB584" s="77"/>
      <c r="AC584" s="77">
        <v>18238</v>
      </c>
      <c r="AD584" s="10"/>
      <c r="AG584" s="7">
        <v>1949</v>
      </c>
      <c r="AH584" s="7">
        <v>1940</v>
      </c>
      <c r="AI584" s="7"/>
      <c r="AJ584" s="73"/>
      <c r="AK584" s="7"/>
      <c r="AL584" s="16"/>
      <c r="AM584" s="2" t="s">
        <v>59</v>
      </c>
      <c r="AW584" s="6">
        <f t="shared" ca="1" si="10"/>
        <v>76</v>
      </c>
    </row>
    <row r="585" ht="45" customHeight="1">
      <c r="A585" s="69"/>
      <c r="B585" s="3" t="s">
        <v>47</v>
      </c>
      <c r="E585" s="2" t="s">
        <v>83</v>
      </c>
      <c r="F585" s="6" t="s">
        <v>179</v>
      </c>
      <c r="G585" s="5" t="s">
        <v>287</v>
      </c>
      <c r="H585" s="2" t="s">
        <v>51</v>
      </c>
      <c r="I585" s="3" t="s">
        <v>328</v>
      </c>
      <c r="J585" s="7">
        <v>1</v>
      </c>
      <c r="K585" s="70" t="s">
        <v>53</v>
      </c>
      <c r="L585" s="9">
        <v>0</v>
      </c>
      <c r="M585" s="3">
        <v>409</v>
      </c>
      <c r="N585" s="6">
        <v>1949</v>
      </c>
      <c r="P585" s="71"/>
      <c r="R585" s="6">
        <v>1940</v>
      </c>
      <c r="S585" s="3" t="s">
        <v>54</v>
      </c>
      <c r="T585" s="72"/>
      <c r="U585" s="73"/>
      <c r="W585" s="2" t="s">
        <v>1527</v>
      </c>
      <c r="X585" s="10" t="s">
        <v>56</v>
      </c>
      <c r="Y585" s="10" t="s">
        <v>57</v>
      </c>
      <c r="Z585" s="75" t="s">
        <v>58</v>
      </c>
      <c r="AA585" s="76"/>
      <c r="AB585" s="77"/>
      <c r="AC585" s="77">
        <v>18238</v>
      </c>
      <c r="AD585" s="10"/>
      <c r="AG585" s="7">
        <v>1949</v>
      </c>
      <c r="AH585" s="7">
        <v>1940</v>
      </c>
      <c r="AI585" s="7"/>
      <c r="AJ585" s="73"/>
      <c r="AK585" s="7"/>
      <c r="AL585" s="16"/>
      <c r="AM585" s="2" t="s">
        <v>59</v>
      </c>
      <c r="AW585" s="6">
        <f t="shared" ca="1" si="10"/>
        <v>76</v>
      </c>
    </row>
    <row r="586" ht="45" customHeight="1" outlineLevel="1">
      <c r="A586" s="69"/>
      <c r="B586" s="3" t="s">
        <v>47</v>
      </c>
      <c r="E586" s="2" t="s">
        <v>83</v>
      </c>
      <c r="F586" s="6" t="s">
        <v>179</v>
      </c>
      <c r="G586" s="5" t="s">
        <v>287</v>
      </c>
      <c r="H586" s="2" t="s">
        <v>51</v>
      </c>
      <c r="I586" s="3" t="s">
        <v>322</v>
      </c>
      <c r="J586" s="7">
        <v>1</v>
      </c>
      <c r="K586" s="70" t="s">
        <v>53</v>
      </c>
      <c r="L586" s="9">
        <v>1</v>
      </c>
      <c r="M586" s="3">
        <v>409</v>
      </c>
      <c r="N586" s="6">
        <v>1949</v>
      </c>
      <c r="P586" s="71"/>
      <c r="R586" s="6">
        <v>1940</v>
      </c>
      <c r="S586" s="3" t="s">
        <v>54</v>
      </c>
      <c r="T586" s="72"/>
      <c r="U586" s="73"/>
      <c r="W586" s="2" t="s">
        <v>1528</v>
      </c>
      <c r="X586" s="10" t="s">
        <v>56</v>
      </c>
      <c r="Y586" s="10" t="s">
        <v>57</v>
      </c>
      <c r="Z586" s="75" t="s">
        <v>58</v>
      </c>
      <c r="AA586" s="76"/>
      <c r="AB586" s="77"/>
      <c r="AC586" s="77">
        <v>18238</v>
      </c>
      <c r="AD586" s="10"/>
      <c r="AG586" s="7">
        <v>1949</v>
      </c>
      <c r="AH586" s="7">
        <v>1940</v>
      </c>
      <c r="AI586" s="7"/>
      <c r="AJ586" s="73"/>
      <c r="AK586" s="7"/>
      <c r="AL586" s="16"/>
      <c r="AM586" s="2" t="s">
        <v>59</v>
      </c>
      <c r="AW586" s="6">
        <f t="shared" ca="1" si="10"/>
        <v>76</v>
      </c>
    </row>
    <row r="587" ht="45" customHeight="1" outlineLevel="1">
      <c r="A587" s="69"/>
      <c r="B587" s="3" t="s">
        <v>47</v>
      </c>
      <c r="E587" s="2" t="s">
        <v>83</v>
      </c>
      <c r="F587" s="6" t="s">
        <v>179</v>
      </c>
      <c r="G587" s="5" t="s">
        <v>287</v>
      </c>
      <c r="H587" s="2" t="s">
        <v>51</v>
      </c>
      <c r="I587" s="3" t="s">
        <v>735</v>
      </c>
      <c r="J587" s="7">
        <v>1</v>
      </c>
      <c r="K587" s="70" t="s">
        <v>53</v>
      </c>
      <c r="L587" s="9">
        <v>0</v>
      </c>
      <c r="M587" s="3">
        <v>409</v>
      </c>
      <c r="N587" s="6">
        <v>1949</v>
      </c>
      <c r="P587" s="71"/>
      <c r="R587" s="6">
        <v>1940</v>
      </c>
      <c r="S587" s="3" t="s">
        <v>54</v>
      </c>
      <c r="T587" s="72"/>
      <c r="U587" s="73"/>
      <c r="W587" s="2" t="s">
        <v>1529</v>
      </c>
      <c r="X587" s="10" t="s">
        <v>56</v>
      </c>
      <c r="Y587" s="10" t="s">
        <v>57</v>
      </c>
      <c r="Z587" s="75" t="s">
        <v>58</v>
      </c>
      <c r="AA587" s="76"/>
      <c r="AB587" s="77"/>
      <c r="AC587" s="77">
        <v>18238</v>
      </c>
      <c r="AD587" s="10"/>
      <c r="AG587" s="7">
        <v>1949</v>
      </c>
      <c r="AH587" s="7">
        <v>1940</v>
      </c>
      <c r="AI587" s="7"/>
      <c r="AJ587" s="73"/>
      <c r="AK587" s="7"/>
      <c r="AL587" s="16"/>
      <c r="AM587" s="2" t="s">
        <v>59</v>
      </c>
      <c r="AW587" s="6">
        <f t="shared" ca="1" si="10"/>
        <v>76</v>
      </c>
    </row>
    <row r="588" ht="45" customHeight="1" outlineLevel="1">
      <c r="A588" s="69"/>
      <c r="B588" s="3" t="s">
        <v>47</v>
      </c>
      <c r="E588" s="2" t="s">
        <v>83</v>
      </c>
      <c r="F588" s="6" t="s">
        <v>179</v>
      </c>
      <c r="G588" s="5" t="s">
        <v>287</v>
      </c>
      <c r="H588" s="2" t="s">
        <v>51</v>
      </c>
      <c r="I588" s="3" t="s">
        <v>326</v>
      </c>
      <c r="J588" s="7">
        <v>1</v>
      </c>
      <c r="K588" s="70" t="s">
        <v>53</v>
      </c>
      <c r="L588" s="9">
        <v>0</v>
      </c>
      <c r="M588" s="3">
        <v>409</v>
      </c>
      <c r="N588" s="6">
        <v>1949</v>
      </c>
      <c r="P588" s="71"/>
      <c r="R588" s="6">
        <v>1940</v>
      </c>
      <c r="S588" s="3" t="s">
        <v>54</v>
      </c>
      <c r="T588" s="72"/>
      <c r="U588" s="73"/>
      <c r="W588" s="2" t="s">
        <v>1530</v>
      </c>
      <c r="X588" s="10" t="s">
        <v>56</v>
      </c>
      <c r="Y588" s="10" t="s">
        <v>57</v>
      </c>
      <c r="Z588" s="75" t="s">
        <v>58</v>
      </c>
      <c r="AA588" s="76"/>
      <c r="AB588" s="77"/>
      <c r="AC588" s="77">
        <v>18238</v>
      </c>
      <c r="AD588" s="10"/>
      <c r="AG588" s="7">
        <v>1949</v>
      </c>
      <c r="AH588" s="7">
        <v>1940</v>
      </c>
      <c r="AI588" s="7"/>
      <c r="AJ588" s="73"/>
      <c r="AK588" s="7"/>
      <c r="AL588" s="16"/>
      <c r="AM588" s="2" t="s">
        <v>59</v>
      </c>
      <c r="AW588" s="6">
        <f t="shared" ca="1" si="10"/>
        <v>76</v>
      </c>
    </row>
    <row r="589" ht="45" customHeight="1">
      <c r="A589" s="69"/>
      <c r="B589" s="3" t="s">
        <v>47</v>
      </c>
      <c r="E589" s="2" t="s">
        <v>83</v>
      </c>
      <c r="F589" s="6" t="s">
        <v>179</v>
      </c>
      <c r="G589" s="5" t="s">
        <v>339</v>
      </c>
      <c r="H589" s="2" t="s">
        <v>51</v>
      </c>
      <c r="I589" s="3" t="s">
        <v>1531</v>
      </c>
      <c r="J589" s="7">
        <v>1</v>
      </c>
      <c r="K589" s="70" t="s">
        <v>53</v>
      </c>
      <c r="L589" s="9">
        <v>1</v>
      </c>
      <c r="M589" s="3">
        <v>410</v>
      </c>
      <c r="N589" s="6">
        <v>1949</v>
      </c>
      <c r="P589" s="71"/>
      <c r="R589" s="6">
        <v>1940</v>
      </c>
      <c r="S589" s="3" t="s">
        <v>54</v>
      </c>
      <c r="T589" s="72"/>
      <c r="U589" s="73"/>
      <c r="W589" s="2" t="s">
        <v>1532</v>
      </c>
      <c r="X589" s="10" t="s">
        <v>56</v>
      </c>
      <c r="Y589" s="10" t="s">
        <v>57</v>
      </c>
      <c r="Z589" s="75" t="s">
        <v>58</v>
      </c>
      <c r="AA589" s="76"/>
      <c r="AB589" s="77"/>
      <c r="AC589" s="77">
        <v>18238</v>
      </c>
      <c r="AD589" s="10"/>
      <c r="AG589" s="7">
        <v>1949</v>
      </c>
      <c r="AH589" s="7">
        <v>1940</v>
      </c>
      <c r="AI589" s="7"/>
      <c r="AJ589" s="73"/>
      <c r="AK589" s="7"/>
      <c r="AL589" s="16"/>
      <c r="AM589" s="2" t="s">
        <v>59</v>
      </c>
      <c r="AW589" s="6">
        <f t="shared" ca="1" si="10"/>
        <v>76</v>
      </c>
    </row>
    <row r="590" ht="45" customHeight="1">
      <c r="A590" s="69"/>
      <c r="B590" s="3" t="s">
        <v>47</v>
      </c>
      <c r="E590" s="2" t="s">
        <v>83</v>
      </c>
      <c r="F590" s="6" t="s">
        <v>179</v>
      </c>
      <c r="G590" s="5" t="s">
        <v>339</v>
      </c>
      <c r="H590" s="2" t="s">
        <v>51</v>
      </c>
      <c r="I590" s="3" t="s">
        <v>1533</v>
      </c>
      <c r="J590" s="7">
        <v>1</v>
      </c>
      <c r="K590" s="70" t="s">
        <v>53</v>
      </c>
      <c r="L590" s="9">
        <v>0</v>
      </c>
      <c r="M590" s="3">
        <v>410</v>
      </c>
      <c r="N590" s="6">
        <v>1949</v>
      </c>
      <c r="P590" s="71"/>
      <c r="R590" s="6">
        <v>1940</v>
      </c>
      <c r="S590" s="3" t="s">
        <v>54</v>
      </c>
      <c r="T590" s="72"/>
      <c r="U590" s="73"/>
      <c r="W590" s="2" t="s">
        <v>1534</v>
      </c>
      <c r="X590" s="10" t="s">
        <v>56</v>
      </c>
      <c r="Y590" s="10" t="s">
        <v>57</v>
      </c>
      <c r="Z590" s="75" t="s">
        <v>58</v>
      </c>
      <c r="AA590" s="76"/>
      <c r="AB590" s="77"/>
      <c r="AC590" s="77">
        <v>18238</v>
      </c>
      <c r="AD590" s="10"/>
      <c r="AG590" s="7">
        <v>1949</v>
      </c>
      <c r="AH590" s="7">
        <v>1940</v>
      </c>
      <c r="AI590" s="7"/>
      <c r="AJ590" s="73"/>
      <c r="AK590" s="7"/>
      <c r="AL590" s="16"/>
      <c r="AM590" s="2" t="s">
        <v>59</v>
      </c>
      <c r="AW590" s="6">
        <f t="shared" ca="1" si="10"/>
        <v>76</v>
      </c>
    </row>
    <row r="591" ht="45" customHeight="1">
      <c r="A591" s="69"/>
      <c r="B591" s="3" t="s">
        <v>47</v>
      </c>
      <c r="E591" s="78" t="s">
        <v>83</v>
      </c>
      <c r="F591" s="79" t="s">
        <v>179</v>
      </c>
      <c r="G591" s="80" t="s">
        <v>339</v>
      </c>
      <c r="H591" s="78" t="s">
        <v>51</v>
      </c>
      <c r="I591" s="81" t="s">
        <v>1535</v>
      </c>
      <c r="J591" s="7">
        <v>1</v>
      </c>
      <c r="K591" s="70" t="s">
        <v>53</v>
      </c>
      <c r="L591" s="9">
        <v>0</v>
      </c>
      <c r="M591" s="3">
        <v>410</v>
      </c>
      <c r="N591" s="6">
        <v>1949</v>
      </c>
      <c r="P591" s="71"/>
      <c r="R591" s="6">
        <v>1940</v>
      </c>
      <c r="S591" s="3" t="s">
        <v>54</v>
      </c>
      <c r="T591" s="72"/>
      <c r="U591" s="73"/>
      <c r="W591" s="78" t="s">
        <v>1536</v>
      </c>
      <c r="X591" s="82" t="s">
        <v>56</v>
      </c>
      <c r="Y591" s="82" t="s">
        <v>68</v>
      </c>
      <c r="Z591" s="83" t="s">
        <v>58</v>
      </c>
      <c r="AA591" s="76"/>
      <c r="AB591" s="77"/>
      <c r="AC591" s="77">
        <v>18238</v>
      </c>
      <c r="AD591" s="10"/>
      <c r="AG591" s="7">
        <v>1949</v>
      </c>
      <c r="AH591" s="7">
        <v>1940</v>
      </c>
      <c r="AI591" s="7"/>
      <c r="AJ591" s="73"/>
      <c r="AK591" s="7"/>
      <c r="AL591" s="16"/>
      <c r="AM591" s="2" t="s">
        <v>59</v>
      </c>
      <c r="AW591" s="6">
        <f t="shared" ca="1" si="10"/>
        <v>76</v>
      </c>
    </row>
    <row r="592" ht="45" customHeight="1">
      <c r="A592" s="69"/>
      <c r="B592" s="3" t="s">
        <v>47</v>
      </c>
      <c r="E592" s="2" t="s">
        <v>83</v>
      </c>
      <c r="F592" s="6" t="s">
        <v>179</v>
      </c>
      <c r="G592" s="5" t="s">
        <v>339</v>
      </c>
      <c r="H592" s="2" t="s">
        <v>491</v>
      </c>
      <c r="I592" s="3" t="s">
        <v>1537</v>
      </c>
      <c r="J592" s="7">
        <v>1</v>
      </c>
      <c r="K592" s="70" t="s">
        <v>53</v>
      </c>
      <c r="L592" s="9">
        <v>0</v>
      </c>
      <c r="M592" s="3">
        <v>410</v>
      </c>
      <c r="N592" s="6">
        <v>1949</v>
      </c>
      <c r="P592" s="71"/>
      <c r="R592" s="6">
        <v>1940</v>
      </c>
      <c r="S592" s="3" t="s">
        <v>54</v>
      </c>
      <c r="T592" s="72"/>
      <c r="U592" s="73"/>
      <c r="W592" s="2" t="s">
        <v>1538</v>
      </c>
      <c r="X592" s="10" t="s">
        <v>56</v>
      </c>
      <c r="Y592" s="10" t="s">
        <v>494</v>
      </c>
      <c r="Z592" s="75"/>
      <c r="AA592" s="76"/>
      <c r="AB592" s="77"/>
      <c r="AC592" s="77">
        <v>18238</v>
      </c>
      <c r="AD592" s="10"/>
      <c r="AG592" s="7">
        <v>1949</v>
      </c>
      <c r="AH592" s="7">
        <v>1940</v>
      </c>
      <c r="AI592" s="7"/>
      <c r="AJ592" s="73"/>
      <c r="AK592" s="7"/>
      <c r="AL592" s="16"/>
      <c r="AM592" s="2" t="s">
        <v>59</v>
      </c>
      <c r="AW592" s="6">
        <f t="shared" ca="1" si="10"/>
        <v>76</v>
      </c>
    </row>
    <row r="593" ht="45" customHeight="1" outlineLevel="1">
      <c r="A593" s="69"/>
      <c r="B593" s="3" t="s">
        <v>47</v>
      </c>
      <c r="E593" s="2" t="s">
        <v>83</v>
      </c>
      <c r="F593" s="6" t="s">
        <v>179</v>
      </c>
      <c r="G593" s="5" t="s">
        <v>298</v>
      </c>
      <c r="H593" s="2" t="s">
        <v>51</v>
      </c>
      <c r="I593" s="3" t="s">
        <v>326</v>
      </c>
      <c r="J593" s="7">
        <v>1</v>
      </c>
      <c r="K593" s="70" t="s">
        <v>53</v>
      </c>
      <c r="L593" s="9">
        <v>0</v>
      </c>
      <c r="M593" s="3">
        <v>410</v>
      </c>
      <c r="N593" s="6">
        <v>1949</v>
      </c>
      <c r="P593" s="71"/>
      <c r="R593" s="6">
        <v>1940</v>
      </c>
      <c r="S593" s="3" t="s">
        <v>54</v>
      </c>
      <c r="T593" s="72"/>
      <c r="U593" s="73"/>
      <c r="W593" s="2" t="s">
        <v>1539</v>
      </c>
      <c r="X593" s="10" t="s">
        <v>56</v>
      </c>
      <c r="Y593" s="10" t="s">
        <v>57</v>
      </c>
      <c r="Z593" s="75" t="s">
        <v>58</v>
      </c>
      <c r="AA593" s="76"/>
      <c r="AB593" s="77"/>
      <c r="AC593" s="77">
        <v>18238</v>
      </c>
      <c r="AD593" s="10"/>
      <c r="AG593" s="7">
        <v>1949</v>
      </c>
      <c r="AH593" s="7">
        <v>1940</v>
      </c>
      <c r="AI593" s="7"/>
      <c r="AJ593" s="73"/>
      <c r="AK593" s="7"/>
      <c r="AL593" s="16"/>
      <c r="AM593" s="2" t="s">
        <v>59</v>
      </c>
      <c r="AW593" s="6">
        <f t="shared" ca="1" si="10"/>
        <v>76</v>
      </c>
    </row>
    <row r="594" ht="45" customHeight="1">
      <c r="A594" s="69"/>
      <c r="B594" s="3" t="s">
        <v>47</v>
      </c>
      <c r="E594" s="2" t="s">
        <v>83</v>
      </c>
      <c r="F594" s="6" t="s">
        <v>179</v>
      </c>
      <c r="G594" s="5" t="s">
        <v>334</v>
      </c>
      <c r="H594" s="2" t="s">
        <v>51</v>
      </c>
      <c r="I594" s="3" t="s">
        <v>1540</v>
      </c>
      <c r="J594" s="7">
        <v>1</v>
      </c>
      <c r="K594" s="70" t="s">
        <v>53</v>
      </c>
      <c r="L594" s="9">
        <v>0</v>
      </c>
      <c r="M594" s="3">
        <v>410</v>
      </c>
      <c r="N594" s="6">
        <v>1949</v>
      </c>
      <c r="P594" s="71"/>
      <c r="R594" s="6">
        <v>1940</v>
      </c>
      <c r="S594" s="3" t="s">
        <v>54</v>
      </c>
      <c r="T594" s="72"/>
      <c r="U594" s="73"/>
      <c r="W594" s="2" t="s">
        <v>1541</v>
      </c>
      <c r="X594" s="10" t="s">
        <v>56</v>
      </c>
      <c r="Y594" s="10" t="s">
        <v>57</v>
      </c>
      <c r="Z594" s="75"/>
      <c r="AA594" s="76"/>
      <c r="AB594" s="77"/>
      <c r="AC594" s="77">
        <v>18238</v>
      </c>
      <c r="AD594" s="10"/>
      <c r="AG594" s="7">
        <v>1949</v>
      </c>
      <c r="AH594" s="7">
        <v>1940</v>
      </c>
      <c r="AI594" s="7"/>
      <c r="AJ594" s="73"/>
      <c r="AK594" s="7"/>
      <c r="AL594" s="16"/>
      <c r="AM594" s="2" t="s">
        <v>82</v>
      </c>
      <c r="AW594" s="6">
        <f t="shared" ca="1" si="10"/>
        <v>76</v>
      </c>
    </row>
    <row r="595" ht="45" customHeight="1">
      <c r="A595" s="69"/>
      <c r="B595" s="3" t="s">
        <v>47</v>
      </c>
      <c r="E595" s="2" t="s">
        <v>83</v>
      </c>
      <c r="F595" s="6" t="s">
        <v>179</v>
      </c>
      <c r="G595" s="5" t="s">
        <v>339</v>
      </c>
      <c r="H595" s="2" t="s">
        <v>51</v>
      </c>
      <c r="I595" s="3" t="s">
        <v>1542</v>
      </c>
      <c r="J595" s="7">
        <v>1</v>
      </c>
      <c r="K595" s="70" t="s">
        <v>53</v>
      </c>
      <c r="L595" s="9">
        <v>0</v>
      </c>
      <c r="M595" s="3">
        <v>410</v>
      </c>
      <c r="N595" s="6">
        <v>1949</v>
      </c>
      <c r="P595" s="71"/>
      <c r="R595" s="6">
        <v>1940</v>
      </c>
      <c r="S595" s="3" t="s">
        <v>54</v>
      </c>
      <c r="T595" s="72"/>
      <c r="U595" s="73"/>
      <c r="W595" s="2" t="s">
        <v>1543</v>
      </c>
      <c r="X595" s="10" t="s">
        <v>56</v>
      </c>
      <c r="Y595" s="10" t="s">
        <v>57</v>
      </c>
      <c r="Z595" s="75"/>
      <c r="AA595" s="76"/>
      <c r="AB595" s="77"/>
      <c r="AC595" s="77">
        <v>18238</v>
      </c>
      <c r="AD595" s="10"/>
      <c r="AG595" s="7">
        <v>1949</v>
      </c>
      <c r="AH595" s="7">
        <v>1940</v>
      </c>
      <c r="AI595" s="7"/>
      <c r="AJ595" s="73"/>
      <c r="AK595" s="7"/>
      <c r="AL595" s="16"/>
      <c r="AM595" s="2" t="s">
        <v>59</v>
      </c>
      <c r="AW595" s="6">
        <f t="shared" ca="1" si="10"/>
        <v>76</v>
      </c>
    </row>
    <row r="596" ht="45" customHeight="1">
      <c r="A596" s="69"/>
      <c r="B596" s="3" t="s">
        <v>47</v>
      </c>
      <c r="E596" s="2" t="s">
        <v>83</v>
      </c>
      <c r="F596" s="6" t="s">
        <v>179</v>
      </c>
      <c r="G596" s="5" t="s">
        <v>180</v>
      </c>
      <c r="H596" s="2" t="s">
        <v>51</v>
      </c>
      <c r="I596" s="3" t="s">
        <v>363</v>
      </c>
      <c r="J596" s="7">
        <v>1</v>
      </c>
      <c r="K596" s="70" t="s">
        <v>53</v>
      </c>
      <c r="L596" s="9">
        <v>0</v>
      </c>
      <c r="M596" s="3">
        <v>410</v>
      </c>
      <c r="N596" s="6">
        <v>1949</v>
      </c>
      <c r="P596" s="71"/>
      <c r="R596" s="6">
        <v>1940</v>
      </c>
      <c r="S596" s="3" t="s">
        <v>54</v>
      </c>
      <c r="T596" s="72"/>
      <c r="U596" s="73"/>
      <c r="W596" s="2" t="s">
        <v>1544</v>
      </c>
      <c r="X596" s="10" t="s">
        <v>56</v>
      </c>
      <c r="Y596" s="10" t="s">
        <v>57</v>
      </c>
      <c r="Z596" s="75" t="s">
        <v>58</v>
      </c>
      <c r="AA596" s="76"/>
      <c r="AB596" s="77"/>
      <c r="AC596" s="77">
        <v>18238</v>
      </c>
      <c r="AD596" s="10"/>
      <c r="AG596" s="7">
        <v>1949</v>
      </c>
      <c r="AH596" s="7">
        <v>1940</v>
      </c>
      <c r="AI596" s="7"/>
      <c r="AJ596" s="73"/>
      <c r="AK596" s="7"/>
      <c r="AL596" s="16"/>
      <c r="AM596" s="2" t="s">
        <v>59</v>
      </c>
      <c r="AW596" s="6">
        <f t="shared" ca="1" si="10"/>
        <v>76</v>
      </c>
    </row>
    <row r="597" ht="45" customHeight="1">
      <c r="A597" s="69"/>
      <c r="B597" s="3" t="s">
        <v>47</v>
      </c>
      <c r="E597" s="2" t="s">
        <v>83</v>
      </c>
      <c r="F597" s="6" t="s">
        <v>179</v>
      </c>
      <c r="G597" s="5" t="s">
        <v>339</v>
      </c>
      <c r="H597" s="2" t="s">
        <v>51</v>
      </c>
      <c r="I597" s="3" t="s">
        <v>1545</v>
      </c>
      <c r="J597" s="7">
        <v>1</v>
      </c>
      <c r="K597" s="70" t="s">
        <v>53</v>
      </c>
      <c r="L597" s="9">
        <v>0</v>
      </c>
      <c r="M597" s="3">
        <v>410</v>
      </c>
      <c r="N597" s="6">
        <v>1949</v>
      </c>
      <c r="P597" s="71"/>
      <c r="R597" s="6">
        <v>1940</v>
      </c>
      <c r="S597" s="3" t="s">
        <v>54</v>
      </c>
      <c r="T597" s="72"/>
      <c r="U597" s="73"/>
      <c r="W597" s="2" t="s">
        <v>1546</v>
      </c>
      <c r="X597" s="10" t="s">
        <v>56</v>
      </c>
      <c r="Y597" s="10" t="s">
        <v>57</v>
      </c>
      <c r="Z597" s="75"/>
      <c r="AA597" s="76"/>
      <c r="AB597" s="77"/>
      <c r="AC597" s="77">
        <v>18238</v>
      </c>
      <c r="AD597" s="10"/>
      <c r="AG597" s="7">
        <v>1949</v>
      </c>
      <c r="AH597" s="7">
        <v>1940</v>
      </c>
      <c r="AI597" s="7"/>
      <c r="AJ597" s="73"/>
      <c r="AK597" s="7"/>
      <c r="AL597" s="16"/>
      <c r="AM597" s="2" t="s">
        <v>59</v>
      </c>
      <c r="AW597" s="6">
        <f t="shared" ca="1" si="10"/>
        <v>76</v>
      </c>
    </row>
    <row r="598" ht="45" customHeight="1" outlineLevel="1">
      <c r="A598" s="69"/>
      <c r="B598" s="3" t="s">
        <v>47</v>
      </c>
      <c r="E598" s="2" t="s">
        <v>83</v>
      </c>
      <c r="F598" s="6" t="s">
        <v>179</v>
      </c>
      <c r="G598" s="5" t="s">
        <v>339</v>
      </c>
      <c r="H598" s="2" t="s">
        <v>51</v>
      </c>
      <c r="I598" s="3" t="s">
        <v>1547</v>
      </c>
      <c r="J598" s="7">
        <v>1</v>
      </c>
      <c r="K598" s="70" t="s">
        <v>53</v>
      </c>
      <c r="L598" s="9">
        <v>0</v>
      </c>
      <c r="M598" s="3">
        <v>410</v>
      </c>
      <c r="N598" s="6">
        <v>1949</v>
      </c>
      <c r="P598" s="71"/>
      <c r="R598" s="6">
        <v>1940</v>
      </c>
      <c r="S598" s="3" t="s">
        <v>54</v>
      </c>
      <c r="T598" s="72"/>
      <c r="U598" s="73"/>
      <c r="W598" s="2" t="s">
        <v>1548</v>
      </c>
      <c r="X598" s="10" t="s">
        <v>56</v>
      </c>
      <c r="Y598" s="10" t="s">
        <v>57</v>
      </c>
      <c r="Z598" s="75" t="s">
        <v>58</v>
      </c>
      <c r="AA598" s="76"/>
      <c r="AB598" s="77"/>
      <c r="AC598" s="77">
        <v>18238</v>
      </c>
      <c r="AD598" s="10"/>
      <c r="AG598" s="7">
        <v>1949</v>
      </c>
      <c r="AH598" s="7">
        <v>1940</v>
      </c>
      <c r="AI598" s="7"/>
      <c r="AJ598" s="73"/>
      <c r="AK598" s="7"/>
      <c r="AL598" s="16"/>
      <c r="AM598" s="2" t="s">
        <v>59</v>
      </c>
      <c r="AW598" s="6">
        <f t="shared" ca="1" si="10"/>
        <v>76</v>
      </c>
    </row>
    <row r="599" ht="45" customHeight="1" outlineLevel="1">
      <c r="A599" s="69"/>
      <c r="B599" s="3" t="s">
        <v>47</v>
      </c>
      <c r="E599" s="2" t="s">
        <v>83</v>
      </c>
      <c r="F599" s="6" t="s">
        <v>179</v>
      </c>
      <c r="G599" s="5" t="s">
        <v>334</v>
      </c>
      <c r="H599" s="2" t="s">
        <v>51</v>
      </c>
      <c r="I599" s="3" t="s">
        <v>1549</v>
      </c>
      <c r="J599" s="7">
        <v>1</v>
      </c>
      <c r="K599" s="70" t="s">
        <v>53</v>
      </c>
      <c r="L599" s="9">
        <v>0</v>
      </c>
      <c r="M599" s="3">
        <v>410</v>
      </c>
      <c r="N599" s="6">
        <v>1949</v>
      </c>
      <c r="P599" s="71"/>
      <c r="R599" s="6">
        <v>1940</v>
      </c>
      <c r="S599" s="3" t="s">
        <v>54</v>
      </c>
      <c r="T599" s="72"/>
      <c r="U599" s="73"/>
      <c r="W599" s="2" t="s">
        <v>1550</v>
      </c>
      <c r="X599" s="10" t="s">
        <v>56</v>
      </c>
      <c r="Y599" s="10" t="s">
        <v>57</v>
      </c>
      <c r="Z599" s="75"/>
      <c r="AA599" s="76"/>
      <c r="AB599" s="77"/>
      <c r="AC599" s="77">
        <v>18238</v>
      </c>
      <c r="AD599" s="10"/>
      <c r="AG599" s="7">
        <v>1949</v>
      </c>
      <c r="AH599" s="7">
        <v>1940</v>
      </c>
      <c r="AI599" s="7"/>
      <c r="AJ599" s="73"/>
      <c r="AK599" s="7"/>
      <c r="AL599" s="16"/>
      <c r="AM599" s="2" t="s">
        <v>82</v>
      </c>
      <c r="AW599" s="6">
        <f t="shared" ca="1" si="10"/>
        <v>76</v>
      </c>
    </row>
    <row r="600" ht="45" hidden="1" customHeight="1" outlineLevel="1">
      <c r="A600" s="69"/>
      <c r="B600" s="3" t="s">
        <v>47</v>
      </c>
      <c r="C600" s="4" t="s">
        <v>1263</v>
      </c>
      <c r="E600" s="2" t="s">
        <v>83</v>
      </c>
      <c r="F600" s="6" t="s">
        <v>84</v>
      </c>
      <c r="G600" s="5" t="s">
        <v>85</v>
      </c>
      <c r="H600" s="2" t="s">
        <v>491</v>
      </c>
      <c r="I600" s="3" t="s">
        <v>1551</v>
      </c>
      <c r="J600" s="7">
        <v>1</v>
      </c>
      <c r="K600" s="70"/>
      <c r="L600" s="9">
        <v>1</v>
      </c>
      <c r="M600" s="3">
        <v>411</v>
      </c>
      <c r="P600" s="71"/>
      <c r="R600" s="6">
        <v>1940</v>
      </c>
      <c r="S600" s="3" t="s">
        <v>236</v>
      </c>
      <c r="T600" s="72"/>
      <c r="U600" s="73">
        <v>38044</v>
      </c>
      <c r="W600" s="2" t="s">
        <v>62</v>
      </c>
      <c r="X600" s="10" t="s">
        <v>56</v>
      </c>
      <c r="Y600" s="10" t="s">
        <v>494</v>
      </c>
      <c r="Z600" s="75"/>
      <c r="AA600" s="76"/>
      <c r="AB600" s="77"/>
      <c r="AC600" s="77"/>
      <c r="AD600" s="10"/>
      <c r="AI600" s="7"/>
      <c r="AJ600" s="95">
        <v>38044</v>
      </c>
      <c r="AK600" s="7">
        <v>2000</v>
      </c>
      <c r="AL600" s="16"/>
      <c r="AM600" s="2" t="s">
        <v>82</v>
      </c>
      <c r="AW600" s="6" t="str">
        <f t="shared" ca="1" si="10"/>
        <v/>
      </c>
    </row>
    <row r="601" ht="45" customHeight="1" outlineLevel="1">
      <c r="A601" s="69"/>
      <c r="B601" s="3" t="s">
        <v>47</v>
      </c>
      <c r="E601" s="2" t="s">
        <v>83</v>
      </c>
      <c r="F601" s="6" t="s">
        <v>179</v>
      </c>
      <c r="G601" s="5" t="s">
        <v>287</v>
      </c>
      <c r="H601" s="2" t="s">
        <v>57</v>
      </c>
      <c r="I601" s="3" t="s">
        <v>1552</v>
      </c>
      <c r="J601" s="7">
        <v>1</v>
      </c>
      <c r="K601" s="70" t="s">
        <v>53</v>
      </c>
      <c r="L601" s="9">
        <v>1</v>
      </c>
      <c r="M601" s="3">
        <v>412</v>
      </c>
      <c r="P601" s="71"/>
      <c r="R601" s="6">
        <v>1940</v>
      </c>
      <c r="S601" s="3" t="s">
        <v>54</v>
      </c>
      <c r="T601" s="72"/>
      <c r="U601" s="73"/>
      <c r="W601" s="2" t="s">
        <v>1553</v>
      </c>
      <c r="X601" s="10" t="s">
        <v>56</v>
      </c>
      <c r="Y601" s="10" t="s">
        <v>57</v>
      </c>
      <c r="Z601" s="75"/>
      <c r="AA601" s="76"/>
      <c r="AB601" s="77"/>
      <c r="AC601" s="77">
        <v>18357</v>
      </c>
      <c r="AD601" s="10"/>
      <c r="AG601" s="7">
        <v>1950</v>
      </c>
      <c r="AH601" s="7">
        <v>1950</v>
      </c>
      <c r="AI601" s="7"/>
      <c r="AJ601" s="73"/>
      <c r="AK601" s="7"/>
      <c r="AL601" s="16"/>
      <c r="AM601" s="2" t="s">
        <v>59</v>
      </c>
      <c r="AW601" s="6" t="str">
        <f t="shared" ca="1" si="10"/>
        <v/>
      </c>
    </row>
    <row r="602" ht="45" customHeight="1" outlineLevel="1">
      <c r="A602" s="69"/>
      <c r="B602" s="3" t="s">
        <v>47</v>
      </c>
      <c r="E602" s="2" t="s">
        <v>83</v>
      </c>
      <c r="F602" s="6" t="s">
        <v>179</v>
      </c>
      <c r="G602" s="5" t="s">
        <v>287</v>
      </c>
      <c r="H602" s="2" t="s">
        <v>57</v>
      </c>
      <c r="I602" s="3" t="s">
        <v>1554</v>
      </c>
      <c r="J602" s="7">
        <v>1</v>
      </c>
      <c r="K602" s="70" t="s">
        <v>53</v>
      </c>
      <c r="L602" s="9">
        <v>1</v>
      </c>
      <c r="M602" s="3">
        <v>413</v>
      </c>
      <c r="P602" s="71"/>
      <c r="R602" s="6">
        <v>1940</v>
      </c>
      <c r="S602" s="3" t="s">
        <v>54</v>
      </c>
      <c r="T602" s="72"/>
      <c r="U602" s="73"/>
      <c r="W602" s="2" t="s">
        <v>1555</v>
      </c>
      <c r="X602" s="10" t="s">
        <v>56</v>
      </c>
      <c r="Y602" s="10" t="s">
        <v>57</v>
      </c>
      <c r="Z602" s="75"/>
      <c r="AA602" s="76"/>
      <c r="AB602" s="77"/>
      <c r="AC602" s="77">
        <v>18272</v>
      </c>
      <c r="AD602" s="10"/>
      <c r="AG602" s="7">
        <v>1950</v>
      </c>
      <c r="AH602" s="7">
        <v>1950</v>
      </c>
      <c r="AI602" s="7"/>
      <c r="AJ602" s="73"/>
      <c r="AK602" s="7"/>
      <c r="AL602" s="16"/>
      <c r="AM602" s="2" t="s">
        <v>59</v>
      </c>
      <c r="AW602" s="6" t="str">
        <f t="shared" ca="1" si="10"/>
        <v/>
      </c>
    </row>
    <row r="603" ht="45" customHeight="1" outlineLevel="1">
      <c r="A603" s="69"/>
      <c r="B603" s="3" t="s">
        <v>47</v>
      </c>
      <c r="E603" s="2" t="s">
        <v>83</v>
      </c>
      <c r="F603" s="6" t="s">
        <v>179</v>
      </c>
      <c r="G603" s="5" t="s">
        <v>339</v>
      </c>
      <c r="H603" s="2" t="s">
        <v>57</v>
      </c>
      <c r="I603" s="3" t="s">
        <v>1556</v>
      </c>
      <c r="J603" s="7">
        <v>1</v>
      </c>
      <c r="K603" s="70" t="s">
        <v>53</v>
      </c>
      <c r="L603" s="9">
        <v>1</v>
      </c>
      <c r="M603" s="3">
        <v>414</v>
      </c>
      <c r="P603" s="71"/>
      <c r="R603" s="6">
        <v>1940</v>
      </c>
      <c r="S603" s="3" t="s">
        <v>54</v>
      </c>
      <c r="T603" s="72"/>
      <c r="U603" s="73"/>
      <c r="W603" s="2" t="s">
        <v>1557</v>
      </c>
      <c r="X603" s="10" t="s">
        <v>56</v>
      </c>
      <c r="Y603" s="10" t="s">
        <v>57</v>
      </c>
      <c r="Z603" s="75"/>
      <c r="AA603" s="76"/>
      <c r="AB603" s="77"/>
      <c r="AC603" s="77">
        <v>18251</v>
      </c>
      <c r="AD603" s="10"/>
      <c r="AG603" s="7">
        <v>1949</v>
      </c>
      <c r="AH603" s="7">
        <v>1940</v>
      </c>
      <c r="AI603" s="7"/>
      <c r="AJ603" s="73"/>
      <c r="AK603" s="7"/>
      <c r="AL603" s="16"/>
      <c r="AM603" s="2" t="s">
        <v>59</v>
      </c>
      <c r="AW603" s="6" t="str">
        <f t="shared" ca="1" si="10"/>
        <v/>
      </c>
    </row>
    <row r="604" ht="45" customHeight="1">
      <c r="A604" s="69"/>
      <c r="B604" s="3" t="s">
        <v>47</v>
      </c>
      <c r="E604" s="2" t="s">
        <v>83</v>
      </c>
      <c r="F604" s="6" t="s">
        <v>179</v>
      </c>
      <c r="G604" s="5" t="s">
        <v>180</v>
      </c>
      <c r="H604" s="2" t="s">
        <v>57</v>
      </c>
      <c r="I604" s="3" t="s">
        <v>1558</v>
      </c>
      <c r="J604" s="7">
        <v>1</v>
      </c>
      <c r="K604" s="70" t="s">
        <v>53</v>
      </c>
      <c r="L604" s="9">
        <v>1</v>
      </c>
      <c r="M604" s="3">
        <v>415</v>
      </c>
      <c r="P604" s="71"/>
      <c r="R604" s="6">
        <v>1940</v>
      </c>
      <c r="S604" s="3" t="s">
        <v>54</v>
      </c>
      <c r="T604" s="72"/>
      <c r="U604" s="73"/>
      <c r="W604" s="2" t="s">
        <v>1559</v>
      </c>
      <c r="X604" s="10" t="s">
        <v>56</v>
      </c>
      <c r="Y604" s="10" t="s">
        <v>57</v>
      </c>
      <c r="Z604" s="75"/>
      <c r="AA604" s="76"/>
      <c r="AB604" s="77">
        <v>18272</v>
      </c>
      <c r="AC604" s="77">
        <v>18272</v>
      </c>
      <c r="AD604" s="10"/>
      <c r="AG604" s="7">
        <v>1950</v>
      </c>
      <c r="AH604" s="7">
        <v>1950</v>
      </c>
      <c r="AI604" s="7"/>
      <c r="AJ604" s="73"/>
      <c r="AK604" s="7"/>
      <c r="AL604" s="16"/>
      <c r="AM604" s="2" t="s">
        <v>59</v>
      </c>
      <c r="AW604" s="6" t="str">
        <f t="shared" ca="1" si="10"/>
        <v/>
      </c>
    </row>
    <row r="605" ht="45" customHeight="1" outlineLevel="1">
      <c r="A605" s="69"/>
      <c r="B605" s="3" t="s">
        <v>47</v>
      </c>
      <c r="E605" s="2" t="s">
        <v>83</v>
      </c>
      <c r="F605" s="6" t="s">
        <v>179</v>
      </c>
      <c r="G605" s="5" t="s">
        <v>180</v>
      </c>
      <c r="H605" s="2" t="s">
        <v>57</v>
      </c>
      <c r="I605" s="3" t="s">
        <v>1560</v>
      </c>
      <c r="J605" s="7">
        <v>1</v>
      </c>
      <c r="K605" s="70" t="s">
        <v>53</v>
      </c>
      <c r="L605" s="9">
        <v>0</v>
      </c>
      <c r="M605" s="3">
        <v>415</v>
      </c>
      <c r="P605" s="71"/>
      <c r="R605" s="6">
        <v>1940</v>
      </c>
      <c r="S605" s="3" t="s">
        <v>54</v>
      </c>
      <c r="T605" s="72"/>
      <c r="U605" s="73"/>
      <c r="W605" s="2" t="s">
        <v>1561</v>
      </c>
      <c r="X605" s="10" t="s">
        <v>56</v>
      </c>
      <c r="Y605" s="10" t="s">
        <v>57</v>
      </c>
      <c r="Z605" s="75"/>
      <c r="AA605" s="76"/>
      <c r="AB605" s="77">
        <v>18335</v>
      </c>
      <c r="AC605" s="77"/>
      <c r="AD605" s="6"/>
      <c r="AG605" s="7">
        <v>1950</v>
      </c>
      <c r="AH605" s="7">
        <v>1950</v>
      </c>
      <c r="AI605" s="7"/>
      <c r="AJ605" s="73"/>
      <c r="AK605" s="7"/>
      <c r="AL605" s="16"/>
      <c r="AM605" s="2" t="s">
        <v>59</v>
      </c>
      <c r="AU605" s="16" t="s">
        <v>1562</v>
      </c>
      <c r="AW605" s="6" t="str">
        <f t="shared" ca="1" si="10"/>
        <v/>
      </c>
    </row>
    <row r="606" ht="45" hidden="1" customHeight="1">
      <c r="A606" s="69"/>
      <c r="B606" s="3" t="s">
        <v>190</v>
      </c>
      <c r="C606" s="4" t="s">
        <v>1563</v>
      </c>
      <c r="D606" s="5" t="s">
        <v>1564</v>
      </c>
      <c r="E606" s="2" t="s">
        <v>63</v>
      </c>
      <c r="F606" s="6" t="s">
        <v>172</v>
      </c>
      <c r="G606" s="5" t="s">
        <v>173</v>
      </c>
      <c r="H606" s="2" t="s">
        <v>51</v>
      </c>
      <c r="I606" s="3" t="s">
        <v>1565</v>
      </c>
      <c r="J606" s="7">
        <v>1</v>
      </c>
      <c r="K606" s="104"/>
      <c r="L606" s="9">
        <v>1</v>
      </c>
      <c r="M606" s="3">
        <v>416</v>
      </c>
      <c r="N606" s="6">
        <v>1949</v>
      </c>
      <c r="O606" s="10">
        <v>18080</v>
      </c>
      <c r="P606" s="71"/>
      <c r="R606" s="6">
        <v>1940</v>
      </c>
      <c r="S606" s="3" t="s">
        <v>283</v>
      </c>
      <c r="T606" s="72"/>
      <c r="U606" s="73"/>
      <c r="W606" s="74" t="s">
        <v>62</v>
      </c>
      <c r="X606" s="10" t="s">
        <v>56</v>
      </c>
      <c r="Y606" s="10" t="s">
        <v>57</v>
      </c>
      <c r="Z606" s="75" t="s">
        <v>58</v>
      </c>
      <c r="AA606" s="76"/>
      <c r="AB606" s="77"/>
      <c r="AC606" s="77"/>
      <c r="AD606" s="6"/>
      <c r="AI606" s="7"/>
      <c r="AJ606" s="73"/>
      <c r="AK606" s="7"/>
      <c r="AL606" s="16"/>
      <c r="AW606" s="6">
        <f t="shared" ca="1" si="10"/>
        <v>76</v>
      </c>
    </row>
    <row r="607" ht="45" customHeight="1">
      <c r="A607" s="69"/>
      <c r="B607" s="3" t="s">
        <v>47</v>
      </c>
      <c r="E607" s="2" t="s">
        <v>83</v>
      </c>
      <c r="F607" s="6" t="s">
        <v>179</v>
      </c>
      <c r="G607" s="5" t="s">
        <v>1566</v>
      </c>
      <c r="H607" s="2" t="s">
        <v>57</v>
      </c>
      <c r="I607" s="3" t="s">
        <v>1567</v>
      </c>
      <c r="J607" s="7">
        <v>1</v>
      </c>
      <c r="K607" s="70" t="s">
        <v>53</v>
      </c>
      <c r="L607" s="9">
        <v>1</v>
      </c>
      <c r="M607" s="3">
        <v>417</v>
      </c>
      <c r="N607" s="6">
        <v>1949</v>
      </c>
      <c r="P607" s="71"/>
      <c r="R607" s="6">
        <v>1940</v>
      </c>
      <c r="S607" s="3" t="s">
        <v>54</v>
      </c>
      <c r="T607" s="72"/>
      <c r="U607" s="73"/>
      <c r="W607" s="2" t="s">
        <v>1568</v>
      </c>
      <c r="X607" s="10" t="s">
        <v>56</v>
      </c>
      <c r="Y607" s="10" t="s">
        <v>57</v>
      </c>
      <c r="Z607" s="75"/>
      <c r="AA607" s="76"/>
      <c r="AB607" s="77">
        <v>18406</v>
      </c>
      <c r="AC607" s="77"/>
      <c r="AD607" s="6"/>
      <c r="AG607" s="7">
        <v>1950</v>
      </c>
      <c r="AH607" s="7">
        <v>1950</v>
      </c>
      <c r="AI607" s="7"/>
      <c r="AJ607" s="73"/>
      <c r="AK607" s="7"/>
      <c r="AL607" s="16"/>
      <c r="AM607" s="2" t="s">
        <v>59</v>
      </c>
      <c r="AU607" s="16" t="s">
        <v>1569</v>
      </c>
      <c r="AW607" s="6">
        <f t="shared" ca="1" si="10"/>
        <v>76</v>
      </c>
    </row>
    <row r="608" ht="45" customHeight="1" outlineLevel="1">
      <c r="A608" s="69"/>
      <c r="B608" s="3" t="s">
        <v>47</v>
      </c>
      <c r="E608" s="2" t="s">
        <v>83</v>
      </c>
      <c r="F608" s="6" t="s">
        <v>179</v>
      </c>
      <c r="G608" s="5" t="s">
        <v>319</v>
      </c>
      <c r="H608" s="2" t="s">
        <v>57</v>
      </c>
      <c r="I608" s="3" t="s">
        <v>1570</v>
      </c>
      <c r="J608" s="7">
        <v>1</v>
      </c>
      <c r="K608" s="70" t="s">
        <v>53</v>
      </c>
      <c r="L608" s="9">
        <v>1</v>
      </c>
      <c r="M608" s="3">
        <v>418</v>
      </c>
      <c r="P608" s="71"/>
      <c r="R608" s="6">
        <v>1940</v>
      </c>
      <c r="S608" s="3" t="s">
        <v>54</v>
      </c>
      <c r="T608" s="72"/>
      <c r="U608" s="73"/>
      <c r="W608" s="2" t="s">
        <v>1571</v>
      </c>
      <c r="X608" s="10" t="s">
        <v>56</v>
      </c>
      <c r="Y608" s="10" t="s">
        <v>57</v>
      </c>
      <c r="Z608" s="75"/>
      <c r="AA608" s="76"/>
      <c r="AB608" s="77"/>
      <c r="AC608" s="77">
        <v>18301</v>
      </c>
      <c r="AD608" s="10"/>
      <c r="AG608" s="7">
        <v>1950</v>
      </c>
      <c r="AH608" s="7">
        <v>1950</v>
      </c>
      <c r="AI608" s="7"/>
      <c r="AJ608" s="73"/>
      <c r="AK608" s="7"/>
      <c r="AL608" s="16"/>
      <c r="AM608" s="2" t="s">
        <v>59</v>
      </c>
      <c r="AW608" s="6" t="str">
        <f t="shared" ca="1" si="10"/>
        <v/>
      </c>
    </row>
    <row r="609" ht="45" customHeight="1">
      <c r="A609" s="69"/>
      <c r="B609" s="3" t="s">
        <v>47</v>
      </c>
      <c r="E609" s="2" t="s">
        <v>83</v>
      </c>
      <c r="F609" s="6" t="s">
        <v>179</v>
      </c>
      <c r="G609" s="5" t="s">
        <v>319</v>
      </c>
      <c r="H609" s="2" t="s">
        <v>491</v>
      </c>
      <c r="I609" s="3" t="s">
        <v>1572</v>
      </c>
      <c r="J609" s="7">
        <v>1</v>
      </c>
      <c r="K609" s="70" t="s">
        <v>53</v>
      </c>
      <c r="L609" s="9">
        <v>0</v>
      </c>
      <c r="M609" s="3">
        <v>418</v>
      </c>
      <c r="P609" s="71"/>
      <c r="R609" s="6">
        <v>1940</v>
      </c>
      <c r="S609" s="3" t="s">
        <v>54</v>
      </c>
      <c r="T609" s="72"/>
      <c r="U609" s="73"/>
      <c r="W609" s="2" t="s">
        <v>1573</v>
      </c>
      <c r="X609" s="10" t="s">
        <v>56</v>
      </c>
      <c r="Y609" s="10" t="s">
        <v>494</v>
      </c>
      <c r="Z609" s="75"/>
      <c r="AA609" s="76"/>
      <c r="AB609" s="77"/>
      <c r="AC609" s="77">
        <v>18301</v>
      </c>
      <c r="AD609" s="10"/>
      <c r="AG609" s="7">
        <v>1950</v>
      </c>
      <c r="AH609" s="7">
        <v>1950</v>
      </c>
      <c r="AI609" s="7"/>
      <c r="AJ609" s="73"/>
      <c r="AK609" s="7"/>
      <c r="AL609" s="16"/>
      <c r="AM609" s="2" t="s">
        <v>59</v>
      </c>
      <c r="AW609" s="6" t="str">
        <f t="shared" ca="1" si="10"/>
        <v/>
      </c>
    </row>
    <row r="610" ht="45" customHeight="1">
      <c r="A610" s="69"/>
      <c r="B610" s="3" t="s">
        <v>47</v>
      </c>
      <c r="E610" s="2" t="s">
        <v>83</v>
      </c>
      <c r="F610" s="6" t="s">
        <v>179</v>
      </c>
      <c r="G610" s="5" t="s">
        <v>319</v>
      </c>
      <c r="H610" s="2" t="s">
        <v>491</v>
      </c>
      <c r="I610" s="3" t="s">
        <v>1574</v>
      </c>
      <c r="J610" s="7">
        <v>1</v>
      </c>
      <c r="K610" s="70" t="s">
        <v>53</v>
      </c>
      <c r="L610" s="9">
        <v>0</v>
      </c>
      <c r="M610" s="3">
        <v>418</v>
      </c>
      <c r="P610" s="71"/>
      <c r="R610" s="6">
        <v>1940</v>
      </c>
      <c r="S610" s="3" t="s">
        <v>54</v>
      </c>
      <c r="T610" s="72"/>
      <c r="U610" s="73"/>
      <c r="W610" s="2" t="s">
        <v>1575</v>
      </c>
      <c r="X610" s="10" t="s">
        <v>56</v>
      </c>
      <c r="Y610" s="10" t="s">
        <v>494</v>
      </c>
      <c r="Z610" s="75"/>
      <c r="AA610" s="76"/>
      <c r="AB610" s="77"/>
      <c r="AC610" s="77">
        <v>18301</v>
      </c>
      <c r="AD610" s="10"/>
      <c r="AG610" s="7">
        <v>1950</v>
      </c>
      <c r="AH610" s="7">
        <v>1950</v>
      </c>
      <c r="AI610" s="7"/>
      <c r="AJ610" s="73"/>
      <c r="AK610" s="7"/>
      <c r="AL610" s="16"/>
      <c r="AM610" s="2" t="s">
        <v>59</v>
      </c>
      <c r="AW610" s="6" t="str">
        <f t="shared" ca="1" si="10"/>
        <v/>
      </c>
    </row>
    <row r="611" ht="45" customHeight="1" outlineLevel="1">
      <c r="A611" s="69"/>
      <c r="B611" s="3" t="s">
        <v>47</v>
      </c>
      <c r="E611" s="2" t="s">
        <v>83</v>
      </c>
      <c r="F611" s="6" t="s">
        <v>179</v>
      </c>
      <c r="G611" s="5" t="s">
        <v>1576</v>
      </c>
      <c r="H611" s="2" t="s">
        <v>57</v>
      </c>
      <c r="I611" s="3" t="s">
        <v>1577</v>
      </c>
      <c r="J611" s="7">
        <v>1</v>
      </c>
      <c r="K611" s="70" t="s">
        <v>53</v>
      </c>
      <c r="L611" s="9">
        <v>1</v>
      </c>
      <c r="M611" s="3">
        <v>419</v>
      </c>
      <c r="P611" s="71"/>
      <c r="R611" s="6">
        <v>1940</v>
      </c>
      <c r="S611" s="3" t="s">
        <v>54</v>
      </c>
      <c r="T611" s="72"/>
      <c r="U611" s="73"/>
      <c r="W611" s="2" t="s">
        <v>1578</v>
      </c>
      <c r="X611" s="10" t="s">
        <v>56</v>
      </c>
      <c r="Y611" s="10" t="s">
        <v>57</v>
      </c>
      <c r="Z611" s="75"/>
      <c r="AA611" s="76"/>
      <c r="AB611" s="77">
        <v>18391</v>
      </c>
      <c r="AC611" s="77"/>
      <c r="AD611" s="6"/>
      <c r="AG611" s="7">
        <v>1950</v>
      </c>
      <c r="AH611" s="7">
        <v>1950</v>
      </c>
      <c r="AI611" s="7"/>
      <c r="AJ611" s="73"/>
      <c r="AK611" s="7"/>
      <c r="AL611" s="16"/>
      <c r="AM611" s="2" t="s">
        <v>59</v>
      </c>
      <c r="AW611" s="6" t="str">
        <f t="shared" ref="AW611:AW674" ca="1" si="11">IF(N611&lt;&gt;0,(YEAR(TODAY())-N611),(""))</f>
        <v/>
      </c>
    </row>
    <row r="612" ht="45" customHeight="1">
      <c r="A612" s="69"/>
      <c r="B612" s="3" t="s">
        <v>47</v>
      </c>
      <c r="E612" s="2" t="s">
        <v>83</v>
      </c>
      <c r="F612" s="6" t="s">
        <v>179</v>
      </c>
      <c r="G612" s="5" t="s">
        <v>1576</v>
      </c>
      <c r="H612" s="2" t="s">
        <v>57</v>
      </c>
      <c r="I612" s="3" t="s">
        <v>1579</v>
      </c>
      <c r="J612" s="7">
        <v>1</v>
      </c>
      <c r="K612" s="70" t="s">
        <v>53</v>
      </c>
      <c r="L612" s="9">
        <v>1</v>
      </c>
      <c r="M612" s="3">
        <v>420</v>
      </c>
      <c r="P612" s="71"/>
      <c r="R612" s="6">
        <v>1940</v>
      </c>
      <c r="S612" s="3" t="s">
        <v>54</v>
      </c>
      <c r="T612" s="72"/>
      <c r="U612" s="73"/>
      <c r="W612" s="2" t="s">
        <v>1580</v>
      </c>
      <c r="X612" s="10" t="s">
        <v>56</v>
      </c>
      <c r="Y612" s="10" t="s">
        <v>57</v>
      </c>
      <c r="Z612" s="75"/>
      <c r="AA612" s="76"/>
      <c r="AB612" s="77"/>
      <c r="AC612" s="77">
        <v>23050</v>
      </c>
      <c r="AD612" s="10"/>
      <c r="AG612" s="7">
        <v>1963</v>
      </c>
      <c r="AH612" s="7">
        <v>1960</v>
      </c>
      <c r="AI612" s="7"/>
      <c r="AJ612" s="73"/>
      <c r="AK612" s="7"/>
      <c r="AL612" s="16"/>
      <c r="AM612" s="2" t="s">
        <v>59</v>
      </c>
      <c r="AW612" s="6" t="str">
        <f t="shared" ca="1" si="11"/>
        <v/>
      </c>
    </row>
    <row r="613" ht="45" customHeight="1">
      <c r="A613" s="69"/>
      <c r="B613" s="3" t="s">
        <v>47</v>
      </c>
      <c r="E613" s="2" t="s">
        <v>83</v>
      </c>
      <c r="F613" s="6" t="s">
        <v>179</v>
      </c>
      <c r="G613" s="5" t="s">
        <v>1581</v>
      </c>
      <c r="H613" s="2" t="s">
        <v>57</v>
      </c>
      <c r="I613" s="3" t="s">
        <v>1582</v>
      </c>
      <c r="J613" s="7">
        <v>1</v>
      </c>
      <c r="K613" s="70" t="s">
        <v>53</v>
      </c>
      <c r="L613" s="9">
        <v>1</v>
      </c>
      <c r="M613" s="3">
        <v>421</v>
      </c>
      <c r="P613" s="71"/>
      <c r="R613" s="6">
        <v>1940</v>
      </c>
      <c r="S613" s="3" t="s">
        <v>54</v>
      </c>
      <c r="T613" s="72"/>
      <c r="U613" s="73"/>
      <c r="W613" s="2" t="s">
        <v>1583</v>
      </c>
      <c r="X613" s="10" t="s">
        <v>56</v>
      </c>
      <c r="Y613" s="10" t="s">
        <v>57</v>
      </c>
      <c r="Z613" s="75"/>
      <c r="AA613" s="76"/>
      <c r="AB613" s="77">
        <v>18385</v>
      </c>
      <c r="AC613" s="77"/>
      <c r="AD613" s="6"/>
      <c r="AG613" s="7">
        <v>1950</v>
      </c>
      <c r="AH613" s="7">
        <v>1950</v>
      </c>
      <c r="AI613" s="7"/>
      <c r="AJ613" s="73"/>
      <c r="AK613" s="7"/>
      <c r="AL613" s="16"/>
      <c r="AM613" s="2" t="s">
        <v>59</v>
      </c>
      <c r="AW613" s="6" t="str">
        <f t="shared" ca="1" si="11"/>
        <v/>
      </c>
    </row>
    <row r="614" ht="45" customHeight="1" outlineLevel="1">
      <c r="A614" s="69"/>
      <c r="B614" s="3" t="s">
        <v>47</v>
      </c>
      <c r="E614" s="2" t="s">
        <v>83</v>
      </c>
      <c r="F614" s="6" t="s">
        <v>931</v>
      </c>
      <c r="G614" s="5" t="s">
        <v>1046</v>
      </c>
      <c r="H614" s="2" t="s">
        <v>51</v>
      </c>
      <c r="I614" s="3" t="s">
        <v>326</v>
      </c>
      <c r="J614" s="7">
        <v>1</v>
      </c>
      <c r="K614" s="70" t="s">
        <v>53</v>
      </c>
      <c r="L614" s="9">
        <v>0</v>
      </c>
      <c r="M614" s="3">
        <v>422</v>
      </c>
      <c r="N614" s="6">
        <v>1950</v>
      </c>
      <c r="P614" s="71"/>
      <c r="R614" s="6">
        <v>1950</v>
      </c>
      <c r="S614" s="3" t="s">
        <v>54</v>
      </c>
      <c r="T614" s="72"/>
      <c r="U614" s="73"/>
      <c r="W614" s="2" t="s">
        <v>1584</v>
      </c>
      <c r="X614" s="10" t="s">
        <v>56</v>
      </c>
      <c r="Y614" s="10" t="s">
        <v>57</v>
      </c>
      <c r="Z614" s="75" t="s">
        <v>58</v>
      </c>
      <c r="AA614" s="76"/>
      <c r="AB614" s="77">
        <v>18342</v>
      </c>
      <c r="AC614" s="77"/>
      <c r="AD614" s="6"/>
      <c r="AG614" s="7">
        <v>1950</v>
      </c>
      <c r="AH614" s="7">
        <v>1950</v>
      </c>
      <c r="AI614" s="7"/>
      <c r="AJ614" s="73"/>
      <c r="AK614" s="7"/>
      <c r="AL614" s="16"/>
      <c r="AM614" s="2" t="s">
        <v>59</v>
      </c>
      <c r="AO614" s="6" t="s">
        <v>136</v>
      </c>
      <c r="AW614" s="6">
        <f t="shared" ca="1" si="11"/>
        <v>75</v>
      </c>
    </row>
    <row r="615" ht="45" customHeight="1" outlineLevel="1">
      <c r="A615" s="69"/>
      <c r="B615" s="3" t="s">
        <v>47</v>
      </c>
      <c r="E615" s="2" t="s">
        <v>83</v>
      </c>
      <c r="F615" s="6" t="s">
        <v>931</v>
      </c>
      <c r="G615" s="5" t="s">
        <v>1585</v>
      </c>
      <c r="H615" s="2" t="s">
        <v>382</v>
      </c>
      <c r="I615" s="3" t="s">
        <v>1586</v>
      </c>
      <c r="J615" s="114">
        <v>1</v>
      </c>
      <c r="K615" s="70" t="s">
        <v>53</v>
      </c>
      <c r="L615" s="9">
        <v>1</v>
      </c>
      <c r="M615" s="3">
        <v>422</v>
      </c>
      <c r="N615" s="6">
        <v>1950</v>
      </c>
      <c r="P615" s="71"/>
      <c r="R615" s="6">
        <v>1950</v>
      </c>
      <c r="S615" s="3" t="s">
        <v>54</v>
      </c>
      <c r="T615" s="72"/>
      <c r="U615" s="73"/>
      <c r="W615" s="2" t="s">
        <v>1587</v>
      </c>
      <c r="X615" s="10" t="s">
        <v>91</v>
      </c>
      <c r="Y615" s="10" t="s">
        <v>385</v>
      </c>
      <c r="Z615" s="75"/>
      <c r="AA615" s="76"/>
      <c r="AB615" s="77"/>
      <c r="AC615" s="77">
        <v>18342</v>
      </c>
      <c r="AD615" s="10"/>
      <c r="AG615" s="7">
        <v>1950</v>
      </c>
      <c r="AH615" s="7">
        <v>1950</v>
      </c>
      <c r="AI615" s="7"/>
      <c r="AJ615" s="73"/>
      <c r="AK615" s="7"/>
      <c r="AL615" s="16"/>
      <c r="AM615" s="2" t="s">
        <v>59</v>
      </c>
      <c r="AO615" s="6" t="s">
        <v>59</v>
      </c>
      <c r="AW615" s="6">
        <f t="shared" ca="1" si="11"/>
        <v>75</v>
      </c>
    </row>
    <row r="616" ht="45" customHeight="1">
      <c r="A616" s="69"/>
      <c r="B616" s="3" t="s">
        <v>47</v>
      </c>
      <c r="E616" s="2" t="s">
        <v>83</v>
      </c>
      <c r="F616" s="6" t="s">
        <v>931</v>
      </c>
      <c r="G616" s="5" t="s">
        <v>1046</v>
      </c>
      <c r="H616" s="2" t="s">
        <v>382</v>
      </c>
      <c r="I616" s="3" t="s">
        <v>1588</v>
      </c>
      <c r="J616" s="7">
        <v>1</v>
      </c>
      <c r="K616" s="70" t="s">
        <v>53</v>
      </c>
      <c r="L616" s="9">
        <v>0</v>
      </c>
      <c r="M616" s="3">
        <v>422</v>
      </c>
      <c r="N616" s="6">
        <v>1950</v>
      </c>
      <c r="P616" s="71"/>
      <c r="R616" s="6">
        <v>1950</v>
      </c>
      <c r="S616" s="3" t="s">
        <v>54</v>
      </c>
      <c r="T616" s="72"/>
      <c r="U616" s="73"/>
      <c r="W616" s="2" t="s">
        <v>1589</v>
      </c>
      <c r="X616" s="10" t="s">
        <v>91</v>
      </c>
      <c r="Y616" s="10" t="s">
        <v>385</v>
      </c>
      <c r="Z616" s="75"/>
      <c r="AA616" s="76"/>
      <c r="AB616" s="77"/>
      <c r="AC616" s="77">
        <v>18342</v>
      </c>
      <c r="AD616" s="10"/>
      <c r="AG616" s="7">
        <v>1950</v>
      </c>
      <c r="AH616" s="7">
        <v>1950</v>
      </c>
      <c r="AI616" s="7"/>
      <c r="AJ616" s="73"/>
      <c r="AK616" s="7"/>
      <c r="AL616" s="16"/>
      <c r="AM616" s="2" t="s">
        <v>59</v>
      </c>
      <c r="AO616" s="6" t="s">
        <v>59</v>
      </c>
      <c r="AW616" s="6">
        <f t="shared" ca="1" si="11"/>
        <v>75</v>
      </c>
    </row>
    <row r="617" ht="45" customHeight="1">
      <c r="A617" s="69"/>
      <c r="B617" s="3" t="s">
        <v>47</v>
      </c>
      <c r="E617" s="2" t="s">
        <v>83</v>
      </c>
      <c r="F617" s="6" t="s">
        <v>931</v>
      </c>
      <c r="G617" s="5" t="s">
        <v>1585</v>
      </c>
      <c r="H617" s="2" t="s">
        <v>51</v>
      </c>
      <c r="I617" s="3" t="s">
        <v>227</v>
      </c>
      <c r="J617" s="7">
        <v>1</v>
      </c>
      <c r="K617" s="70" t="s">
        <v>53</v>
      </c>
      <c r="L617" s="9">
        <v>0</v>
      </c>
      <c r="M617" s="3">
        <v>422</v>
      </c>
      <c r="N617" s="6">
        <v>1950</v>
      </c>
      <c r="P617" s="71"/>
      <c r="R617" s="6">
        <v>1950</v>
      </c>
      <c r="S617" s="3" t="s">
        <v>54</v>
      </c>
      <c r="T617" s="72"/>
      <c r="U617" s="73"/>
      <c r="W617" s="2" t="s">
        <v>1590</v>
      </c>
      <c r="X617" s="10" t="s">
        <v>56</v>
      </c>
      <c r="Y617" s="10" t="s">
        <v>57</v>
      </c>
      <c r="Z617" s="75" t="s">
        <v>58</v>
      </c>
      <c r="AA617" s="76"/>
      <c r="AB617" s="77">
        <v>18342</v>
      </c>
      <c r="AC617" s="77"/>
      <c r="AD617" s="6"/>
      <c r="AG617" s="7">
        <v>1950</v>
      </c>
      <c r="AH617" s="7">
        <v>1950</v>
      </c>
      <c r="AI617" s="7"/>
      <c r="AJ617" s="73"/>
      <c r="AK617" s="7"/>
      <c r="AL617" s="16"/>
      <c r="AM617" s="2" t="s">
        <v>59</v>
      </c>
      <c r="AO617" s="6" t="s">
        <v>136</v>
      </c>
      <c r="AW617" s="6">
        <f t="shared" ca="1" si="11"/>
        <v>75</v>
      </c>
    </row>
    <row r="618" ht="45" customHeight="1">
      <c r="A618" s="69"/>
      <c r="B618" s="3" t="s">
        <v>47</v>
      </c>
      <c r="C618" s="4" t="s">
        <v>1591</v>
      </c>
      <c r="D618" s="5" t="s">
        <v>1592</v>
      </c>
      <c r="E618" s="2" t="s">
        <v>694</v>
      </c>
      <c r="F618" s="6" t="s">
        <v>1593</v>
      </c>
      <c r="G618" s="5" t="s">
        <v>1594</v>
      </c>
      <c r="H618" s="2" t="s">
        <v>57</v>
      </c>
      <c r="I618" s="3" t="s">
        <v>1595</v>
      </c>
      <c r="J618" s="7">
        <v>1</v>
      </c>
      <c r="K618" s="70" t="s">
        <v>53</v>
      </c>
      <c r="L618" s="9">
        <v>1</v>
      </c>
      <c r="M618" s="3">
        <v>423</v>
      </c>
      <c r="N618" s="6">
        <v>1950</v>
      </c>
      <c r="P618" s="71"/>
      <c r="R618" s="6">
        <v>1950</v>
      </c>
      <c r="S618" s="3" t="s">
        <v>54</v>
      </c>
      <c r="T618" s="72"/>
      <c r="U618" s="73"/>
      <c r="W618" s="2" t="s">
        <v>1596</v>
      </c>
      <c r="X618" s="10" t="s">
        <v>56</v>
      </c>
      <c r="Y618" s="10" t="s">
        <v>57</v>
      </c>
      <c r="Z618" s="75"/>
      <c r="AA618" s="76" t="s">
        <v>208</v>
      </c>
      <c r="AB618" s="77">
        <v>18344</v>
      </c>
      <c r="AC618" s="77"/>
      <c r="AD618" s="6"/>
      <c r="AF618" s="7">
        <v>76</v>
      </c>
      <c r="AG618" s="7">
        <v>1950</v>
      </c>
      <c r="AH618" s="7">
        <v>1950</v>
      </c>
      <c r="AI618" s="7">
        <v>2014</v>
      </c>
      <c r="AJ618" s="73"/>
      <c r="AK618" s="7"/>
      <c r="AL618" s="16" t="s">
        <v>1597</v>
      </c>
      <c r="AM618" s="2" t="s">
        <v>53</v>
      </c>
      <c r="AN618" s="6" t="s">
        <v>73</v>
      </c>
      <c r="AO618" s="6" t="s">
        <v>100</v>
      </c>
      <c r="AP618" s="6" t="s">
        <v>73</v>
      </c>
      <c r="AR618" s="2" t="s">
        <v>73</v>
      </c>
      <c r="AT618" s="6">
        <v>2011</v>
      </c>
      <c r="AU618" s="16" t="s">
        <v>1598</v>
      </c>
      <c r="AW618" s="6">
        <f t="shared" ca="1" si="11"/>
        <v>75</v>
      </c>
    </row>
    <row r="619" ht="45" customHeight="1" outlineLevel="1">
      <c r="A619" s="69"/>
      <c r="B619" s="3" t="s">
        <v>47</v>
      </c>
      <c r="E619" s="2" t="s">
        <v>83</v>
      </c>
      <c r="F619" s="6" t="s">
        <v>84</v>
      </c>
      <c r="G619" s="5" t="s">
        <v>850</v>
      </c>
      <c r="H619" s="2" t="s">
        <v>57</v>
      </c>
      <c r="I619" s="3" t="s">
        <v>1599</v>
      </c>
      <c r="J619" s="7">
        <v>1</v>
      </c>
      <c r="K619" s="70" t="s">
        <v>53</v>
      </c>
      <c r="L619" s="9">
        <v>1</v>
      </c>
      <c r="M619" s="3">
        <v>424</v>
      </c>
      <c r="N619" s="6">
        <v>1950</v>
      </c>
      <c r="P619" s="71"/>
      <c r="R619" s="6">
        <v>1950</v>
      </c>
      <c r="S619" s="3" t="s">
        <v>54</v>
      </c>
      <c r="T619" s="72"/>
      <c r="U619" s="73"/>
      <c r="W619" s="2" t="s">
        <v>1600</v>
      </c>
      <c r="X619" s="10" t="s">
        <v>56</v>
      </c>
      <c r="Y619" s="10" t="s">
        <v>57</v>
      </c>
      <c r="Z619" s="75"/>
      <c r="AA619" s="76"/>
      <c r="AB619" s="77"/>
      <c r="AC619" s="77">
        <v>18716</v>
      </c>
      <c r="AD619" s="10"/>
      <c r="AG619" s="7">
        <v>1951</v>
      </c>
      <c r="AH619" s="7">
        <v>1950</v>
      </c>
      <c r="AJ619" s="73"/>
      <c r="AL619" s="16"/>
      <c r="AM619" s="2" t="s">
        <v>59</v>
      </c>
      <c r="AO619" s="6" t="s">
        <v>136</v>
      </c>
      <c r="AQ619" s="5" t="s">
        <v>104</v>
      </c>
      <c r="AU619" s="16" t="s">
        <v>1601</v>
      </c>
      <c r="AW619" s="6">
        <f t="shared" ca="1" si="11"/>
        <v>75</v>
      </c>
    </row>
    <row r="620" ht="45" customHeight="1" outlineLevel="1">
      <c r="A620" s="69"/>
      <c r="B620" s="3" t="s">
        <v>47</v>
      </c>
      <c r="E620" s="2" t="s">
        <v>83</v>
      </c>
      <c r="F620" s="6" t="s">
        <v>179</v>
      </c>
      <c r="G620" s="5" t="s">
        <v>294</v>
      </c>
      <c r="H620" s="2" t="s">
        <v>57</v>
      </c>
      <c r="I620" s="3" t="s">
        <v>1602</v>
      </c>
      <c r="J620" s="7">
        <v>1</v>
      </c>
      <c r="K620" s="70" t="s">
        <v>53</v>
      </c>
      <c r="L620" s="9">
        <v>1</v>
      </c>
      <c r="M620" s="3">
        <v>425</v>
      </c>
      <c r="P620" s="71"/>
      <c r="R620" s="6">
        <v>1950</v>
      </c>
      <c r="S620" s="3" t="s">
        <v>54</v>
      </c>
      <c r="T620" s="72"/>
      <c r="U620" s="73"/>
      <c r="W620" s="2" t="s">
        <v>1603</v>
      </c>
      <c r="X620" s="10" t="s">
        <v>56</v>
      </c>
      <c r="Y620" s="10" t="s">
        <v>57</v>
      </c>
      <c r="Z620" s="75"/>
      <c r="AA620" s="76"/>
      <c r="AB620" s="77">
        <v>18381</v>
      </c>
      <c r="AC620" s="77"/>
      <c r="AD620" s="6"/>
      <c r="AG620" s="7">
        <v>1950</v>
      </c>
      <c r="AH620" s="7">
        <v>1950</v>
      </c>
      <c r="AI620" s="7"/>
      <c r="AJ620" s="73"/>
      <c r="AK620" s="7"/>
      <c r="AL620" s="16"/>
      <c r="AM620" s="2" t="s">
        <v>59</v>
      </c>
      <c r="AW620" s="6" t="str">
        <f t="shared" ca="1" si="11"/>
        <v/>
      </c>
    </row>
    <row r="621" ht="45" customHeight="1" outlineLevel="1">
      <c r="A621" s="69"/>
      <c r="B621" s="3" t="s">
        <v>47</v>
      </c>
      <c r="C621" s="4" t="s">
        <v>1604</v>
      </c>
      <c r="D621" s="5" t="s">
        <v>1605</v>
      </c>
      <c r="E621" s="78" t="s">
        <v>63</v>
      </c>
      <c r="F621" s="79" t="s">
        <v>1230</v>
      </c>
      <c r="G621" s="80" t="s">
        <v>1606</v>
      </c>
      <c r="H621" s="78" t="s">
        <v>51</v>
      </c>
      <c r="I621" s="81" t="s">
        <v>1607</v>
      </c>
      <c r="J621" s="7">
        <v>1</v>
      </c>
      <c r="K621" s="70" t="s">
        <v>53</v>
      </c>
      <c r="L621" s="9">
        <v>1</v>
      </c>
      <c r="M621" s="3">
        <v>426</v>
      </c>
      <c r="N621" s="6">
        <v>1950</v>
      </c>
      <c r="P621" s="71"/>
      <c r="R621" s="6">
        <v>1950</v>
      </c>
      <c r="S621" s="3" t="s">
        <v>54</v>
      </c>
      <c r="T621" s="72"/>
      <c r="U621" s="73"/>
      <c r="W621" s="78" t="s">
        <v>1608</v>
      </c>
      <c r="X621" s="10" t="s">
        <v>56</v>
      </c>
      <c r="Y621" s="10" t="s">
        <v>57</v>
      </c>
      <c r="Z621" s="75" t="s">
        <v>58</v>
      </c>
      <c r="AA621" s="76"/>
      <c r="AB621" s="77">
        <v>23685</v>
      </c>
      <c r="AC621" s="77"/>
      <c r="AD621" s="6"/>
      <c r="AG621" s="7">
        <v>1964</v>
      </c>
      <c r="AH621" s="7">
        <v>1960</v>
      </c>
      <c r="AI621" s="7"/>
      <c r="AJ621" s="73"/>
      <c r="AK621" s="7"/>
      <c r="AL621" s="16"/>
      <c r="AM621" s="2" t="s">
        <v>59</v>
      </c>
      <c r="AW621" s="6">
        <f t="shared" ca="1" si="11"/>
        <v>75</v>
      </c>
    </row>
    <row r="622" ht="45" customHeight="1">
      <c r="A622" s="69"/>
      <c r="B622" s="3" t="s">
        <v>47</v>
      </c>
      <c r="E622" s="2" t="s">
        <v>1074</v>
      </c>
      <c r="F622" s="6" t="s">
        <v>1075</v>
      </c>
      <c r="G622" s="5" t="s">
        <v>1609</v>
      </c>
      <c r="H622" s="2" t="s">
        <v>57</v>
      </c>
      <c r="I622" s="3" t="s">
        <v>1610</v>
      </c>
      <c r="J622" s="7">
        <v>1</v>
      </c>
      <c r="K622" s="70" t="s">
        <v>53</v>
      </c>
      <c r="L622" s="9">
        <v>1</v>
      </c>
      <c r="M622" s="3">
        <v>427</v>
      </c>
      <c r="N622" s="6">
        <v>1950</v>
      </c>
      <c r="P622" s="71"/>
      <c r="R622" s="6">
        <v>1950</v>
      </c>
      <c r="S622" s="3" t="s">
        <v>54</v>
      </c>
      <c r="T622" s="72"/>
      <c r="U622" s="73"/>
      <c r="W622" s="2" t="s">
        <v>1611</v>
      </c>
      <c r="X622" s="10" t="s">
        <v>56</v>
      </c>
      <c r="Y622" s="10" t="s">
        <v>57</v>
      </c>
      <c r="Z622" s="75"/>
      <c r="AA622" s="76"/>
      <c r="AB622" s="77"/>
      <c r="AC622" s="77">
        <v>19803</v>
      </c>
      <c r="AD622" s="10"/>
      <c r="AG622" s="7">
        <v>1954</v>
      </c>
      <c r="AH622" s="7">
        <v>1950</v>
      </c>
      <c r="AI622" s="7"/>
      <c r="AJ622" s="73"/>
      <c r="AK622" s="7"/>
      <c r="AL622" s="16"/>
      <c r="AM622" s="2" t="s">
        <v>59</v>
      </c>
      <c r="AU622" s="16" t="s">
        <v>1612</v>
      </c>
      <c r="AW622" s="6">
        <f t="shared" ca="1" si="11"/>
        <v>75</v>
      </c>
    </row>
    <row r="623" ht="45" customHeight="1">
      <c r="A623" s="69"/>
      <c r="B623" s="3" t="s">
        <v>47</v>
      </c>
      <c r="E623" s="2" t="s">
        <v>63</v>
      </c>
      <c r="F623" s="6" t="s">
        <v>354</v>
      </c>
      <c r="G623" s="5" t="s">
        <v>971</v>
      </c>
      <c r="H623" s="2" t="s">
        <v>57</v>
      </c>
      <c r="I623" s="3" t="s">
        <v>1613</v>
      </c>
      <c r="J623" s="7">
        <v>1</v>
      </c>
      <c r="K623" s="70" t="s">
        <v>53</v>
      </c>
      <c r="L623" s="9">
        <v>1</v>
      </c>
      <c r="M623" s="3">
        <v>428</v>
      </c>
      <c r="N623" s="6">
        <v>1950</v>
      </c>
      <c r="P623" s="71"/>
      <c r="R623" s="6">
        <v>1950</v>
      </c>
      <c r="S623" s="3" t="s">
        <v>54</v>
      </c>
      <c r="T623" s="72"/>
      <c r="U623" s="73"/>
      <c r="W623" s="2" t="s">
        <v>1614</v>
      </c>
      <c r="X623" s="10" t="s">
        <v>56</v>
      </c>
      <c r="Y623" s="10" t="s">
        <v>57</v>
      </c>
      <c r="Z623" s="75"/>
      <c r="AA623" s="76"/>
      <c r="AB623" s="77"/>
      <c r="AC623" s="77">
        <v>18458</v>
      </c>
      <c r="AD623" s="10"/>
      <c r="AG623" s="7">
        <v>1950</v>
      </c>
      <c r="AH623" s="7">
        <v>1950</v>
      </c>
      <c r="AI623" s="7"/>
      <c r="AJ623" s="73"/>
      <c r="AK623" s="7"/>
      <c r="AL623" s="16" t="s">
        <v>1615</v>
      </c>
      <c r="AM623" s="2" t="s">
        <v>59</v>
      </c>
      <c r="AN623" s="6" t="s">
        <v>73</v>
      </c>
      <c r="AO623" s="6" t="s">
        <v>82</v>
      </c>
      <c r="AP623" s="6" t="s">
        <v>73</v>
      </c>
      <c r="AQ623" s="5" t="s">
        <v>73</v>
      </c>
      <c r="AW623" s="6">
        <f t="shared" ca="1" si="11"/>
        <v>75</v>
      </c>
    </row>
    <row r="624" ht="45" customHeight="1" outlineLevel="1">
      <c r="A624" s="69"/>
      <c r="B624" s="3" t="s">
        <v>47</v>
      </c>
      <c r="E624" s="2" t="s">
        <v>83</v>
      </c>
      <c r="F624" s="6" t="s">
        <v>179</v>
      </c>
      <c r="G624" s="5" t="s">
        <v>287</v>
      </c>
      <c r="H624" s="2" t="s">
        <v>57</v>
      </c>
      <c r="I624" s="3" t="s">
        <v>1616</v>
      </c>
      <c r="J624" s="7">
        <v>1</v>
      </c>
      <c r="K624" s="70" t="s">
        <v>53</v>
      </c>
      <c r="L624" s="9">
        <v>0</v>
      </c>
      <c r="M624" s="3">
        <v>429</v>
      </c>
      <c r="P624" s="71"/>
      <c r="R624" s="6">
        <v>1950</v>
      </c>
      <c r="S624" s="3" t="s">
        <v>54</v>
      </c>
      <c r="T624" s="72"/>
      <c r="U624" s="73"/>
      <c r="W624" s="2" t="s">
        <v>1617</v>
      </c>
      <c r="X624" s="10" t="s">
        <v>56</v>
      </c>
      <c r="Y624" s="10" t="s">
        <v>57</v>
      </c>
      <c r="Z624" s="75"/>
      <c r="AA624" s="76"/>
      <c r="AB624" s="77">
        <v>18442</v>
      </c>
      <c r="AC624" s="77"/>
      <c r="AD624" s="6"/>
      <c r="AG624" s="7">
        <v>1950</v>
      </c>
      <c r="AH624" s="7">
        <v>1950</v>
      </c>
      <c r="AI624" s="7"/>
      <c r="AJ624" s="73"/>
      <c r="AK624" s="7"/>
      <c r="AL624" s="16"/>
      <c r="AM624" s="2" t="s">
        <v>59</v>
      </c>
      <c r="AW624" s="6" t="str">
        <f t="shared" ca="1" si="11"/>
        <v/>
      </c>
    </row>
    <row r="625" ht="45" customHeight="1" outlineLevel="1">
      <c r="A625" s="69"/>
      <c r="B625" s="3" t="s">
        <v>47</v>
      </c>
      <c r="E625" s="2" t="s">
        <v>83</v>
      </c>
      <c r="F625" s="6" t="s">
        <v>179</v>
      </c>
      <c r="G625" s="5" t="s">
        <v>287</v>
      </c>
      <c r="H625" s="2" t="s">
        <v>57</v>
      </c>
      <c r="I625" s="3" t="s">
        <v>1618</v>
      </c>
      <c r="J625" s="7">
        <v>1</v>
      </c>
      <c r="K625" s="70" t="s">
        <v>53</v>
      </c>
      <c r="L625" s="9">
        <v>0</v>
      </c>
      <c r="M625" s="3">
        <v>429</v>
      </c>
      <c r="P625" s="71"/>
      <c r="R625" s="6">
        <v>1950</v>
      </c>
      <c r="S625" s="3" t="s">
        <v>54</v>
      </c>
      <c r="T625" s="72"/>
      <c r="U625" s="73"/>
      <c r="W625" s="2" t="s">
        <v>1619</v>
      </c>
      <c r="X625" s="10" t="s">
        <v>56</v>
      </c>
      <c r="Y625" s="10" t="s">
        <v>57</v>
      </c>
      <c r="Z625" s="75"/>
      <c r="AA625" s="76"/>
      <c r="AB625" s="77"/>
      <c r="AC625" s="77">
        <v>18442</v>
      </c>
      <c r="AD625" s="10"/>
      <c r="AG625" s="7">
        <v>1950</v>
      </c>
      <c r="AH625" s="7">
        <v>1950</v>
      </c>
      <c r="AI625" s="7"/>
      <c r="AJ625" s="73"/>
      <c r="AK625" s="7"/>
      <c r="AL625" s="16"/>
      <c r="AM625" s="2" t="s">
        <v>59</v>
      </c>
      <c r="AU625" s="16" t="s">
        <v>1620</v>
      </c>
      <c r="AW625" s="6" t="str">
        <f t="shared" ca="1" si="11"/>
        <v/>
      </c>
    </row>
    <row r="626" ht="45" customHeight="1" outlineLevel="1">
      <c r="A626" s="69"/>
      <c r="B626" s="3" t="s">
        <v>47</v>
      </c>
      <c r="E626" s="2" t="s">
        <v>83</v>
      </c>
      <c r="F626" s="6" t="s">
        <v>179</v>
      </c>
      <c r="G626" s="5" t="s">
        <v>287</v>
      </c>
      <c r="H626" s="2" t="s">
        <v>57</v>
      </c>
      <c r="I626" s="3" t="s">
        <v>1621</v>
      </c>
      <c r="J626" s="7">
        <v>1</v>
      </c>
      <c r="K626" s="70" t="s">
        <v>53</v>
      </c>
      <c r="L626" s="9">
        <v>0</v>
      </c>
      <c r="M626" s="3">
        <v>429</v>
      </c>
      <c r="P626" s="71"/>
      <c r="R626" s="6">
        <v>1950</v>
      </c>
      <c r="S626" s="3" t="s">
        <v>54</v>
      </c>
      <c r="T626" s="72"/>
      <c r="U626" s="73"/>
      <c r="W626" s="2" t="s">
        <v>1622</v>
      </c>
      <c r="X626" s="10" t="s">
        <v>56</v>
      </c>
      <c r="Y626" s="10" t="s">
        <v>57</v>
      </c>
      <c r="Z626" s="75"/>
      <c r="AA626" s="76"/>
      <c r="AB626" s="77"/>
      <c r="AC626" s="77">
        <v>21795</v>
      </c>
      <c r="AD626" s="10"/>
      <c r="AG626" s="7">
        <v>1959</v>
      </c>
      <c r="AH626" s="7">
        <v>1950</v>
      </c>
      <c r="AI626" s="7"/>
      <c r="AJ626" s="73"/>
      <c r="AK626" s="7"/>
      <c r="AL626" s="16"/>
      <c r="AM626" s="2" t="s">
        <v>59</v>
      </c>
      <c r="AW626" s="6" t="str">
        <f t="shared" ca="1" si="11"/>
        <v/>
      </c>
    </row>
    <row r="627" ht="45" customHeight="1" outlineLevel="1">
      <c r="A627" s="69"/>
      <c r="B627" s="3" t="s">
        <v>47</v>
      </c>
      <c r="E627" s="2" t="s">
        <v>83</v>
      </c>
      <c r="F627" s="6" t="s">
        <v>179</v>
      </c>
      <c r="G627" s="5" t="s">
        <v>1623</v>
      </c>
      <c r="H627" s="2" t="s">
        <v>382</v>
      </c>
      <c r="I627" s="3" t="s">
        <v>1624</v>
      </c>
      <c r="J627" s="7">
        <v>1</v>
      </c>
      <c r="K627" s="70" t="s">
        <v>53</v>
      </c>
      <c r="L627" s="9">
        <v>0</v>
      </c>
      <c r="M627" s="3">
        <v>429</v>
      </c>
      <c r="P627" s="71"/>
      <c r="R627" s="6">
        <v>1950</v>
      </c>
      <c r="S627" s="3" t="s">
        <v>54</v>
      </c>
      <c r="T627" s="72"/>
      <c r="U627" s="73"/>
      <c r="W627" s="2" t="s">
        <v>1625</v>
      </c>
      <c r="X627" s="10" t="s">
        <v>91</v>
      </c>
      <c r="Y627" s="10" t="s">
        <v>385</v>
      </c>
      <c r="Z627" s="75"/>
      <c r="AA627" s="76"/>
      <c r="AB627" s="77">
        <v>18433</v>
      </c>
      <c r="AC627" s="77">
        <v>18433</v>
      </c>
      <c r="AD627" s="10"/>
      <c r="AG627" s="7">
        <v>1950</v>
      </c>
      <c r="AH627" s="7">
        <v>1950</v>
      </c>
      <c r="AI627" s="7"/>
      <c r="AJ627" s="73"/>
      <c r="AK627" s="7"/>
      <c r="AL627" s="16"/>
      <c r="AM627" s="2" t="s">
        <v>59</v>
      </c>
      <c r="AO627" s="6" t="s">
        <v>59</v>
      </c>
      <c r="AU627" s="16" t="s">
        <v>1626</v>
      </c>
      <c r="AW627" s="6" t="str">
        <f t="shared" ca="1" si="11"/>
        <v/>
      </c>
    </row>
    <row r="628" ht="45" customHeight="1" outlineLevel="1">
      <c r="A628" s="69"/>
      <c r="B628" s="3" t="s">
        <v>47</v>
      </c>
      <c r="E628" s="2" t="s">
        <v>83</v>
      </c>
      <c r="F628" s="6" t="s">
        <v>179</v>
      </c>
      <c r="G628" s="5" t="s">
        <v>313</v>
      </c>
      <c r="H628" s="2" t="s">
        <v>57</v>
      </c>
      <c r="I628" s="3" t="s">
        <v>1627</v>
      </c>
      <c r="J628" s="7">
        <v>1</v>
      </c>
      <c r="K628" s="70" t="s">
        <v>53</v>
      </c>
      <c r="L628" s="9">
        <v>0</v>
      </c>
      <c r="M628" s="3">
        <v>429</v>
      </c>
      <c r="P628" s="71"/>
      <c r="R628" s="6">
        <v>1950</v>
      </c>
      <c r="S628" s="3" t="s">
        <v>54</v>
      </c>
      <c r="T628" s="72"/>
      <c r="U628" s="73"/>
      <c r="W628" s="2" t="s">
        <v>1628</v>
      </c>
      <c r="X628" s="10" t="s">
        <v>56</v>
      </c>
      <c r="Y628" s="10" t="s">
        <v>57</v>
      </c>
      <c r="Z628" s="75"/>
      <c r="AA628" s="76"/>
      <c r="AB628" s="77"/>
      <c r="AC628" s="77">
        <v>18442</v>
      </c>
      <c r="AD628" s="10"/>
      <c r="AG628" s="7">
        <v>1950</v>
      </c>
      <c r="AH628" s="7">
        <v>1950</v>
      </c>
      <c r="AI628" s="7"/>
      <c r="AJ628" s="73"/>
      <c r="AK628" s="7"/>
      <c r="AL628" s="16"/>
      <c r="AM628" s="2" t="s">
        <v>59</v>
      </c>
      <c r="AU628" s="16" t="s">
        <v>1629</v>
      </c>
      <c r="AW628" s="6" t="str">
        <f t="shared" ca="1" si="11"/>
        <v/>
      </c>
    </row>
    <row r="629" ht="45" customHeight="1">
      <c r="A629" s="69"/>
      <c r="B629" s="3" t="s">
        <v>47</v>
      </c>
      <c r="E629" s="2" t="s">
        <v>83</v>
      </c>
      <c r="F629" s="6" t="s">
        <v>179</v>
      </c>
      <c r="G629" s="5" t="s">
        <v>1343</v>
      </c>
      <c r="H629" s="2" t="s">
        <v>57</v>
      </c>
      <c r="I629" s="3" t="s">
        <v>1630</v>
      </c>
      <c r="J629" s="7">
        <v>1</v>
      </c>
      <c r="K629" s="70" t="s">
        <v>53</v>
      </c>
      <c r="L629" s="9">
        <v>1</v>
      </c>
      <c r="M629" s="3">
        <v>429</v>
      </c>
      <c r="P629" s="71"/>
      <c r="R629" s="6">
        <v>1950</v>
      </c>
      <c r="S629" s="3" t="s">
        <v>54</v>
      </c>
      <c r="T629" s="72"/>
      <c r="U629" s="73"/>
      <c r="W629" s="2" t="s">
        <v>1631</v>
      </c>
      <c r="X629" s="10" t="s">
        <v>56</v>
      </c>
      <c r="Y629" s="10" t="s">
        <v>57</v>
      </c>
      <c r="Z629" s="75"/>
      <c r="AA629" s="76"/>
      <c r="AB629" s="77">
        <v>18716</v>
      </c>
      <c r="AC629" s="77"/>
      <c r="AD629" s="6"/>
      <c r="AG629" s="7">
        <v>1951</v>
      </c>
      <c r="AH629" s="7">
        <v>1950</v>
      </c>
      <c r="AI629" s="7"/>
      <c r="AJ629" s="73"/>
      <c r="AK629" s="7"/>
      <c r="AL629" s="16"/>
      <c r="AM629" s="2" t="s">
        <v>59</v>
      </c>
      <c r="AU629" s="16" t="s">
        <v>1632</v>
      </c>
      <c r="AW629" s="6" t="str">
        <f t="shared" ca="1" si="11"/>
        <v/>
      </c>
    </row>
    <row r="630" ht="45" customHeight="1" outlineLevel="1">
      <c r="A630" s="69"/>
      <c r="B630" s="3" t="s">
        <v>47</v>
      </c>
      <c r="E630" s="2" t="s">
        <v>83</v>
      </c>
      <c r="F630" s="6" t="s">
        <v>179</v>
      </c>
      <c r="G630" s="5" t="s">
        <v>287</v>
      </c>
      <c r="H630" s="2" t="s">
        <v>57</v>
      </c>
      <c r="I630" s="3" t="s">
        <v>1633</v>
      </c>
      <c r="J630" s="7">
        <v>1</v>
      </c>
      <c r="K630" s="70" t="s">
        <v>53</v>
      </c>
      <c r="L630" s="9">
        <v>0</v>
      </c>
      <c r="M630" s="3">
        <v>429</v>
      </c>
      <c r="P630" s="71"/>
      <c r="R630" s="6">
        <v>1950</v>
      </c>
      <c r="S630" s="3" t="s">
        <v>54</v>
      </c>
      <c r="T630" s="72"/>
      <c r="U630" s="73"/>
      <c r="W630" s="2" t="s">
        <v>1634</v>
      </c>
      <c r="X630" s="10" t="s">
        <v>56</v>
      </c>
      <c r="Y630" s="10" t="s">
        <v>57</v>
      </c>
      <c r="Z630" s="75"/>
      <c r="AA630" s="76"/>
      <c r="AB630" s="77"/>
      <c r="AC630" s="77">
        <v>18442</v>
      </c>
      <c r="AD630" s="10"/>
      <c r="AG630" s="7">
        <v>1950</v>
      </c>
      <c r="AH630" s="7">
        <v>1950</v>
      </c>
      <c r="AI630" s="7"/>
      <c r="AJ630" s="73"/>
      <c r="AK630" s="7"/>
      <c r="AL630" s="16"/>
      <c r="AM630" s="2" t="s">
        <v>59</v>
      </c>
      <c r="AU630" s="16" t="s">
        <v>1620</v>
      </c>
      <c r="AW630" s="6" t="str">
        <f t="shared" ca="1" si="11"/>
        <v/>
      </c>
    </row>
    <row r="631" ht="45" customHeight="1" outlineLevel="1">
      <c r="A631" s="69"/>
      <c r="B631" s="3" t="s">
        <v>47</v>
      </c>
      <c r="E631" s="2" t="s">
        <v>83</v>
      </c>
      <c r="F631" s="6" t="s">
        <v>179</v>
      </c>
      <c r="G631" s="5" t="s">
        <v>319</v>
      </c>
      <c r="H631" s="2" t="s">
        <v>57</v>
      </c>
      <c r="I631" s="3" t="s">
        <v>1635</v>
      </c>
      <c r="J631" s="7">
        <v>1</v>
      </c>
      <c r="K631" s="70" t="s">
        <v>53</v>
      </c>
      <c r="L631" s="9">
        <v>0</v>
      </c>
      <c r="M631" s="3">
        <v>429</v>
      </c>
      <c r="P631" s="71"/>
      <c r="R631" s="6">
        <v>1950</v>
      </c>
      <c r="S631" s="3" t="s">
        <v>54</v>
      </c>
      <c r="T631" s="72"/>
      <c r="U631" s="73"/>
      <c r="W631" s="2" t="s">
        <v>1636</v>
      </c>
      <c r="X631" s="10" t="s">
        <v>56</v>
      </c>
      <c r="Y631" s="10" t="s">
        <v>57</v>
      </c>
      <c r="Z631" s="75"/>
      <c r="AA631" s="76"/>
      <c r="AB631" s="77">
        <v>18442</v>
      </c>
      <c r="AC631" s="77">
        <v>18442</v>
      </c>
      <c r="AD631" s="10"/>
      <c r="AG631" s="7">
        <v>1950</v>
      </c>
      <c r="AH631" s="7">
        <v>1950</v>
      </c>
      <c r="AI631" s="7"/>
      <c r="AJ631" s="73"/>
      <c r="AK631" s="7"/>
      <c r="AL631" s="16"/>
      <c r="AM631" s="2" t="s">
        <v>59</v>
      </c>
      <c r="AW631" s="6" t="str">
        <f t="shared" ca="1" si="11"/>
        <v/>
      </c>
    </row>
    <row r="632" ht="45" customHeight="1">
      <c r="A632" s="69"/>
      <c r="B632" s="3" t="s">
        <v>47</v>
      </c>
      <c r="E632" s="2" t="s">
        <v>83</v>
      </c>
      <c r="F632" s="6" t="s">
        <v>179</v>
      </c>
      <c r="G632" s="5" t="s">
        <v>180</v>
      </c>
      <c r="H632" s="2" t="s">
        <v>491</v>
      </c>
      <c r="I632" s="3" t="s">
        <v>1637</v>
      </c>
      <c r="J632" s="7">
        <v>1</v>
      </c>
      <c r="K632" s="70" t="s">
        <v>53</v>
      </c>
      <c r="L632" s="9">
        <v>0</v>
      </c>
      <c r="M632" s="3">
        <v>430</v>
      </c>
      <c r="P632" s="71"/>
      <c r="R632" s="6">
        <v>1950</v>
      </c>
      <c r="S632" s="3" t="s">
        <v>54</v>
      </c>
      <c r="T632" s="72"/>
      <c r="U632" s="73"/>
      <c r="W632" s="2" t="s">
        <v>1638</v>
      </c>
      <c r="X632" s="10" t="s">
        <v>56</v>
      </c>
      <c r="Y632" s="10" t="s">
        <v>523</v>
      </c>
      <c r="Z632" s="75"/>
      <c r="AA632" s="76"/>
      <c r="AB632" s="77"/>
      <c r="AC632" s="77">
        <v>18433</v>
      </c>
      <c r="AD632" s="10"/>
      <c r="AG632" s="7">
        <v>1950</v>
      </c>
      <c r="AH632" s="7">
        <v>1950</v>
      </c>
      <c r="AI632" s="7"/>
      <c r="AJ632" s="73"/>
      <c r="AK632" s="7"/>
      <c r="AL632" s="16"/>
      <c r="AM632" s="2" t="s">
        <v>59</v>
      </c>
      <c r="AW632" s="6" t="str">
        <f t="shared" ca="1" si="11"/>
        <v/>
      </c>
    </row>
    <row r="633" ht="45" customHeight="1" outlineLevel="1">
      <c r="A633" s="69"/>
      <c r="B633" s="3" t="s">
        <v>47</v>
      </c>
      <c r="E633" s="2" t="s">
        <v>83</v>
      </c>
      <c r="F633" s="6" t="s">
        <v>179</v>
      </c>
      <c r="G633" s="5" t="s">
        <v>180</v>
      </c>
      <c r="H633" s="2" t="s">
        <v>491</v>
      </c>
      <c r="I633" s="3" t="s">
        <v>1639</v>
      </c>
      <c r="J633" s="7">
        <v>1</v>
      </c>
      <c r="K633" s="70" t="s">
        <v>53</v>
      </c>
      <c r="L633" s="9">
        <v>0</v>
      </c>
      <c r="M633" s="3">
        <v>430</v>
      </c>
      <c r="P633" s="71"/>
      <c r="R633" s="6">
        <v>1950</v>
      </c>
      <c r="S633" s="3" t="s">
        <v>54</v>
      </c>
      <c r="T633" s="72"/>
      <c r="U633" s="73"/>
      <c r="W633" s="2" t="s">
        <v>1640</v>
      </c>
      <c r="X633" s="10" t="s">
        <v>56</v>
      </c>
      <c r="Y633" s="10" t="s">
        <v>523</v>
      </c>
      <c r="Z633" s="75"/>
      <c r="AA633" s="76"/>
      <c r="AB633" s="77"/>
      <c r="AC633" s="77">
        <v>18433</v>
      </c>
      <c r="AD633" s="10"/>
      <c r="AG633" s="7">
        <v>1950</v>
      </c>
      <c r="AH633" s="7">
        <v>1950</v>
      </c>
      <c r="AI633" s="7"/>
      <c r="AJ633" s="73"/>
      <c r="AK633" s="7"/>
      <c r="AL633" s="16"/>
      <c r="AM633" s="2" t="s">
        <v>59</v>
      </c>
      <c r="AW633" s="6" t="str">
        <f t="shared" ca="1" si="11"/>
        <v/>
      </c>
    </row>
    <row r="634" ht="45" customHeight="1" outlineLevel="1">
      <c r="A634" s="69"/>
      <c r="B634" s="3" t="s">
        <v>47</v>
      </c>
      <c r="E634" s="2" t="s">
        <v>83</v>
      </c>
      <c r="F634" s="6" t="s">
        <v>179</v>
      </c>
      <c r="G634" s="5" t="s">
        <v>180</v>
      </c>
      <c r="H634" s="2" t="s">
        <v>491</v>
      </c>
      <c r="I634" s="3" t="s">
        <v>1641</v>
      </c>
      <c r="J634" s="7">
        <v>1</v>
      </c>
      <c r="K634" s="70" t="s">
        <v>53</v>
      </c>
      <c r="L634" s="9">
        <v>0</v>
      </c>
      <c r="M634" s="3">
        <v>430</v>
      </c>
      <c r="P634" s="71"/>
      <c r="R634" s="6">
        <v>1950</v>
      </c>
      <c r="S634" s="3" t="s">
        <v>54</v>
      </c>
      <c r="T634" s="72"/>
      <c r="U634" s="73"/>
      <c r="W634" s="2" t="s">
        <v>1642</v>
      </c>
      <c r="X634" s="10" t="s">
        <v>56</v>
      </c>
      <c r="Y634" s="10" t="s">
        <v>523</v>
      </c>
      <c r="Z634" s="75"/>
      <c r="AA634" s="76"/>
      <c r="AB634" s="77"/>
      <c r="AC634" s="77">
        <v>18433</v>
      </c>
      <c r="AD634" s="10"/>
      <c r="AG634" s="7">
        <v>1950</v>
      </c>
      <c r="AH634" s="7">
        <v>1950</v>
      </c>
      <c r="AI634" s="7"/>
      <c r="AJ634" s="73"/>
      <c r="AK634" s="7"/>
      <c r="AL634" s="16"/>
      <c r="AM634" s="2" t="s">
        <v>59</v>
      </c>
      <c r="AW634" s="6" t="str">
        <f t="shared" ca="1" si="11"/>
        <v/>
      </c>
    </row>
    <row r="635" ht="45" customHeight="1">
      <c r="A635" s="69"/>
      <c r="B635" s="3" t="s">
        <v>47</v>
      </c>
      <c r="E635" s="2" t="s">
        <v>83</v>
      </c>
      <c r="F635" s="6" t="s">
        <v>179</v>
      </c>
      <c r="G635" s="5" t="s">
        <v>180</v>
      </c>
      <c r="H635" s="2" t="s">
        <v>491</v>
      </c>
      <c r="I635" s="3" t="s">
        <v>1643</v>
      </c>
      <c r="J635" s="7">
        <v>1</v>
      </c>
      <c r="K635" s="70" t="s">
        <v>53</v>
      </c>
      <c r="L635" s="9">
        <v>0</v>
      </c>
      <c r="M635" s="3">
        <v>430</v>
      </c>
      <c r="P635" s="71"/>
      <c r="R635" s="6">
        <v>1950</v>
      </c>
      <c r="S635" s="3" t="s">
        <v>54</v>
      </c>
      <c r="T635" s="72"/>
      <c r="U635" s="73"/>
      <c r="W635" s="2" t="s">
        <v>1644</v>
      </c>
      <c r="X635" s="10" t="s">
        <v>56</v>
      </c>
      <c r="Y635" s="10" t="s">
        <v>494</v>
      </c>
      <c r="Z635" s="75"/>
      <c r="AA635" s="76"/>
      <c r="AB635" s="77"/>
      <c r="AC635" s="77">
        <v>18433</v>
      </c>
      <c r="AD635" s="10"/>
      <c r="AG635" s="7">
        <v>1950</v>
      </c>
      <c r="AH635" s="7">
        <v>1950</v>
      </c>
      <c r="AI635" s="7"/>
      <c r="AJ635" s="73"/>
      <c r="AK635" s="7"/>
      <c r="AL635" s="16"/>
      <c r="AM635" s="2" t="s">
        <v>59</v>
      </c>
      <c r="AW635" s="6" t="str">
        <f t="shared" ca="1" si="11"/>
        <v/>
      </c>
    </row>
    <row r="636" ht="45" customHeight="1">
      <c r="A636" s="69"/>
      <c r="B636" s="3" t="s">
        <v>47</v>
      </c>
      <c r="E636" s="2" t="s">
        <v>83</v>
      </c>
      <c r="F636" s="6" t="s">
        <v>179</v>
      </c>
      <c r="G636" s="5" t="s">
        <v>180</v>
      </c>
      <c r="H636" s="2" t="s">
        <v>491</v>
      </c>
      <c r="I636" s="3" t="s">
        <v>1645</v>
      </c>
      <c r="J636" s="7">
        <v>1</v>
      </c>
      <c r="K636" s="70" t="s">
        <v>53</v>
      </c>
      <c r="L636" s="9">
        <v>0</v>
      </c>
      <c r="M636" s="3">
        <v>430</v>
      </c>
      <c r="P636" s="71"/>
      <c r="R636" s="6">
        <v>1950</v>
      </c>
      <c r="S636" s="3" t="s">
        <v>54</v>
      </c>
      <c r="T636" s="72"/>
      <c r="U636" s="73"/>
      <c r="W636" s="2" t="s">
        <v>1646</v>
      </c>
      <c r="X636" s="10" t="s">
        <v>56</v>
      </c>
      <c r="Y636" s="10" t="s">
        <v>523</v>
      </c>
      <c r="Z636" s="75"/>
      <c r="AA636" s="76"/>
      <c r="AB636" s="77"/>
      <c r="AC636" s="77">
        <v>18433</v>
      </c>
      <c r="AD636" s="10"/>
      <c r="AG636" s="7">
        <v>1950</v>
      </c>
      <c r="AH636" s="7">
        <v>1950</v>
      </c>
      <c r="AI636" s="7"/>
      <c r="AJ636" s="73"/>
      <c r="AK636" s="7"/>
      <c r="AL636" s="16"/>
      <c r="AM636" s="2" t="s">
        <v>59</v>
      </c>
      <c r="AW636" s="6" t="str">
        <f t="shared" ca="1" si="11"/>
        <v/>
      </c>
    </row>
    <row r="637" ht="45" customHeight="1">
      <c r="A637" s="69"/>
      <c r="B637" s="3" t="s">
        <v>47</v>
      </c>
      <c r="E637" s="2" t="s">
        <v>83</v>
      </c>
      <c r="F637" s="6" t="s">
        <v>179</v>
      </c>
      <c r="G637" s="5" t="s">
        <v>180</v>
      </c>
      <c r="H637" s="2" t="s">
        <v>491</v>
      </c>
      <c r="I637" s="3" t="s">
        <v>1647</v>
      </c>
      <c r="J637" s="7">
        <v>1</v>
      </c>
      <c r="K637" s="70" t="s">
        <v>53</v>
      </c>
      <c r="L637" s="9">
        <v>1</v>
      </c>
      <c r="M637" s="3">
        <v>430</v>
      </c>
      <c r="P637" s="71"/>
      <c r="R637" s="6">
        <v>1950</v>
      </c>
      <c r="S637" s="3" t="s">
        <v>54</v>
      </c>
      <c r="T637" s="72"/>
      <c r="U637" s="73"/>
      <c r="W637" s="2" t="s">
        <v>1648</v>
      </c>
      <c r="X637" s="10" t="s">
        <v>56</v>
      </c>
      <c r="Y637" s="10" t="s">
        <v>494</v>
      </c>
      <c r="Z637" s="75"/>
      <c r="AA637" s="76"/>
      <c r="AB637" s="77"/>
      <c r="AC637" s="77">
        <v>18433</v>
      </c>
      <c r="AD637" s="10"/>
      <c r="AG637" s="7">
        <v>1950</v>
      </c>
      <c r="AH637" s="7">
        <v>1950</v>
      </c>
      <c r="AI637" s="7"/>
      <c r="AJ637" s="73"/>
      <c r="AK637" s="7"/>
      <c r="AL637" s="16"/>
      <c r="AM637" s="2" t="s">
        <v>59</v>
      </c>
      <c r="AW637" s="6" t="str">
        <f t="shared" ca="1" si="11"/>
        <v/>
      </c>
    </row>
    <row r="638" ht="45" customHeight="1" outlineLevel="1">
      <c r="A638" s="69"/>
      <c r="B638" s="3" t="s">
        <v>47</v>
      </c>
      <c r="E638" s="2" t="s">
        <v>83</v>
      </c>
      <c r="F638" s="6" t="s">
        <v>179</v>
      </c>
      <c r="G638" s="5" t="s">
        <v>180</v>
      </c>
      <c r="H638" s="2" t="s">
        <v>491</v>
      </c>
      <c r="I638" s="3" t="s">
        <v>1649</v>
      </c>
      <c r="J638" s="7">
        <v>1</v>
      </c>
      <c r="K638" s="70" t="s">
        <v>53</v>
      </c>
      <c r="L638" s="9">
        <v>0</v>
      </c>
      <c r="M638" s="3">
        <v>430</v>
      </c>
      <c r="P638" s="71"/>
      <c r="R638" s="6">
        <v>1950</v>
      </c>
      <c r="S638" s="3" t="s">
        <v>54</v>
      </c>
      <c r="T638" s="72"/>
      <c r="U638" s="73"/>
      <c r="W638" s="2" t="s">
        <v>1650</v>
      </c>
      <c r="X638" s="10" t="s">
        <v>56</v>
      </c>
      <c r="Y638" s="10" t="s">
        <v>494</v>
      </c>
      <c r="Z638" s="75"/>
      <c r="AA638" s="76"/>
      <c r="AB638" s="77"/>
      <c r="AC638" s="77">
        <v>18433</v>
      </c>
      <c r="AD638" s="10"/>
      <c r="AG638" s="7">
        <v>1950</v>
      </c>
      <c r="AH638" s="7">
        <v>1950</v>
      </c>
      <c r="AI638" s="7"/>
      <c r="AJ638" s="73"/>
      <c r="AK638" s="7"/>
      <c r="AL638" s="16"/>
      <c r="AM638" s="2" t="s">
        <v>59</v>
      </c>
      <c r="AW638" s="6" t="str">
        <f t="shared" ca="1" si="11"/>
        <v/>
      </c>
    </row>
    <row r="639" ht="45" customHeight="1">
      <c r="A639" s="69"/>
      <c r="B639" s="3" t="s">
        <v>47</v>
      </c>
      <c r="E639" s="2" t="s">
        <v>83</v>
      </c>
      <c r="F639" s="6" t="s">
        <v>179</v>
      </c>
      <c r="G639" s="5" t="s">
        <v>180</v>
      </c>
      <c r="H639" s="2" t="s">
        <v>491</v>
      </c>
      <c r="I639" s="3" t="s">
        <v>1651</v>
      </c>
      <c r="J639" s="7">
        <v>1</v>
      </c>
      <c r="K639" s="70" t="s">
        <v>53</v>
      </c>
      <c r="L639" s="9">
        <v>0</v>
      </c>
      <c r="M639" s="3">
        <v>430</v>
      </c>
      <c r="P639" s="71"/>
      <c r="R639" s="6">
        <v>1950</v>
      </c>
      <c r="S639" s="3" t="s">
        <v>54</v>
      </c>
      <c r="T639" s="72"/>
      <c r="U639" s="73"/>
      <c r="W639" s="2" t="s">
        <v>1652</v>
      </c>
      <c r="X639" s="10" t="s">
        <v>56</v>
      </c>
      <c r="Y639" s="10" t="s">
        <v>523</v>
      </c>
      <c r="Z639" s="75"/>
      <c r="AA639" s="76"/>
      <c r="AB639" s="77"/>
      <c r="AC639" s="77">
        <v>18433</v>
      </c>
      <c r="AD639" s="10"/>
      <c r="AG639" s="7">
        <v>1950</v>
      </c>
      <c r="AH639" s="7">
        <v>1950</v>
      </c>
      <c r="AI639" s="7"/>
      <c r="AJ639" s="73"/>
      <c r="AK639" s="7"/>
      <c r="AL639" s="16"/>
      <c r="AM639" s="2" t="s">
        <v>59</v>
      </c>
      <c r="AW639" s="6" t="str">
        <f t="shared" ca="1" si="11"/>
        <v/>
      </c>
    </row>
    <row r="640" ht="45" customHeight="1" outlineLevel="1">
      <c r="A640" s="69"/>
      <c r="B640" s="3" t="s">
        <v>47</v>
      </c>
      <c r="E640" s="2" t="s">
        <v>83</v>
      </c>
      <c r="F640" s="6" t="s">
        <v>179</v>
      </c>
      <c r="G640" s="5" t="s">
        <v>180</v>
      </c>
      <c r="H640" s="2" t="s">
        <v>491</v>
      </c>
      <c r="I640" s="3" t="s">
        <v>1653</v>
      </c>
      <c r="J640" s="7">
        <v>1</v>
      </c>
      <c r="K640" s="70" t="s">
        <v>53</v>
      </c>
      <c r="L640" s="9">
        <v>0</v>
      </c>
      <c r="M640" s="3">
        <v>430</v>
      </c>
      <c r="P640" s="71"/>
      <c r="R640" s="6">
        <v>1950</v>
      </c>
      <c r="S640" s="3" t="s">
        <v>54</v>
      </c>
      <c r="T640" s="72"/>
      <c r="U640" s="73"/>
      <c r="W640" s="2" t="s">
        <v>1654</v>
      </c>
      <c r="X640" s="10" t="s">
        <v>56</v>
      </c>
      <c r="Y640" s="10" t="s">
        <v>494</v>
      </c>
      <c r="Z640" s="75"/>
      <c r="AA640" s="76"/>
      <c r="AB640" s="77"/>
      <c r="AC640" s="77">
        <v>18433</v>
      </c>
      <c r="AD640" s="10"/>
      <c r="AG640" s="7">
        <v>1950</v>
      </c>
      <c r="AH640" s="7">
        <v>1950</v>
      </c>
      <c r="AI640" s="7"/>
      <c r="AJ640" s="73"/>
      <c r="AK640" s="7"/>
      <c r="AL640" s="16"/>
      <c r="AM640" s="2" t="s">
        <v>59</v>
      </c>
      <c r="AW640" s="6" t="str">
        <f t="shared" ca="1" si="11"/>
        <v/>
      </c>
    </row>
    <row r="641" ht="45" customHeight="1" outlineLevel="1">
      <c r="A641" s="69"/>
      <c r="B641" s="3" t="s">
        <v>47</v>
      </c>
      <c r="E641" s="2" t="s">
        <v>83</v>
      </c>
      <c r="F641" s="6" t="s">
        <v>179</v>
      </c>
      <c r="G641" s="5" t="s">
        <v>180</v>
      </c>
      <c r="H641" s="2" t="s">
        <v>491</v>
      </c>
      <c r="I641" s="3" t="s">
        <v>1655</v>
      </c>
      <c r="J641" s="7">
        <v>1</v>
      </c>
      <c r="K641" s="70" t="s">
        <v>53</v>
      </c>
      <c r="L641" s="9">
        <v>0</v>
      </c>
      <c r="M641" s="3">
        <v>430</v>
      </c>
      <c r="P641" s="71"/>
      <c r="R641" s="6">
        <v>1950</v>
      </c>
      <c r="S641" s="3" t="s">
        <v>54</v>
      </c>
      <c r="T641" s="72"/>
      <c r="U641" s="73"/>
      <c r="W641" s="2" t="s">
        <v>1656</v>
      </c>
      <c r="X641" s="10" t="s">
        <v>56</v>
      </c>
      <c r="Y641" s="10" t="s">
        <v>494</v>
      </c>
      <c r="Z641" s="75"/>
      <c r="AA641" s="76"/>
      <c r="AB641" s="77"/>
      <c r="AC641" s="77">
        <v>18433</v>
      </c>
      <c r="AD641" s="10"/>
      <c r="AG641" s="7">
        <v>1950</v>
      </c>
      <c r="AH641" s="7">
        <v>1950</v>
      </c>
      <c r="AI641" s="7"/>
      <c r="AJ641" s="73"/>
      <c r="AK641" s="7"/>
      <c r="AL641" s="16"/>
      <c r="AM641" s="2" t="s">
        <v>59</v>
      </c>
      <c r="AW641" s="6" t="str">
        <f t="shared" ca="1" si="11"/>
        <v/>
      </c>
    </row>
    <row r="642" ht="45" customHeight="1" outlineLevel="1">
      <c r="A642" s="69"/>
      <c r="B642" s="3" t="s">
        <v>47</v>
      </c>
      <c r="E642" s="2" t="s">
        <v>83</v>
      </c>
      <c r="F642" s="6" t="s">
        <v>179</v>
      </c>
      <c r="G642" s="5" t="s">
        <v>180</v>
      </c>
      <c r="H642" s="2" t="s">
        <v>491</v>
      </c>
      <c r="I642" s="3" t="s">
        <v>1657</v>
      </c>
      <c r="J642" s="7">
        <v>1</v>
      </c>
      <c r="K642" s="70" t="s">
        <v>53</v>
      </c>
      <c r="L642" s="9">
        <v>0</v>
      </c>
      <c r="M642" s="3">
        <v>430</v>
      </c>
      <c r="P642" s="71"/>
      <c r="R642" s="6">
        <v>1950</v>
      </c>
      <c r="S642" s="3" t="s">
        <v>54</v>
      </c>
      <c r="T642" s="72"/>
      <c r="U642" s="73"/>
      <c r="W642" s="2" t="s">
        <v>1658</v>
      </c>
      <c r="X642" s="10" t="s">
        <v>56</v>
      </c>
      <c r="Y642" s="10" t="s">
        <v>494</v>
      </c>
      <c r="Z642" s="75"/>
      <c r="AA642" s="76"/>
      <c r="AB642" s="77"/>
      <c r="AC642" s="77">
        <v>18433</v>
      </c>
      <c r="AD642" s="10"/>
      <c r="AG642" s="7">
        <v>1950</v>
      </c>
      <c r="AH642" s="7">
        <v>1950</v>
      </c>
      <c r="AI642" s="7"/>
      <c r="AJ642" s="73"/>
      <c r="AK642" s="7"/>
      <c r="AL642" s="16"/>
      <c r="AM642" s="2" t="s">
        <v>59</v>
      </c>
      <c r="AW642" s="6" t="str">
        <f t="shared" ca="1" si="11"/>
        <v/>
      </c>
    </row>
    <row r="643" ht="45" customHeight="1" outlineLevel="1">
      <c r="A643" s="69"/>
      <c r="B643" s="3" t="s">
        <v>47</v>
      </c>
      <c r="E643" s="2" t="s">
        <v>83</v>
      </c>
      <c r="F643" s="6" t="s">
        <v>179</v>
      </c>
      <c r="G643" s="5" t="s">
        <v>180</v>
      </c>
      <c r="H643" s="2" t="s">
        <v>491</v>
      </c>
      <c r="I643" s="3" t="s">
        <v>1659</v>
      </c>
      <c r="J643" s="7">
        <v>1</v>
      </c>
      <c r="K643" s="70" t="s">
        <v>53</v>
      </c>
      <c r="L643" s="9">
        <v>0</v>
      </c>
      <c r="M643" s="3">
        <v>430</v>
      </c>
      <c r="P643" s="71"/>
      <c r="R643" s="6">
        <v>1950</v>
      </c>
      <c r="S643" s="3" t="s">
        <v>54</v>
      </c>
      <c r="T643" s="72"/>
      <c r="U643" s="73"/>
      <c r="W643" s="2" t="s">
        <v>1660</v>
      </c>
      <c r="X643" s="10" t="s">
        <v>56</v>
      </c>
      <c r="Y643" s="10" t="s">
        <v>523</v>
      </c>
      <c r="Z643" s="75"/>
      <c r="AA643" s="76"/>
      <c r="AB643" s="77"/>
      <c r="AC643" s="77">
        <v>18433</v>
      </c>
      <c r="AD643" s="10"/>
      <c r="AG643" s="7">
        <v>1950</v>
      </c>
      <c r="AH643" s="7">
        <v>1950</v>
      </c>
      <c r="AI643" s="7"/>
      <c r="AJ643" s="73"/>
      <c r="AK643" s="7"/>
      <c r="AL643" s="16"/>
      <c r="AM643" s="2" t="s">
        <v>59</v>
      </c>
      <c r="AW643" s="6" t="str">
        <f t="shared" ca="1" si="11"/>
        <v/>
      </c>
    </row>
    <row r="644" ht="45" customHeight="1">
      <c r="A644" s="69"/>
      <c r="B644" s="3" t="s">
        <v>47</v>
      </c>
      <c r="E644" s="2" t="s">
        <v>83</v>
      </c>
      <c r="F644" s="6" t="s">
        <v>179</v>
      </c>
      <c r="G644" s="5" t="s">
        <v>298</v>
      </c>
      <c r="H644" s="2" t="s">
        <v>57</v>
      </c>
      <c r="I644" s="3" t="s">
        <v>1661</v>
      </c>
      <c r="J644" s="7">
        <v>1</v>
      </c>
      <c r="K644" s="70" t="s">
        <v>53</v>
      </c>
      <c r="L644" s="9">
        <v>1</v>
      </c>
      <c r="M644" s="3">
        <v>431</v>
      </c>
      <c r="P644" s="71"/>
      <c r="R644" s="6">
        <v>1950</v>
      </c>
      <c r="S644" s="3" t="s">
        <v>54</v>
      </c>
      <c r="T644" s="72"/>
      <c r="U644" s="73"/>
      <c r="W644" s="2" t="s">
        <v>1662</v>
      </c>
      <c r="X644" s="10" t="s">
        <v>56</v>
      </c>
      <c r="Y644" s="10" t="s">
        <v>57</v>
      </c>
      <c r="Z644" s="75"/>
      <c r="AA644" s="76"/>
      <c r="AB644" s="77">
        <v>19210</v>
      </c>
      <c r="AC644" s="77">
        <v>19210</v>
      </c>
      <c r="AD644" s="10"/>
      <c r="AG644" s="7">
        <v>1952</v>
      </c>
      <c r="AH644" s="7">
        <v>1950</v>
      </c>
      <c r="AI644" s="7"/>
      <c r="AJ644" s="73"/>
      <c r="AK644" s="7"/>
      <c r="AL644" s="16"/>
      <c r="AM644" s="2" t="s">
        <v>59</v>
      </c>
      <c r="AW644" s="6" t="str">
        <f t="shared" ca="1" si="11"/>
        <v/>
      </c>
    </row>
    <row r="645" ht="45" customHeight="1">
      <c r="A645" s="69"/>
      <c r="B645" s="3" t="s">
        <v>47</v>
      </c>
      <c r="E645" s="2" t="s">
        <v>83</v>
      </c>
      <c r="F645" s="6" t="s">
        <v>179</v>
      </c>
      <c r="G645" s="5" t="s">
        <v>298</v>
      </c>
      <c r="H645" s="2" t="s">
        <v>57</v>
      </c>
      <c r="I645" s="3" t="s">
        <v>1663</v>
      </c>
      <c r="J645" s="7">
        <v>1</v>
      </c>
      <c r="K645" s="70" t="s">
        <v>53</v>
      </c>
      <c r="L645" s="9">
        <v>0</v>
      </c>
      <c r="M645" s="3">
        <v>431</v>
      </c>
      <c r="P645" s="71"/>
      <c r="R645" s="6">
        <v>1950</v>
      </c>
      <c r="S645" s="3" t="s">
        <v>54</v>
      </c>
      <c r="T645" s="72"/>
      <c r="U645" s="73"/>
      <c r="W645" s="2" t="s">
        <v>1662</v>
      </c>
      <c r="X645" s="10" t="s">
        <v>56</v>
      </c>
      <c r="Y645" s="10" t="s">
        <v>57</v>
      </c>
      <c r="Z645" s="75"/>
      <c r="AA645" s="76"/>
      <c r="AB645" s="77"/>
      <c r="AC645" s="77">
        <v>19839</v>
      </c>
      <c r="AD645" s="10"/>
      <c r="AG645" s="7">
        <v>1954</v>
      </c>
      <c r="AH645" s="7">
        <v>1950</v>
      </c>
      <c r="AI645" s="7"/>
      <c r="AJ645" s="73"/>
      <c r="AK645" s="7"/>
      <c r="AL645" s="16"/>
      <c r="AM645" s="2" t="s">
        <v>59</v>
      </c>
      <c r="AW645" s="6" t="str">
        <f t="shared" ca="1" si="11"/>
        <v/>
      </c>
    </row>
    <row r="646" ht="45" customHeight="1">
      <c r="A646" s="69"/>
      <c r="B646" s="3" t="s">
        <v>190</v>
      </c>
      <c r="C646" s="4" t="s">
        <v>1664</v>
      </c>
      <c r="D646" s="5" t="s">
        <v>1665</v>
      </c>
      <c r="E646" s="2" t="s">
        <v>83</v>
      </c>
      <c r="F646" s="6" t="s">
        <v>84</v>
      </c>
      <c r="G646" s="5" t="s">
        <v>1068</v>
      </c>
      <c r="H646" s="2" t="s">
        <v>51</v>
      </c>
      <c r="I646" s="3" t="s">
        <v>1666</v>
      </c>
      <c r="J646" s="7">
        <v>1</v>
      </c>
      <c r="K646" s="70" t="s">
        <v>53</v>
      </c>
      <c r="L646" s="9">
        <v>0</v>
      </c>
      <c r="M646" s="3">
        <v>432</v>
      </c>
      <c r="N646" s="6">
        <v>1950</v>
      </c>
      <c r="P646" s="71"/>
      <c r="R646" s="6">
        <v>1950</v>
      </c>
      <c r="S646" s="3" t="s">
        <v>195</v>
      </c>
      <c r="T646" s="72"/>
      <c r="U646" s="73"/>
      <c r="W646" s="74" t="s">
        <v>1667</v>
      </c>
      <c r="X646" s="10" t="s">
        <v>56</v>
      </c>
      <c r="Y646" s="10" t="s">
        <v>57</v>
      </c>
      <c r="Z646" s="75" t="s">
        <v>58</v>
      </c>
      <c r="AA646" s="76"/>
      <c r="AB646" s="77"/>
      <c r="AC646" s="77">
        <v>20059</v>
      </c>
      <c r="AD646" s="10"/>
      <c r="AG646" s="7">
        <v>1954</v>
      </c>
      <c r="AH646" s="7">
        <v>1950</v>
      </c>
      <c r="AI646" s="7"/>
      <c r="AJ646" s="73"/>
      <c r="AK646" s="7"/>
      <c r="AL646" s="16"/>
      <c r="AM646" s="2" t="s">
        <v>59</v>
      </c>
      <c r="AO646" s="6" t="s">
        <v>136</v>
      </c>
      <c r="AQ646" s="5" t="s">
        <v>104</v>
      </c>
      <c r="AW646" s="6">
        <f t="shared" ca="1" si="11"/>
        <v>75</v>
      </c>
    </row>
    <row r="647" ht="45" customHeight="1">
      <c r="A647" s="69"/>
      <c r="B647" s="3" t="s">
        <v>190</v>
      </c>
      <c r="C647" s="4" t="s">
        <v>1664</v>
      </c>
      <c r="D647" s="5" t="s">
        <v>1665</v>
      </c>
      <c r="E647" s="2" t="s">
        <v>83</v>
      </c>
      <c r="F647" s="6" t="s">
        <v>84</v>
      </c>
      <c r="G647" s="5" t="s">
        <v>1068</v>
      </c>
      <c r="H647" s="2" t="s">
        <v>51</v>
      </c>
      <c r="I647" s="3" t="s">
        <v>406</v>
      </c>
      <c r="J647" s="7">
        <v>1</v>
      </c>
      <c r="K647" s="70" t="s">
        <v>53</v>
      </c>
      <c r="L647" s="9">
        <v>0</v>
      </c>
      <c r="M647" s="3">
        <v>432</v>
      </c>
      <c r="N647" s="6">
        <v>1950</v>
      </c>
      <c r="P647" s="71"/>
      <c r="R647" s="6">
        <v>1950</v>
      </c>
      <c r="S647" s="3" t="s">
        <v>195</v>
      </c>
      <c r="T647" s="72"/>
      <c r="U647" s="73"/>
      <c r="W647" s="74" t="s">
        <v>1668</v>
      </c>
      <c r="X647" s="10" t="s">
        <v>56</v>
      </c>
      <c r="Y647" s="10" t="s">
        <v>57</v>
      </c>
      <c r="Z647" s="75" t="s">
        <v>58</v>
      </c>
      <c r="AA647" s="76"/>
      <c r="AB647" s="77"/>
      <c r="AC647" s="77">
        <v>20059</v>
      </c>
      <c r="AD647" s="10"/>
      <c r="AG647" s="7">
        <v>1954</v>
      </c>
      <c r="AH647" s="7">
        <v>1950</v>
      </c>
      <c r="AI647" s="7"/>
      <c r="AJ647" s="73"/>
      <c r="AK647" s="7"/>
      <c r="AL647" s="16"/>
      <c r="AM647" s="2" t="s">
        <v>59</v>
      </c>
      <c r="AO647" s="6" t="s">
        <v>136</v>
      </c>
      <c r="AQ647" s="5" t="s">
        <v>104</v>
      </c>
      <c r="AW647" s="6">
        <f t="shared" ca="1" si="11"/>
        <v>75</v>
      </c>
    </row>
    <row r="648" ht="45" customHeight="1" outlineLevel="1">
      <c r="A648" s="69"/>
      <c r="B648" s="3" t="s">
        <v>190</v>
      </c>
      <c r="C648" s="4" t="s">
        <v>1664</v>
      </c>
      <c r="D648" s="5" t="s">
        <v>1665</v>
      </c>
      <c r="E648" s="2" t="s">
        <v>83</v>
      </c>
      <c r="F648" s="6" t="s">
        <v>84</v>
      </c>
      <c r="G648" s="5" t="s">
        <v>1068</v>
      </c>
      <c r="H648" s="2" t="s">
        <v>51</v>
      </c>
      <c r="I648" s="3" t="s">
        <v>1669</v>
      </c>
      <c r="J648" s="7">
        <v>1</v>
      </c>
      <c r="K648" s="70" t="s">
        <v>53</v>
      </c>
      <c r="L648" s="9">
        <v>1</v>
      </c>
      <c r="M648" s="3">
        <v>432</v>
      </c>
      <c r="N648" s="6">
        <v>1950</v>
      </c>
      <c r="P648" s="71"/>
      <c r="R648" s="6">
        <v>1950</v>
      </c>
      <c r="S648" s="3" t="s">
        <v>195</v>
      </c>
      <c r="T648" s="72"/>
      <c r="U648" s="73"/>
      <c r="W648" s="74" t="s">
        <v>1670</v>
      </c>
      <c r="X648" s="10" t="s">
        <v>56</v>
      </c>
      <c r="Y648" s="10" t="s">
        <v>57</v>
      </c>
      <c r="Z648" s="75" t="s">
        <v>58</v>
      </c>
      <c r="AA648" s="76"/>
      <c r="AB648" s="77"/>
      <c r="AC648" s="77">
        <v>18484</v>
      </c>
      <c r="AD648" s="10"/>
      <c r="AG648" s="7">
        <v>1950</v>
      </c>
      <c r="AH648" s="7">
        <v>1950</v>
      </c>
      <c r="AI648" s="7"/>
      <c r="AJ648" s="73"/>
      <c r="AK648" s="7"/>
      <c r="AL648" s="16"/>
      <c r="AM648" s="2" t="s">
        <v>59</v>
      </c>
      <c r="AO648" s="6" t="s">
        <v>136</v>
      </c>
      <c r="AQ648" s="5" t="s">
        <v>104</v>
      </c>
      <c r="AW648" s="6">
        <f t="shared" ca="1" si="11"/>
        <v>75</v>
      </c>
    </row>
    <row r="649" ht="45" customHeight="1" outlineLevel="1">
      <c r="A649" s="69"/>
      <c r="B649" s="3" t="s">
        <v>190</v>
      </c>
      <c r="C649" s="4" t="s">
        <v>1664</v>
      </c>
      <c r="D649" s="5" t="s">
        <v>1665</v>
      </c>
      <c r="E649" s="2" t="s">
        <v>83</v>
      </c>
      <c r="F649" s="6" t="s">
        <v>84</v>
      </c>
      <c r="G649" s="5" t="s">
        <v>1671</v>
      </c>
      <c r="H649" s="2" t="s">
        <v>57</v>
      </c>
      <c r="I649" s="3" t="s">
        <v>1672</v>
      </c>
      <c r="J649" s="7">
        <v>1</v>
      </c>
      <c r="K649" s="70" t="s">
        <v>53</v>
      </c>
      <c r="L649" s="9">
        <v>0</v>
      </c>
      <c r="M649" s="3">
        <v>432</v>
      </c>
      <c r="N649" s="6">
        <v>1950</v>
      </c>
      <c r="P649" s="71"/>
      <c r="R649" s="6">
        <v>1950</v>
      </c>
      <c r="S649" s="3" t="s">
        <v>195</v>
      </c>
      <c r="T649" s="72"/>
      <c r="U649" s="73"/>
      <c r="W649" s="74" t="s">
        <v>1673</v>
      </c>
      <c r="X649" s="10" t="s">
        <v>56</v>
      </c>
      <c r="Y649" s="10" t="s">
        <v>57</v>
      </c>
      <c r="Z649" s="75"/>
      <c r="AA649" s="76"/>
      <c r="AB649" s="77"/>
      <c r="AC649" s="77">
        <v>18685</v>
      </c>
      <c r="AD649" s="10"/>
      <c r="AG649" s="7">
        <v>1951</v>
      </c>
      <c r="AH649" s="7">
        <v>1950</v>
      </c>
      <c r="AI649" s="7"/>
      <c r="AJ649" s="73"/>
      <c r="AK649" s="7"/>
      <c r="AL649" s="16"/>
      <c r="AM649" s="2" t="s">
        <v>59</v>
      </c>
      <c r="AW649" s="6">
        <f t="shared" ca="1" si="11"/>
        <v>75</v>
      </c>
    </row>
    <row r="650" ht="45" customHeight="1" outlineLevel="1">
      <c r="A650" s="69"/>
      <c r="B650" s="3" t="s">
        <v>190</v>
      </c>
      <c r="C650" s="4" t="s">
        <v>1664</v>
      </c>
      <c r="D650" s="5" t="s">
        <v>1665</v>
      </c>
      <c r="E650" s="2" t="s">
        <v>83</v>
      </c>
      <c r="F650" s="6" t="s">
        <v>84</v>
      </c>
      <c r="G650" s="5" t="s">
        <v>1068</v>
      </c>
      <c r="H650" s="2" t="s">
        <v>51</v>
      </c>
      <c r="I650" s="3" t="s">
        <v>1674</v>
      </c>
      <c r="J650" s="7">
        <v>1</v>
      </c>
      <c r="K650" s="70" t="s">
        <v>53</v>
      </c>
      <c r="L650" s="9">
        <v>0</v>
      </c>
      <c r="M650" s="3">
        <v>432</v>
      </c>
      <c r="N650" s="6">
        <v>1950</v>
      </c>
      <c r="P650" s="71"/>
      <c r="R650" s="6">
        <v>1950</v>
      </c>
      <c r="S650" s="3" t="s">
        <v>195</v>
      </c>
      <c r="T650" s="72"/>
      <c r="U650" s="73"/>
      <c r="W650" s="74" t="s">
        <v>1675</v>
      </c>
      <c r="X650" s="10" t="s">
        <v>56</v>
      </c>
      <c r="Y650" s="10" t="s">
        <v>57</v>
      </c>
      <c r="Z650" s="75" t="s">
        <v>58</v>
      </c>
      <c r="AA650" s="76"/>
      <c r="AB650" s="77"/>
      <c r="AC650" s="77">
        <v>20059</v>
      </c>
      <c r="AD650" s="10"/>
      <c r="AG650" s="7">
        <v>1954</v>
      </c>
      <c r="AH650" s="7">
        <v>1950</v>
      </c>
      <c r="AI650" s="7"/>
      <c r="AJ650" s="73"/>
      <c r="AK650" s="7"/>
      <c r="AL650" s="16"/>
      <c r="AM650" s="2" t="s">
        <v>59</v>
      </c>
      <c r="AO650" s="6" t="s">
        <v>136</v>
      </c>
      <c r="AQ650" s="5" t="s">
        <v>104</v>
      </c>
      <c r="AW650" s="6">
        <f t="shared" ca="1" si="11"/>
        <v>75</v>
      </c>
    </row>
    <row r="651" ht="45" customHeight="1" outlineLevel="1">
      <c r="A651" s="69"/>
      <c r="B651" s="3" t="s">
        <v>190</v>
      </c>
      <c r="C651" s="4" t="s">
        <v>1664</v>
      </c>
      <c r="D651" s="5" t="s">
        <v>1665</v>
      </c>
      <c r="E651" s="2" t="s">
        <v>83</v>
      </c>
      <c r="F651" s="6" t="s">
        <v>84</v>
      </c>
      <c r="G651" s="5" t="s">
        <v>1068</v>
      </c>
      <c r="H651" s="2" t="s">
        <v>51</v>
      </c>
      <c r="I651" s="3" t="s">
        <v>330</v>
      </c>
      <c r="J651" s="7">
        <v>1</v>
      </c>
      <c r="K651" s="70" t="s">
        <v>53</v>
      </c>
      <c r="L651" s="9">
        <v>0</v>
      </c>
      <c r="M651" s="3">
        <v>432</v>
      </c>
      <c r="N651" s="6">
        <v>1950</v>
      </c>
      <c r="P651" s="71"/>
      <c r="R651" s="6">
        <v>1950</v>
      </c>
      <c r="S651" s="3" t="s">
        <v>195</v>
      </c>
      <c r="T651" s="72"/>
      <c r="U651" s="73"/>
      <c r="W651" s="74" t="s">
        <v>1676</v>
      </c>
      <c r="X651" s="10" t="s">
        <v>56</v>
      </c>
      <c r="Y651" s="10" t="s">
        <v>57</v>
      </c>
      <c r="Z651" s="75" t="s">
        <v>58</v>
      </c>
      <c r="AA651" s="76"/>
      <c r="AB651" s="77"/>
      <c r="AC651" s="77">
        <v>20059</v>
      </c>
      <c r="AD651" s="10"/>
      <c r="AG651" s="7">
        <v>1954</v>
      </c>
      <c r="AH651" s="7">
        <v>1950</v>
      </c>
      <c r="AI651" s="7"/>
      <c r="AJ651" s="73"/>
      <c r="AK651" s="7"/>
      <c r="AL651" s="16"/>
      <c r="AM651" s="2" t="s">
        <v>59</v>
      </c>
      <c r="AO651" s="6" t="s">
        <v>136</v>
      </c>
      <c r="AQ651" s="5" t="s">
        <v>104</v>
      </c>
      <c r="AW651" s="6">
        <f t="shared" ca="1" si="11"/>
        <v>75</v>
      </c>
    </row>
    <row r="652" ht="45" customHeight="1" outlineLevel="1">
      <c r="A652" s="69"/>
      <c r="B652" s="3" t="s">
        <v>47</v>
      </c>
      <c r="E652" s="2" t="s">
        <v>83</v>
      </c>
      <c r="F652" s="6" t="s">
        <v>704</v>
      </c>
      <c r="G652" s="5" t="s">
        <v>1359</v>
      </c>
      <c r="H652" s="2" t="s">
        <v>57</v>
      </c>
      <c r="I652" s="3" t="s">
        <v>1677</v>
      </c>
      <c r="J652" s="7">
        <v>1</v>
      </c>
      <c r="K652" s="70" t="s">
        <v>53</v>
      </c>
      <c r="L652" s="9">
        <v>1</v>
      </c>
      <c r="M652" s="3">
        <v>433</v>
      </c>
      <c r="N652" s="6">
        <v>1950</v>
      </c>
      <c r="P652" s="71"/>
      <c r="R652" s="6">
        <v>1950</v>
      </c>
      <c r="S652" s="3" t="s">
        <v>54</v>
      </c>
      <c r="T652" s="72"/>
      <c r="U652" s="73"/>
      <c r="W652" s="2" t="s">
        <v>1678</v>
      </c>
      <c r="X652" s="10" t="s">
        <v>56</v>
      </c>
      <c r="Y652" s="10" t="s">
        <v>57</v>
      </c>
      <c r="Z652" s="75"/>
      <c r="AA652" s="76"/>
      <c r="AB652" s="77">
        <v>22293</v>
      </c>
      <c r="AC652" s="77"/>
      <c r="AD652" s="6"/>
      <c r="AG652" s="7">
        <v>1961</v>
      </c>
      <c r="AH652" s="7">
        <v>1960</v>
      </c>
      <c r="AI652" s="7"/>
      <c r="AJ652" s="73"/>
      <c r="AK652" s="7"/>
      <c r="AL652" s="16"/>
      <c r="AM652" s="2" t="s">
        <v>59</v>
      </c>
      <c r="AW652" s="6">
        <f t="shared" ca="1" si="11"/>
        <v>75</v>
      </c>
    </row>
    <row r="653" ht="45" customHeight="1">
      <c r="A653" s="69"/>
      <c r="B653" s="3" t="s">
        <v>47</v>
      </c>
      <c r="E653" s="2" t="s">
        <v>694</v>
      </c>
      <c r="F653" s="6" t="s">
        <v>695</v>
      </c>
      <c r="G653" s="5" t="s">
        <v>1679</v>
      </c>
      <c r="H653" s="2" t="s">
        <v>51</v>
      </c>
      <c r="I653" s="3" t="s">
        <v>692</v>
      </c>
      <c r="J653" s="7">
        <v>1</v>
      </c>
      <c r="K653" s="70" t="s">
        <v>53</v>
      </c>
      <c r="L653" s="9">
        <v>1</v>
      </c>
      <c r="M653" s="3">
        <v>434</v>
      </c>
      <c r="N653" s="6">
        <v>1950</v>
      </c>
      <c r="P653" s="71"/>
      <c r="R653" s="6">
        <v>1950</v>
      </c>
      <c r="S653" s="3" t="s">
        <v>54</v>
      </c>
      <c r="T653" s="72"/>
      <c r="U653" s="73"/>
      <c r="W653" s="2" t="s">
        <v>693</v>
      </c>
      <c r="X653" s="10" t="s">
        <v>56</v>
      </c>
      <c r="Y653" s="10" t="s">
        <v>57</v>
      </c>
      <c r="Z653" s="75" t="s">
        <v>58</v>
      </c>
      <c r="AA653" s="76"/>
      <c r="AB653" s="77"/>
      <c r="AC653" s="77">
        <v>20072</v>
      </c>
      <c r="AD653" s="10"/>
      <c r="AG653" s="7">
        <v>1954</v>
      </c>
      <c r="AH653" s="7">
        <v>1950</v>
      </c>
      <c r="AI653" s="7"/>
      <c r="AJ653" s="73"/>
      <c r="AK653" s="7"/>
      <c r="AL653" s="16"/>
      <c r="AM653" s="2" t="s">
        <v>59</v>
      </c>
      <c r="AO653" s="6" t="s">
        <v>136</v>
      </c>
      <c r="AP653" s="6" t="s">
        <v>104</v>
      </c>
      <c r="AQ653" s="5" t="s">
        <v>73</v>
      </c>
      <c r="AW653" s="6">
        <f t="shared" ca="1" si="11"/>
        <v>75</v>
      </c>
    </row>
    <row r="654" ht="45" customHeight="1">
      <c r="A654" s="69"/>
      <c r="B654" s="3" t="s">
        <v>47</v>
      </c>
      <c r="E654" s="2" t="s">
        <v>694</v>
      </c>
      <c r="F654" s="6" t="s">
        <v>695</v>
      </c>
      <c r="G654" s="5" t="s">
        <v>696</v>
      </c>
      <c r="H654" s="2" t="s">
        <v>51</v>
      </c>
      <c r="I654" s="3" t="s">
        <v>1680</v>
      </c>
      <c r="J654" s="7">
        <v>1</v>
      </c>
      <c r="K654" s="70" t="s">
        <v>53</v>
      </c>
      <c r="L654" s="9">
        <v>0</v>
      </c>
      <c r="M654" s="3">
        <v>434</v>
      </c>
      <c r="N654" s="6">
        <v>1950</v>
      </c>
      <c r="P654" s="71"/>
      <c r="R654" s="6">
        <v>1950</v>
      </c>
      <c r="S654" s="3" t="s">
        <v>54</v>
      </c>
      <c r="T654" s="72"/>
      <c r="U654" s="73"/>
      <c r="W654" s="2" t="s">
        <v>1681</v>
      </c>
      <c r="X654" s="10" t="s">
        <v>56</v>
      </c>
      <c r="Y654" s="10" t="s">
        <v>57</v>
      </c>
      <c r="Z654" s="75" t="s">
        <v>58</v>
      </c>
      <c r="AA654" s="76"/>
      <c r="AB654" s="77"/>
      <c r="AC654" s="77">
        <v>22669</v>
      </c>
      <c r="AD654" s="10"/>
      <c r="AG654" s="7">
        <v>1962</v>
      </c>
      <c r="AH654" s="7">
        <v>1960</v>
      </c>
      <c r="AI654" s="7"/>
      <c r="AJ654" s="73"/>
      <c r="AK654" s="7"/>
      <c r="AL654" s="16"/>
      <c r="AM654" s="2" t="s">
        <v>59</v>
      </c>
      <c r="AO654" s="6" t="s">
        <v>59</v>
      </c>
      <c r="AQ654" s="5" t="s">
        <v>73</v>
      </c>
      <c r="AW654" s="6">
        <f t="shared" ca="1" si="11"/>
        <v>75</v>
      </c>
    </row>
    <row r="655" ht="45" hidden="1" customHeight="1">
      <c r="A655" s="69"/>
      <c r="B655" s="3" t="s">
        <v>47</v>
      </c>
      <c r="C655" s="4" t="s">
        <v>1682</v>
      </c>
      <c r="E655" s="2" t="s">
        <v>83</v>
      </c>
      <c r="F655" s="6" t="s">
        <v>179</v>
      </c>
      <c r="G655" s="5" t="s">
        <v>1683</v>
      </c>
      <c r="H655" s="2" t="s">
        <v>181</v>
      </c>
      <c r="I655" s="3" t="s">
        <v>1684</v>
      </c>
      <c r="J655" s="7">
        <v>1</v>
      </c>
      <c r="K655" s="70"/>
      <c r="L655" s="9">
        <v>1</v>
      </c>
      <c r="M655" s="3">
        <v>435</v>
      </c>
      <c r="N655" s="6">
        <v>1950</v>
      </c>
      <c r="P655" s="71"/>
      <c r="R655" s="6">
        <v>1950</v>
      </c>
      <c r="S655" s="3" t="s">
        <v>236</v>
      </c>
      <c r="T655" s="72"/>
      <c r="U655" s="73"/>
      <c r="W655" s="2" t="s">
        <v>62</v>
      </c>
      <c r="X655" s="10" t="s">
        <v>56</v>
      </c>
      <c r="Y655" s="10" t="s">
        <v>181</v>
      </c>
      <c r="Z655" s="75"/>
      <c r="AA655" s="76"/>
      <c r="AB655" s="77"/>
      <c r="AC655" s="77"/>
      <c r="AD655" s="10"/>
      <c r="AI655" s="7"/>
      <c r="AJ655" s="95">
        <v>22934</v>
      </c>
      <c r="AK655" s="7">
        <v>1960</v>
      </c>
      <c r="AL655" s="16"/>
      <c r="AW655" s="6">
        <f t="shared" ca="1" si="11"/>
        <v>75</v>
      </c>
    </row>
    <row r="656" ht="45" hidden="1" customHeight="1">
      <c r="A656" s="69"/>
      <c r="B656" s="3" t="s">
        <v>47</v>
      </c>
      <c r="C656" s="4" t="s">
        <v>1263</v>
      </c>
      <c r="E656" s="2" t="s">
        <v>63</v>
      </c>
      <c r="F656" s="6" t="s">
        <v>172</v>
      </c>
      <c r="G656" s="5" t="s">
        <v>173</v>
      </c>
      <c r="H656" s="2" t="s">
        <v>57</v>
      </c>
      <c r="I656" s="3" t="s">
        <v>1685</v>
      </c>
      <c r="J656" s="7">
        <v>1</v>
      </c>
      <c r="K656" s="70"/>
      <c r="L656" s="9">
        <v>1</v>
      </c>
      <c r="M656" s="3">
        <v>436</v>
      </c>
      <c r="P656" s="71"/>
      <c r="R656" s="6">
        <v>1950</v>
      </c>
      <c r="S656" s="3" t="s">
        <v>236</v>
      </c>
      <c r="T656" s="72"/>
      <c r="U656" s="73"/>
      <c r="W656" s="2" t="s">
        <v>62</v>
      </c>
      <c r="X656" s="10" t="s">
        <v>56</v>
      </c>
      <c r="Y656" s="10" t="s">
        <v>57</v>
      </c>
      <c r="Z656" s="75"/>
      <c r="AA656" s="76"/>
      <c r="AB656" s="77"/>
      <c r="AC656" s="77"/>
      <c r="AD656" s="10"/>
      <c r="AI656" s="7"/>
      <c r="AJ656" s="95">
        <v>38044</v>
      </c>
      <c r="AK656" s="7">
        <v>2000</v>
      </c>
      <c r="AL656" s="16"/>
      <c r="AW656" s="6" t="str">
        <f t="shared" ca="1" si="11"/>
        <v/>
      </c>
    </row>
    <row r="657" ht="45" customHeight="1" outlineLevel="1">
      <c r="A657" s="69"/>
      <c r="B657" s="3" t="s">
        <v>47</v>
      </c>
      <c r="E657" s="2" t="s">
        <v>83</v>
      </c>
      <c r="F657" s="6" t="s">
        <v>179</v>
      </c>
      <c r="G657" s="5" t="s">
        <v>319</v>
      </c>
      <c r="H657" s="2" t="s">
        <v>57</v>
      </c>
      <c r="I657" s="3" t="s">
        <v>1686</v>
      </c>
      <c r="J657" s="7">
        <v>1</v>
      </c>
      <c r="K657" s="70" t="s">
        <v>53</v>
      </c>
      <c r="L657" s="9">
        <v>1</v>
      </c>
      <c r="M657" s="3">
        <v>437</v>
      </c>
      <c r="N657" s="6">
        <v>1953</v>
      </c>
      <c r="P657" s="71"/>
      <c r="R657" s="6">
        <v>1950</v>
      </c>
      <c r="S657" s="3" t="s">
        <v>54</v>
      </c>
      <c r="T657" s="72"/>
      <c r="U657" s="73"/>
      <c r="W657" s="2" t="s">
        <v>1687</v>
      </c>
      <c r="X657" s="10" t="s">
        <v>56</v>
      </c>
      <c r="Y657" s="10" t="s">
        <v>57</v>
      </c>
      <c r="Z657" s="75"/>
      <c r="AA657" s="76"/>
      <c r="AB657" s="77">
        <v>23013</v>
      </c>
      <c r="AC657" s="77"/>
      <c r="AD657" s="6"/>
      <c r="AG657" s="7">
        <v>1963</v>
      </c>
      <c r="AH657" s="7">
        <v>1960</v>
      </c>
      <c r="AI657" s="7"/>
      <c r="AJ657" s="73"/>
      <c r="AK657" s="7"/>
      <c r="AL657" s="16"/>
      <c r="AM657" s="2" t="s">
        <v>59</v>
      </c>
      <c r="AW657" s="6">
        <f t="shared" ca="1" si="11"/>
        <v>72</v>
      </c>
    </row>
    <row r="658" ht="45" customHeight="1" outlineLevel="1">
      <c r="A658" s="69"/>
      <c r="B658" s="3" t="s">
        <v>47</v>
      </c>
      <c r="E658" s="2" t="s">
        <v>83</v>
      </c>
      <c r="F658" s="6" t="s">
        <v>179</v>
      </c>
      <c r="G658" s="5" t="s">
        <v>339</v>
      </c>
      <c r="H658" s="2" t="s">
        <v>57</v>
      </c>
      <c r="I658" s="3" t="s">
        <v>1688</v>
      </c>
      <c r="J658" s="7">
        <v>1</v>
      </c>
      <c r="K658" s="70" t="s">
        <v>53</v>
      </c>
      <c r="L658" s="9">
        <v>1</v>
      </c>
      <c r="M658" s="3">
        <v>438</v>
      </c>
      <c r="P658" s="71"/>
      <c r="R658" s="6">
        <v>1950</v>
      </c>
      <c r="S658" s="3" t="s">
        <v>54</v>
      </c>
      <c r="T658" s="72"/>
      <c r="U658" s="73"/>
      <c r="W658" s="2" t="s">
        <v>1689</v>
      </c>
      <c r="X658" s="10" t="s">
        <v>56</v>
      </c>
      <c r="Y658" s="10" t="s">
        <v>57</v>
      </c>
      <c r="Z658" s="75"/>
      <c r="AA658" s="76"/>
      <c r="AB658" s="77"/>
      <c r="AC658" s="77">
        <v>18599</v>
      </c>
      <c r="AD658" s="10"/>
      <c r="AG658" s="7">
        <v>1950</v>
      </c>
      <c r="AH658" s="7">
        <v>1950</v>
      </c>
      <c r="AI658" s="7"/>
      <c r="AJ658" s="73"/>
      <c r="AK658" s="7"/>
      <c r="AL658" s="16"/>
      <c r="AM658" s="2" t="s">
        <v>59</v>
      </c>
      <c r="AW658" s="6" t="str">
        <f t="shared" ca="1" si="11"/>
        <v/>
      </c>
    </row>
    <row r="659" ht="45" customHeight="1" outlineLevel="1">
      <c r="A659" s="69"/>
      <c r="B659" s="3" t="s">
        <v>47</v>
      </c>
      <c r="E659" s="2" t="s">
        <v>694</v>
      </c>
      <c r="F659" s="6" t="s">
        <v>695</v>
      </c>
      <c r="G659" s="5" t="s">
        <v>696</v>
      </c>
      <c r="H659" s="2" t="s">
        <v>181</v>
      </c>
      <c r="I659" s="3" t="s">
        <v>1690</v>
      </c>
      <c r="J659" s="7">
        <v>1</v>
      </c>
      <c r="K659" s="70" t="s">
        <v>53</v>
      </c>
      <c r="L659" s="9">
        <v>1</v>
      </c>
      <c r="M659" s="3">
        <v>439</v>
      </c>
      <c r="N659" s="6">
        <v>1950</v>
      </c>
      <c r="P659" s="71"/>
      <c r="R659" s="6">
        <v>1950</v>
      </c>
      <c r="S659" s="3" t="s">
        <v>54</v>
      </c>
      <c r="T659" s="72"/>
      <c r="U659" s="73"/>
      <c r="W659" s="2" t="s">
        <v>1691</v>
      </c>
      <c r="X659" s="10" t="s">
        <v>56</v>
      </c>
      <c r="Y659" s="10" t="s">
        <v>181</v>
      </c>
      <c r="Z659" s="75"/>
      <c r="AA659" s="76"/>
      <c r="AB659" s="77">
        <v>29867</v>
      </c>
      <c r="AC659" s="77"/>
      <c r="AD659" s="6"/>
      <c r="AE659" s="7">
        <v>1981</v>
      </c>
      <c r="AF659" s="7" t="s">
        <v>1692</v>
      </c>
      <c r="AG659" s="7">
        <v>1981</v>
      </c>
      <c r="AH659" s="7">
        <v>1980</v>
      </c>
      <c r="AI659" s="7">
        <v>1983</v>
      </c>
      <c r="AJ659" s="73"/>
      <c r="AK659" s="7"/>
      <c r="AL659" s="16" t="s">
        <v>1693</v>
      </c>
      <c r="AM659" s="2" t="s">
        <v>59</v>
      </c>
      <c r="AO659" s="6" t="s">
        <v>136</v>
      </c>
      <c r="AP659" s="6" t="s">
        <v>104</v>
      </c>
      <c r="AQ659" s="5" t="s">
        <v>104</v>
      </c>
      <c r="AW659" s="6">
        <f t="shared" ca="1" si="11"/>
        <v>75</v>
      </c>
    </row>
    <row r="660" ht="45" hidden="1" customHeight="1" outlineLevel="1">
      <c r="A660" s="69"/>
      <c r="B660" s="3" t="s">
        <v>47</v>
      </c>
      <c r="C660" s="4" t="s">
        <v>1694</v>
      </c>
      <c r="E660" s="2" t="s">
        <v>63</v>
      </c>
      <c r="F660" s="6" t="s">
        <v>172</v>
      </c>
      <c r="G660" s="5" t="s">
        <v>1110</v>
      </c>
      <c r="H660" s="2" t="s">
        <v>51</v>
      </c>
      <c r="I660" s="3" t="s">
        <v>1695</v>
      </c>
      <c r="J660" s="7">
        <v>1</v>
      </c>
      <c r="K660" s="104"/>
      <c r="L660" s="9">
        <v>1</v>
      </c>
      <c r="M660" s="3">
        <v>440</v>
      </c>
      <c r="N660" s="6">
        <v>1950</v>
      </c>
      <c r="P660" s="71"/>
      <c r="R660" s="6">
        <v>1950</v>
      </c>
      <c r="S660" s="94" t="s">
        <v>236</v>
      </c>
      <c r="T660" s="72"/>
      <c r="U660" s="73"/>
      <c r="W660" s="2" t="s">
        <v>62</v>
      </c>
      <c r="X660" s="10" t="s">
        <v>56</v>
      </c>
      <c r="Y660" s="10" t="s">
        <v>57</v>
      </c>
      <c r="Z660" s="75" t="s">
        <v>58</v>
      </c>
      <c r="AA660" s="76"/>
      <c r="AB660" s="77"/>
      <c r="AC660" s="77"/>
      <c r="AD660" s="6"/>
      <c r="AE660" s="7">
        <v>1964</v>
      </c>
      <c r="AF660" s="7">
        <v>43</v>
      </c>
      <c r="AI660" s="7"/>
      <c r="AJ660" s="95">
        <v>32244</v>
      </c>
      <c r="AK660" s="7">
        <v>1980</v>
      </c>
      <c r="AL660" s="115" t="s">
        <v>1696</v>
      </c>
      <c r="AW660" s="6"/>
    </row>
    <row r="661" ht="45" customHeight="1">
      <c r="A661" s="69"/>
      <c r="B661" s="3" t="s">
        <v>47</v>
      </c>
      <c r="E661" s="2" t="s">
        <v>83</v>
      </c>
      <c r="F661" s="6" t="s">
        <v>704</v>
      </c>
      <c r="G661" s="5" t="s">
        <v>1697</v>
      </c>
      <c r="H661" s="2" t="s">
        <v>68</v>
      </c>
      <c r="I661" s="3" t="s">
        <v>1698</v>
      </c>
      <c r="J661" s="7">
        <v>1</v>
      </c>
      <c r="K661" s="70" t="s">
        <v>53</v>
      </c>
      <c r="L661" s="9">
        <v>1</v>
      </c>
      <c r="M661" s="3">
        <v>441</v>
      </c>
      <c r="N661" s="6">
        <v>1950</v>
      </c>
      <c r="P661" s="71"/>
      <c r="R661" s="6">
        <v>1950</v>
      </c>
      <c r="S661" s="3" t="s">
        <v>54</v>
      </c>
      <c r="T661" s="72"/>
      <c r="U661" s="73"/>
      <c r="W661" s="2" t="s">
        <v>1699</v>
      </c>
      <c r="X661" s="10" t="s">
        <v>56</v>
      </c>
      <c r="Y661" s="10" t="s">
        <v>68</v>
      </c>
      <c r="Z661" s="75" t="s">
        <v>1700</v>
      </c>
      <c r="AA661" s="76"/>
      <c r="AB661" s="77">
        <v>23490</v>
      </c>
      <c r="AC661" s="77"/>
      <c r="AD661" s="6"/>
      <c r="AG661" s="7">
        <v>1964</v>
      </c>
      <c r="AH661" s="7">
        <v>1960</v>
      </c>
      <c r="AI661" s="7"/>
      <c r="AJ661" s="73"/>
      <c r="AK661" s="7"/>
      <c r="AL661" s="16"/>
      <c r="AM661" s="2" t="s">
        <v>59</v>
      </c>
      <c r="AU661" s="16" t="s">
        <v>1701</v>
      </c>
      <c r="AW661" s="6">
        <f t="shared" ca="1" si="11"/>
        <v>75</v>
      </c>
    </row>
    <row r="662" ht="45" hidden="1" customHeight="1">
      <c r="A662" s="69">
        <v>43413</v>
      </c>
      <c r="B662" s="3" t="s">
        <v>47</v>
      </c>
      <c r="C662" s="4" t="s">
        <v>1702</v>
      </c>
      <c r="D662" s="5" t="s">
        <v>1703</v>
      </c>
      <c r="E662" s="2" t="s">
        <v>63</v>
      </c>
      <c r="F662" s="6" t="s">
        <v>172</v>
      </c>
      <c r="G662" s="5" t="s">
        <v>173</v>
      </c>
      <c r="H662" s="2" t="s">
        <v>88</v>
      </c>
      <c r="I662" s="3" t="s">
        <v>1704</v>
      </c>
      <c r="J662" s="7">
        <v>1</v>
      </c>
      <c r="L662" s="9">
        <v>1</v>
      </c>
      <c r="M662" s="3">
        <v>442</v>
      </c>
      <c r="N662" s="6">
        <v>1950</v>
      </c>
      <c r="P662" s="71"/>
      <c r="R662" s="6">
        <v>1950</v>
      </c>
      <c r="S662" s="3" t="s">
        <v>236</v>
      </c>
      <c r="T662" s="72" t="s">
        <v>998</v>
      </c>
      <c r="W662" s="2" t="s">
        <v>62</v>
      </c>
      <c r="X662" s="10" t="s">
        <v>91</v>
      </c>
      <c r="Y662" s="10" t="s">
        <v>214</v>
      </c>
      <c r="Z662" s="75"/>
      <c r="AA662" s="146"/>
      <c r="AI662" s="7"/>
      <c r="AJ662" s="10">
        <v>44813</v>
      </c>
      <c r="AK662" s="7">
        <v>2020</v>
      </c>
      <c r="AW662" s="6">
        <f t="shared" ca="1" si="11"/>
        <v>75</v>
      </c>
    </row>
    <row r="663" ht="45" hidden="1" customHeight="1" outlineLevel="1">
      <c r="A663" s="69"/>
      <c r="B663" s="3" t="s">
        <v>47</v>
      </c>
      <c r="C663" s="4" t="s">
        <v>1705</v>
      </c>
      <c r="E663" s="2" t="s">
        <v>63</v>
      </c>
      <c r="F663" s="6" t="s">
        <v>172</v>
      </c>
      <c r="G663" s="5" t="s">
        <v>173</v>
      </c>
      <c r="H663" s="2" t="s">
        <v>382</v>
      </c>
      <c r="I663" s="96" t="s">
        <v>1706</v>
      </c>
      <c r="J663" s="114">
        <v>1</v>
      </c>
      <c r="L663" s="9">
        <v>1</v>
      </c>
      <c r="M663" s="3">
        <v>443</v>
      </c>
      <c r="N663" s="6">
        <v>1950</v>
      </c>
      <c r="P663" s="71"/>
      <c r="R663" s="6">
        <v>1950</v>
      </c>
      <c r="S663" s="3" t="s">
        <v>236</v>
      </c>
      <c r="T663" s="72"/>
      <c r="U663" s="73"/>
      <c r="W663" s="2" t="s">
        <v>62</v>
      </c>
      <c r="X663" s="10" t="s">
        <v>91</v>
      </c>
      <c r="Y663" s="10" t="s">
        <v>385</v>
      </c>
      <c r="Z663" s="75"/>
      <c r="AI663" s="7"/>
      <c r="AJ663" s="95">
        <v>38175</v>
      </c>
      <c r="AK663" s="7">
        <v>2000</v>
      </c>
      <c r="AL663" s="16"/>
      <c r="AW663" s="6">
        <f t="shared" ca="1" si="11"/>
        <v>75</v>
      </c>
    </row>
    <row r="664" ht="45" customHeight="1" outlineLevel="1">
      <c r="A664" s="69"/>
      <c r="B664" s="3" t="s">
        <v>47</v>
      </c>
      <c r="E664" s="2" t="s">
        <v>83</v>
      </c>
      <c r="F664" s="6" t="s">
        <v>84</v>
      </c>
      <c r="G664" s="5" t="s">
        <v>1707</v>
      </c>
      <c r="H664" s="2" t="s">
        <v>68</v>
      </c>
      <c r="I664" s="3" t="s">
        <v>1708</v>
      </c>
      <c r="J664" s="7">
        <v>1</v>
      </c>
      <c r="K664" s="70" t="s">
        <v>53</v>
      </c>
      <c r="L664" s="9">
        <v>1</v>
      </c>
      <c r="M664" s="3">
        <v>444</v>
      </c>
      <c r="N664" s="6">
        <v>1951</v>
      </c>
      <c r="P664" s="71"/>
      <c r="R664" s="6">
        <v>1950</v>
      </c>
      <c r="S664" s="3" t="s">
        <v>54</v>
      </c>
      <c r="T664" s="72"/>
      <c r="U664" s="73"/>
      <c r="W664" s="2" t="s">
        <v>1709</v>
      </c>
      <c r="X664" s="10" t="s">
        <v>56</v>
      </c>
      <c r="Y664" s="10" t="s">
        <v>68</v>
      </c>
      <c r="Z664" s="75" t="s">
        <v>260</v>
      </c>
      <c r="AA664" s="76"/>
      <c r="AB664" s="77"/>
      <c r="AC664" s="77">
        <v>21152</v>
      </c>
      <c r="AD664" s="10"/>
      <c r="AG664" s="7">
        <v>1957</v>
      </c>
      <c r="AH664" s="7">
        <v>1950</v>
      </c>
      <c r="AI664" s="7"/>
      <c r="AJ664" s="73"/>
      <c r="AK664" s="7"/>
      <c r="AL664" s="16"/>
      <c r="AM664" s="2" t="s">
        <v>59</v>
      </c>
      <c r="AO664" s="6" t="s">
        <v>136</v>
      </c>
      <c r="AQ664" s="5" t="s">
        <v>104</v>
      </c>
      <c r="AU664" s="16" t="s">
        <v>1710</v>
      </c>
      <c r="AW664" s="6">
        <f t="shared" ca="1" si="11"/>
        <v>74</v>
      </c>
    </row>
    <row r="665" ht="45" customHeight="1">
      <c r="A665" s="69"/>
      <c r="B665" s="3" t="s">
        <v>47</v>
      </c>
      <c r="E665" s="2" t="s">
        <v>83</v>
      </c>
      <c r="F665" s="6" t="s">
        <v>84</v>
      </c>
      <c r="G665" s="5" t="s">
        <v>850</v>
      </c>
      <c r="H665" s="2" t="s">
        <v>57</v>
      </c>
      <c r="I665" s="3" t="s">
        <v>1711</v>
      </c>
      <c r="J665" s="7">
        <v>1</v>
      </c>
      <c r="K665" s="70" t="s">
        <v>53</v>
      </c>
      <c r="L665" s="9">
        <v>1</v>
      </c>
      <c r="M665" s="3">
        <v>445</v>
      </c>
      <c r="N665" s="6">
        <v>1951</v>
      </c>
      <c r="P665" s="71"/>
      <c r="R665" s="6">
        <v>1950</v>
      </c>
      <c r="S665" s="3" t="s">
        <v>54</v>
      </c>
      <c r="T665" s="72"/>
      <c r="U665" s="73"/>
      <c r="W665" s="2" t="s">
        <v>1712</v>
      </c>
      <c r="X665" s="10" t="s">
        <v>56</v>
      </c>
      <c r="Y665" s="10" t="s">
        <v>57</v>
      </c>
      <c r="Z665" s="75"/>
      <c r="AA665" s="76"/>
      <c r="AB665" s="77"/>
      <c r="AC665" s="77">
        <v>18730</v>
      </c>
      <c r="AD665" s="10"/>
      <c r="AG665" s="7">
        <v>1951</v>
      </c>
      <c r="AH665" s="7">
        <v>1950</v>
      </c>
      <c r="AJ665" s="73"/>
      <c r="AL665" s="16"/>
      <c r="AM665" s="2" t="s">
        <v>59</v>
      </c>
      <c r="AO665" s="6" t="s">
        <v>136</v>
      </c>
      <c r="AQ665" s="5" t="s">
        <v>104</v>
      </c>
      <c r="AU665" s="16" t="s">
        <v>1601</v>
      </c>
      <c r="AW665" s="6">
        <f t="shared" ca="1" si="11"/>
        <v>74</v>
      </c>
    </row>
    <row r="666" ht="45" customHeight="1">
      <c r="A666" s="69"/>
      <c r="B666" s="3" t="s">
        <v>47</v>
      </c>
      <c r="E666" s="2" t="s">
        <v>63</v>
      </c>
      <c r="F666" s="6" t="s">
        <v>172</v>
      </c>
      <c r="G666" s="5" t="s">
        <v>1713</v>
      </c>
      <c r="H666" s="2" t="s">
        <v>51</v>
      </c>
      <c r="I666" s="3" t="s">
        <v>1714</v>
      </c>
      <c r="J666" s="7">
        <v>1</v>
      </c>
      <c r="K666" s="70" t="s">
        <v>53</v>
      </c>
      <c r="L666" s="9">
        <v>0</v>
      </c>
      <c r="M666" s="3">
        <v>446</v>
      </c>
      <c r="P666" s="71"/>
      <c r="R666" s="6">
        <v>1950</v>
      </c>
      <c r="S666" s="3" t="s">
        <v>54</v>
      </c>
      <c r="T666" s="72"/>
      <c r="U666" s="73"/>
      <c r="W666" s="2" t="s">
        <v>1456</v>
      </c>
      <c r="X666" s="10" t="s">
        <v>56</v>
      </c>
      <c r="Y666" s="10" t="s">
        <v>57</v>
      </c>
      <c r="Z666" s="75" t="s">
        <v>58</v>
      </c>
      <c r="AA666" s="76"/>
      <c r="AB666" s="77">
        <v>21426</v>
      </c>
      <c r="AC666" s="77"/>
      <c r="AD666" s="6"/>
      <c r="AG666" s="7">
        <v>1958</v>
      </c>
      <c r="AH666" s="7">
        <v>1950</v>
      </c>
      <c r="AI666" s="7"/>
      <c r="AJ666" s="73"/>
      <c r="AK666" s="7"/>
      <c r="AL666" s="16" t="s">
        <v>1715</v>
      </c>
      <c r="AM666" s="2" t="s">
        <v>59</v>
      </c>
      <c r="AO666" s="6" t="s">
        <v>82</v>
      </c>
      <c r="AU666" s="16" t="s">
        <v>447</v>
      </c>
      <c r="AW666" s="6" t="str">
        <f t="shared" ca="1" si="11"/>
        <v/>
      </c>
    </row>
    <row r="667" ht="45" customHeight="1">
      <c r="A667" s="69"/>
      <c r="B667" s="3" t="s">
        <v>47</v>
      </c>
      <c r="E667" s="2" t="s">
        <v>63</v>
      </c>
      <c r="F667" s="6" t="s">
        <v>172</v>
      </c>
      <c r="G667" s="5" t="s">
        <v>1713</v>
      </c>
      <c r="H667" s="2" t="s">
        <v>57</v>
      </c>
      <c r="I667" s="3" t="s">
        <v>1716</v>
      </c>
      <c r="J667" s="7">
        <v>1</v>
      </c>
      <c r="K667" s="70" t="s">
        <v>53</v>
      </c>
      <c r="L667" s="9">
        <v>0</v>
      </c>
      <c r="M667" s="3">
        <v>446</v>
      </c>
      <c r="P667" s="71"/>
      <c r="R667" s="6">
        <v>1950</v>
      </c>
      <c r="S667" s="3" t="s">
        <v>54</v>
      </c>
      <c r="T667" s="72"/>
      <c r="U667" s="73"/>
      <c r="W667" s="2" t="s">
        <v>1717</v>
      </c>
      <c r="X667" s="10" t="s">
        <v>56</v>
      </c>
      <c r="Y667" s="10" t="s">
        <v>57</v>
      </c>
      <c r="Z667" s="75"/>
      <c r="AA667" s="76"/>
      <c r="AB667" s="77">
        <v>21437</v>
      </c>
      <c r="AC667" s="77"/>
      <c r="AD667" s="6"/>
      <c r="AG667" s="7">
        <v>1958</v>
      </c>
      <c r="AH667" s="7">
        <v>1950</v>
      </c>
      <c r="AI667" s="7"/>
      <c r="AJ667" s="73"/>
      <c r="AK667" s="7"/>
      <c r="AL667" s="16" t="s">
        <v>1718</v>
      </c>
      <c r="AM667" s="2" t="s">
        <v>59</v>
      </c>
      <c r="AO667" s="6" t="s">
        <v>82</v>
      </c>
      <c r="AW667" s="6" t="str">
        <f t="shared" ca="1" si="11"/>
        <v/>
      </c>
    </row>
    <row r="668" ht="45" customHeight="1" outlineLevel="1">
      <c r="A668" s="69"/>
      <c r="B668" s="3" t="s">
        <v>47</v>
      </c>
      <c r="E668" s="2" t="s">
        <v>63</v>
      </c>
      <c r="F668" s="6" t="s">
        <v>172</v>
      </c>
      <c r="G668" s="5" t="s">
        <v>1713</v>
      </c>
      <c r="H668" s="2" t="s">
        <v>57</v>
      </c>
      <c r="I668" s="3" t="s">
        <v>1719</v>
      </c>
      <c r="J668" s="7">
        <v>1</v>
      </c>
      <c r="K668" s="70" t="s">
        <v>53</v>
      </c>
      <c r="L668" s="9">
        <v>0</v>
      </c>
      <c r="M668" s="3">
        <v>446</v>
      </c>
      <c r="P668" s="71"/>
      <c r="R668" s="6">
        <v>1950</v>
      </c>
      <c r="S668" s="3" t="s">
        <v>54</v>
      </c>
      <c r="T668" s="72"/>
      <c r="U668" s="73"/>
      <c r="W668" s="2" t="s">
        <v>1720</v>
      </c>
      <c r="X668" s="10" t="s">
        <v>56</v>
      </c>
      <c r="Y668" s="10" t="s">
        <v>57</v>
      </c>
      <c r="Z668" s="75"/>
      <c r="AA668" s="76"/>
      <c r="AB668" s="77">
        <v>21437</v>
      </c>
      <c r="AC668" s="77"/>
      <c r="AD668" s="6"/>
      <c r="AG668" s="7">
        <v>1958</v>
      </c>
      <c r="AH668" s="7">
        <v>1950</v>
      </c>
      <c r="AI668" s="7"/>
      <c r="AJ668" s="73"/>
      <c r="AK668" s="7"/>
      <c r="AL668" s="16" t="s">
        <v>1718</v>
      </c>
      <c r="AM668" s="2" t="s">
        <v>59</v>
      </c>
      <c r="AO668" s="6" t="s">
        <v>82</v>
      </c>
      <c r="AW668" s="6" t="str">
        <f t="shared" ca="1" si="11"/>
        <v/>
      </c>
    </row>
    <row r="669" ht="45" hidden="1" customHeight="1" outlineLevel="1">
      <c r="A669" s="69"/>
      <c r="B669" s="3" t="s">
        <v>47</v>
      </c>
      <c r="C669" s="4" t="s">
        <v>1721</v>
      </c>
      <c r="E669" s="2" t="s">
        <v>63</v>
      </c>
      <c r="F669" s="6" t="s">
        <v>172</v>
      </c>
      <c r="G669" s="5" t="s">
        <v>1713</v>
      </c>
      <c r="H669" s="2" t="s">
        <v>51</v>
      </c>
      <c r="I669" s="3" t="s">
        <v>1722</v>
      </c>
      <c r="J669" s="7">
        <v>1</v>
      </c>
      <c r="K669" s="104"/>
      <c r="L669" s="9">
        <v>1</v>
      </c>
      <c r="M669" s="3">
        <v>446</v>
      </c>
      <c r="P669" s="71"/>
      <c r="R669" s="6">
        <v>1950</v>
      </c>
      <c r="S669" s="3" t="s">
        <v>236</v>
      </c>
      <c r="T669" s="72"/>
      <c r="U669" s="73"/>
      <c r="W669" s="2" t="s">
        <v>1723</v>
      </c>
      <c r="X669" s="10" t="s">
        <v>56</v>
      </c>
      <c r="Y669" s="10" t="s">
        <v>57</v>
      </c>
      <c r="Z669" s="75" t="s">
        <v>58</v>
      </c>
      <c r="AA669" s="76"/>
      <c r="AB669" s="77"/>
      <c r="AC669" s="77"/>
      <c r="AD669" s="6"/>
      <c r="AI669" s="7"/>
      <c r="AJ669" s="95">
        <v>38044</v>
      </c>
      <c r="AK669" s="7">
        <v>2000</v>
      </c>
      <c r="AL669" s="16"/>
      <c r="AW669" s="6" t="str">
        <f t="shared" ca="1" si="11"/>
        <v/>
      </c>
    </row>
    <row r="670" ht="45" customHeight="1">
      <c r="A670" s="69"/>
      <c r="B670" s="3" t="s">
        <v>47</v>
      </c>
      <c r="E670" s="2" t="s">
        <v>63</v>
      </c>
      <c r="F670" s="6" t="s">
        <v>172</v>
      </c>
      <c r="G670" s="5" t="s">
        <v>1713</v>
      </c>
      <c r="H670" s="2" t="s">
        <v>57</v>
      </c>
      <c r="I670" s="3" t="s">
        <v>1724</v>
      </c>
      <c r="J670" s="7">
        <v>1</v>
      </c>
      <c r="K670" s="70" t="s">
        <v>53</v>
      </c>
      <c r="L670" s="9">
        <v>0</v>
      </c>
      <c r="M670" s="3">
        <v>446</v>
      </c>
      <c r="P670" s="71"/>
      <c r="R670" s="6">
        <v>1950</v>
      </c>
      <c r="S670" s="3" t="s">
        <v>54</v>
      </c>
      <c r="T670" s="72"/>
      <c r="U670" s="73"/>
      <c r="W670" s="2" t="s">
        <v>1725</v>
      </c>
      <c r="X670" s="10" t="s">
        <v>56</v>
      </c>
      <c r="Y670" s="10" t="s">
        <v>57</v>
      </c>
      <c r="Z670" s="75"/>
      <c r="AA670" s="76"/>
      <c r="AB670" s="77">
        <v>21762</v>
      </c>
      <c r="AC670" s="77"/>
      <c r="AD670" s="6"/>
      <c r="AG670" s="7">
        <v>1959</v>
      </c>
      <c r="AH670" s="7">
        <v>1950</v>
      </c>
      <c r="AI670" s="7"/>
      <c r="AJ670" s="73"/>
      <c r="AK670" s="7"/>
      <c r="AL670" s="16" t="s">
        <v>1718</v>
      </c>
      <c r="AM670" s="2" t="s">
        <v>59</v>
      </c>
      <c r="AO670" s="6" t="s">
        <v>82</v>
      </c>
      <c r="AW670" s="6" t="str">
        <f t="shared" ca="1" si="11"/>
        <v/>
      </c>
    </row>
    <row r="671" ht="45" customHeight="1">
      <c r="A671" s="69"/>
      <c r="B671" s="3" t="s">
        <v>47</v>
      </c>
      <c r="E671" s="2" t="s">
        <v>63</v>
      </c>
      <c r="F671" s="6" t="s">
        <v>172</v>
      </c>
      <c r="G671" s="5" t="s">
        <v>1713</v>
      </c>
      <c r="H671" s="2" t="s">
        <v>181</v>
      </c>
      <c r="I671" s="3" t="s">
        <v>1726</v>
      </c>
      <c r="J671" s="7">
        <v>1</v>
      </c>
      <c r="K671" s="70" t="s">
        <v>53</v>
      </c>
      <c r="L671" s="9">
        <v>0</v>
      </c>
      <c r="M671" s="3">
        <v>446</v>
      </c>
      <c r="P671" s="71"/>
      <c r="R671" s="6">
        <v>1950</v>
      </c>
      <c r="S671" s="3" t="s">
        <v>54</v>
      </c>
      <c r="T671" s="72"/>
      <c r="U671" s="73"/>
      <c r="W671" s="2" t="s">
        <v>1727</v>
      </c>
      <c r="X671" s="10" t="s">
        <v>56</v>
      </c>
      <c r="Y671" s="10" t="s">
        <v>181</v>
      </c>
      <c r="Z671" s="75"/>
      <c r="AA671" s="76"/>
      <c r="AB671" s="77">
        <v>21426</v>
      </c>
      <c r="AC671" s="77"/>
      <c r="AD671" s="6"/>
      <c r="AG671" s="7">
        <v>1958</v>
      </c>
      <c r="AH671" s="7">
        <v>1950</v>
      </c>
      <c r="AI671" s="7"/>
      <c r="AJ671" s="73"/>
      <c r="AK671" s="7"/>
      <c r="AL671" s="16" t="s">
        <v>1718</v>
      </c>
      <c r="AM671" s="2" t="s">
        <v>82</v>
      </c>
      <c r="AO671" s="6" t="s">
        <v>82</v>
      </c>
      <c r="AW671" s="6" t="str">
        <f t="shared" ca="1" si="11"/>
        <v/>
      </c>
    </row>
    <row r="672" ht="45" customHeight="1" outlineLevel="1">
      <c r="A672" s="69"/>
      <c r="B672" s="3" t="s">
        <v>47</v>
      </c>
      <c r="E672" s="2" t="s">
        <v>83</v>
      </c>
      <c r="F672" s="6" t="s">
        <v>84</v>
      </c>
      <c r="G672" s="5" t="s">
        <v>1728</v>
      </c>
      <c r="H672" s="2" t="s">
        <v>181</v>
      </c>
      <c r="I672" s="3" t="s">
        <v>1729</v>
      </c>
      <c r="J672" s="7">
        <v>1</v>
      </c>
      <c r="K672" s="70" t="s">
        <v>53</v>
      </c>
      <c r="L672" s="9">
        <v>1</v>
      </c>
      <c r="M672" s="3">
        <v>447</v>
      </c>
      <c r="N672" s="6">
        <v>1951</v>
      </c>
      <c r="P672" s="71"/>
      <c r="R672" s="6">
        <v>1950</v>
      </c>
      <c r="S672" s="3" t="s">
        <v>54</v>
      </c>
      <c r="T672" s="72"/>
      <c r="U672" s="73"/>
      <c r="W672" s="2" t="s">
        <v>1730</v>
      </c>
      <c r="X672" s="10" t="s">
        <v>56</v>
      </c>
      <c r="Y672" s="10" t="s">
        <v>181</v>
      </c>
      <c r="Z672" s="75"/>
      <c r="AA672" s="76"/>
      <c r="AB672" s="77">
        <v>20733</v>
      </c>
      <c r="AC672" s="77"/>
      <c r="AD672" s="6"/>
      <c r="AG672" s="7">
        <v>1956</v>
      </c>
      <c r="AH672" s="7">
        <v>1950</v>
      </c>
      <c r="AI672" s="7"/>
      <c r="AJ672" s="73"/>
      <c r="AK672" s="7"/>
      <c r="AL672" s="16" t="s">
        <v>1731</v>
      </c>
      <c r="AM672" s="2" t="s">
        <v>59</v>
      </c>
      <c r="AW672" s="6">
        <f t="shared" ca="1" si="11"/>
        <v>74</v>
      </c>
    </row>
    <row r="673" ht="45" customHeight="1">
      <c r="A673" s="69"/>
      <c r="B673" s="3" t="s">
        <v>47</v>
      </c>
      <c r="E673" s="2" t="s">
        <v>83</v>
      </c>
      <c r="F673" s="6" t="s">
        <v>84</v>
      </c>
      <c r="G673" s="5" t="s">
        <v>1728</v>
      </c>
      <c r="H673" s="2" t="s">
        <v>51</v>
      </c>
      <c r="I673" s="3" t="s">
        <v>1732</v>
      </c>
      <c r="J673" s="7">
        <v>1</v>
      </c>
      <c r="K673" s="70" t="s">
        <v>53</v>
      </c>
      <c r="L673" s="9">
        <v>0</v>
      </c>
      <c r="M673" s="3">
        <v>447</v>
      </c>
      <c r="N673" s="6">
        <v>1951</v>
      </c>
      <c r="P673" s="71"/>
      <c r="R673" s="6">
        <v>1950</v>
      </c>
      <c r="S673" s="3" t="s">
        <v>54</v>
      </c>
      <c r="T673" s="72"/>
      <c r="U673" s="73"/>
      <c r="W673" s="2" t="s">
        <v>1733</v>
      </c>
      <c r="X673" s="10" t="s">
        <v>56</v>
      </c>
      <c r="Y673" s="10" t="s">
        <v>57</v>
      </c>
      <c r="Z673" s="75" t="s">
        <v>58</v>
      </c>
      <c r="AA673" s="76"/>
      <c r="AB673" s="77"/>
      <c r="AC673" s="77">
        <v>20835</v>
      </c>
      <c r="AD673" s="10"/>
      <c r="AG673" s="7">
        <v>1957</v>
      </c>
      <c r="AH673" s="7">
        <v>1950</v>
      </c>
      <c r="AI673" s="7"/>
      <c r="AJ673" s="73"/>
      <c r="AK673" s="7"/>
      <c r="AL673" s="16" t="s">
        <v>1734</v>
      </c>
      <c r="AM673" s="2" t="s">
        <v>59</v>
      </c>
      <c r="AO673" s="6" t="s">
        <v>136</v>
      </c>
      <c r="AQ673" s="5" t="s">
        <v>104</v>
      </c>
      <c r="AW673" s="6">
        <f t="shared" ca="1" si="11"/>
        <v>74</v>
      </c>
    </row>
    <row r="674" s="147" customFormat="1" ht="45" customHeight="1" outlineLevel="1">
      <c r="A674" s="69"/>
      <c r="B674" s="3" t="s">
        <v>47</v>
      </c>
      <c r="C674" s="4"/>
      <c r="D674" s="5"/>
      <c r="E674" s="78" t="s">
        <v>83</v>
      </c>
      <c r="F674" s="79" t="s">
        <v>84</v>
      </c>
      <c r="G674" s="80" t="s">
        <v>1728</v>
      </c>
      <c r="H674" s="78" t="s">
        <v>68</v>
      </c>
      <c r="I674" s="81" t="s">
        <v>1735</v>
      </c>
      <c r="J674" s="7">
        <v>1</v>
      </c>
      <c r="K674" s="70" t="s">
        <v>53</v>
      </c>
      <c r="L674" s="9">
        <v>0</v>
      </c>
      <c r="M674" s="3">
        <v>447</v>
      </c>
      <c r="N674" s="6">
        <v>1951</v>
      </c>
      <c r="O674" s="10"/>
      <c r="P674" s="71"/>
      <c r="Q674" s="10"/>
      <c r="R674" s="6">
        <v>1950</v>
      </c>
      <c r="S674" s="3" t="s">
        <v>54</v>
      </c>
      <c r="T674" s="72"/>
      <c r="U674" s="73"/>
      <c r="V674" s="12"/>
      <c r="W674" s="78" t="s">
        <v>1736</v>
      </c>
      <c r="X674" s="82" t="s">
        <v>56</v>
      </c>
      <c r="Y674" s="82" t="s">
        <v>68</v>
      </c>
      <c r="Z674" s="83" t="s">
        <v>58</v>
      </c>
      <c r="AA674" s="76"/>
      <c r="AB674" s="77"/>
      <c r="AC674" s="77">
        <v>20835</v>
      </c>
      <c r="AD674" s="10"/>
      <c r="AE674" s="7"/>
      <c r="AF674" s="7"/>
      <c r="AG674" s="7">
        <v>1957</v>
      </c>
      <c r="AH674" s="7">
        <v>1950</v>
      </c>
      <c r="AI674" s="7"/>
      <c r="AJ674" s="73"/>
      <c r="AK674" s="7"/>
      <c r="AL674" s="16" t="s">
        <v>1734</v>
      </c>
      <c r="AM674" s="2" t="s">
        <v>59</v>
      </c>
      <c r="AN674" s="6"/>
      <c r="AO674" s="6" t="s">
        <v>136</v>
      </c>
      <c r="AP674" s="6"/>
      <c r="AQ674" s="5" t="s">
        <v>104</v>
      </c>
      <c r="AR674" s="2"/>
      <c r="AS674" s="6"/>
      <c r="AT674" s="6"/>
      <c r="AU674" s="16"/>
      <c r="AV674" s="17"/>
      <c r="AW674" s="6">
        <f t="shared" ca="1" si="11"/>
        <v>74</v>
      </c>
    </row>
    <row r="675" ht="45" hidden="1" customHeight="1">
      <c r="A675" s="69"/>
      <c r="B675" s="3" t="s">
        <v>47</v>
      </c>
      <c r="C675" s="4" t="s">
        <v>1737</v>
      </c>
      <c r="E675" s="2" t="s">
        <v>83</v>
      </c>
      <c r="F675" s="6" t="s">
        <v>84</v>
      </c>
      <c r="G675" s="5" t="s">
        <v>85</v>
      </c>
      <c r="H675" s="2" t="s">
        <v>382</v>
      </c>
      <c r="I675" s="3" t="s">
        <v>1738</v>
      </c>
      <c r="J675" s="114">
        <v>1</v>
      </c>
      <c r="K675" s="70"/>
      <c r="L675" s="9">
        <v>1</v>
      </c>
      <c r="M675" s="3">
        <v>448</v>
      </c>
      <c r="P675" s="71"/>
      <c r="R675" s="6">
        <v>1950</v>
      </c>
      <c r="S675" s="3" t="s">
        <v>236</v>
      </c>
      <c r="T675" s="72"/>
      <c r="U675" s="73">
        <v>38044</v>
      </c>
      <c r="W675" s="2" t="s">
        <v>62</v>
      </c>
      <c r="X675" s="10" t="s">
        <v>91</v>
      </c>
      <c r="Y675" s="10" t="s">
        <v>385</v>
      </c>
      <c r="Z675" s="75"/>
      <c r="AA675" s="76"/>
      <c r="AB675" s="77"/>
      <c r="AC675" s="77"/>
      <c r="AD675" s="10"/>
      <c r="AI675" s="7"/>
      <c r="AJ675" s="95">
        <v>22914</v>
      </c>
      <c r="AK675" s="7">
        <v>1960</v>
      </c>
      <c r="AL675" s="16"/>
      <c r="AW675" s="6" t="str">
        <f t="shared" ref="AW675:AW738" ca="1" si="12">IF(N675&lt;&gt;0,(YEAR(TODAY())-N675),(""))</f>
        <v/>
      </c>
    </row>
    <row r="676" ht="45" hidden="1" customHeight="1">
      <c r="A676" s="69"/>
      <c r="B676" s="3" t="s">
        <v>47</v>
      </c>
      <c r="C676" s="4" t="s">
        <v>1739</v>
      </c>
      <c r="E676" s="2" t="s">
        <v>63</v>
      </c>
      <c r="F676" s="6" t="s">
        <v>354</v>
      </c>
      <c r="G676" s="5" t="s">
        <v>971</v>
      </c>
      <c r="H676" s="2" t="s">
        <v>51</v>
      </c>
      <c r="I676" s="96" t="s">
        <v>1740</v>
      </c>
      <c r="J676" s="7">
        <v>1</v>
      </c>
      <c r="K676" s="70"/>
      <c r="L676" s="9">
        <v>1</v>
      </c>
      <c r="M676" s="3">
        <v>449</v>
      </c>
      <c r="N676" s="6">
        <v>1951</v>
      </c>
      <c r="P676" s="71"/>
      <c r="R676" s="6">
        <v>1950</v>
      </c>
      <c r="S676" s="3" t="s">
        <v>236</v>
      </c>
      <c r="T676" s="72"/>
      <c r="U676" s="73"/>
      <c r="W676" s="2" t="s">
        <v>62</v>
      </c>
      <c r="X676" s="10" t="s">
        <v>56</v>
      </c>
      <c r="Y676" s="10" t="s">
        <v>68</v>
      </c>
      <c r="Z676" s="75"/>
      <c r="AA676" s="76"/>
      <c r="AB676" s="77"/>
      <c r="AC676" s="77"/>
      <c r="AD676" s="10"/>
      <c r="AI676" s="7"/>
      <c r="AJ676" s="95">
        <v>38044</v>
      </c>
      <c r="AK676" s="7">
        <v>2000</v>
      </c>
      <c r="AL676" s="16"/>
      <c r="AW676" s="6">
        <f t="shared" ca="1" si="12"/>
        <v>74</v>
      </c>
    </row>
    <row r="677" ht="45" customHeight="1">
      <c r="A677" s="69"/>
      <c r="B677" s="3" t="s">
        <v>47</v>
      </c>
      <c r="E677" s="2" t="s">
        <v>48</v>
      </c>
      <c r="F677" s="6" t="s">
        <v>49</v>
      </c>
      <c r="G677" s="5" t="s">
        <v>483</v>
      </c>
      <c r="H677" s="2" t="s">
        <v>57</v>
      </c>
      <c r="I677" s="3" t="s">
        <v>1741</v>
      </c>
      <c r="J677" s="7">
        <v>1</v>
      </c>
      <c r="K677" s="70" t="s">
        <v>53</v>
      </c>
      <c r="L677" s="9">
        <v>1</v>
      </c>
      <c r="M677" s="3">
        <v>450</v>
      </c>
      <c r="N677" s="6">
        <v>1951</v>
      </c>
      <c r="P677" s="71"/>
      <c r="R677" s="6">
        <v>1950</v>
      </c>
      <c r="S677" s="3" t="s">
        <v>54</v>
      </c>
      <c r="T677" s="72"/>
      <c r="U677" s="73"/>
      <c r="W677" s="2" t="s">
        <v>1742</v>
      </c>
      <c r="X677" s="10" t="s">
        <v>56</v>
      </c>
      <c r="Y677" s="10" t="s">
        <v>57</v>
      </c>
      <c r="Z677" s="75"/>
      <c r="AA677" s="76"/>
      <c r="AB677" s="77">
        <v>19242</v>
      </c>
      <c r="AC677" s="77"/>
      <c r="AD677" s="6"/>
      <c r="AG677" s="7">
        <v>1952</v>
      </c>
      <c r="AH677" s="7">
        <v>1950</v>
      </c>
      <c r="AI677" s="7"/>
      <c r="AJ677" s="73"/>
      <c r="AK677" s="7"/>
      <c r="AL677" s="16"/>
      <c r="AM677" s="2" t="s">
        <v>59</v>
      </c>
      <c r="AO677" s="6" t="s">
        <v>136</v>
      </c>
      <c r="AR677" s="2" t="s">
        <v>104</v>
      </c>
      <c r="AS677" s="6" t="s">
        <v>73</v>
      </c>
      <c r="AT677" s="6">
        <v>2006</v>
      </c>
      <c r="AU677" s="16" t="s">
        <v>486</v>
      </c>
      <c r="AW677" s="6">
        <f t="shared" ca="1" si="12"/>
        <v>74</v>
      </c>
    </row>
    <row r="678" ht="45" customHeight="1" outlineLevel="1">
      <c r="A678" s="69">
        <v>43516</v>
      </c>
      <c r="B678" s="3" t="s">
        <v>1743</v>
      </c>
      <c r="C678" s="4" t="s">
        <v>1744</v>
      </c>
      <c r="D678" s="5" t="s">
        <v>1745</v>
      </c>
      <c r="E678" s="2" t="s">
        <v>48</v>
      </c>
      <c r="F678" s="6" t="s">
        <v>140</v>
      </c>
      <c r="G678" s="5" t="s">
        <v>1746</v>
      </c>
      <c r="H678" s="2" t="s">
        <v>51</v>
      </c>
      <c r="I678" s="3" t="s">
        <v>1747</v>
      </c>
      <c r="J678" s="7">
        <v>1</v>
      </c>
      <c r="K678" s="104" t="s">
        <v>1748</v>
      </c>
      <c r="L678" s="9">
        <v>1</v>
      </c>
      <c r="M678" s="3">
        <v>451</v>
      </c>
      <c r="N678" s="6">
        <v>1951</v>
      </c>
      <c r="P678" s="71"/>
      <c r="R678" s="6">
        <v>1950</v>
      </c>
      <c r="S678" s="3" t="s">
        <v>1749</v>
      </c>
      <c r="T678" s="72" t="s">
        <v>998</v>
      </c>
      <c r="U678" s="73"/>
      <c r="V678" s="12">
        <v>41131</v>
      </c>
      <c r="W678" s="74" t="s">
        <v>1750</v>
      </c>
      <c r="X678" s="10" t="s">
        <v>56</v>
      </c>
      <c r="Y678" s="10" t="s">
        <v>57</v>
      </c>
      <c r="Z678" s="75" t="s">
        <v>58</v>
      </c>
      <c r="AA678" s="2"/>
      <c r="AB678" s="6"/>
      <c r="AC678" s="6"/>
      <c r="AD678" s="6"/>
      <c r="AI678" s="7"/>
      <c r="AJ678" s="73"/>
      <c r="AK678" s="7"/>
      <c r="AL678" s="16"/>
      <c r="AM678" s="2" t="s">
        <v>59</v>
      </c>
      <c r="AU678" s="16" t="s">
        <v>1751</v>
      </c>
      <c r="AW678" s="6">
        <f t="shared" ca="1" si="12"/>
        <v>74</v>
      </c>
    </row>
    <row r="679" ht="45" customHeight="1" outlineLevel="1">
      <c r="A679" s="69"/>
      <c r="B679" s="3" t="s">
        <v>47</v>
      </c>
      <c r="E679" s="2" t="s">
        <v>83</v>
      </c>
      <c r="F679" s="6" t="s">
        <v>704</v>
      </c>
      <c r="G679" s="5" t="s">
        <v>1752</v>
      </c>
      <c r="H679" s="2" t="s">
        <v>57</v>
      </c>
      <c r="I679" s="3" t="s">
        <v>1753</v>
      </c>
      <c r="J679" s="7">
        <v>1</v>
      </c>
      <c r="K679" s="70" t="s">
        <v>53</v>
      </c>
      <c r="L679" s="9">
        <v>1</v>
      </c>
      <c r="M679" s="3">
        <v>452</v>
      </c>
      <c r="P679" s="71"/>
      <c r="R679" s="6">
        <v>1950</v>
      </c>
      <c r="S679" s="3" t="s">
        <v>54</v>
      </c>
      <c r="T679" s="72"/>
      <c r="U679" s="73"/>
      <c r="W679" s="2" t="s">
        <v>1754</v>
      </c>
      <c r="X679" s="10" t="s">
        <v>56</v>
      </c>
      <c r="Y679" s="10" t="s">
        <v>57</v>
      </c>
      <c r="Z679" s="75"/>
      <c r="AA679" s="76"/>
      <c r="AB679" s="77">
        <v>20718</v>
      </c>
      <c r="AC679" s="77"/>
      <c r="AD679" s="6"/>
      <c r="AG679" s="7">
        <v>1956</v>
      </c>
      <c r="AH679" s="7">
        <v>1950</v>
      </c>
      <c r="AI679" s="7"/>
      <c r="AJ679" s="73"/>
      <c r="AK679" s="7"/>
      <c r="AL679" s="16"/>
      <c r="AM679" s="2" t="s">
        <v>59</v>
      </c>
      <c r="AO679" s="6" t="s">
        <v>59</v>
      </c>
      <c r="AW679" s="6" t="str">
        <f t="shared" ca="1" si="12"/>
        <v/>
      </c>
    </row>
    <row r="680" ht="45" hidden="1" customHeight="1" outlineLevel="1">
      <c r="A680" s="69"/>
      <c r="B680" s="3" t="s">
        <v>47</v>
      </c>
      <c r="C680" s="4" t="s">
        <v>1755</v>
      </c>
      <c r="E680" s="2" t="s">
        <v>63</v>
      </c>
      <c r="F680" s="6" t="s">
        <v>64</v>
      </c>
      <c r="G680" s="5" t="s">
        <v>69</v>
      </c>
      <c r="H680" s="2" t="s">
        <v>57</v>
      </c>
      <c r="I680" s="3" t="s">
        <v>1756</v>
      </c>
      <c r="J680" s="7">
        <v>1</v>
      </c>
      <c r="K680" s="70"/>
      <c r="L680" s="9">
        <v>1</v>
      </c>
      <c r="M680" s="3">
        <v>453</v>
      </c>
      <c r="P680" s="71"/>
      <c r="R680" s="6">
        <v>1950</v>
      </c>
      <c r="S680" s="3" t="s">
        <v>236</v>
      </c>
      <c r="T680" s="72"/>
      <c r="U680" s="73"/>
      <c r="W680" s="2" t="s">
        <v>62</v>
      </c>
      <c r="X680" s="10" t="s">
        <v>56</v>
      </c>
      <c r="Y680" s="10" t="s">
        <v>57</v>
      </c>
      <c r="Z680" s="75"/>
      <c r="AA680" s="76"/>
      <c r="AB680" s="77"/>
      <c r="AC680" s="77"/>
      <c r="AD680" s="6"/>
      <c r="AI680" s="7"/>
      <c r="AJ680" s="95">
        <v>19057</v>
      </c>
      <c r="AK680" s="7">
        <v>1950</v>
      </c>
      <c r="AL680" s="16"/>
      <c r="AW680" s="6" t="str">
        <f t="shared" ca="1" si="12"/>
        <v/>
      </c>
    </row>
    <row r="681" s="147" customFormat="1" ht="45" customHeight="1" outlineLevel="1">
      <c r="A681" s="69"/>
      <c r="B681" s="3" t="s">
        <v>47</v>
      </c>
      <c r="C681" s="4"/>
      <c r="D681" s="5" t="s">
        <v>1757</v>
      </c>
      <c r="E681" s="2" t="s">
        <v>63</v>
      </c>
      <c r="F681" s="6" t="s">
        <v>354</v>
      </c>
      <c r="G681" s="5" t="s">
        <v>971</v>
      </c>
      <c r="H681" s="2" t="s">
        <v>288</v>
      </c>
      <c r="I681" s="3" t="s">
        <v>1758</v>
      </c>
      <c r="J681" s="7">
        <v>1</v>
      </c>
      <c r="K681" s="70" t="s">
        <v>53</v>
      </c>
      <c r="L681" s="9">
        <v>1</v>
      </c>
      <c r="M681" s="3">
        <v>454</v>
      </c>
      <c r="N681" s="6">
        <v>1951</v>
      </c>
      <c r="O681" s="10"/>
      <c r="P681" s="71"/>
      <c r="Q681" s="10"/>
      <c r="R681" s="6">
        <v>1950</v>
      </c>
      <c r="S681" s="3" t="s">
        <v>54</v>
      </c>
      <c r="T681" s="72"/>
      <c r="U681" s="73"/>
      <c r="V681" s="12"/>
      <c r="W681" s="2" t="s">
        <v>1759</v>
      </c>
      <c r="X681" s="10" t="s">
        <v>56</v>
      </c>
      <c r="Y681" s="10" t="s">
        <v>288</v>
      </c>
      <c r="Z681" s="75"/>
      <c r="AA681" s="76" t="s">
        <v>1760</v>
      </c>
      <c r="AB681" s="77"/>
      <c r="AC681" s="77" t="s">
        <v>1760</v>
      </c>
      <c r="AD681" s="10"/>
      <c r="AE681" s="7"/>
      <c r="AF681" s="7">
        <v>70</v>
      </c>
      <c r="AG681" s="7">
        <v>1974</v>
      </c>
      <c r="AH681" s="7">
        <v>1970</v>
      </c>
      <c r="AI681" s="7">
        <v>2012</v>
      </c>
      <c r="AJ681" s="73"/>
      <c r="AK681" s="7"/>
      <c r="AL681" s="16" t="s">
        <v>1761</v>
      </c>
      <c r="AM681" s="2" t="s">
        <v>53</v>
      </c>
      <c r="AN681" s="6" t="s">
        <v>73</v>
      </c>
      <c r="AO681" s="6" t="s">
        <v>136</v>
      </c>
      <c r="AP681" s="6" t="s">
        <v>104</v>
      </c>
      <c r="AQ681" s="5" t="s">
        <v>73</v>
      </c>
      <c r="AR681" s="2" t="s">
        <v>104</v>
      </c>
      <c r="AS681" s="6" t="s">
        <v>73</v>
      </c>
      <c r="AT681" s="6">
        <v>2011</v>
      </c>
      <c r="AU681" s="16" t="s">
        <v>1762</v>
      </c>
      <c r="AV681" s="17"/>
      <c r="AW681" s="6">
        <f t="shared" ca="1" si="12"/>
        <v>74</v>
      </c>
    </row>
    <row r="682" ht="45" customHeight="1" outlineLevel="1">
      <c r="A682" s="69"/>
      <c r="B682" s="3" t="s">
        <v>47</v>
      </c>
      <c r="E682" s="2" t="s">
        <v>63</v>
      </c>
      <c r="F682" s="6" t="s">
        <v>354</v>
      </c>
      <c r="G682" s="5" t="s">
        <v>971</v>
      </c>
      <c r="H682" s="2" t="s">
        <v>68</v>
      </c>
      <c r="I682" s="3" t="s">
        <v>1763</v>
      </c>
      <c r="J682" s="7">
        <v>1</v>
      </c>
      <c r="K682" s="70" t="s">
        <v>53</v>
      </c>
      <c r="L682" s="9">
        <v>0</v>
      </c>
      <c r="M682" s="3">
        <v>454</v>
      </c>
      <c r="N682" s="6">
        <v>1951</v>
      </c>
      <c r="P682" s="71"/>
      <c r="R682" s="6">
        <v>1950</v>
      </c>
      <c r="S682" s="3" t="s">
        <v>54</v>
      </c>
      <c r="T682" s="72"/>
      <c r="U682" s="73"/>
      <c r="W682" s="2" t="s">
        <v>1764</v>
      </c>
      <c r="X682" s="10" t="s">
        <v>56</v>
      </c>
      <c r="Y682" s="10" t="s">
        <v>68</v>
      </c>
      <c r="Z682" s="75"/>
      <c r="AA682" s="76"/>
      <c r="AB682" s="77"/>
      <c r="AC682" s="77">
        <v>20446</v>
      </c>
      <c r="AD682" s="10"/>
      <c r="AG682" s="7">
        <v>1955</v>
      </c>
      <c r="AH682" s="7">
        <v>1950</v>
      </c>
      <c r="AI682" s="7"/>
      <c r="AJ682" s="73"/>
      <c r="AK682" s="7"/>
      <c r="AL682" s="16" t="s">
        <v>1615</v>
      </c>
      <c r="AM682" s="2" t="s">
        <v>53</v>
      </c>
      <c r="AN682" s="6" t="s">
        <v>73</v>
      </c>
      <c r="AO682" s="6" t="s">
        <v>82</v>
      </c>
      <c r="AP682" s="6" t="s">
        <v>73</v>
      </c>
      <c r="AQ682" s="5" t="s">
        <v>73</v>
      </c>
      <c r="AU682" s="16" t="s">
        <v>1765</v>
      </c>
      <c r="AW682" s="6">
        <f t="shared" ca="1" si="12"/>
        <v>74</v>
      </c>
    </row>
    <row r="683" ht="45" customHeight="1">
      <c r="A683" s="69"/>
      <c r="B683" s="3" t="s">
        <v>47</v>
      </c>
      <c r="E683" s="2" t="s">
        <v>63</v>
      </c>
      <c r="F683" s="6" t="s">
        <v>354</v>
      </c>
      <c r="G683" s="5" t="s">
        <v>971</v>
      </c>
      <c r="H683" s="2" t="s">
        <v>68</v>
      </c>
      <c r="I683" s="3" t="s">
        <v>1766</v>
      </c>
      <c r="J683" s="7">
        <v>1</v>
      </c>
      <c r="K683" s="70" t="s">
        <v>53</v>
      </c>
      <c r="L683" s="9">
        <v>0</v>
      </c>
      <c r="M683" s="3">
        <v>454</v>
      </c>
      <c r="N683" s="6">
        <v>1951</v>
      </c>
      <c r="P683" s="71"/>
      <c r="R683" s="6">
        <v>1950</v>
      </c>
      <c r="S683" s="3" t="s">
        <v>54</v>
      </c>
      <c r="T683" s="72"/>
      <c r="U683" s="73"/>
      <c r="W683" s="2" t="s">
        <v>1767</v>
      </c>
      <c r="X683" s="10" t="s">
        <v>56</v>
      </c>
      <c r="Y683" s="10" t="s">
        <v>68</v>
      </c>
      <c r="Z683" s="75"/>
      <c r="AA683" s="76"/>
      <c r="AB683" s="77"/>
      <c r="AC683" s="77">
        <v>20446</v>
      </c>
      <c r="AD683" s="10"/>
      <c r="AG683" s="7">
        <v>1955</v>
      </c>
      <c r="AH683" s="7">
        <v>1950</v>
      </c>
      <c r="AI683" s="7"/>
      <c r="AJ683" s="73"/>
      <c r="AK683" s="7"/>
      <c r="AL683" s="16" t="s">
        <v>1615</v>
      </c>
      <c r="AM683" s="2" t="s">
        <v>53</v>
      </c>
      <c r="AN683" s="6" t="s">
        <v>73</v>
      </c>
      <c r="AO683" s="6" t="s">
        <v>82</v>
      </c>
      <c r="AP683" s="6" t="s">
        <v>73</v>
      </c>
      <c r="AQ683" s="5" t="s">
        <v>73</v>
      </c>
      <c r="AU683" s="16" t="s">
        <v>1765</v>
      </c>
      <c r="AW683" s="6">
        <f t="shared" ca="1" si="12"/>
        <v>74</v>
      </c>
    </row>
    <row r="684" ht="45" customHeight="1">
      <c r="A684" s="69"/>
      <c r="B684" s="148" t="s">
        <v>47</v>
      </c>
      <c r="C684" s="149"/>
      <c r="D684" s="150"/>
      <c r="E684" s="151" t="s">
        <v>48</v>
      </c>
      <c r="F684" s="152" t="s">
        <v>140</v>
      </c>
      <c r="G684" s="150" t="s">
        <v>532</v>
      </c>
      <c r="H684" s="151" t="s">
        <v>51</v>
      </c>
      <c r="I684" s="148" t="s">
        <v>1768</v>
      </c>
      <c r="J684" s="7">
        <v>1</v>
      </c>
      <c r="K684" s="70" t="s">
        <v>53</v>
      </c>
      <c r="L684" s="9">
        <v>1</v>
      </c>
      <c r="M684" s="148">
        <v>455</v>
      </c>
      <c r="N684" s="6">
        <v>1951</v>
      </c>
      <c r="P684" s="71"/>
      <c r="R684" s="6">
        <v>1950</v>
      </c>
      <c r="S684" s="3" t="s">
        <v>54</v>
      </c>
      <c r="T684" s="72"/>
      <c r="U684" s="73"/>
      <c r="W684" s="2" t="s">
        <v>1769</v>
      </c>
      <c r="X684" s="10" t="s">
        <v>56</v>
      </c>
      <c r="Y684" s="10" t="s">
        <v>57</v>
      </c>
      <c r="Z684" s="75" t="s">
        <v>58</v>
      </c>
      <c r="AA684" s="76"/>
      <c r="AB684" s="77">
        <v>24530</v>
      </c>
      <c r="AC684" s="77"/>
      <c r="AD684" s="6"/>
      <c r="AG684" s="7">
        <v>1967</v>
      </c>
      <c r="AH684" s="7">
        <v>1960</v>
      </c>
      <c r="AI684" s="7"/>
      <c r="AJ684" s="153"/>
      <c r="AK684" s="154"/>
      <c r="AL684" s="155"/>
      <c r="AM684" s="151" t="s">
        <v>59</v>
      </c>
      <c r="AN684" s="152"/>
      <c r="AO684" s="152" t="s">
        <v>59</v>
      </c>
      <c r="AP684" s="152"/>
      <c r="AQ684" s="150"/>
      <c r="AR684" s="151"/>
      <c r="AS684" s="152"/>
      <c r="AT684" s="152"/>
      <c r="AU684" s="155"/>
      <c r="AV684" s="156"/>
      <c r="AW684" s="6">
        <f t="shared" ca="1" si="12"/>
        <v>74</v>
      </c>
    </row>
    <row r="685" ht="45" customHeight="1" outlineLevel="1">
      <c r="A685" s="69"/>
      <c r="B685" s="148" t="s">
        <v>47</v>
      </c>
      <c r="C685" s="149"/>
      <c r="D685" s="150"/>
      <c r="E685" s="151" t="s">
        <v>48</v>
      </c>
      <c r="F685" s="152" t="s">
        <v>140</v>
      </c>
      <c r="G685" s="150" t="s">
        <v>532</v>
      </c>
      <c r="H685" s="151" t="s">
        <v>51</v>
      </c>
      <c r="I685" s="148" t="s">
        <v>1770</v>
      </c>
      <c r="J685" s="7">
        <v>1</v>
      </c>
      <c r="K685" s="70" t="s">
        <v>53</v>
      </c>
      <c r="L685" s="9">
        <v>0</v>
      </c>
      <c r="M685" s="148">
        <v>455</v>
      </c>
      <c r="N685" s="6">
        <v>1951</v>
      </c>
      <c r="P685" s="71"/>
      <c r="R685" s="6">
        <v>1950</v>
      </c>
      <c r="S685" s="3" t="s">
        <v>54</v>
      </c>
      <c r="T685" s="72"/>
      <c r="U685" s="73"/>
      <c r="W685" s="2" t="s">
        <v>1771</v>
      </c>
      <c r="X685" s="10" t="s">
        <v>56</v>
      </c>
      <c r="Y685" s="10" t="s">
        <v>57</v>
      </c>
      <c r="Z685" s="75" t="s">
        <v>58</v>
      </c>
      <c r="AA685" s="76"/>
      <c r="AB685" s="77">
        <v>24687</v>
      </c>
      <c r="AC685" s="77"/>
      <c r="AD685" s="6"/>
      <c r="AG685" s="7">
        <v>1967</v>
      </c>
      <c r="AH685" s="7">
        <v>1960</v>
      </c>
      <c r="AI685" s="7"/>
      <c r="AJ685" s="153"/>
      <c r="AK685" s="154"/>
      <c r="AL685" s="155"/>
      <c r="AM685" s="151" t="s">
        <v>59</v>
      </c>
      <c r="AN685" s="152"/>
      <c r="AO685" s="152" t="s">
        <v>59</v>
      </c>
      <c r="AP685" s="152"/>
      <c r="AQ685" s="150"/>
      <c r="AR685" s="151"/>
      <c r="AS685" s="152"/>
      <c r="AT685" s="152"/>
      <c r="AU685" s="155"/>
      <c r="AV685" s="156"/>
      <c r="AW685" s="6">
        <f t="shared" ca="1" si="12"/>
        <v>74</v>
      </c>
    </row>
    <row r="686" ht="45" hidden="1" customHeight="1">
      <c r="A686" s="69"/>
      <c r="B686" s="3" t="s">
        <v>47</v>
      </c>
      <c r="C686" s="4" t="s">
        <v>1263</v>
      </c>
      <c r="E686" s="2" t="s">
        <v>83</v>
      </c>
      <c r="F686" s="6" t="s">
        <v>84</v>
      </c>
      <c r="G686" s="5" t="s">
        <v>85</v>
      </c>
      <c r="H686" s="2" t="s">
        <v>57</v>
      </c>
      <c r="I686" s="3" t="s">
        <v>1772</v>
      </c>
      <c r="J686" s="7">
        <v>1</v>
      </c>
      <c r="L686" s="9">
        <v>1</v>
      </c>
      <c r="M686" s="3">
        <v>456</v>
      </c>
      <c r="N686" s="6">
        <v>1950</v>
      </c>
      <c r="P686" s="71"/>
      <c r="R686" s="6">
        <v>1950</v>
      </c>
      <c r="S686" s="3" t="s">
        <v>236</v>
      </c>
      <c r="T686" s="72"/>
      <c r="U686" s="73">
        <v>38044</v>
      </c>
      <c r="W686" s="2" t="s">
        <v>62</v>
      </c>
      <c r="X686" s="10" t="s">
        <v>56</v>
      </c>
      <c r="Y686" s="10" t="s">
        <v>57</v>
      </c>
      <c r="Z686" s="75"/>
      <c r="AI686" s="7"/>
      <c r="AJ686" s="95">
        <v>38044</v>
      </c>
      <c r="AK686" s="7">
        <v>2000</v>
      </c>
      <c r="AL686" s="16"/>
      <c r="AW686" s="6">
        <f t="shared" ca="1" si="12"/>
        <v>75</v>
      </c>
    </row>
    <row r="687" ht="45" hidden="1" customHeight="1" outlineLevel="1">
      <c r="A687" s="69"/>
      <c r="B687" s="3" t="s">
        <v>47</v>
      </c>
      <c r="C687" s="4" t="s">
        <v>1773</v>
      </c>
      <c r="E687" s="2" t="s">
        <v>48</v>
      </c>
      <c r="F687" s="6" t="s">
        <v>49</v>
      </c>
      <c r="G687" s="5" t="s">
        <v>1774</v>
      </c>
      <c r="H687" s="2" t="s">
        <v>51</v>
      </c>
      <c r="I687" s="3" t="s">
        <v>330</v>
      </c>
      <c r="J687" s="7">
        <v>1</v>
      </c>
      <c r="L687" s="9">
        <v>1</v>
      </c>
      <c r="M687" s="3">
        <v>457</v>
      </c>
      <c r="P687" s="71"/>
      <c r="R687" s="6">
        <v>1950</v>
      </c>
      <c r="S687" s="3" t="s">
        <v>236</v>
      </c>
      <c r="T687" s="72"/>
      <c r="U687" s="73"/>
      <c r="W687" s="2" t="s">
        <v>62</v>
      </c>
      <c r="X687" s="10" t="s">
        <v>56</v>
      </c>
      <c r="Y687" s="10" t="s">
        <v>57</v>
      </c>
      <c r="Z687" s="75" t="s">
        <v>58</v>
      </c>
      <c r="AE687" s="7" t="s">
        <v>1775</v>
      </c>
      <c r="AF687" s="7" t="s">
        <v>1776</v>
      </c>
      <c r="AI687" s="7"/>
      <c r="AJ687" s="95">
        <v>22949</v>
      </c>
      <c r="AK687" s="7">
        <v>1960</v>
      </c>
      <c r="AL687" s="16" t="s">
        <v>1777</v>
      </c>
      <c r="AW687" s="6" t="str">
        <f t="shared" ca="1" si="12"/>
        <v/>
      </c>
    </row>
    <row r="688" ht="45" customHeight="1" outlineLevel="1">
      <c r="A688" s="69"/>
      <c r="B688" s="3" t="s">
        <v>190</v>
      </c>
      <c r="C688" s="4" t="s">
        <v>1778</v>
      </c>
      <c r="D688" s="5" t="s">
        <v>1779</v>
      </c>
      <c r="E688" s="2" t="s">
        <v>1074</v>
      </c>
      <c r="F688" s="6" t="s">
        <v>1075</v>
      </c>
      <c r="G688" s="5" t="s">
        <v>1609</v>
      </c>
      <c r="H688" s="2" t="s">
        <v>288</v>
      </c>
      <c r="I688" s="3" t="s">
        <v>1780</v>
      </c>
      <c r="J688" s="7">
        <v>1</v>
      </c>
      <c r="K688" s="70" t="s">
        <v>53</v>
      </c>
      <c r="L688" s="9">
        <v>1</v>
      </c>
      <c r="M688" s="3">
        <v>458</v>
      </c>
      <c r="N688" s="6">
        <v>1952</v>
      </c>
      <c r="P688" s="71"/>
      <c r="R688" s="6">
        <v>1950</v>
      </c>
      <c r="S688" s="3" t="s">
        <v>195</v>
      </c>
      <c r="T688" s="72"/>
      <c r="U688" s="73"/>
      <c r="W688" s="74" t="s">
        <v>1781</v>
      </c>
      <c r="X688" s="10" t="s">
        <v>56</v>
      </c>
      <c r="Y688" s="10" t="s">
        <v>288</v>
      </c>
      <c r="Z688" s="75"/>
      <c r="AA688" s="76"/>
      <c r="AB688" s="77">
        <v>19803</v>
      </c>
      <c r="AC688" s="77">
        <v>19803</v>
      </c>
      <c r="AD688" s="10"/>
      <c r="AG688" s="7">
        <v>1954</v>
      </c>
      <c r="AH688" s="7">
        <v>1950</v>
      </c>
      <c r="AI688" s="7"/>
      <c r="AJ688" s="73"/>
      <c r="AK688" s="7"/>
      <c r="AL688" s="99"/>
      <c r="AM688" s="2" t="s">
        <v>53</v>
      </c>
      <c r="AN688" s="6" t="s">
        <v>73</v>
      </c>
      <c r="AR688" s="2" t="s">
        <v>104</v>
      </c>
      <c r="AS688" s="6" t="s">
        <v>73</v>
      </c>
      <c r="AT688" s="6">
        <v>2007</v>
      </c>
      <c r="AU688" s="99" t="s">
        <v>1782</v>
      </c>
      <c r="AV688" s="157"/>
      <c r="AW688" s="6">
        <f t="shared" ca="1" si="12"/>
        <v>73</v>
      </c>
    </row>
    <row r="689" ht="45" customHeight="1" outlineLevel="1">
      <c r="A689" s="69"/>
      <c r="B689" s="3" t="s">
        <v>47</v>
      </c>
      <c r="E689" s="2" t="s">
        <v>83</v>
      </c>
      <c r="F689" s="6" t="s">
        <v>84</v>
      </c>
      <c r="G689" s="5" t="s">
        <v>1783</v>
      </c>
      <c r="H689" s="2" t="s">
        <v>51</v>
      </c>
      <c r="I689" s="3" t="s">
        <v>1784</v>
      </c>
      <c r="J689" s="7">
        <v>1</v>
      </c>
      <c r="K689" s="70" t="s">
        <v>53</v>
      </c>
      <c r="L689" s="9">
        <v>1</v>
      </c>
      <c r="M689" s="3">
        <v>459</v>
      </c>
      <c r="N689" s="6">
        <v>1952</v>
      </c>
      <c r="P689" s="71"/>
      <c r="R689" s="6">
        <v>1950</v>
      </c>
      <c r="S689" s="3" t="s">
        <v>54</v>
      </c>
      <c r="T689" s="72"/>
      <c r="U689" s="73"/>
      <c r="W689" s="2" t="s">
        <v>1785</v>
      </c>
      <c r="X689" s="10" t="s">
        <v>56</v>
      </c>
      <c r="Y689" s="10" t="s">
        <v>57</v>
      </c>
      <c r="Z689" s="75"/>
      <c r="AA689" s="76"/>
      <c r="AB689" s="77">
        <v>19135</v>
      </c>
      <c r="AC689" s="77"/>
      <c r="AD689" s="6"/>
      <c r="AG689" s="7">
        <v>1952</v>
      </c>
      <c r="AH689" s="7">
        <v>1950</v>
      </c>
      <c r="AI689" s="7"/>
      <c r="AJ689" s="73"/>
      <c r="AK689" s="7"/>
      <c r="AL689" s="16"/>
      <c r="AM689" s="2" t="s">
        <v>59</v>
      </c>
      <c r="AO689" s="6" t="s">
        <v>59</v>
      </c>
      <c r="AQ689" s="5" t="s">
        <v>73</v>
      </c>
      <c r="AU689" s="16" t="s">
        <v>1786</v>
      </c>
      <c r="AW689" s="6">
        <f t="shared" ca="1" si="12"/>
        <v>73</v>
      </c>
    </row>
    <row r="690" ht="45" customHeight="1" outlineLevel="1">
      <c r="A690" s="69"/>
      <c r="B690" s="3" t="s">
        <v>47</v>
      </c>
      <c r="E690" s="2" t="s">
        <v>83</v>
      </c>
      <c r="F690" s="6" t="s">
        <v>84</v>
      </c>
      <c r="G690" s="5" t="s">
        <v>850</v>
      </c>
      <c r="H690" s="2" t="s">
        <v>51</v>
      </c>
      <c r="I690" s="3" t="s">
        <v>1787</v>
      </c>
      <c r="J690" s="7">
        <v>1</v>
      </c>
      <c r="K690" s="70" t="s">
        <v>53</v>
      </c>
      <c r="L690" s="9">
        <v>1</v>
      </c>
      <c r="M690" s="3">
        <v>460</v>
      </c>
      <c r="N690" s="6">
        <v>1952</v>
      </c>
      <c r="P690" s="71"/>
      <c r="R690" s="6">
        <v>1950</v>
      </c>
      <c r="S690" s="3" t="s">
        <v>54</v>
      </c>
      <c r="T690" s="72"/>
      <c r="U690" s="73"/>
      <c r="W690" s="2" t="s">
        <v>1788</v>
      </c>
      <c r="X690" s="10" t="s">
        <v>56</v>
      </c>
      <c r="Y690" s="10" t="s">
        <v>57</v>
      </c>
      <c r="Z690" s="75"/>
      <c r="AA690" s="76"/>
      <c r="AB690" s="77">
        <v>19189</v>
      </c>
      <c r="AC690" s="77"/>
      <c r="AD690" s="6"/>
      <c r="AG690" s="7">
        <v>1952</v>
      </c>
      <c r="AH690" s="7">
        <v>1950</v>
      </c>
      <c r="AJ690" s="73"/>
      <c r="AL690" s="16"/>
      <c r="AM690" s="2" t="s">
        <v>59</v>
      </c>
      <c r="AO690" s="6" t="s">
        <v>59</v>
      </c>
      <c r="AQ690" s="5" t="s">
        <v>104</v>
      </c>
      <c r="AU690" s="16" t="s">
        <v>930</v>
      </c>
      <c r="AW690" s="6">
        <f t="shared" ca="1" si="12"/>
        <v>73</v>
      </c>
    </row>
    <row r="691" ht="45" hidden="1" customHeight="1">
      <c r="A691" s="69"/>
      <c r="B691" s="3" t="s">
        <v>47</v>
      </c>
      <c r="C691" s="4" t="s">
        <v>1789</v>
      </c>
      <c r="E691" s="2" t="s">
        <v>63</v>
      </c>
      <c r="F691" s="6" t="s">
        <v>172</v>
      </c>
      <c r="G691" s="5" t="s">
        <v>1790</v>
      </c>
      <c r="H691" s="2" t="s">
        <v>51</v>
      </c>
      <c r="I691" s="3" t="s">
        <v>1791</v>
      </c>
      <c r="J691" s="7">
        <v>1</v>
      </c>
      <c r="K691" s="104"/>
      <c r="L691" s="9">
        <v>1</v>
      </c>
      <c r="M691" s="3">
        <v>461</v>
      </c>
      <c r="P691" s="71"/>
      <c r="R691" s="6">
        <v>1950</v>
      </c>
      <c r="S691" s="3" t="s">
        <v>236</v>
      </c>
      <c r="T691" s="72"/>
      <c r="U691" s="73"/>
      <c r="W691" s="2" t="s">
        <v>62</v>
      </c>
      <c r="X691" s="10" t="s">
        <v>56</v>
      </c>
      <c r="Y691" s="10" t="s">
        <v>57</v>
      </c>
      <c r="Z691" s="75" t="s">
        <v>58</v>
      </c>
      <c r="AA691" s="76"/>
      <c r="AB691" s="77"/>
      <c r="AC691" s="77"/>
      <c r="AD691" s="6"/>
      <c r="AJ691" s="95">
        <v>22917</v>
      </c>
      <c r="AK691" s="7">
        <v>1960</v>
      </c>
      <c r="AL691" s="16"/>
      <c r="AW691" s="6" t="str">
        <f t="shared" ca="1" si="12"/>
        <v/>
      </c>
    </row>
    <row r="692" ht="45" customHeight="1">
      <c r="A692" s="69"/>
      <c r="B692" s="3" t="s">
        <v>47</v>
      </c>
      <c r="C692" s="4" t="s">
        <v>1792</v>
      </c>
      <c r="D692" s="5" t="s">
        <v>1793</v>
      </c>
      <c r="E692" s="2" t="s">
        <v>63</v>
      </c>
      <c r="F692" s="6" t="s">
        <v>172</v>
      </c>
      <c r="G692" s="5" t="s">
        <v>791</v>
      </c>
      <c r="H692" s="2" t="s">
        <v>51</v>
      </c>
      <c r="I692" s="3" t="s">
        <v>1794</v>
      </c>
      <c r="J692" s="7">
        <v>1</v>
      </c>
      <c r="K692" s="70" t="s">
        <v>53</v>
      </c>
      <c r="L692" s="9">
        <v>1</v>
      </c>
      <c r="M692" s="3">
        <v>462</v>
      </c>
      <c r="N692" s="6">
        <v>1952</v>
      </c>
      <c r="P692" s="71"/>
      <c r="R692" s="6">
        <v>1950</v>
      </c>
      <c r="S692" s="3" t="s">
        <v>54</v>
      </c>
      <c r="T692" s="72"/>
      <c r="U692" s="73"/>
      <c r="W692" s="2" t="s">
        <v>1795</v>
      </c>
      <c r="X692" s="10" t="s">
        <v>56</v>
      </c>
      <c r="Y692" s="10" t="s">
        <v>57</v>
      </c>
      <c r="Z692" s="75" t="s">
        <v>58</v>
      </c>
      <c r="AA692" s="76"/>
      <c r="AB692" s="77">
        <v>19203</v>
      </c>
      <c r="AC692" s="77">
        <v>19203</v>
      </c>
      <c r="AD692" s="10"/>
      <c r="AG692" s="7">
        <v>1952</v>
      </c>
      <c r="AH692" s="7">
        <v>1950</v>
      </c>
      <c r="AI692" s="7"/>
      <c r="AJ692" s="73"/>
      <c r="AK692" s="7"/>
      <c r="AL692" s="16"/>
      <c r="AM692" s="2" t="s">
        <v>59</v>
      </c>
      <c r="AU692" s="16" t="s">
        <v>447</v>
      </c>
      <c r="AW692" s="6">
        <f t="shared" ca="1" si="12"/>
        <v>73</v>
      </c>
    </row>
    <row r="693" ht="45" customHeight="1">
      <c r="A693" s="69"/>
      <c r="B693" s="3" t="s">
        <v>190</v>
      </c>
      <c r="D693" s="5" t="s">
        <v>1796</v>
      </c>
      <c r="E693" s="2" t="s">
        <v>63</v>
      </c>
      <c r="F693" s="6" t="s">
        <v>64</v>
      </c>
      <c r="G693" s="5" t="s">
        <v>75</v>
      </c>
      <c r="H693" s="2" t="s">
        <v>51</v>
      </c>
      <c r="I693" s="3" t="s">
        <v>1797</v>
      </c>
      <c r="J693" s="7">
        <v>1</v>
      </c>
      <c r="K693" s="70" t="s">
        <v>53</v>
      </c>
      <c r="L693" s="9">
        <v>1</v>
      </c>
      <c r="M693" s="3">
        <v>463</v>
      </c>
      <c r="N693" s="6">
        <v>1952</v>
      </c>
      <c r="P693" s="71"/>
      <c r="R693" s="6">
        <v>1950</v>
      </c>
      <c r="S693" s="3" t="s">
        <v>195</v>
      </c>
      <c r="T693" s="72"/>
      <c r="U693" s="73"/>
      <c r="W693" s="74" t="s">
        <v>1798</v>
      </c>
      <c r="X693" s="10" t="s">
        <v>56</v>
      </c>
      <c r="Y693" s="10" t="s">
        <v>57</v>
      </c>
      <c r="Z693" s="75" t="s">
        <v>58</v>
      </c>
      <c r="AA693" s="76"/>
      <c r="AB693" s="77"/>
      <c r="AC693" s="77">
        <v>19210</v>
      </c>
      <c r="AD693" s="10"/>
      <c r="AG693" s="7">
        <v>1952</v>
      </c>
      <c r="AH693" s="7">
        <v>1950</v>
      </c>
      <c r="AI693" s="7"/>
      <c r="AJ693" s="73"/>
      <c r="AK693" s="7"/>
      <c r="AL693" s="16"/>
      <c r="AM693" s="2" t="s">
        <v>59</v>
      </c>
      <c r="AW693" s="6">
        <f t="shared" ca="1" si="12"/>
        <v>73</v>
      </c>
    </row>
    <row r="694" ht="45" customHeight="1" outlineLevel="1">
      <c r="A694" s="69"/>
      <c r="B694" s="3" t="s">
        <v>47</v>
      </c>
      <c r="C694" s="4" t="s">
        <v>1799</v>
      </c>
      <c r="D694" s="5" t="s">
        <v>1800</v>
      </c>
      <c r="E694" s="2" t="s">
        <v>63</v>
      </c>
      <c r="F694" s="6" t="s">
        <v>172</v>
      </c>
      <c r="G694" s="5" t="s">
        <v>173</v>
      </c>
      <c r="H694" s="2" t="s">
        <v>288</v>
      </c>
      <c r="I694" s="3" t="s">
        <v>1801</v>
      </c>
      <c r="J694" s="7">
        <v>1</v>
      </c>
      <c r="K694" s="70" t="s">
        <v>53</v>
      </c>
      <c r="L694" s="9">
        <v>0</v>
      </c>
      <c r="M694" s="3">
        <v>464</v>
      </c>
      <c r="N694" s="6">
        <v>1952</v>
      </c>
      <c r="P694" s="71"/>
      <c r="R694" s="6">
        <v>1950</v>
      </c>
      <c r="S694" s="3" t="s">
        <v>54</v>
      </c>
      <c r="T694" s="72"/>
      <c r="U694" s="73"/>
      <c r="W694" s="2" t="s">
        <v>1802</v>
      </c>
      <c r="X694" s="10" t="s">
        <v>56</v>
      </c>
      <c r="Y694" s="10" t="s">
        <v>288</v>
      </c>
      <c r="Z694" s="75"/>
      <c r="AA694" s="76">
        <v>21745</v>
      </c>
      <c r="AB694" s="77"/>
      <c r="AC694" s="77"/>
      <c r="AD694" s="6"/>
      <c r="AE694" s="7">
        <v>1959</v>
      </c>
      <c r="AF694" s="7" t="s">
        <v>1803</v>
      </c>
      <c r="AG694" s="7">
        <v>1959</v>
      </c>
      <c r="AH694" s="7">
        <v>1950</v>
      </c>
      <c r="AI694" s="7">
        <v>1983</v>
      </c>
      <c r="AJ694" s="73"/>
      <c r="AK694" s="7"/>
      <c r="AL694" s="16" t="s">
        <v>1804</v>
      </c>
      <c r="AM694" s="2" t="s">
        <v>53</v>
      </c>
      <c r="AO694" s="6" t="s">
        <v>136</v>
      </c>
      <c r="AR694" s="2" t="s">
        <v>104</v>
      </c>
      <c r="AS694" s="6" t="s">
        <v>73</v>
      </c>
      <c r="AT694" s="6" t="s">
        <v>1805</v>
      </c>
      <c r="AU694" s="16" t="s">
        <v>1806</v>
      </c>
      <c r="AW694" s="6">
        <f t="shared" ca="1" si="12"/>
        <v>73</v>
      </c>
    </row>
    <row r="695" ht="45" customHeight="1" outlineLevel="1">
      <c r="A695" s="69"/>
      <c r="B695" s="3" t="s">
        <v>190</v>
      </c>
      <c r="C695" s="4" t="s">
        <v>1807</v>
      </c>
      <c r="D695" s="5" t="s">
        <v>1808</v>
      </c>
      <c r="E695" s="2" t="s">
        <v>63</v>
      </c>
      <c r="F695" s="6" t="s">
        <v>172</v>
      </c>
      <c r="G695" s="5" t="s">
        <v>173</v>
      </c>
      <c r="H695" s="2" t="s">
        <v>288</v>
      </c>
      <c r="I695" s="3" t="s">
        <v>1809</v>
      </c>
      <c r="J695" s="7">
        <v>1</v>
      </c>
      <c r="K695" s="70" t="s">
        <v>53</v>
      </c>
      <c r="L695" s="9">
        <v>0</v>
      </c>
      <c r="M695" s="3">
        <v>464</v>
      </c>
      <c r="N695" s="6">
        <v>1952</v>
      </c>
      <c r="P695" s="71"/>
      <c r="R695" s="6">
        <v>1950</v>
      </c>
      <c r="S695" s="3" t="s">
        <v>195</v>
      </c>
      <c r="T695" s="72"/>
      <c r="U695" s="73"/>
      <c r="W695" s="74" t="s">
        <v>1810</v>
      </c>
      <c r="X695" s="10" t="s">
        <v>56</v>
      </c>
      <c r="Y695" s="10" t="s">
        <v>288</v>
      </c>
      <c r="Z695" s="75"/>
      <c r="AA695" s="76">
        <v>21745</v>
      </c>
      <c r="AB695" s="77"/>
      <c r="AC695" s="77"/>
      <c r="AD695" s="6"/>
      <c r="AE695" s="7">
        <v>1959</v>
      </c>
      <c r="AF695" s="7" t="s">
        <v>1803</v>
      </c>
      <c r="AG695" s="7">
        <v>1959</v>
      </c>
      <c r="AH695" s="7">
        <v>1950</v>
      </c>
      <c r="AI695" s="7">
        <v>1983</v>
      </c>
      <c r="AJ695" s="73"/>
      <c r="AK695" s="7"/>
      <c r="AL695" s="16" t="s">
        <v>1804</v>
      </c>
      <c r="AM695" s="2" t="s">
        <v>53</v>
      </c>
      <c r="AO695" s="6" t="s">
        <v>136</v>
      </c>
      <c r="AR695" s="2" t="s">
        <v>104</v>
      </c>
      <c r="AS695" s="6" t="s">
        <v>73</v>
      </c>
      <c r="AT695" s="6" t="s">
        <v>1805</v>
      </c>
      <c r="AW695" s="6">
        <f t="shared" ca="1" si="12"/>
        <v>73</v>
      </c>
    </row>
    <row r="696" ht="45" customHeight="1">
      <c r="A696" s="69"/>
      <c r="B696" s="3" t="s">
        <v>190</v>
      </c>
      <c r="C696" s="4" t="s">
        <v>1807</v>
      </c>
      <c r="D696" s="5" t="s">
        <v>1808</v>
      </c>
      <c r="E696" s="2" t="s">
        <v>63</v>
      </c>
      <c r="F696" s="6" t="s">
        <v>172</v>
      </c>
      <c r="G696" s="5" t="s">
        <v>173</v>
      </c>
      <c r="H696" s="2" t="s">
        <v>288</v>
      </c>
      <c r="I696" s="3" t="s">
        <v>1811</v>
      </c>
      <c r="J696" s="7">
        <v>1</v>
      </c>
      <c r="K696" s="70" t="s">
        <v>53</v>
      </c>
      <c r="L696" s="9">
        <v>0</v>
      </c>
      <c r="M696" s="3">
        <v>464</v>
      </c>
      <c r="N696" s="6">
        <v>1952</v>
      </c>
      <c r="P696" s="71"/>
      <c r="R696" s="6">
        <v>1950</v>
      </c>
      <c r="S696" s="3" t="s">
        <v>195</v>
      </c>
      <c r="T696" s="72"/>
      <c r="U696" s="73"/>
      <c r="W696" s="158" t="s">
        <v>1812</v>
      </c>
      <c r="X696" s="10" t="s">
        <v>56</v>
      </c>
      <c r="Y696" s="10" t="s">
        <v>288</v>
      </c>
      <c r="Z696" s="75"/>
      <c r="AA696" s="76">
        <v>21745</v>
      </c>
      <c r="AB696" s="77"/>
      <c r="AC696" s="77"/>
      <c r="AD696" s="6"/>
      <c r="AE696" s="7">
        <v>1959</v>
      </c>
      <c r="AF696" s="7" t="s">
        <v>1803</v>
      </c>
      <c r="AG696" s="7">
        <v>1959</v>
      </c>
      <c r="AH696" s="7">
        <v>1950</v>
      </c>
      <c r="AI696" s="7">
        <v>1983</v>
      </c>
      <c r="AJ696" s="73"/>
      <c r="AK696" s="7"/>
      <c r="AL696" s="16" t="s">
        <v>1804</v>
      </c>
      <c r="AM696" s="2" t="s">
        <v>53</v>
      </c>
      <c r="AO696" s="6" t="s">
        <v>136</v>
      </c>
      <c r="AR696" s="2" t="s">
        <v>104</v>
      </c>
      <c r="AS696" s="6" t="s">
        <v>73</v>
      </c>
      <c r="AT696" s="6" t="s">
        <v>1805</v>
      </c>
      <c r="AW696" s="6">
        <f t="shared" ca="1" si="12"/>
        <v>73</v>
      </c>
    </row>
    <row r="697" ht="45" customHeight="1">
      <c r="A697" s="69"/>
      <c r="B697" s="3" t="s">
        <v>190</v>
      </c>
      <c r="C697" s="4" t="s">
        <v>1807</v>
      </c>
      <c r="D697" s="5" t="s">
        <v>1808</v>
      </c>
      <c r="E697" s="2" t="s">
        <v>63</v>
      </c>
      <c r="F697" s="6" t="s">
        <v>172</v>
      </c>
      <c r="G697" s="5" t="s">
        <v>173</v>
      </c>
      <c r="H697" s="2" t="s">
        <v>288</v>
      </c>
      <c r="I697" s="3" t="s">
        <v>1813</v>
      </c>
      <c r="J697" s="7">
        <v>1</v>
      </c>
      <c r="K697" s="70" t="s">
        <v>53</v>
      </c>
      <c r="L697" s="9">
        <v>1</v>
      </c>
      <c r="M697" s="3">
        <v>464</v>
      </c>
      <c r="N697" s="6">
        <v>1952</v>
      </c>
      <c r="P697" s="71"/>
      <c r="R697" s="6">
        <v>1950</v>
      </c>
      <c r="S697" s="3" t="s">
        <v>195</v>
      </c>
      <c r="T697" s="72"/>
      <c r="U697" s="73"/>
      <c r="W697" s="74" t="s">
        <v>1814</v>
      </c>
      <c r="X697" s="10" t="s">
        <v>56</v>
      </c>
      <c r="Y697" s="10" t="s">
        <v>288</v>
      </c>
      <c r="Z697" s="75"/>
      <c r="AA697" s="76">
        <v>21745</v>
      </c>
      <c r="AB697" s="77"/>
      <c r="AC697" s="77"/>
      <c r="AD697" s="6"/>
      <c r="AE697" s="7">
        <v>1959</v>
      </c>
      <c r="AF697" s="7" t="s">
        <v>1803</v>
      </c>
      <c r="AG697" s="7">
        <v>1959</v>
      </c>
      <c r="AH697" s="7">
        <v>1950</v>
      </c>
      <c r="AI697" s="7">
        <v>1983</v>
      </c>
      <c r="AJ697" s="73"/>
      <c r="AK697" s="7"/>
      <c r="AL697" s="16" t="s">
        <v>1804</v>
      </c>
      <c r="AM697" s="2" t="s">
        <v>73</v>
      </c>
      <c r="AO697" s="6" t="s">
        <v>136</v>
      </c>
      <c r="AR697" s="2" t="s">
        <v>104</v>
      </c>
      <c r="AS697" s="6" t="s">
        <v>73</v>
      </c>
      <c r="AT697" s="6" t="s">
        <v>1805</v>
      </c>
      <c r="AW697" s="6">
        <f t="shared" ca="1" si="12"/>
        <v>73</v>
      </c>
    </row>
    <row r="698" ht="45" customHeight="1" outlineLevel="1">
      <c r="A698" s="69"/>
      <c r="B698" s="3" t="s">
        <v>190</v>
      </c>
      <c r="C698" s="4" t="s">
        <v>1807</v>
      </c>
      <c r="D698" s="5" t="s">
        <v>1808</v>
      </c>
      <c r="E698" s="2" t="s">
        <v>63</v>
      </c>
      <c r="F698" s="6" t="s">
        <v>172</v>
      </c>
      <c r="G698" s="5" t="s">
        <v>173</v>
      </c>
      <c r="H698" s="2" t="s">
        <v>288</v>
      </c>
      <c r="I698" s="3" t="s">
        <v>1815</v>
      </c>
      <c r="J698" s="7">
        <v>1</v>
      </c>
      <c r="K698" s="70" t="s">
        <v>53</v>
      </c>
      <c r="L698" s="9">
        <v>0</v>
      </c>
      <c r="M698" s="3">
        <v>464</v>
      </c>
      <c r="N698" s="6">
        <v>1952</v>
      </c>
      <c r="P698" s="71"/>
      <c r="R698" s="6">
        <v>1950</v>
      </c>
      <c r="S698" s="3" t="s">
        <v>195</v>
      </c>
      <c r="T698" s="72"/>
      <c r="U698" s="73"/>
      <c r="W698" s="74" t="s">
        <v>1816</v>
      </c>
      <c r="X698" s="10" t="s">
        <v>56</v>
      </c>
      <c r="Y698" s="10" t="s">
        <v>288</v>
      </c>
      <c r="Z698" s="75"/>
      <c r="AA698" s="76">
        <v>21745</v>
      </c>
      <c r="AB698" s="77"/>
      <c r="AC698" s="77"/>
      <c r="AD698" s="6"/>
      <c r="AE698" s="7">
        <v>1959</v>
      </c>
      <c r="AF698" s="7" t="s">
        <v>1803</v>
      </c>
      <c r="AG698" s="7">
        <v>1959</v>
      </c>
      <c r="AH698" s="7">
        <v>1950</v>
      </c>
      <c r="AI698" s="7">
        <v>1983</v>
      </c>
      <c r="AJ698" s="73"/>
      <c r="AK698" s="7"/>
      <c r="AL698" s="16" t="s">
        <v>1804</v>
      </c>
      <c r="AM698" s="2" t="s">
        <v>73</v>
      </c>
      <c r="AO698" s="6" t="s">
        <v>136</v>
      </c>
      <c r="AR698" s="2" t="s">
        <v>104</v>
      </c>
      <c r="AS698" s="6" t="s">
        <v>73</v>
      </c>
      <c r="AT698" s="6" t="s">
        <v>1805</v>
      </c>
      <c r="AW698" s="6">
        <f t="shared" ca="1" si="12"/>
        <v>73</v>
      </c>
    </row>
    <row r="699" ht="45" customHeight="1" outlineLevel="1">
      <c r="A699" s="69"/>
      <c r="B699" s="3" t="s">
        <v>190</v>
      </c>
      <c r="C699" s="4" t="s">
        <v>1807</v>
      </c>
      <c r="D699" s="5" t="s">
        <v>1808</v>
      </c>
      <c r="E699" s="2" t="s">
        <v>63</v>
      </c>
      <c r="F699" s="6" t="s">
        <v>172</v>
      </c>
      <c r="G699" s="5" t="s">
        <v>173</v>
      </c>
      <c r="H699" s="2" t="s">
        <v>288</v>
      </c>
      <c r="I699" s="3" t="s">
        <v>1817</v>
      </c>
      <c r="J699" s="7">
        <v>1</v>
      </c>
      <c r="K699" s="70" t="s">
        <v>53</v>
      </c>
      <c r="L699" s="9">
        <v>0</v>
      </c>
      <c r="M699" s="3">
        <v>464</v>
      </c>
      <c r="N699" s="6">
        <v>1952</v>
      </c>
      <c r="P699" s="71"/>
      <c r="R699" s="6">
        <v>1950</v>
      </c>
      <c r="S699" s="3" t="s">
        <v>195</v>
      </c>
      <c r="T699" s="72"/>
      <c r="U699" s="73"/>
      <c r="W699" s="74" t="s">
        <v>1818</v>
      </c>
      <c r="X699" s="10" t="s">
        <v>56</v>
      </c>
      <c r="Y699" s="10" t="s">
        <v>288</v>
      </c>
      <c r="Z699" s="75"/>
      <c r="AA699" s="76">
        <v>21745</v>
      </c>
      <c r="AB699" s="77"/>
      <c r="AC699" s="77"/>
      <c r="AD699" s="6"/>
      <c r="AE699" s="7">
        <v>1959</v>
      </c>
      <c r="AF699" s="7" t="s">
        <v>1803</v>
      </c>
      <c r="AG699" s="7">
        <v>1959</v>
      </c>
      <c r="AH699" s="7">
        <v>1950</v>
      </c>
      <c r="AI699" s="7">
        <v>1983</v>
      </c>
      <c r="AJ699" s="73"/>
      <c r="AK699" s="7"/>
      <c r="AL699" s="16" t="s">
        <v>1804</v>
      </c>
      <c r="AM699" s="2" t="s">
        <v>53</v>
      </c>
      <c r="AO699" s="6" t="s">
        <v>136</v>
      </c>
      <c r="AR699" s="2" t="s">
        <v>104</v>
      </c>
      <c r="AS699" s="6" t="s">
        <v>73</v>
      </c>
      <c r="AT699" s="6" t="s">
        <v>1805</v>
      </c>
      <c r="AW699" s="6">
        <f t="shared" ca="1" si="12"/>
        <v>73</v>
      </c>
    </row>
    <row r="700" ht="45" customHeight="1">
      <c r="A700" s="69"/>
      <c r="B700" s="3" t="s">
        <v>190</v>
      </c>
      <c r="C700" s="4" t="s">
        <v>1807</v>
      </c>
      <c r="D700" s="5" t="s">
        <v>1808</v>
      </c>
      <c r="E700" s="2" t="s">
        <v>63</v>
      </c>
      <c r="F700" s="6" t="s">
        <v>172</v>
      </c>
      <c r="G700" s="5" t="s">
        <v>173</v>
      </c>
      <c r="H700" s="2" t="s">
        <v>288</v>
      </c>
      <c r="I700" s="3" t="s">
        <v>1819</v>
      </c>
      <c r="J700" s="7">
        <v>1</v>
      </c>
      <c r="K700" s="70" t="s">
        <v>53</v>
      </c>
      <c r="L700" s="9">
        <v>0</v>
      </c>
      <c r="M700" s="3">
        <v>464</v>
      </c>
      <c r="N700" s="6">
        <v>1952</v>
      </c>
      <c r="P700" s="71"/>
      <c r="R700" s="6">
        <v>1950</v>
      </c>
      <c r="S700" s="3" t="s">
        <v>195</v>
      </c>
      <c r="T700" s="72"/>
      <c r="U700" s="73"/>
      <c r="W700" s="158" t="s">
        <v>1820</v>
      </c>
      <c r="X700" s="10" t="s">
        <v>56</v>
      </c>
      <c r="Y700" s="10" t="s">
        <v>288</v>
      </c>
      <c r="Z700" s="75"/>
      <c r="AA700" s="76">
        <v>21745</v>
      </c>
      <c r="AB700" s="77"/>
      <c r="AC700" s="77"/>
      <c r="AD700" s="6"/>
      <c r="AE700" s="7">
        <v>1959</v>
      </c>
      <c r="AF700" s="7" t="s">
        <v>1803</v>
      </c>
      <c r="AG700" s="7">
        <v>1959</v>
      </c>
      <c r="AH700" s="7">
        <v>1950</v>
      </c>
      <c r="AI700" s="7">
        <v>1983</v>
      </c>
      <c r="AJ700" s="73"/>
      <c r="AK700" s="7"/>
      <c r="AL700" s="16" t="s">
        <v>1804</v>
      </c>
      <c r="AM700" s="2" t="s">
        <v>73</v>
      </c>
      <c r="AO700" s="6" t="s">
        <v>136</v>
      </c>
      <c r="AR700" s="2" t="s">
        <v>104</v>
      </c>
      <c r="AS700" s="6" t="s">
        <v>73</v>
      </c>
      <c r="AT700" s="6" t="s">
        <v>1805</v>
      </c>
      <c r="AW700" s="6">
        <f t="shared" ca="1" si="12"/>
        <v>73</v>
      </c>
    </row>
    <row r="701" ht="45" customHeight="1">
      <c r="A701" s="69"/>
      <c r="B701" s="3" t="s">
        <v>190</v>
      </c>
      <c r="C701" s="4" t="s">
        <v>1821</v>
      </c>
      <c r="D701" s="5" t="s">
        <v>1808</v>
      </c>
      <c r="E701" s="2" t="s">
        <v>63</v>
      </c>
      <c r="F701" s="6" t="s">
        <v>172</v>
      </c>
      <c r="G701" s="5" t="s">
        <v>173</v>
      </c>
      <c r="H701" s="2" t="s">
        <v>288</v>
      </c>
      <c r="I701" s="3" t="s">
        <v>1822</v>
      </c>
      <c r="J701" s="7">
        <v>1</v>
      </c>
      <c r="K701" s="70" t="s">
        <v>53</v>
      </c>
      <c r="L701" s="9">
        <v>0</v>
      </c>
      <c r="M701" s="3">
        <v>464</v>
      </c>
      <c r="N701" s="6">
        <v>1952</v>
      </c>
      <c r="P701" s="71"/>
      <c r="R701" s="6">
        <v>1950</v>
      </c>
      <c r="S701" s="3" t="s">
        <v>195</v>
      </c>
      <c r="T701" s="72"/>
      <c r="U701" s="73"/>
      <c r="W701" s="74" t="s">
        <v>1823</v>
      </c>
      <c r="X701" s="10" t="s">
        <v>56</v>
      </c>
      <c r="Y701" s="10" t="s">
        <v>288</v>
      </c>
      <c r="Z701" s="75"/>
      <c r="AA701" s="76">
        <v>21745</v>
      </c>
      <c r="AB701" s="77"/>
      <c r="AC701" s="77"/>
      <c r="AD701" s="6"/>
      <c r="AE701" s="7">
        <v>1959</v>
      </c>
      <c r="AF701" s="7" t="s">
        <v>1803</v>
      </c>
      <c r="AG701" s="7">
        <v>1959</v>
      </c>
      <c r="AH701" s="7">
        <v>1950</v>
      </c>
      <c r="AI701" s="7">
        <v>1983</v>
      </c>
      <c r="AJ701" s="73"/>
      <c r="AK701" s="7"/>
      <c r="AL701" s="16" t="s">
        <v>1804</v>
      </c>
      <c r="AM701" s="2" t="s">
        <v>73</v>
      </c>
      <c r="AO701" s="6" t="s">
        <v>136</v>
      </c>
      <c r="AR701" s="2" t="s">
        <v>104</v>
      </c>
      <c r="AS701" s="6" t="s">
        <v>73</v>
      </c>
      <c r="AT701" s="6" t="s">
        <v>1805</v>
      </c>
      <c r="AW701" s="6">
        <f t="shared" ca="1" si="12"/>
        <v>73</v>
      </c>
    </row>
    <row r="702" ht="45" customHeight="1" outlineLevel="1">
      <c r="A702" s="69"/>
      <c r="B702" s="3" t="s">
        <v>47</v>
      </c>
      <c r="E702" s="2" t="s">
        <v>83</v>
      </c>
      <c r="F702" s="6" t="s">
        <v>179</v>
      </c>
      <c r="G702" s="5" t="s">
        <v>180</v>
      </c>
      <c r="H702" s="2" t="s">
        <v>51</v>
      </c>
      <c r="I702" s="3" t="s">
        <v>1824</v>
      </c>
      <c r="J702" s="7">
        <v>1</v>
      </c>
      <c r="K702" s="70" t="s">
        <v>53</v>
      </c>
      <c r="L702" s="9">
        <v>1</v>
      </c>
      <c r="M702" s="3">
        <v>465</v>
      </c>
      <c r="P702" s="71"/>
      <c r="R702" s="6">
        <v>1950</v>
      </c>
      <c r="S702" s="3" t="s">
        <v>54</v>
      </c>
      <c r="T702" s="72"/>
      <c r="U702" s="73"/>
      <c r="W702" s="2" t="s">
        <v>1825</v>
      </c>
      <c r="X702" s="10" t="s">
        <v>56</v>
      </c>
      <c r="Y702" s="10" t="s">
        <v>57</v>
      </c>
      <c r="Z702" s="75" t="s">
        <v>58</v>
      </c>
      <c r="AA702" s="76"/>
      <c r="AB702" s="77"/>
      <c r="AC702" s="77">
        <v>22943</v>
      </c>
      <c r="AD702" s="10"/>
      <c r="AG702" s="7">
        <v>1962</v>
      </c>
      <c r="AH702" s="7">
        <v>1960</v>
      </c>
      <c r="AI702" s="7"/>
      <c r="AJ702" s="73"/>
      <c r="AK702" s="7"/>
      <c r="AL702" s="16"/>
      <c r="AM702" s="2" t="s">
        <v>59</v>
      </c>
      <c r="AW702" s="6" t="str">
        <f t="shared" ca="1" si="12"/>
        <v/>
      </c>
    </row>
    <row r="703" ht="45" customHeight="1">
      <c r="A703" s="69"/>
      <c r="B703" s="3" t="s">
        <v>47</v>
      </c>
      <c r="E703" s="2" t="s">
        <v>83</v>
      </c>
      <c r="F703" s="6" t="s">
        <v>84</v>
      </c>
      <c r="G703" s="5" t="s">
        <v>85</v>
      </c>
      <c r="H703" s="2" t="s">
        <v>57</v>
      </c>
      <c r="I703" s="3" t="s">
        <v>1826</v>
      </c>
      <c r="J703" s="7">
        <v>1</v>
      </c>
      <c r="K703" s="70" t="s">
        <v>53</v>
      </c>
      <c r="L703" s="9">
        <v>1</v>
      </c>
      <c r="M703" s="3">
        <v>466</v>
      </c>
      <c r="P703" s="71"/>
      <c r="R703" s="6">
        <v>1950</v>
      </c>
      <c r="S703" s="3" t="s">
        <v>54</v>
      </c>
      <c r="T703" s="72"/>
      <c r="U703" s="73"/>
      <c r="W703" s="2" t="s">
        <v>1827</v>
      </c>
      <c r="X703" s="10" t="s">
        <v>56</v>
      </c>
      <c r="Y703" s="10" t="s">
        <v>57</v>
      </c>
      <c r="Z703" s="75"/>
      <c r="AA703" s="76"/>
      <c r="AB703" s="77">
        <v>20130</v>
      </c>
      <c r="AC703" s="77"/>
      <c r="AD703" s="6"/>
      <c r="AG703" s="7">
        <v>1955</v>
      </c>
      <c r="AH703" s="7">
        <v>1950</v>
      </c>
      <c r="AI703" s="7"/>
      <c r="AJ703" s="73"/>
      <c r="AK703" s="7"/>
      <c r="AL703" s="16"/>
      <c r="AM703" s="2" t="s">
        <v>59</v>
      </c>
      <c r="AW703" s="6" t="str">
        <f t="shared" ca="1" si="12"/>
        <v/>
      </c>
    </row>
    <row r="704" ht="45" customHeight="1" outlineLevel="1">
      <c r="A704" s="69"/>
      <c r="B704" s="3" t="s">
        <v>47</v>
      </c>
      <c r="E704" s="2" t="s">
        <v>83</v>
      </c>
      <c r="F704" s="6" t="s">
        <v>84</v>
      </c>
      <c r="G704" s="5" t="s">
        <v>85</v>
      </c>
      <c r="H704" s="2" t="s">
        <v>57</v>
      </c>
      <c r="I704" s="3" t="s">
        <v>1828</v>
      </c>
      <c r="J704" s="7">
        <v>1</v>
      </c>
      <c r="K704" s="70" t="s">
        <v>53</v>
      </c>
      <c r="L704" s="9">
        <v>0</v>
      </c>
      <c r="M704" s="3">
        <v>466</v>
      </c>
      <c r="P704" s="71"/>
      <c r="R704" s="6">
        <v>1950</v>
      </c>
      <c r="S704" s="3" t="s">
        <v>54</v>
      </c>
      <c r="T704" s="72"/>
      <c r="U704" s="73"/>
      <c r="W704" s="2" t="s">
        <v>1829</v>
      </c>
      <c r="X704" s="10" t="s">
        <v>56</v>
      </c>
      <c r="Y704" s="10" t="s">
        <v>57</v>
      </c>
      <c r="Z704" s="75" t="s">
        <v>58</v>
      </c>
      <c r="AA704" s="76"/>
      <c r="AB704" s="77">
        <v>19305</v>
      </c>
      <c r="AC704" s="77"/>
      <c r="AD704" s="6"/>
      <c r="AG704" s="7">
        <v>1952</v>
      </c>
      <c r="AH704" s="7">
        <v>1950</v>
      </c>
      <c r="AI704" s="7"/>
      <c r="AJ704" s="73"/>
      <c r="AK704" s="7"/>
      <c r="AL704" s="16"/>
      <c r="AM704" s="2" t="s">
        <v>59</v>
      </c>
      <c r="AW704" s="6" t="str">
        <f t="shared" ca="1" si="12"/>
        <v/>
      </c>
    </row>
    <row r="705" ht="45" customHeight="1" outlineLevel="1">
      <c r="A705" s="69"/>
      <c r="B705" s="3" t="s">
        <v>47</v>
      </c>
      <c r="E705" s="2" t="s">
        <v>48</v>
      </c>
      <c r="F705" s="6" t="s">
        <v>49</v>
      </c>
      <c r="G705" s="5" t="s">
        <v>1830</v>
      </c>
      <c r="H705" s="2" t="s">
        <v>57</v>
      </c>
      <c r="I705" s="3" t="s">
        <v>1831</v>
      </c>
      <c r="J705" s="7">
        <v>1</v>
      </c>
      <c r="K705" s="70" t="s">
        <v>53</v>
      </c>
      <c r="L705" s="9">
        <v>1</v>
      </c>
      <c r="M705" s="3">
        <v>467</v>
      </c>
      <c r="N705" s="6">
        <v>1952</v>
      </c>
      <c r="P705" s="71"/>
      <c r="R705" s="6">
        <v>1950</v>
      </c>
      <c r="S705" s="3" t="s">
        <v>54</v>
      </c>
      <c r="T705" s="72"/>
      <c r="U705" s="73"/>
      <c r="W705" s="2" t="s">
        <v>1832</v>
      </c>
      <c r="X705" s="10" t="s">
        <v>56</v>
      </c>
      <c r="Y705" s="10" t="s">
        <v>57</v>
      </c>
      <c r="Z705" s="75"/>
      <c r="AA705" s="76"/>
      <c r="AB705" s="77">
        <v>19504</v>
      </c>
      <c r="AC705" s="77"/>
      <c r="AD705" s="6"/>
      <c r="AG705" s="7">
        <v>1953</v>
      </c>
      <c r="AH705" s="7">
        <v>1950</v>
      </c>
      <c r="AI705" s="7"/>
      <c r="AJ705" s="73"/>
      <c r="AK705" s="7"/>
      <c r="AL705" s="16"/>
      <c r="AM705" s="2" t="s">
        <v>59</v>
      </c>
      <c r="AW705" s="6">
        <f t="shared" ca="1" si="12"/>
        <v>73</v>
      </c>
    </row>
    <row r="706" ht="45" customHeight="1">
      <c r="A706" s="69"/>
      <c r="B706" s="3" t="s">
        <v>47</v>
      </c>
      <c r="E706" s="2" t="s">
        <v>83</v>
      </c>
      <c r="F706" s="6" t="s">
        <v>179</v>
      </c>
      <c r="G706" s="5" t="s">
        <v>287</v>
      </c>
      <c r="H706" s="2" t="s">
        <v>51</v>
      </c>
      <c r="I706" s="3" t="s">
        <v>1833</v>
      </c>
      <c r="J706" s="7">
        <v>1</v>
      </c>
      <c r="K706" s="70" t="s">
        <v>53</v>
      </c>
      <c r="L706" s="9">
        <v>1</v>
      </c>
      <c r="M706" s="3">
        <v>468</v>
      </c>
      <c r="P706" s="71"/>
      <c r="R706" s="6">
        <v>1950</v>
      </c>
      <c r="S706" s="3" t="s">
        <v>54</v>
      </c>
      <c r="T706" s="72"/>
      <c r="U706" s="73"/>
      <c r="W706" s="2" t="s">
        <v>1834</v>
      </c>
      <c r="X706" s="10" t="s">
        <v>56</v>
      </c>
      <c r="Y706" s="10" t="s">
        <v>57</v>
      </c>
      <c r="Z706" s="75" t="s">
        <v>58</v>
      </c>
      <c r="AA706" s="76"/>
      <c r="AB706" s="77">
        <v>19314</v>
      </c>
      <c r="AC706" s="77">
        <v>19314</v>
      </c>
      <c r="AD706" s="10"/>
      <c r="AG706" s="7">
        <v>1952</v>
      </c>
      <c r="AH706" s="7">
        <v>1950</v>
      </c>
      <c r="AI706" s="7"/>
      <c r="AJ706" s="73"/>
      <c r="AK706" s="7"/>
      <c r="AL706" s="16"/>
      <c r="AM706" s="2" t="s">
        <v>59</v>
      </c>
      <c r="AW706" s="6" t="str">
        <f t="shared" ca="1" si="12"/>
        <v/>
      </c>
    </row>
    <row r="707" ht="45" hidden="1" customHeight="1" outlineLevel="1">
      <c r="A707" s="69"/>
      <c r="B707" s="3" t="s">
        <v>47</v>
      </c>
      <c r="C707" s="4" t="s">
        <v>1835</v>
      </c>
      <c r="D707" s="5" t="s">
        <v>1836</v>
      </c>
      <c r="E707" s="2" t="s">
        <v>83</v>
      </c>
      <c r="F707" s="6" t="s">
        <v>179</v>
      </c>
      <c r="G707" s="5" t="s">
        <v>1837</v>
      </c>
      <c r="H707" s="2" t="s">
        <v>51</v>
      </c>
      <c r="I707" s="3" t="s">
        <v>1838</v>
      </c>
      <c r="J707" s="7">
        <v>1</v>
      </c>
      <c r="K707" s="70" t="s">
        <v>127</v>
      </c>
      <c r="L707" s="9">
        <v>1</v>
      </c>
      <c r="M707" s="3">
        <v>469</v>
      </c>
      <c r="P707" s="71"/>
      <c r="R707" s="6">
        <v>1950</v>
      </c>
      <c r="S707" s="3" t="s">
        <v>128</v>
      </c>
      <c r="T707" s="72"/>
      <c r="U707" s="73"/>
      <c r="W707" s="2" t="s">
        <v>1839</v>
      </c>
      <c r="X707" s="10" t="s">
        <v>56</v>
      </c>
      <c r="Y707" s="10" t="s">
        <v>57</v>
      </c>
      <c r="Z707" s="75" t="s">
        <v>58</v>
      </c>
      <c r="AA707" s="76"/>
      <c r="AB707" s="77"/>
      <c r="AC707" s="77"/>
      <c r="AD707" s="10"/>
      <c r="AE707" s="7">
        <v>2021</v>
      </c>
      <c r="AG707" s="7">
        <v>1953</v>
      </c>
      <c r="AH707" s="7">
        <v>1950</v>
      </c>
      <c r="AI707" s="7"/>
      <c r="AJ707" s="73"/>
      <c r="AK707" s="7"/>
      <c r="AL707" s="16" t="s">
        <v>1840</v>
      </c>
      <c r="AM707" s="2" t="s">
        <v>59</v>
      </c>
      <c r="AW707" s="6" t="str">
        <f t="shared" ca="1" si="12"/>
        <v/>
      </c>
    </row>
    <row r="708" ht="45" hidden="1" customHeight="1">
      <c r="A708" s="69"/>
      <c r="B708" s="3" t="s">
        <v>47</v>
      </c>
      <c r="C708" s="4" t="s">
        <v>1841</v>
      </c>
      <c r="D708" s="5" t="s">
        <v>1842</v>
      </c>
      <c r="E708" s="2" t="s">
        <v>63</v>
      </c>
      <c r="F708" s="6" t="s">
        <v>83</v>
      </c>
      <c r="G708" s="5" t="s">
        <v>1176</v>
      </c>
      <c r="H708" s="2" t="s">
        <v>51</v>
      </c>
      <c r="I708" s="3" t="s">
        <v>1843</v>
      </c>
      <c r="J708" s="7">
        <v>1</v>
      </c>
      <c r="K708" s="70"/>
      <c r="L708" s="9">
        <v>1</v>
      </c>
      <c r="M708" s="3">
        <v>470</v>
      </c>
      <c r="N708" s="6">
        <v>1952</v>
      </c>
      <c r="P708" s="71"/>
      <c r="R708" s="6">
        <v>1950</v>
      </c>
      <c r="S708" s="3" t="s">
        <v>236</v>
      </c>
      <c r="T708" s="72"/>
      <c r="U708" s="73"/>
      <c r="W708" s="2" t="s">
        <v>62</v>
      </c>
      <c r="X708" s="10" t="s">
        <v>56</v>
      </c>
      <c r="Y708" s="10" t="s">
        <v>57</v>
      </c>
      <c r="Z708" s="75" t="s">
        <v>58</v>
      </c>
      <c r="AA708" s="76"/>
      <c r="AB708" s="77"/>
      <c r="AC708" s="77"/>
      <c r="AD708" s="10"/>
      <c r="AI708" s="7"/>
      <c r="AJ708" s="10">
        <v>42704</v>
      </c>
      <c r="AK708" s="7">
        <v>2010</v>
      </c>
      <c r="AL708" s="16"/>
      <c r="AW708" s="6">
        <f t="shared" ca="1" si="12"/>
        <v>73</v>
      </c>
    </row>
    <row r="709" ht="45" customHeight="1">
      <c r="A709" s="69"/>
      <c r="B709" s="3" t="s">
        <v>47</v>
      </c>
      <c r="E709" s="2" t="s">
        <v>1074</v>
      </c>
      <c r="F709" s="6" t="s">
        <v>1075</v>
      </c>
      <c r="G709" s="5" t="s">
        <v>1310</v>
      </c>
      <c r="H709" s="2" t="s">
        <v>51</v>
      </c>
      <c r="I709" s="3" t="s">
        <v>1012</v>
      </c>
      <c r="J709" s="7">
        <v>1</v>
      </c>
      <c r="K709" s="70" t="s">
        <v>53</v>
      </c>
      <c r="L709" s="9">
        <v>1</v>
      </c>
      <c r="M709" s="3">
        <v>471</v>
      </c>
      <c r="N709" s="6">
        <v>1952</v>
      </c>
      <c r="P709" s="71"/>
      <c r="R709" s="6">
        <v>1950</v>
      </c>
      <c r="S709" s="3" t="s">
        <v>54</v>
      </c>
      <c r="T709" s="72"/>
      <c r="U709" s="73"/>
      <c r="W709" s="2" t="s">
        <v>1844</v>
      </c>
      <c r="X709" s="10" t="s">
        <v>56</v>
      </c>
      <c r="Y709" s="10" t="s">
        <v>57</v>
      </c>
      <c r="Z709" s="75" t="s">
        <v>58</v>
      </c>
      <c r="AA709" s="76"/>
      <c r="AB709" s="77"/>
      <c r="AC709" s="77">
        <v>19668</v>
      </c>
      <c r="AD709" s="10"/>
      <c r="AG709" s="7">
        <v>1953</v>
      </c>
      <c r="AH709" s="7">
        <v>1950</v>
      </c>
      <c r="AI709" s="7"/>
      <c r="AJ709" s="73"/>
      <c r="AK709" s="7"/>
      <c r="AL709" s="16"/>
      <c r="AM709" s="2" t="s">
        <v>59</v>
      </c>
      <c r="AW709" s="6">
        <f t="shared" ca="1" si="12"/>
        <v>73</v>
      </c>
    </row>
    <row r="710" ht="45" customHeight="1">
      <c r="A710" s="69"/>
      <c r="B710" s="3" t="s">
        <v>47</v>
      </c>
      <c r="E710" s="2" t="s">
        <v>83</v>
      </c>
      <c r="F710" s="6" t="s">
        <v>179</v>
      </c>
      <c r="G710" s="5" t="s">
        <v>180</v>
      </c>
      <c r="H710" s="2" t="s">
        <v>57</v>
      </c>
      <c r="I710" s="3" t="s">
        <v>1845</v>
      </c>
      <c r="J710" s="7">
        <v>1</v>
      </c>
      <c r="K710" s="70" t="s">
        <v>53</v>
      </c>
      <c r="L710" s="9">
        <v>1</v>
      </c>
      <c r="M710" s="3">
        <v>472</v>
      </c>
      <c r="P710" s="71"/>
      <c r="R710" s="6">
        <v>1950</v>
      </c>
      <c r="S710" s="3" t="s">
        <v>54</v>
      </c>
      <c r="T710" s="72"/>
      <c r="U710" s="73"/>
      <c r="W710" s="2" t="s">
        <v>1846</v>
      </c>
      <c r="X710" s="10" t="s">
        <v>56</v>
      </c>
      <c r="Y710" s="10" t="s">
        <v>57</v>
      </c>
      <c r="Z710" s="75"/>
      <c r="AA710" s="76"/>
      <c r="AB710" s="77">
        <v>23202</v>
      </c>
      <c r="AC710" s="77"/>
      <c r="AD710" s="6"/>
      <c r="AG710" s="7">
        <v>1963</v>
      </c>
      <c r="AH710" s="7">
        <v>1960</v>
      </c>
      <c r="AI710" s="7"/>
      <c r="AJ710" s="73"/>
      <c r="AK710" s="7"/>
      <c r="AL710" s="16"/>
      <c r="AM710" s="2" t="s">
        <v>59</v>
      </c>
      <c r="AW710" s="6" t="str">
        <f t="shared" ca="1" si="12"/>
        <v/>
      </c>
    </row>
    <row r="711" ht="45" customHeight="1" outlineLevel="1">
      <c r="A711" s="69"/>
      <c r="B711" s="3" t="s">
        <v>47</v>
      </c>
      <c r="E711" s="2" t="s">
        <v>63</v>
      </c>
      <c r="F711" s="6" t="s">
        <v>217</v>
      </c>
      <c r="G711" s="5" t="s">
        <v>589</v>
      </c>
      <c r="H711" s="2" t="s">
        <v>51</v>
      </c>
      <c r="I711" s="3" t="s">
        <v>1847</v>
      </c>
      <c r="J711" s="7">
        <v>1</v>
      </c>
      <c r="K711" s="70" t="s">
        <v>53</v>
      </c>
      <c r="L711" s="9">
        <v>1</v>
      </c>
      <c r="M711" s="3">
        <v>473</v>
      </c>
      <c r="N711" s="6">
        <v>1953</v>
      </c>
      <c r="P711" s="71"/>
      <c r="R711" s="6">
        <v>1950</v>
      </c>
      <c r="S711" s="3" t="s">
        <v>54</v>
      </c>
      <c r="T711" s="72"/>
      <c r="U711" s="73"/>
      <c r="W711" s="2" t="s">
        <v>1848</v>
      </c>
      <c r="X711" s="10" t="s">
        <v>56</v>
      </c>
      <c r="Y711" s="10" t="s">
        <v>57</v>
      </c>
      <c r="Z711" s="75" t="s">
        <v>58</v>
      </c>
      <c r="AA711" s="76"/>
      <c r="AB711" s="77"/>
      <c r="AC711" s="77">
        <v>20131</v>
      </c>
      <c r="AD711" s="10"/>
      <c r="AG711" s="7">
        <v>1955</v>
      </c>
      <c r="AH711" s="7">
        <v>1950</v>
      </c>
      <c r="AI711" s="7"/>
      <c r="AJ711" s="73"/>
      <c r="AK711" s="7"/>
      <c r="AL711" s="16"/>
      <c r="AM711" s="2" t="s">
        <v>59</v>
      </c>
      <c r="AW711" s="6">
        <f t="shared" ca="1" si="12"/>
        <v>72</v>
      </c>
    </row>
    <row r="712" ht="45" hidden="1" customHeight="1">
      <c r="A712" s="132">
        <v>42747</v>
      </c>
      <c r="B712" s="3" t="s">
        <v>190</v>
      </c>
      <c r="C712" s="159" t="s">
        <v>1849</v>
      </c>
      <c r="D712" s="117" t="s">
        <v>1850</v>
      </c>
      <c r="E712" s="2" t="s">
        <v>83</v>
      </c>
      <c r="F712" s="6" t="s">
        <v>179</v>
      </c>
      <c r="G712" s="5" t="s">
        <v>1851</v>
      </c>
      <c r="H712" s="2" t="s">
        <v>51</v>
      </c>
      <c r="I712" s="3" t="s">
        <v>1852</v>
      </c>
      <c r="J712" s="7">
        <v>1</v>
      </c>
      <c r="K712" s="133"/>
      <c r="L712" s="9">
        <v>1</v>
      </c>
      <c r="M712" s="3">
        <v>474</v>
      </c>
      <c r="N712" s="6">
        <v>1952</v>
      </c>
      <c r="P712" s="71"/>
      <c r="R712" s="6">
        <v>1950</v>
      </c>
      <c r="S712" s="3" t="s">
        <v>283</v>
      </c>
      <c r="T712" s="72" t="s">
        <v>1136</v>
      </c>
      <c r="U712" s="73"/>
      <c r="W712" s="74" t="s">
        <v>62</v>
      </c>
      <c r="X712" s="10" t="s">
        <v>56</v>
      </c>
      <c r="Y712" s="10" t="s">
        <v>57</v>
      </c>
      <c r="Z712" s="75" t="s">
        <v>58</v>
      </c>
      <c r="AA712" s="137"/>
      <c r="AB712" s="138"/>
      <c r="AC712" s="138"/>
      <c r="AD712" s="136"/>
      <c r="AE712" s="139">
        <v>1953</v>
      </c>
      <c r="AF712" s="7">
        <v>17</v>
      </c>
      <c r="AG712" s="139"/>
      <c r="AH712" s="139"/>
      <c r="AI712" s="139"/>
      <c r="AJ712" s="160"/>
      <c r="AK712" s="139"/>
      <c r="AL712" s="101" t="s">
        <v>1853</v>
      </c>
      <c r="AO712" s="141"/>
      <c r="AP712" s="141"/>
      <c r="AQ712" s="117"/>
      <c r="AR712" s="142"/>
      <c r="AS712" s="141"/>
      <c r="AT712" s="141"/>
      <c r="AU712" s="140"/>
      <c r="AV712" s="143"/>
      <c r="AW712" s="6">
        <f t="shared" ca="1" si="12"/>
        <v>73</v>
      </c>
    </row>
    <row r="713" ht="45" customHeight="1">
      <c r="A713" s="69"/>
      <c r="B713" s="3" t="s">
        <v>47</v>
      </c>
      <c r="E713" s="2" t="s">
        <v>83</v>
      </c>
      <c r="F713" s="6" t="s">
        <v>179</v>
      </c>
      <c r="G713" s="5" t="s">
        <v>1854</v>
      </c>
      <c r="H713" s="2" t="s">
        <v>51</v>
      </c>
      <c r="I713" s="3" t="s">
        <v>1855</v>
      </c>
      <c r="J713" s="7">
        <v>1</v>
      </c>
      <c r="K713" s="70" t="s">
        <v>53</v>
      </c>
      <c r="L713" s="9">
        <v>1</v>
      </c>
      <c r="M713" s="3">
        <v>475</v>
      </c>
      <c r="P713" s="71"/>
      <c r="R713" s="6">
        <v>1950</v>
      </c>
      <c r="S713" s="3" t="s">
        <v>54</v>
      </c>
      <c r="T713" s="72"/>
      <c r="U713" s="73"/>
      <c r="W713" s="2" t="s">
        <v>1856</v>
      </c>
      <c r="X713" s="10" t="s">
        <v>56</v>
      </c>
      <c r="Y713" s="10" t="s">
        <v>57</v>
      </c>
      <c r="Z713" s="75" t="s">
        <v>58</v>
      </c>
      <c r="AA713" s="76"/>
      <c r="AB713" s="77"/>
      <c r="AC713" s="77">
        <v>19435</v>
      </c>
      <c r="AD713" s="10"/>
      <c r="AG713" s="7">
        <v>1953</v>
      </c>
      <c r="AH713" s="7">
        <v>1950</v>
      </c>
      <c r="AI713" s="7"/>
      <c r="AJ713" s="73"/>
      <c r="AK713" s="7"/>
      <c r="AL713" s="16"/>
      <c r="AM713" s="2" t="s">
        <v>59</v>
      </c>
      <c r="AW713" s="6" t="str">
        <f t="shared" ca="1" si="12"/>
        <v/>
      </c>
    </row>
    <row r="714" ht="45" customHeight="1">
      <c r="A714" s="69"/>
      <c r="B714" s="3" t="s">
        <v>47</v>
      </c>
      <c r="E714" s="78" t="s">
        <v>83</v>
      </c>
      <c r="F714" s="79" t="s">
        <v>179</v>
      </c>
      <c r="G714" s="80" t="s">
        <v>1857</v>
      </c>
      <c r="H714" s="78" t="s">
        <v>257</v>
      </c>
      <c r="I714" s="81" t="s">
        <v>1858</v>
      </c>
      <c r="J714" s="7">
        <v>1</v>
      </c>
      <c r="K714" s="70" t="s">
        <v>53</v>
      </c>
      <c r="L714" s="9">
        <v>1</v>
      </c>
      <c r="M714" s="3">
        <v>476</v>
      </c>
      <c r="N714" s="6">
        <v>1953</v>
      </c>
      <c r="P714" s="71"/>
      <c r="R714" s="6">
        <v>1950</v>
      </c>
      <c r="S714" s="3" t="s">
        <v>54</v>
      </c>
      <c r="T714" s="72"/>
      <c r="U714" s="73"/>
      <c r="W714" s="78" t="s">
        <v>1859</v>
      </c>
      <c r="X714" s="82" t="s">
        <v>56</v>
      </c>
      <c r="Y714" s="82" t="s">
        <v>68</v>
      </c>
      <c r="Z714" s="83" t="s">
        <v>260</v>
      </c>
      <c r="AA714" s="76"/>
      <c r="AB714" s="77">
        <v>32307</v>
      </c>
      <c r="AC714" s="77">
        <v>32307</v>
      </c>
      <c r="AD714" s="10"/>
      <c r="AE714" s="7">
        <v>1986</v>
      </c>
      <c r="AF714" s="7">
        <v>125</v>
      </c>
      <c r="AG714" s="7">
        <v>1988</v>
      </c>
      <c r="AH714" s="7">
        <v>1980</v>
      </c>
      <c r="AI714" s="7"/>
      <c r="AJ714" s="73"/>
      <c r="AK714" s="7"/>
      <c r="AL714" s="16"/>
      <c r="AM714" s="2" t="s">
        <v>53</v>
      </c>
      <c r="AU714" s="16" t="s">
        <v>1860</v>
      </c>
      <c r="AW714" s="6">
        <f t="shared" ca="1" si="12"/>
        <v>72</v>
      </c>
    </row>
    <row r="715" ht="45" hidden="1" customHeight="1" outlineLevel="1">
      <c r="A715" s="69"/>
      <c r="B715" s="3" t="s">
        <v>47</v>
      </c>
      <c r="C715" s="4" t="s">
        <v>1861</v>
      </c>
      <c r="E715" s="2" t="s">
        <v>48</v>
      </c>
      <c r="F715" s="6" t="s">
        <v>49</v>
      </c>
      <c r="G715" s="5" t="s">
        <v>1830</v>
      </c>
      <c r="H715" s="2" t="s">
        <v>57</v>
      </c>
      <c r="I715" s="3" t="s">
        <v>1862</v>
      </c>
      <c r="J715" s="7">
        <v>1</v>
      </c>
      <c r="K715" s="70"/>
      <c r="L715" s="9">
        <v>1</v>
      </c>
      <c r="M715" s="3">
        <v>477</v>
      </c>
      <c r="P715" s="71"/>
      <c r="R715" s="6">
        <v>1950</v>
      </c>
      <c r="S715" s="3" t="s">
        <v>236</v>
      </c>
      <c r="T715" s="72"/>
      <c r="U715" s="73"/>
      <c r="W715" s="2" t="s">
        <v>62</v>
      </c>
      <c r="X715" s="10" t="s">
        <v>56</v>
      </c>
      <c r="Y715" s="10" t="s">
        <v>57</v>
      </c>
      <c r="Z715" s="75"/>
      <c r="AA715" s="76"/>
      <c r="AB715" s="77"/>
      <c r="AC715" s="77"/>
      <c r="AD715" s="10"/>
      <c r="AI715" s="7"/>
      <c r="AJ715" s="95">
        <v>22922</v>
      </c>
      <c r="AK715" s="7">
        <v>1960</v>
      </c>
      <c r="AL715" s="16"/>
      <c r="AW715" s="6" t="str">
        <f t="shared" ca="1" si="12"/>
        <v/>
      </c>
    </row>
    <row r="716" ht="45" hidden="1" customHeight="1" outlineLevel="1">
      <c r="A716" s="69"/>
      <c r="B716" s="3" t="s">
        <v>47</v>
      </c>
      <c r="C716" s="4" t="s">
        <v>1863</v>
      </c>
      <c r="E716" s="2" t="s">
        <v>83</v>
      </c>
      <c r="F716" s="6" t="s">
        <v>931</v>
      </c>
      <c r="G716" s="5" t="s">
        <v>1585</v>
      </c>
      <c r="H716" s="2" t="s">
        <v>51</v>
      </c>
      <c r="I716" s="3" t="s">
        <v>1864</v>
      </c>
      <c r="J716" s="7">
        <v>1</v>
      </c>
      <c r="K716" s="70"/>
      <c r="L716" s="9">
        <v>1</v>
      </c>
      <c r="M716" s="3">
        <v>478</v>
      </c>
      <c r="P716" s="71"/>
      <c r="R716" s="6">
        <v>1950</v>
      </c>
      <c r="S716" s="3" t="s">
        <v>236</v>
      </c>
      <c r="T716" s="72"/>
      <c r="U716" s="73"/>
      <c r="W716" s="2" t="s">
        <v>62</v>
      </c>
      <c r="X716" s="10" t="s">
        <v>56</v>
      </c>
      <c r="Y716" s="10" t="s">
        <v>57</v>
      </c>
      <c r="Z716" s="75" t="s">
        <v>58</v>
      </c>
      <c r="AA716" s="76"/>
      <c r="AB716" s="77"/>
      <c r="AC716" s="77"/>
      <c r="AD716" s="10"/>
      <c r="AI716" s="7"/>
      <c r="AJ716" s="95">
        <v>36346</v>
      </c>
      <c r="AK716" s="7">
        <v>1990</v>
      </c>
      <c r="AL716" s="16"/>
      <c r="AW716" s="6" t="str">
        <f t="shared" ca="1" si="12"/>
        <v/>
      </c>
    </row>
    <row r="717" ht="45" hidden="1" customHeight="1">
      <c r="A717" s="69"/>
      <c r="B717" s="3" t="s">
        <v>47</v>
      </c>
      <c r="C717" s="4" t="s">
        <v>1263</v>
      </c>
      <c r="E717" s="2" t="s">
        <v>83</v>
      </c>
      <c r="F717" s="6" t="s">
        <v>84</v>
      </c>
      <c r="G717" s="5" t="s">
        <v>85</v>
      </c>
      <c r="H717" s="2" t="s">
        <v>491</v>
      </c>
      <c r="I717" s="3" t="s">
        <v>1865</v>
      </c>
      <c r="J717" s="7">
        <v>1</v>
      </c>
      <c r="L717" s="9">
        <v>1</v>
      </c>
      <c r="M717" s="3">
        <v>479</v>
      </c>
      <c r="N717" s="6">
        <v>1950</v>
      </c>
      <c r="P717" s="71"/>
      <c r="R717" s="6">
        <v>1950</v>
      </c>
      <c r="S717" s="3" t="s">
        <v>236</v>
      </c>
      <c r="T717" s="72"/>
      <c r="U717" s="73">
        <v>38044</v>
      </c>
      <c r="W717" s="2" t="s">
        <v>62</v>
      </c>
      <c r="X717" s="10" t="s">
        <v>56</v>
      </c>
      <c r="Y717" s="10" t="s">
        <v>523</v>
      </c>
      <c r="Z717" s="75"/>
      <c r="AI717" s="7"/>
      <c r="AJ717" s="95">
        <v>38044</v>
      </c>
      <c r="AK717" s="7">
        <v>2000</v>
      </c>
      <c r="AL717" s="16"/>
      <c r="AW717" s="6">
        <f t="shared" ca="1" si="12"/>
        <v>75</v>
      </c>
    </row>
    <row r="718" ht="45" customHeight="1">
      <c r="A718" s="69"/>
      <c r="B718" s="3" t="s">
        <v>47</v>
      </c>
      <c r="E718" s="2" t="s">
        <v>63</v>
      </c>
      <c r="F718" s="6" t="s">
        <v>172</v>
      </c>
      <c r="G718" s="5" t="s">
        <v>173</v>
      </c>
      <c r="H718" s="2" t="s">
        <v>51</v>
      </c>
      <c r="I718" s="3" t="s">
        <v>1866</v>
      </c>
      <c r="J718" s="7">
        <v>1</v>
      </c>
      <c r="K718" s="70" t="s">
        <v>53</v>
      </c>
      <c r="L718" s="9">
        <v>1</v>
      </c>
      <c r="M718" s="3">
        <v>480</v>
      </c>
      <c r="N718" s="6">
        <v>1951</v>
      </c>
      <c r="P718" s="71"/>
      <c r="R718" s="6">
        <v>1950</v>
      </c>
      <c r="S718" s="3" t="s">
        <v>54</v>
      </c>
      <c r="T718" s="72"/>
      <c r="U718" s="73"/>
      <c r="W718" s="2" t="s">
        <v>1867</v>
      </c>
      <c r="X718" s="10" t="s">
        <v>56</v>
      </c>
      <c r="Y718" s="10" t="s">
        <v>57</v>
      </c>
      <c r="Z718" s="75" t="s">
        <v>58</v>
      </c>
      <c r="AA718" s="76"/>
      <c r="AB718" s="77">
        <v>29319</v>
      </c>
      <c r="AC718" s="77">
        <v>29319</v>
      </c>
      <c r="AD718" s="10"/>
      <c r="AE718" s="7">
        <v>1978</v>
      </c>
      <c r="AF718" s="7">
        <v>79</v>
      </c>
      <c r="AG718" s="7">
        <v>1980</v>
      </c>
      <c r="AH718" s="7">
        <v>1980</v>
      </c>
      <c r="AI718" s="7"/>
      <c r="AJ718" s="73"/>
      <c r="AK718" s="7"/>
      <c r="AL718" s="16"/>
      <c r="AM718" s="2" t="s">
        <v>59</v>
      </c>
      <c r="AW718" s="6">
        <f t="shared" ca="1" si="12"/>
        <v>74</v>
      </c>
    </row>
    <row r="719" ht="45" hidden="1" customHeight="1">
      <c r="A719" s="69"/>
      <c r="B719" s="3" t="s">
        <v>47</v>
      </c>
      <c r="C719" s="4" t="s">
        <v>1868</v>
      </c>
      <c r="E719" s="2" t="s">
        <v>1074</v>
      </c>
      <c r="F719" s="6" t="s">
        <v>1075</v>
      </c>
      <c r="G719" s="5" t="s">
        <v>1869</v>
      </c>
      <c r="H719" s="2" t="s">
        <v>51</v>
      </c>
      <c r="I719" s="96" t="s">
        <v>1870</v>
      </c>
      <c r="J719" s="7">
        <v>1</v>
      </c>
      <c r="K719" s="104"/>
      <c r="L719" s="9">
        <v>1</v>
      </c>
      <c r="M719" s="3">
        <v>481</v>
      </c>
      <c r="N719" s="6">
        <v>1953</v>
      </c>
      <c r="P719" s="71"/>
      <c r="R719" s="6">
        <v>1950</v>
      </c>
      <c r="S719" s="3" t="s">
        <v>236</v>
      </c>
      <c r="T719" s="72"/>
      <c r="U719" s="73"/>
      <c r="W719" s="2" t="s">
        <v>62</v>
      </c>
      <c r="X719" s="10" t="s">
        <v>56</v>
      </c>
      <c r="Y719" s="10" t="s">
        <v>57</v>
      </c>
      <c r="Z719" s="75" t="s">
        <v>58</v>
      </c>
      <c r="AA719" s="76"/>
      <c r="AB719" s="77"/>
      <c r="AC719" s="77"/>
      <c r="AD719" s="6"/>
      <c r="AI719" s="7"/>
      <c r="AJ719" s="95">
        <v>41354</v>
      </c>
      <c r="AK719" s="7">
        <v>2010</v>
      </c>
      <c r="AL719" s="16"/>
      <c r="AW719" s="6">
        <f t="shared" ca="1" si="12"/>
        <v>72</v>
      </c>
    </row>
    <row r="720" ht="45" hidden="1" customHeight="1" outlineLevel="1">
      <c r="A720" s="69"/>
      <c r="B720" s="3" t="s">
        <v>190</v>
      </c>
      <c r="C720" s="4" t="s">
        <v>1871</v>
      </c>
      <c r="D720" s="5" t="s">
        <v>1872</v>
      </c>
      <c r="E720" s="2" t="s">
        <v>83</v>
      </c>
      <c r="F720" s="6" t="s">
        <v>704</v>
      </c>
      <c r="G720" s="5" t="s">
        <v>1873</v>
      </c>
      <c r="H720" s="2" t="s">
        <v>51</v>
      </c>
      <c r="I720" s="3" t="s">
        <v>1874</v>
      </c>
      <c r="J720" s="7">
        <v>1</v>
      </c>
      <c r="K720" s="104"/>
      <c r="L720" s="9">
        <v>1</v>
      </c>
      <c r="M720" s="3">
        <v>482</v>
      </c>
      <c r="N720" s="6">
        <v>1953</v>
      </c>
      <c r="P720" s="71"/>
      <c r="R720" s="6">
        <v>1950</v>
      </c>
      <c r="S720" s="3" t="s">
        <v>283</v>
      </c>
      <c r="T720" s="72"/>
      <c r="U720" s="73"/>
      <c r="W720" s="74" t="s">
        <v>62</v>
      </c>
      <c r="X720" s="10" t="s">
        <v>56</v>
      </c>
      <c r="Y720" s="10" t="s">
        <v>57</v>
      </c>
      <c r="Z720" s="75" t="s">
        <v>58</v>
      </c>
      <c r="AA720" s="76"/>
      <c r="AB720" s="77"/>
      <c r="AC720" s="77"/>
      <c r="AD720" s="6"/>
      <c r="AI720" s="7"/>
      <c r="AJ720" s="73"/>
      <c r="AK720" s="7"/>
      <c r="AL720" s="16"/>
      <c r="AW720" s="6">
        <f t="shared" ca="1" si="12"/>
        <v>72</v>
      </c>
    </row>
    <row r="721" ht="45" hidden="1" customHeight="1" outlineLevel="1">
      <c r="A721" s="69"/>
      <c r="B721" s="3" t="s">
        <v>47</v>
      </c>
      <c r="C721" s="4" t="s">
        <v>1875</v>
      </c>
      <c r="E721" s="2" t="s">
        <v>83</v>
      </c>
      <c r="F721" s="6" t="s">
        <v>179</v>
      </c>
      <c r="G721" s="5" t="s">
        <v>1876</v>
      </c>
      <c r="H721" s="2" t="s">
        <v>51</v>
      </c>
      <c r="I721" s="3" t="s">
        <v>1877</v>
      </c>
      <c r="J721" s="7">
        <v>1</v>
      </c>
      <c r="K721" s="104"/>
      <c r="L721" s="9">
        <v>1</v>
      </c>
      <c r="M721" s="3">
        <v>483</v>
      </c>
      <c r="P721" s="71"/>
      <c r="R721" s="6">
        <v>1950</v>
      </c>
      <c r="S721" s="3" t="s">
        <v>236</v>
      </c>
      <c r="T721" s="72"/>
      <c r="U721" s="73"/>
      <c r="W721" s="2" t="s">
        <v>62</v>
      </c>
      <c r="X721" s="10" t="s">
        <v>56</v>
      </c>
      <c r="Y721" s="10" t="s">
        <v>57</v>
      </c>
      <c r="Z721" s="75" t="s">
        <v>58</v>
      </c>
      <c r="AA721" s="76"/>
      <c r="AB721" s="77"/>
      <c r="AC721" s="77"/>
      <c r="AD721" s="6"/>
      <c r="AI721" s="7"/>
      <c r="AJ721" s="95">
        <v>22984</v>
      </c>
      <c r="AK721" s="7">
        <v>1960</v>
      </c>
      <c r="AL721" s="16"/>
      <c r="AW721" s="6" t="str">
        <f t="shared" ca="1" si="12"/>
        <v/>
      </c>
    </row>
    <row r="722" ht="45" customHeight="1" outlineLevel="1">
      <c r="A722" s="69"/>
      <c r="B722" s="3" t="s">
        <v>47</v>
      </c>
      <c r="E722" s="2" t="s">
        <v>694</v>
      </c>
      <c r="F722" s="6" t="s">
        <v>695</v>
      </c>
      <c r="G722" s="5" t="s">
        <v>1878</v>
      </c>
      <c r="H722" s="2" t="s">
        <v>57</v>
      </c>
      <c r="I722" s="3" t="s">
        <v>1879</v>
      </c>
      <c r="J722" s="7">
        <v>1</v>
      </c>
      <c r="K722" s="70" t="s">
        <v>53</v>
      </c>
      <c r="L722" s="9">
        <v>1</v>
      </c>
      <c r="M722" s="3">
        <v>484</v>
      </c>
      <c r="N722" s="6">
        <v>1952</v>
      </c>
      <c r="P722" s="71"/>
      <c r="R722" s="6">
        <v>1950</v>
      </c>
      <c r="S722" s="3" t="s">
        <v>54</v>
      </c>
      <c r="T722" s="72"/>
      <c r="U722" s="73"/>
      <c r="W722" s="2" t="s">
        <v>1880</v>
      </c>
      <c r="X722" s="10" t="s">
        <v>56</v>
      </c>
      <c r="Y722" s="10" t="s">
        <v>57</v>
      </c>
      <c r="Z722" s="75"/>
      <c r="AA722" s="76"/>
      <c r="AB722" s="77">
        <v>23197</v>
      </c>
      <c r="AC722" s="77"/>
      <c r="AD722" s="6"/>
      <c r="AE722" s="7">
        <v>1963</v>
      </c>
      <c r="AF722" s="7">
        <v>41</v>
      </c>
      <c r="AG722" s="7">
        <v>1963</v>
      </c>
      <c r="AH722" s="7">
        <v>1960</v>
      </c>
      <c r="AI722" s="7"/>
      <c r="AJ722" s="73"/>
      <c r="AK722" s="7"/>
      <c r="AL722" s="16"/>
      <c r="AM722" s="2" t="s">
        <v>59</v>
      </c>
      <c r="AO722" s="6" t="s">
        <v>136</v>
      </c>
      <c r="AP722" s="6" t="s">
        <v>104</v>
      </c>
      <c r="AQ722" s="5" t="s">
        <v>104</v>
      </c>
      <c r="AW722" s="6">
        <f t="shared" ca="1" si="12"/>
        <v>73</v>
      </c>
    </row>
    <row r="723" ht="45" customHeight="1">
      <c r="A723" s="69"/>
      <c r="B723" s="3" t="s">
        <v>47</v>
      </c>
      <c r="E723" s="78" t="s">
        <v>83</v>
      </c>
      <c r="F723" s="79" t="s">
        <v>179</v>
      </c>
      <c r="G723" s="80" t="s">
        <v>319</v>
      </c>
      <c r="H723" s="78" t="s">
        <v>68</v>
      </c>
      <c r="I723" s="161" t="s">
        <v>1881</v>
      </c>
      <c r="J723" s="7">
        <v>1</v>
      </c>
      <c r="K723" s="70" t="s">
        <v>53</v>
      </c>
      <c r="L723" s="9">
        <v>1</v>
      </c>
      <c r="M723" s="3">
        <v>485</v>
      </c>
      <c r="N723" s="6">
        <v>1953</v>
      </c>
      <c r="P723" s="71"/>
      <c r="R723" s="6">
        <v>1950</v>
      </c>
      <c r="S723" s="3" t="s">
        <v>54</v>
      </c>
      <c r="T723" s="72"/>
      <c r="U723" s="73"/>
      <c r="W723" s="78" t="s">
        <v>1882</v>
      </c>
      <c r="X723" s="82" t="s">
        <v>56</v>
      </c>
      <c r="Y723" s="82" t="s">
        <v>68</v>
      </c>
      <c r="Z723" s="83"/>
      <c r="AA723" s="76">
        <v>23769</v>
      </c>
      <c r="AB723" s="77">
        <v>23769</v>
      </c>
      <c r="AC723" s="77"/>
      <c r="AD723" s="6"/>
      <c r="AG723" s="7">
        <v>1965</v>
      </c>
      <c r="AH723" s="7">
        <v>1960</v>
      </c>
      <c r="AI723" s="7"/>
      <c r="AJ723" s="73"/>
      <c r="AK723" s="7"/>
      <c r="AL723" s="16"/>
      <c r="AM723" s="2" t="s">
        <v>73</v>
      </c>
      <c r="AO723" s="6" t="s">
        <v>136</v>
      </c>
      <c r="AW723" s="6">
        <f t="shared" ca="1" si="12"/>
        <v>72</v>
      </c>
    </row>
    <row r="724" ht="45" hidden="1" customHeight="1">
      <c r="A724" s="69"/>
      <c r="B724" s="3" t="s">
        <v>47</v>
      </c>
      <c r="C724" s="4" t="s">
        <v>1883</v>
      </c>
      <c r="E724" s="2" t="s">
        <v>63</v>
      </c>
      <c r="F724" s="6" t="s">
        <v>172</v>
      </c>
      <c r="G724" s="5" t="s">
        <v>173</v>
      </c>
      <c r="H724" s="2" t="s">
        <v>51</v>
      </c>
      <c r="I724" s="3" t="s">
        <v>1884</v>
      </c>
      <c r="J724" s="7">
        <v>1</v>
      </c>
      <c r="K724" s="104"/>
      <c r="L724" s="9">
        <v>1</v>
      </c>
      <c r="M724" s="3">
        <v>486</v>
      </c>
      <c r="P724" s="71"/>
      <c r="R724" s="6">
        <v>1950</v>
      </c>
      <c r="S724" s="3" t="s">
        <v>236</v>
      </c>
      <c r="T724" s="72"/>
      <c r="U724" s="73"/>
      <c r="W724" s="2" t="s">
        <v>62</v>
      </c>
      <c r="X724" s="10" t="s">
        <v>56</v>
      </c>
      <c r="Y724" s="10" t="s">
        <v>57</v>
      </c>
      <c r="Z724" s="75" t="s">
        <v>58</v>
      </c>
      <c r="AA724" s="76"/>
      <c r="AB724" s="77"/>
      <c r="AC724" s="77"/>
      <c r="AD724" s="6"/>
      <c r="AI724" s="7"/>
      <c r="AJ724" s="95">
        <v>22955</v>
      </c>
      <c r="AK724" s="7">
        <v>1960</v>
      </c>
      <c r="AL724" s="16"/>
      <c r="AW724" s="6" t="str">
        <f t="shared" ca="1" si="12"/>
        <v/>
      </c>
    </row>
    <row r="725" ht="45" customHeight="1">
      <c r="A725" s="69"/>
      <c r="B725" s="3" t="s">
        <v>47</v>
      </c>
      <c r="E725" s="2" t="s">
        <v>63</v>
      </c>
      <c r="F725" s="6" t="s">
        <v>64</v>
      </c>
      <c r="G725" s="5" t="s">
        <v>69</v>
      </c>
      <c r="H725" s="2" t="s">
        <v>181</v>
      </c>
      <c r="I725" s="3" t="s">
        <v>1885</v>
      </c>
      <c r="J725" s="7">
        <v>1</v>
      </c>
      <c r="K725" s="70" t="s">
        <v>53</v>
      </c>
      <c r="L725" s="9">
        <v>1</v>
      </c>
      <c r="M725" s="3">
        <v>487</v>
      </c>
      <c r="N725" s="6">
        <v>1953</v>
      </c>
      <c r="P725" s="71"/>
      <c r="R725" s="6">
        <v>1950</v>
      </c>
      <c r="S725" s="3" t="s">
        <v>54</v>
      </c>
      <c r="T725" s="72"/>
      <c r="U725" s="73"/>
      <c r="W725" s="2" t="s">
        <v>1886</v>
      </c>
      <c r="X725" s="10" t="s">
        <v>56</v>
      </c>
      <c r="Y725" s="10" t="s">
        <v>181</v>
      </c>
      <c r="Z725" s="75"/>
      <c r="AA725" s="76"/>
      <c r="AB725" s="77">
        <v>27197</v>
      </c>
      <c r="AC725" s="77"/>
      <c r="AD725" s="6"/>
      <c r="AF725" s="7">
        <v>110</v>
      </c>
      <c r="AG725" s="7">
        <v>1974</v>
      </c>
      <c r="AH725" s="7">
        <v>1970</v>
      </c>
      <c r="AI725" s="7">
        <v>1984</v>
      </c>
      <c r="AJ725" s="73"/>
      <c r="AK725" s="7"/>
      <c r="AL725" s="16" t="s">
        <v>1887</v>
      </c>
      <c r="AM725" s="2" t="s">
        <v>82</v>
      </c>
      <c r="AS725" s="6" t="s">
        <v>73</v>
      </c>
      <c r="AW725" s="6">
        <f t="shared" ca="1" si="12"/>
        <v>72</v>
      </c>
    </row>
    <row r="726" ht="45" hidden="1" customHeight="1">
      <c r="A726" s="69"/>
      <c r="B726" s="3" t="s">
        <v>60</v>
      </c>
      <c r="C726" s="4" t="s">
        <v>1888</v>
      </c>
      <c r="I726" s="3" t="s">
        <v>61</v>
      </c>
      <c r="J726" s="7">
        <v>0</v>
      </c>
      <c r="K726" s="104"/>
      <c r="L726" s="9">
        <v>1</v>
      </c>
      <c r="M726" s="3">
        <v>488</v>
      </c>
      <c r="P726" s="71"/>
      <c r="R726" s="6" t="s">
        <v>60</v>
      </c>
      <c r="S726" s="3" t="s">
        <v>60</v>
      </c>
      <c r="T726" s="72"/>
      <c r="U726" s="73"/>
      <c r="W726" s="74" t="s">
        <v>62</v>
      </c>
      <c r="X726" s="10"/>
      <c r="Y726" s="10"/>
      <c r="Z726" s="75"/>
      <c r="AA726" s="76"/>
      <c r="AB726" s="77"/>
      <c r="AC726" s="77"/>
      <c r="AD726" s="6"/>
      <c r="AI726" s="7"/>
      <c r="AJ726" s="73"/>
      <c r="AK726" s="7"/>
      <c r="AL726" s="16"/>
      <c r="AW726" s="6" t="str">
        <f t="shared" ca="1" si="12"/>
        <v/>
      </c>
    </row>
    <row r="727" ht="45" hidden="1" customHeight="1">
      <c r="A727" s="69"/>
      <c r="B727" s="3" t="s">
        <v>47</v>
      </c>
      <c r="C727" s="4" t="s">
        <v>1263</v>
      </c>
      <c r="E727" s="2" t="s">
        <v>48</v>
      </c>
      <c r="F727" s="6" t="s">
        <v>49</v>
      </c>
      <c r="G727" s="5" t="s">
        <v>1889</v>
      </c>
      <c r="H727" s="2" t="s">
        <v>57</v>
      </c>
      <c r="I727" s="3" t="s">
        <v>1890</v>
      </c>
      <c r="J727" s="7">
        <v>1</v>
      </c>
      <c r="K727" s="104"/>
      <c r="L727" s="9">
        <v>1</v>
      </c>
      <c r="M727" s="3">
        <v>489</v>
      </c>
      <c r="N727" s="6">
        <v>1953</v>
      </c>
      <c r="P727" s="71"/>
      <c r="R727" s="6">
        <v>1950</v>
      </c>
      <c r="S727" s="3" t="s">
        <v>236</v>
      </c>
      <c r="T727" s="72"/>
      <c r="U727" s="73"/>
      <c r="W727" s="2" t="s">
        <v>62</v>
      </c>
      <c r="X727" s="10" t="s">
        <v>56</v>
      </c>
      <c r="Y727" s="10" t="s">
        <v>57</v>
      </c>
      <c r="Z727" s="75"/>
      <c r="AA727" s="76"/>
      <c r="AB727" s="77"/>
      <c r="AC727" s="77"/>
      <c r="AD727" s="6"/>
      <c r="AI727" s="7"/>
      <c r="AJ727" s="95">
        <v>38044</v>
      </c>
      <c r="AK727" s="7">
        <v>2000</v>
      </c>
      <c r="AL727" s="16"/>
      <c r="AW727" s="6">
        <f t="shared" ca="1" si="12"/>
        <v>72</v>
      </c>
    </row>
    <row r="728" ht="45" customHeight="1">
      <c r="A728" s="69"/>
      <c r="B728" s="3" t="s">
        <v>47</v>
      </c>
      <c r="E728" s="2" t="s">
        <v>63</v>
      </c>
      <c r="F728" s="6" t="s">
        <v>172</v>
      </c>
      <c r="G728" s="5" t="s">
        <v>1891</v>
      </c>
      <c r="H728" s="2" t="s">
        <v>51</v>
      </c>
      <c r="I728" s="148" t="s">
        <v>1892</v>
      </c>
      <c r="J728" s="7">
        <v>1</v>
      </c>
      <c r="K728" s="70" t="s">
        <v>53</v>
      </c>
      <c r="L728" s="9">
        <v>1</v>
      </c>
      <c r="M728" s="3">
        <v>490</v>
      </c>
      <c r="N728" s="6">
        <v>1948</v>
      </c>
      <c r="P728" s="71"/>
      <c r="R728" s="6">
        <v>1950</v>
      </c>
      <c r="S728" s="3" t="s">
        <v>54</v>
      </c>
      <c r="T728" s="72"/>
      <c r="U728" s="73"/>
      <c r="W728" s="2" t="s">
        <v>1893</v>
      </c>
      <c r="X728" s="10" t="s">
        <v>56</v>
      </c>
      <c r="Y728" s="10" t="s">
        <v>57</v>
      </c>
      <c r="Z728" s="75" t="s">
        <v>58</v>
      </c>
      <c r="AA728" s="76"/>
      <c r="AB728" s="77">
        <v>26317</v>
      </c>
      <c r="AC728" s="77"/>
      <c r="AD728" s="6"/>
      <c r="AG728" s="7">
        <v>1972</v>
      </c>
      <c r="AH728" s="7">
        <v>1970</v>
      </c>
      <c r="AI728" s="7"/>
      <c r="AJ728" s="73"/>
      <c r="AK728" s="7"/>
      <c r="AL728" s="16" t="s">
        <v>176</v>
      </c>
      <c r="AM728" s="2" t="s">
        <v>59</v>
      </c>
      <c r="AU728" s="16" t="s">
        <v>1894</v>
      </c>
      <c r="AW728" s="6">
        <f t="shared" ca="1" si="12"/>
        <v>77</v>
      </c>
    </row>
    <row r="729" ht="45" customHeight="1">
      <c r="A729" s="69"/>
      <c r="B729" s="3" t="s">
        <v>47</v>
      </c>
      <c r="E729" s="2" t="s">
        <v>63</v>
      </c>
      <c r="F729" s="6" t="s">
        <v>172</v>
      </c>
      <c r="G729" s="5" t="s">
        <v>1891</v>
      </c>
      <c r="H729" s="2" t="s">
        <v>51</v>
      </c>
      <c r="I729" s="148" t="s">
        <v>1895</v>
      </c>
      <c r="J729" s="7">
        <v>1</v>
      </c>
      <c r="K729" s="70" t="s">
        <v>53</v>
      </c>
      <c r="L729" s="9">
        <v>0</v>
      </c>
      <c r="M729" s="3">
        <v>490</v>
      </c>
      <c r="N729" s="6">
        <v>1948</v>
      </c>
      <c r="P729" s="71"/>
      <c r="R729" s="6">
        <v>1950</v>
      </c>
      <c r="S729" s="3" t="s">
        <v>54</v>
      </c>
      <c r="T729" s="72"/>
      <c r="U729" s="73"/>
      <c r="W729" s="2" t="s">
        <v>1896</v>
      </c>
      <c r="X729" s="10" t="s">
        <v>56</v>
      </c>
      <c r="Y729" s="10" t="s">
        <v>57</v>
      </c>
      <c r="Z729" s="75" t="s">
        <v>58</v>
      </c>
      <c r="AA729" s="76"/>
      <c r="AB729" s="77">
        <v>26317</v>
      </c>
      <c r="AC729" s="77"/>
      <c r="AD729" s="6"/>
      <c r="AG729" s="7">
        <v>1972</v>
      </c>
      <c r="AH729" s="7">
        <v>1970</v>
      </c>
      <c r="AI729" s="7"/>
      <c r="AJ729" s="73"/>
      <c r="AK729" s="7"/>
      <c r="AL729" s="16" t="s">
        <v>176</v>
      </c>
      <c r="AM729" s="2" t="s">
        <v>59</v>
      </c>
      <c r="AU729" s="16" t="s">
        <v>1894</v>
      </c>
      <c r="AW729" s="6">
        <f t="shared" ca="1" si="12"/>
        <v>77</v>
      </c>
    </row>
    <row r="730" ht="45" customHeight="1">
      <c r="A730" s="69"/>
      <c r="B730" s="3" t="s">
        <v>47</v>
      </c>
      <c r="C730" s="4" t="s">
        <v>1897</v>
      </c>
      <c r="E730" s="2" t="s">
        <v>83</v>
      </c>
      <c r="F730" s="6" t="s">
        <v>179</v>
      </c>
      <c r="G730" s="5" t="s">
        <v>1898</v>
      </c>
      <c r="H730" s="2" t="s">
        <v>977</v>
      </c>
      <c r="I730" s="3" t="s">
        <v>1899</v>
      </c>
      <c r="J730" s="7">
        <v>1</v>
      </c>
      <c r="K730" s="70" t="s">
        <v>53</v>
      </c>
      <c r="L730" s="9">
        <v>1</v>
      </c>
      <c r="M730" s="3">
        <v>491</v>
      </c>
      <c r="N730" s="6">
        <v>1953</v>
      </c>
      <c r="P730" s="71"/>
      <c r="R730" s="6">
        <v>1950</v>
      </c>
      <c r="S730" s="3" t="s">
        <v>54</v>
      </c>
      <c r="T730" s="72"/>
      <c r="U730" s="73"/>
      <c r="W730" s="2" t="s">
        <v>1900</v>
      </c>
      <c r="X730" s="10" t="s">
        <v>504</v>
      </c>
      <c r="Y730" s="10" t="s">
        <v>511</v>
      </c>
      <c r="Z730" s="75"/>
      <c r="AA730" s="76">
        <v>22824</v>
      </c>
      <c r="AB730" s="77"/>
      <c r="AC730" s="77"/>
      <c r="AD730" s="6"/>
      <c r="AG730" s="7">
        <v>1962</v>
      </c>
      <c r="AH730" s="7">
        <v>1960</v>
      </c>
      <c r="AI730" s="7"/>
      <c r="AJ730" s="73"/>
      <c r="AK730" s="7"/>
      <c r="AL730" s="16"/>
      <c r="AW730" s="6">
        <f t="shared" ca="1" si="12"/>
        <v>72</v>
      </c>
    </row>
    <row r="731" ht="45" customHeight="1" outlineLevel="1">
      <c r="A731" s="69"/>
      <c r="B731" s="3" t="s">
        <v>47</v>
      </c>
      <c r="E731" s="2" t="s">
        <v>48</v>
      </c>
      <c r="F731" s="6" t="s">
        <v>564</v>
      </c>
      <c r="G731" s="5" t="s">
        <v>1901</v>
      </c>
      <c r="H731" s="2" t="s">
        <v>57</v>
      </c>
      <c r="I731" s="3" t="s">
        <v>1902</v>
      </c>
      <c r="J731" s="7">
        <v>1</v>
      </c>
      <c r="K731" s="70" t="s">
        <v>53</v>
      </c>
      <c r="L731" s="9">
        <v>1</v>
      </c>
      <c r="M731" s="3">
        <v>492</v>
      </c>
      <c r="N731" s="6">
        <v>1953</v>
      </c>
      <c r="P731" s="71"/>
      <c r="R731" s="6">
        <v>1950</v>
      </c>
      <c r="S731" s="3" t="s">
        <v>54</v>
      </c>
      <c r="T731" s="72"/>
      <c r="U731" s="73"/>
      <c r="W731" s="2" t="s">
        <v>1903</v>
      </c>
      <c r="X731" s="10" t="s">
        <v>56</v>
      </c>
      <c r="Y731" s="10" t="s">
        <v>57</v>
      </c>
      <c r="Z731" s="75"/>
      <c r="AA731" s="76"/>
      <c r="AB731" s="77">
        <v>19788</v>
      </c>
      <c r="AC731" s="77"/>
      <c r="AD731" s="6"/>
      <c r="AG731" s="7">
        <v>1954</v>
      </c>
      <c r="AH731" s="7">
        <v>1950</v>
      </c>
      <c r="AI731" s="7"/>
      <c r="AJ731" s="73"/>
      <c r="AK731" s="7"/>
      <c r="AL731" s="16"/>
      <c r="AM731" s="2" t="s">
        <v>59</v>
      </c>
      <c r="AO731" s="6" t="s">
        <v>59</v>
      </c>
      <c r="AU731" s="16" t="s">
        <v>1904</v>
      </c>
      <c r="AW731" s="6">
        <f t="shared" ca="1" si="12"/>
        <v>72</v>
      </c>
    </row>
    <row r="732" ht="45" customHeight="1" outlineLevel="1">
      <c r="A732" s="69"/>
      <c r="B732" s="3" t="s">
        <v>47</v>
      </c>
      <c r="E732" s="2" t="s">
        <v>83</v>
      </c>
      <c r="F732" s="6" t="s">
        <v>179</v>
      </c>
      <c r="G732" s="5" t="s">
        <v>1905</v>
      </c>
      <c r="H732" s="2" t="s">
        <v>51</v>
      </c>
      <c r="I732" s="3" t="s">
        <v>330</v>
      </c>
      <c r="J732" s="7">
        <v>1</v>
      </c>
      <c r="K732" s="70" t="s">
        <v>53</v>
      </c>
      <c r="L732" s="9">
        <v>1</v>
      </c>
      <c r="M732" s="3">
        <v>493</v>
      </c>
      <c r="N732" s="6">
        <v>1954</v>
      </c>
      <c r="P732" s="71"/>
      <c r="R732" s="6">
        <v>1950</v>
      </c>
      <c r="S732" s="3" t="s">
        <v>54</v>
      </c>
      <c r="T732" s="72"/>
      <c r="U732" s="73"/>
      <c r="W732" s="2" t="s">
        <v>1906</v>
      </c>
      <c r="X732" s="10" t="s">
        <v>56</v>
      </c>
      <c r="Y732" s="10" t="s">
        <v>57</v>
      </c>
      <c r="Z732" s="75" t="s">
        <v>58</v>
      </c>
      <c r="AA732" s="76"/>
      <c r="AB732" s="77">
        <v>19774</v>
      </c>
      <c r="AC732" s="77"/>
      <c r="AD732" s="6"/>
      <c r="AG732" s="7">
        <v>1954</v>
      </c>
      <c r="AH732" s="7">
        <v>1950</v>
      </c>
      <c r="AI732" s="7"/>
      <c r="AJ732" s="73"/>
      <c r="AK732" s="7"/>
      <c r="AL732" s="16"/>
      <c r="AM732" s="2" t="s">
        <v>59</v>
      </c>
      <c r="AW732" s="6">
        <f t="shared" ca="1" si="12"/>
        <v>71</v>
      </c>
    </row>
    <row r="733" ht="45" customHeight="1" outlineLevel="1">
      <c r="A733" s="69"/>
      <c r="B733" s="3" t="s">
        <v>47</v>
      </c>
      <c r="C733" s="4" t="s">
        <v>1907</v>
      </c>
      <c r="E733" s="2" t="s">
        <v>63</v>
      </c>
      <c r="F733" s="6" t="s">
        <v>354</v>
      </c>
      <c r="G733" s="5" t="s">
        <v>971</v>
      </c>
      <c r="H733" s="2" t="s">
        <v>68</v>
      </c>
      <c r="I733" s="3" t="s">
        <v>1908</v>
      </c>
      <c r="J733" s="7">
        <v>1</v>
      </c>
      <c r="K733" s="70" t="s">
        <v>53</v>
      </c>
      <c r="L733" s="9">
        <v>1</v>
      </c>
      <c r="M733" s="3">
        <v>494</v>
      </c>
      <c r="N733" s="6">
        <v>1952</v>
      </c>
      <c r="P733" s="71"/>
      <c r="R733" s="6">
        <v>1950</v>
      </c>
      <c r="S733" s="3" t="s">
        <v>54</v>
      </c>
      <c r="T733" s="72"/>
      <c r="U733" s="73"/>
      <c r="W733" s="2" t="s">
        <v>1909</v>
      </c>
      <c r="X733" s="10" t="s">
        <v>56</v>
      </c>
      <c r="Y733" s="10" t="s">
        <v>68</v>
      </c>
      <c r="Z733" s="75"/>
      <c r="AA733" s="76"/>
      <c r="AB733" s="77"/>
      <c r="AC733" s="77">
        <v>20446</v>
      </c>
      <c r="AD733" s="10"/>
      <c r="AG733" s="7">
        <v>1955</v>
      </c>
      <c r="AH733" s="7">
        <v>1950</v>
      </c>
      <c r="AI733" s="7"/>
      <c r="AJ733" s="73"/>
      <c r="AK733" s="7"/>
      <c r="AL733" s="117"/>
      <c r="AM733" s="2" t="s">
        <v>59</v>
      </c>
      <c r="AN733" s="6" t="s">
        <v>73</v>
      </c>
      <c r="AO733" s="6" t="s">
        <v>82</v>
      </c>
      <c r="AP733" s="6" t="s">
        <v>73</v>
      </c>
      <c r="AQ733" s="5" t="s">
        <v>73</v>
      </c>
      <c r="AW733" s="6">
        <f t="shared" ca="1" si="12"/>
        <v>73</v>
      </c>
    </row>
    <row r="734" ht="45" hidden="1" customHeight="1" outlineLevel="1">
      <c r="A734" s="69"/>
      <c r="B734" s="3" t="s">
        <v>47</v>
      </c>
      <c r="C734" s="4" t="s">
        <v>1910</v>
      </c>
      <c r="E734" s="2" t="s">
        <v>83</v>
      </c>
      <c r="F734" s="6" t="s">
        <v>179</v>
      </c>
      <c r="G734" s="5" t="s">
        <v>180</v>
      </c>
      <c r="H734" s="2" t="s">
        <v>57</v>
      </c>
      <c r="I734" s="3" t="s">
        <v>1911</v>
      </c>
      <c r="J734" s="7">
        <v>1</v>
      </c>
      <c r="K734" s="70"/>
      <c r="L734" s="9">
        <v>1</v>
      </c>
      <c r="M734" s="3">
        <v>495</v>
      </c>
      <c r="P734" s="71"/>
      <c r="R734" s="6">
        <v>1950</v>
      </c>
      <c r="S734" s="3" t="s">
        <v>236</v>
      </c>
      <c r="T734" s="72"/>
      <c r="U734" s="73"/>
      <c r="W734" s="2" t="s">
        <v>62</v>
      </c>
      <c r="X734" s="10" t="s">
        <v>56</v>
      </c>
      <c r="Y734" s="10" t="s">
        <v>57</v>
      </c>
      <c r="Z734" s="75"/>
      <c r="AA734" s="76"/>
      <c r="AB734" s="77"/>
      <c r="AC734" s="77"/>
      <c r="AD734" s="10"/>
      <c r="AI734" s="7"/>
      <c r="AJ734" s="95">
        <v>19870</v>
      </c>
      <c r="AK734" s="7">
        <v>1950</v>
      </c>
      <c r="AL734" s="16"/>
      <c r="AW734" s="6" t="str">
        <f t="shared" ca="1" si="12"/>
        <v/>
      </c>
    </row>
    <row r="735" s="147" customFormat="1" ht="45" hidden="1" customHeight="1" outlineLevel="1">
      <c r="A735" s="69"/>
      <c r="B735" s="3" t="s">
        <v>47</v>
      </c>
      <c r="C735" s="4" t="s">
        <v>1912</v>
      </c>
      <c r="D735" s="5"/>
      <c r="E735" s="2" t="s">
        <v>83</v>
      </c>
      <c r="F735" s="6" t="s">
        <v>179</v>
      </c>
      <c r="G735" s="5" t="s">
        <v>339</v>
      </c>
      <c r="H735" s="2" t="s">
        <v>51</v>
      </c>
      <c r="I735" s="3" t="s">
        <v>1913</v>
      </c>
      <c r="J735" s="7">
        <v>1</v>
      </c>
      <c r="K735" s="70"/>
      <c r="L735" s="9">
        <v>1</v>
      </c>
      <c r="M735" s="3">
        <v>496</v>
      </c>
      <c r="N735" s="6"/>
      <c r="O735" s="10"/>
      <c r="P735" s="71"/>
      <c r="Q735" s="10"/>
      <c r="R735" s="6">
        <v>1950</v>
      </c>
      <c r="S735" s="3" t="s">
        <v>236</v>
      </c>
      <c r="T735" s="72"/>
      <c r="U735" s="73"/>
      <c r="V735" s="12"/>
      <c r="W735" s="2" t="s">
        <v>62</v>
      </c>
      <c r="X735" s="10" t="s">
        <v>56</v>
      </c>
      <c r="Y735" s="10" t="s">
        <v>57</v>
      </c>
      <c r="Z735" s="75" t="s">
        <v>58</v>
      </c>
      <c r="AA735" s="76"/>
      <c r="AB735" s="77"/>
      <c r="AC735" s="77"/>
      <c r="AD735" s="10"/>
      <c r="AE735" s="7"/>
      <c r="AF735" s="7"/>
      <c r="AG735" s="7"/>
      <c r="AH735" s="7"/>
      <c r="AI735" s="7"/>
      <c r="AJ735" s="95">
        <v>19861</v>
      </c>
      <c r="AK735" s="7">
        <v>1950</v>
      </c>
      <c r="AL735" s="16"/>
      <c r="AM735" s="2"/>
      <c r="AN735" s="6"/>
      <c r="AO735" s="6"/>
      <c r="AP735" s="6"/>
      <c r="AQ735" s="5"/>
      <c r="AR735" s="2"/>
      <c r="AS735" s="6"/>
      <c r="AT735" s="6"/>
      <c r="AU735" s="16"/>
      <c r="AV735" s="17"/>
      <c r="AW735" s="6" t="str">
        <f t="shared" ca="1" si="12"/>
        <v/>
      </c>
    </row>
    <row r="736" ht="45" hidden="1" customHeight="1" outlineLevel="1">
      <c r="A736" s="132"/>
      <c r="B736" s="3" t="s">
        <v>47</v>
      </c>
      <c r="C736" s="144" t="s">
        <v>1914</v>
      </c>
      <c r="D736" s="117" t="s">
        <v>1915</v>
      </c>
      <c r="E736" s="2" t="s">
        <v>83</v>
      </c>
      <c r="F736" s="6" t="s">
        <v>179</v>
      </c>
      <c r="G736" s="5" t="s">
        <v>180</v>
      </c>
      <c r="H736" s="2" t="s">
        <v>57</v>
      </c>
      <c r="I736" s="3" t="s">
        <v>1916</v>
      </c>
      <c r="J736" s="7">
        <v>1</v>
      </c>
      <c r="K736" s="133"/>
      <c r="L736" s="9">
        <v>1</v>
      </c>
      <c r="M736" s="3">
        <v>497</v>
      </c>
      <c r="N736" s="6">
        <v>1954</v>
      </c>
      <c r="P736" s="71"/>
      <c r="R736" s="6">
        <v>1950</v>
      </c>
      <c r="S736" s="3" t="s">
        <v>236</v>
      </c>
      <c r="T736" s="72"/>
      <c r="U736" s="73"/>
      <c r="W736" s="2" t="s">
        <v>62</v>
      </c>
      <c r="X736" s="10" t="s">
        <v>56</v>
      </c>
      <c r="Y736" s="10" t="s">
        <v>57</v>
      </c>
      <c r="Z736" s="75"/>
      <c r="AA736" s="137"/>
      <c r="AB736" s="138"/>
      <c r="AC736" s="138"/>
      <c r="AD736" s="136"/>
      <c r="AE736" s="139"/>
      <c r="AG736" s="139"/>
      <c r="AH736" s="139"/>
      <c r="AI736" s="139"/>
      <c r="AJ736" s="10">
        <v>42349</v>
      </c>
      <c r="AK736" s="7">
        <v>2010</v>
      </c>
      <c r="AL736" s="16"/>
      <c r="AO736" s="141"/>
      <c r="AP736" s="141"/>
      <c r="AQ736" s="117"/>
      <c r="AR736" s="142"/>
      <c r="AS736" s="141"/>
      <c r="AT736" s="141"/>
      <c r="AU736" s="140"/>
      <c r="AV736" s="143"/>
      <c r="AW736" s="6">
        <f t="shared" ca="1" si="12"/>
        <v>71</v>
      </c>
    </row>
    <row r="737" ht="45" hidden="1" customHeight="1" outlineLevel="1">
      <c r="A737" s="69"/>
      <c r="B737" s="3" t="s">
        <v>47</v>
      </c>
      <c r="C737" s="4" t="s">
        <v>351</v>
      </c>
      <c r="E737" s="2" t="s">
        <v>83</v>
      </c>
      <c r="F737" s="6" t="s">
        <v>179</v>
      </c>
      <c r="G737" s="5" t="s">
        <v>180</v>
      </c>
      <c r="H737" s="2" t="s">
        <v>57</v>
      </c>
      <c r="I737" s="3" t="s">
        <v>1917</v>
      </c>
      <c r="J737" s="7">
        <v>1</v>
      </c>
      <c r="K737" s="70"/>
      <c r="L737" s="9">
        <v>1</v>
      </c>
      <c r="M737" s="3">
        <v>498</v>
      </c>
      <c r="N737" s="6">
        <v>1954</v>
      </c>
      <c r="P737" s="71"/>
      <c r="R737" s="6">
        <v>1950</v>
      </c>
      <c r="S737" s="3" t="s">
        <v>236</v>
      </c>
      <c r="T737" s="72"/>
      <c r="U737" s="73"/>
      <c r="W737" s="2" t="s">
        <v>62</v>
      </c>
      <c r="X737" s="10" t="s">
        <v>56</v>
      </c>
      <c r="Y737" s="10" t="s">
        <v>57</v>
      </c>
      <c r="Z737" s="75"/>
      <c r="AA737" s="76"/>
      <c r="AB737" s="77"/>
      <c r="AC737" s="77"/>
      <c r="AD737" s="10"/>
      <c r="AI737" s="7"/>
      <c r="AJ737" s="95">
        <v>39595</v>
      </c>
      <c r="AK737" s="7">
        <v>2000</v>
      </c>
      <c r="AL737" s="16"/>
      <c r="AW737" s="6">
        <f t="shared" ca="1" si="12"/>
        <v>71</v>
      </c>
    </row>
    <row r="738" ht="45" hidden="1" customHeight="1" outlineLevel="1">
      <c r="A738" s="69"/>
      <c r="B738" s="3" t="s">
        <v>47</v>
      </c>
      <c r="C738" s="4" t="s">
        <v>1918</v>
      </c>
      <c r="E738" s="2" t="s">
        <v>83</v>
      </c>
      <c r="F738" s="6" t="s">
        <v>179</v>
      </c>
      <c r="G738" s="5" t="s">
        <v>180</v>
      </c>
      <c r="H738" s="2" t="s">
        <v>57</v>
      </c>
      <c r="I738" s="3" t="s">
        <v>1919</v>
      </c>
      <c r="J738" s="7">
        <v>1</v>
      </c>
      <c r="K738" s="70"/>
      <c r="L738" s="9">
        <v>1</v>
      </c>
      <c r="M738" s="3">
        <v>499</v>
      </c>
      <c r="P738" s="71"/>
      <c r="R738" s="6">
        <v>1950</v>
      </c>
      <c r="S738" s="3" t="s">
        <v>236</v>
      </c>
      <c r="T738" s="72"/>
      <c r="U738" s="73"/>
      <c r="W738" s="2" t="s">
        <v>62</v>
      </c>
      <c r="X738" s="10" t="s">
        <v>56</v>
      </c>
      <c r="Y738" s="10" t="s">
        <v>57</v>
      </c>
      <c r="Z738" s="75"/>
      <c r="AA738" s="76"/>
      <c r="AB738" s="77"/>
      <c r="AC738" s="77"/>
      <c r="AD738" s="10"/>
      <c r="AI738" s="7"/>
      <c r="AJ738" s="95">
        <v>19880</v>
      </c>
      <c r="AK738" s="7">
        <v>1950</v>
      </c>
      <c r="AL738" s="16"/>
      <c r="AW738" s="6" t="str">
        <f t="shared" ca="1" si="12"/>
        <v/>
      </c>
    </row>
    <row r="739" ht="45" customHeight="1" outlineLevel="1">
      <c r="A739" s="69"/>
      <c r="B739" s="3" t="s">
        <v>47</v>
      </c>
      <c r="E739" s="2" t="s">
        <v>83</v>
      </c>
      <c r="F739" s="6" t="s">
        <v>179</v>
      </c>
      <c r="G739" s="5" t="s">
        <v>339</v>
      </c>
      <c r="H739" s="2" t="s">
        <v>57</v>
      </c>
      <c r="I739" s="3" t="s">
        <v>1920</v>
      </c>
      <c r="J739" s="7">
        <v>1</v>
      </c>
      <c r="K739" s="70" t="s">
        <v>53</v>
      </c>
      <c r="L739" s="9">
        <v>1</v>
      </c>
      <c r="M739" s="3">
        <v>500</v>
      </c>
      <c r="N739" s="6">
        <v>1954</v>
      </c>
      <c r="P739" s="71"/>
      <c r="R739" s="6">
        <v>1950</v>
      </c>
      <c r="S739" s="3" t="s">
        <v>54</v>
      </c>
      <c r="T739" s="72"/>
      <c r="U739" s="73"/>
      <c r="W739" s="2" t="s">
        <v>1921</v>
      </c>
      <c r="X739" s="10" t="s">
        <v>56</v>
      </c>
      <c r="Y739" s="10" t="s">
        <v>57</v>
      </c>
      <c r="Z739" s="75"/>
      <c r="AA739" s="76"/>
      <c r="AB739" s="77">
        <v>22833</v>
      </c>
      <c r="AC739" s="77"/>
      <c r="AD739" s="6"/>
      <c r="AG739" s="7">
        <v>1962</v>
      </c>
      <c r="AH739" s="7">
        <v>1960</v>
      </c>
      <c r="AI739" s="7"/>
      <c r="AJ739" s="73"/>
      <c r="AK739" s="7"/>
      <c r="AL739" s="16"/>
      <c r="AM739" s="2" t="s">
        <v>59</v>
      </c>
      <c r="AW739" s="6">
        <f t="shared" ref="AW739:AW802" ca="1" si="13">IF(N739&lt;&gt;0,(YEAR(TODAY())-N739),(""))</f>
        <v>71</v>
      </c>
    </row>
    <row r="740" ht="45" hidden="1" customHeight="1">
      <c r="A740" s="69"/>
      <c r="B740" s="3" t="s">
        <v>47</v>
      </c>
      <c r="C740" s="4" t="s">
        <v>1922</v>
      </c>
      <c r="E740" s="2" t="s">
        <v>83</v>
      </c>
      <c r="F740" s="6" t="s">
        <v>179</v>
      </c>
      <c r="G740" s="5" t="s">
        <v>339</v>
      </c>
      <c r="H740" s="2" t="s">
        <v>57</v>
      </c>
      <c r="I740" s="96" t="s">
        <v>1923</v>
      </c>
      <c r="J740" s="7">
        <v>1</v>
      </c>
      <c r="K740" s="70"/>
      <c r="L740" s="9">
        <v>1</v>
      </c>
      <c r="M740" s="3">
        <v>501</v>
      </c>
      <c r="N740" s="6">
        <v>1954</v>
      </c>
      <c r="P740" s="71"/>
      <c r="R740" s="6">
        <v>1950</v>
      </c>
      <c r="S740" s="3" t="s">
        <v>236</v>
      </c>
      <c r="T740" s="72"/>
      <c r="U740" s="73"/>
      <c r="W740" s="2" t="s">
        <v>62</v>
      </c>
      <c r="X740" s="10" t="s">
        <v>56</v>
      </c>
      <c r="Y740" s="10" t="s">
        <v>57</v>
      </c>
      <c r="Z740" s="75"/>
      <c r="AA740" s="76"/>
      <c r="AB740" s="77"/>
      <c r="AC740" s="77"/>
      <c r="AD740" s="6"/>
      <c r="AI740" s="7"/>
      <c r="AJ740" s="95">
        <v>19821</v>
      </c>
      <c r="AK740" s="7">
        <v>1950</v>
      </c>
      <c r="AL740" s="16"/>
      <c r="AW740" s="6">
        <f t="shared" ca="1" si="13"/>
        <v>71</v>
      </c>
    </row>
    <row r="741" ht="45" customHeight="1">
      <c r="A741" s="69"/>
      <c r="B741" s="3" t="s">
        <v>47</v>
      </c>
      <c r="E741" s="2" t="s">
        <v>83</v>
      </c>
      <c r="F741" s="6" t="s">
        <v>179</v>
      </c>
      <c r="G741" s="5" t="s">
        <v>339</v>
      </c>
      <c r="H741" s="2" t="s">
        <v>51</v>
      </c>
      <c r="I741" s="3" t="s">
        <v>1924</v>
      </c>
      <c r="J741" s="7">
        <v>1</v>
      </c>
      <c r="K741" s="70" t="s">
        <v>53</v>
      </c>
      <c r="L741" s="9">
        <v>1</v>
      </c>
      <c r="M741" s="3">
        <v>502</v>
      </c>
      <c r="P741" s="71"/>
      <c r="R741" s="6">
        <v>1950</v>
      </c>
      <c r="S741" s="3" t="s">
        <v>54</v>
      </c>
      <c r="T741" s="72"/>
      <c r="U741" s="73"/>
      <c r="W741" s="2" t="s">
        <v>1925</v>
      </c>
      <c r="X741" s="10" t="s">
        <v>56</v>
      </c>
      <c r="Y741" s="10" t="s">
        <v>57</v>
      </c>
      <c r="Z741" s="75" t="s">
        <v>58</v>
      </c>
      <c r="AA741" s="76"/>
      <c r="AB741" s="77"/>
      <c r="AC741" s="77">
        <v>19865</v>
      </c>
      <c r="AD741" s="10"/>
      <c r="AG741" s="7">
        <v>1954</v>
      </c>
      <c r="AH741" s="7">
        <v>1950</v>
      </c>
      <c r="AI741" s="7"/>
      <c r="AJ741" s="73"/>
      <c r="AK741" s="7"/>
      <c r="AL741" s="16"/>
      <c r="AM741" s="2" t="s">
        <v>59</v>
      </c>
      <c r="AW741" s="6" t="str">
        <f t="shared" ca="1" si="13"/>
        <v/>
      </c>
    </row>
    <row r="742" ht="45" customHeight="1">
      <c r="A742" s="69">
        <v>45460</v>
      </c>
      <c r="B742" s="3" t="s">
        <v>1926</v>
      </c>
      <c r="C742" s="4" t="s">
        <v>1927</v>
      </c>
      <c r="D742" s="5" t="s">
        <v>1928</v>
      </c>
      <c r="E742" s="2" t="s">
        <v>83</v>
      </c>
      <c r="F742" s="6" t="s">
        <v>84</v>
      </c>
      <c r="G742" s="5" t="s">
        <v>85</v>
      </c>
      <c r="H742" s="2" t="s">
        <v>57</v>
      </c>
      <c r="I742" s="3" t="s">
        <v>1929</v>
      </c>
      <c r="J742" s="7">
        <v>1</v>
      </c>
      <c r="K742" s="70" t="s">
        <v>53</v>
      </c>
      <c r="L742" s="9">
        <v>1</v>
      </c>
      <c r="M742" s="3">
        <v>503</v>
      </c>
      <c r="N742" s="6">
        <v>1953</v>
      </c>
      <c r="P742" s="71"/>
      <c r="R742" s="6">
        <v>1950</v>
      </c>
      <c r="S742" s="3" t="s">
        <v>195</v>
      </c>
      <c r="T742" s="72" t="s">
        <v>998</v>
      </c>
      <c r="U742" s="73"/>
      <c r="W742" s="74" t="s">
        <v>1930</v>
      </c>
      <c r="X742" s="10" t="s">
        <v>56</v>
      </c>
      <c r="Y742" s="10" t="s">
        <v>57</v>
      </c>
      <c r="Z742" s="75"/>
      <c r="AA742" s="76"/>
      <c r="AB742" s="77">
        <v>26491</v>
      </c>
      <c r="AC742" s="77"/>
      <c r="AD742" s="6"/>
      <c r="AE742" s="7">
        <v>1972</v>
      </c>
      <c r="AF742" s="7">
        <v>57</v>
      </c>
      <c r="AG742" s="7">
        <v>1972</v>
      </c>
      <c r="AH742" s="7">
        <v>1970</v>
      </c>
      <c r="AI742" s="7"/>
      <c r="AJ742" s="73"/>
      <c r="AK742" s="7"/>
      <c r="AL742" s="16"/>
      <c r="AM742" s="2" t="s">
        <v>59</v>
      </c>
      <c r="AW742" s="6">
        <f t="shared" ca="1" si="13"/>
        <v>72</v>
      </c>
    </row>
    <row r="743" ht="45" customHeight="1">
      <c r="A743" s="69"/>
      <c r="B743" s="3" t="s">
        <v>47</v>
      </c>
      <c r="C743" s="162"/>
      <c r="E743" s="2" t="s">
        <v>83</v>
      </c>
      <c r="F743" s="6" t="s">
        <v>84</v>
      </c>
      <c r="G743" s="5" t="s">
        <v>850</v>
      </c>
      <c r="H743" s="2" t="s">
        <v>57</v>
      </c>
      <c r="I743" s="3" t="s">
        <v>1931</v>
      </c>
      <c r="J743" s="7">
        <v>1</v>
      </c>
      <c r="K743" s="104" t="s">
        <v>53</v>
      </c>
      <c r="L743" s="9">
        <v>1</v>
      </c>
      <c r="M743" s="3">
        <v>504</v>
      </c>
      <c r="P743" s="71"/>
      <c r="R743" s="6">
        <v>1950</v>
      </c>
      <c r="S743" s="3" t="s">
        <v>54</v>
      </c>
      <c r="T743" s="72"/>
      <c r="U743" s="73"/>
      <c r="W743" s="98" t="s">
        <v>1932</v>
      </c>
      <c r="X743" s="10" t="s">
        <v>56</v>
      </c>
      <c r="Y743" s="10" t="s">
        <v>57</v>
      </c>
      <c r="Z743" s="75"/>
      <c r="AA743" s="76"/>
      <c r="AB743" s="77">
        <v>20051</v>
      </c>
      <c r="AC743" s="77">
        <v>20051</v>
      </c>
      <c r="AD743" s="6"/>
      <c r="AG743" s="7">
        <v>1954</v>
      </c>
      <c r="AH743" s="7">
        <v>1950</v>
      </c>
      <c r="AI743" s="7"/>
      <c r="AJ743" s="73"/>
      <c r="AK743" s="7"/>
      <c r="AL743" s="16" t="s">
        <v>1933</v>
      </c>
      <c r="AW743" s="6" t="str">
        <f t="shared" ca="1" si="13"/>
        <v/>
      </c>
    </row>
    <row r="744" ht="45" customHeight="1">
      <c r="A744" s="69"/>
      <c r="B744" s="3" t="s">
        <v>47</v>
      </c>
      <c r="E744" s="2" t="s">
        <v>63</v>
      </c>
      <c r="F744" s="6" t="s">
        <v>354</v>
      </c>
      <c r="G744" s="5" t="s">
        <v>971</v>
      </c>
      <c r="H744" s="2" t="s">
        <v>382</v>
      </c>
      <c r="I744" s="3" t="s">
        <v>1934</v>
      </c>
      <c r="J744" s="7">
        <v>1</v>
      </c>
      <c r="K744" s="70" t="s">
        <v>53</v>
      </c>
      <c r="L744" s="9">
        <v>1</v>
      </c>
      <c r="M744" s="3">
        <v>505</v>
      </c>
      <c r="N744" s="6">
        <v>1954</v>
      </c>
      <c r="P744" s="71"/>
      <c r="R744" s="6">
        <v>1950</v>
      </c>
      <c r="S744" s="3" t="s">
        <v>54</v>
      </c>
      <c r="T744" s="72"/>
      <c r="U744" s="73"/>
      <c r="W744" s="2" t="s">
        <v>1935</v>
      </c>
      <c r="X744" s="10" t="s">
        <v>91</v>
      </c>
      <c r="Y744" s="10" t="s">
        <v>385</v>
      </c>
      <c r="Z744" s="75"/>
      <c r="AA744" s="76"/>
      <c r="AB744" s="77"/>
      <c r="AC744" s="77">
        <v>19959</v>
      </c>
      <c r="AD744" s="10"/>
      <c r="AG744" s="7">
        <v>1954</v>
      </c>
      <c r="AH744" s="7">
        <v>1950</v>
      </c>
      <c r="AI744" s="7"/>
      <c r="AJ744" s="73"/>
      <c r="AK744" s="7"/>
      <c r="AL744" s="16"/>
      <c r="AM744" s="2" t="s">
        <v>59</v>
      </c>
      <c r="AN744" s="6" t="s">
        <v>73</v>
      </c>
      <c r="AO744" s="6" t="s">
        <v>59</v>
      </c>
      <c r="AP744" s="6" t="s">
        <v>73</v>
      </c>
      <c r="AQ744" s="5" t="s">
        <v>73</v>
      </c>
      <c r="AW744" s="6">
        <f t="shared" ca="1" si="13"/>
        <v>71</v>
      </c>
    </row>
    <row r="745" ht="45" customHeight="1" outlineLevel="1">
      <c r="A745" s="69">
        <v>45210</v>
      </c>
      <c r="B745" s="3" t="s">
        <v>1926</v>
      </c>
      <c r="C745" s="4" t="s">
        <v>1936</v>
      </c>
      <c r="D745" s="5" t="s">
        <v>1937</v>
      </c>
      <c r="E745" s="2" t="s">
        <v>83</v>
      </c>
      <c r="F745" s="6" t="s">
        <v>84</v>
      </c>
      <c r="G745" s="5" t="s">
        <v>1938</v>
      </c>
      <c r="H745" s="2" t="s">
        <v>491</v>
      </c>
      <c r="I745" s="3" t="s">
        <v>1939</v>
      </c>
      <c r="J745" s="7">
        <v>1</v>
      </c>
      <c r="K745" s="70" t="s">
        <v>53</v>
      </c>
      <c r="L745" s="9">
        <v>1</v>
      </c>
      <c r="M745" s="3">
        <v>506</v>
      </c>
      <c r="N745" s="6">
        <v>1954</v>
      </c>
      <c r="P745" s="71"/>
      <c r="R745" s="6">
        <v>1950</v>
      </c>
      <c r="S745" s="3" t="s">
        <v>195</v>
      </c>
      <c r="T745" s="72"/>
      <c r="U745" s="73"/>
      <c r="W745" s="74" t="s">
        <v>1940</v>
      </c>
      <c r="X745" s="10" t="s">
        <v>56</v>
      </c>
      <c r="Y745" s="10" t="s">
        <v>523</v>
      </c>
      <c r="Z745" s="75"/>
      <c r="AA745" s="76"/>
      <c r="AB745" s="77">
        <v>19851</v>
      </c>
      <c r="AC745" s="77"/>
      <c r="AD745" s="6"/>
      <c r="AG745" s="7">
        <v>1954</v>
      </c>
      <c r="AH745" s="7">
        <v>1950</v>
      </c>
      <c r="AI745" s="7"/>
      <c r="AJ745" s="73"/>
      <c r="AK745" s="7"/>
      <c r="AL745" s="16"/>
      <c r="AM745" s="2" t="s">
        <v>59</v>
      </c>
      <c r="AU745" s="16" t="s">
        <v>1941</v>
      </c>
      <c r="AW745" s="6">
        <f t="shared" ca="1" si="13"/>
        <v>71</v>
      </c>
    </row>
    <row r="746" ht="45" hidden="1" customHeight="1" outlineLevel="1">
      <c r="A746" s="69"/>
      <c r="B746" s="3" t="s">
        <v>47</v>
      </c>
      <c r="C746" s="4" t="s">
        <v>1942</v>
      </c>
      <c r="E746" s="2" t="s">
        <v>83</v>
      </c>
      <c r="F746" s="6" t="s">
        <v>84</v>
      </c>
      <c r="G746" s="5" t="s">
        <v>85</v>
      </c>
      <c r="H746" s="2" t="s">
        <v>57</v>
      </c>
      <c r="I746" s="3" t="s">
        <v>1943</v>
      </c>
      <c r="J746" s="7">
        <v>1</v>
      </c>
      <c r="K746" s="104"/>
      <c r="L746" s="9">
        <v>1</v>
      </c>
      <c r="M746" s="3">
        <v>507</v>
      </c>
      <c r="P746" s="71"/>
      <c r="R746" s="6">
        <v>1950</v>
      </c>
      <c r="S746" s="3" t="s">
        <v>939</v>
      </c>
      <c r="T746" s="72"/>
      <c r="U746" s="73"/>
      <c r="W746" s="2" t="s">
        <v>1944</v>
      </c>
      <c r="X746" s="10" t="s">
        <v>56</v>
      </c>
      <c r="Y746" s="10" t="s">
        <v>57</v>
      </c>
      <c r="Z746" s="75"/>
      <c r="AA746" s="76"/>
      <c r="AB746" s="77"/>
      <c r="AC746" s="77"/>
      <c r="AD746" s="6"/>
      <c r="AI746" s="7"/>
      <c r="AJ746" s="73"/>
      <c r="AK746" s="7"/>
      <c r="AL746" s="16"/>
      <c r="AW746" s="6" t="str">
        <f t="shared" ca="1" si="13"/>
        <v/>
      </c>
    </row>
    <row r="747" ht="45" hidden="1" customHeight="1" outlineLevel="1">
      <c r="A747" s="69"/>
      <c r="B747" s="3" t="s">
        <v>47</v>
      </c>
      <c r="C747" s="4" t="s">
        <v>1739</v>
      </c>
      <c r="E747" s="2" t="s">
        <v>63</v>
      </c>
      <c r="F747" s="6" t="s">
        <v>354</v>
      </c>
      <c r="G747" s="5" t="s">
        <v>1945</v>
      </c>
      <c r="H747" s="2" t="s">
        <v>181</v>
      </c>
      <c r="I747" s="3" t="s">
        <v>1946</v>
      </c>
      <c r="J747" s="7">
        <v>1</v>
      </c>
      <c r="K747" s="104"/>
      <c r="L747" s="9">
        <v>1</v>
      </c>
      <c r="M747" s="3">
        <v>508</v>
      </c>
      <c r="N747" s="6">
        <v>1954</v>
      </c>
      <c r="P747" s="71"/>
      <c r="R747" s="6">
        <v>1950</v>
      </c>
      <c r="S747" s="3" t="s">
        <v>236</v>
      </c>
      <c r="T747" s="72"/>
      <c r="U747" s="73"/>
      <c r="W747" s="2" t="s">
        <v>62</v>
      </c>
      <c r="X747" s="10" t="s">
        <v>56</v>
      </c>
      <c r="Y747" s="10" t="s">
        <v>181</v>
      </c>
      <c r="Z747" s="75"/>
      <c r="AA747" s="76"/>
      <c r="AB747" s="77"/>
      <c r="AC747" s="77"/>
      <c r="AD747" s="6"/>
      <c r="AI747" s="7"/>
      <c r="AJ747" s="95">
        <v>38044</v>
      </c>
      <c r="AK747" s="7">
        <v>2000</v>
      </c>
      <c r="AL747" s="16"/>
      <c r="AW747" s="6">
        <f t="shared" ca="1" si="13"/>
        <v>71</v>
      </c>
    </row>
    <row r="748" ht="45" customHeight="1" outlineLevel="1">
      <c r="A748" s="69"/>
      <c r="B748" s="3" t="s">
        <v>47</v>
      </c>
      <c r="C748" s="4" t="s">
        <v>1907</v>
      </c>
      <c r="E748" s="2" t="s">
        <v>63</v>
      </c>
      <c r="F748" s="6" t="s">
        <v>354</v>
      </c>
      <c r="G748" s="5" t="s">
        <v>971</v>
      </c>
      <c r="H748" s="2" t="s">
        <v>68</v>
      </c>
      <c r="I748" s="3" t="s">
        <v>1947</v>
      </c>
      <c r="J748" s="7">
        <v>1</v>
      </c>
      <c r="K748" s="70" t="s">
        <v>53</v>
      </c>
      <c r="L748" s="9">
        <v>1</v>
      </c>
      <c r="M748" s="3">
        <v>509</v>
      </c>
      <c r="N748" s="6">
        <v>1954</v>
      </c>
      <c r="P748" s="71"/>
      <c r="R748" s="6">
        <v>1950</v>
      </c>
      <c r="S748" s="3" t="s">
        <v>54</v>
      </c>
      <c r="T748" s="72"/>
      <c r="U748" s="73"/>
      <c r="W748" s="2" t="s">
        <v>1948</v>
      </c>
      <c r="X748" s="10" t="s">
        <v>56</v>
      </c>
      <c r="Y748" s="10" t="s">
        <v>68</v>
      </c>
      <c r="Z748" s="75"/>
      <c r="AA748" s="76"/>
      <c r="AB748" s="77"/>
      <c r="AC748" s="77">
        <v>20446</v>
      </c>
      <c r="AD748" s="10"/>
      <c r="AG748" s="7">
        <v>1955</v>
      </c>
      <c r="AH748" s="7">
        <v>1950</v>
      </c>
      <c r="AI748" s="7"/>
      <c r="AJ748" s="73"/>
      <c r="AK748" s="7"/>
      <c r="AL748" s="16"/>
      <c r="AM748" s="2" t="s">
        <v>53</v>
      </c>
      <c r="AN748" s="6" t="s">
        <v>73</v>
      </c>
      <c r="AO748" s="6" t="s">
        <v>82</v>
      </c>
      <c r="AP748" s="6" t="s">
        <v>73</v>
      </c>
      <c r="AQ748" s="5" t="s">
        <v>73</v>
      </c>
      <c r="AW748" s="6">
        <f t="shared" ca="1" si="13"/>
        <v>71</v>
      </c>
    </row>
    <row r="749" ht="45" customHeight="1">
      <c r="A749" s="69"/>
      <c r="B749" s="3" t="s">
        <v>47</v>
      </c>
      <c r="E749" s="2" t="s">
        <v>1074</v>
      </c>
      <c r="F749" s="6" t="s">
        <v>1075</v>
      </c>
      <c r="G749" s="5" t="s">
        <v>1949</v>
      </c>
      <c r="H749" s="2" t="s">
        <v>181</v>
      </c>
      <c r="I749" s="3" t="s">
        <v>1950</v>
      </c>
      <c r="J749" s="7">
        <v>1</v>
      </c>
      <c r="K749" s="70" t="s">
        <v>53</v>
      </c>
      <c r="L749" s="9">
        <v>1</v>
      </c>
      <c r="M749" s="3">
        <v>510</v>
      </c>
      <c r="N749" s="6">
        <v>1954</v>
      </c>
      <c r="P749" s="71"/>
      <c r="R749" s="6">
        <v>1950</v>
      </c>
      <c r="S749" s="3" t="s">
        <v>54</v>
      </c>
      <c r="T749" s="72"/>
      <c r="U749" s="73"/>
      <c r="W749" s="2" t="s">
        <v>1951</v>
      </c>
      <c r="X749" s="10" t="s">
        <v>56</v>
      </c>
      <c r="Y749" s="10" t="s">
        <v>181</v>
      </c>
      <c r="Z749" s="75"/>
      <c r="AA749" s="76"/>
      <c r="AB749" s="77"/>
      <c r="AC749" s="77">
        <v>20108</v>
      </c>
      <c r="AD749" s="10"/>
      <c r="AG749" s="7">
        <v>1955</v>
      </c>
      <c r="AH749" s="7">
        <v>1950</v>
      </c>
      <c r="AI749" s="7"/>
      <c r="AJ749" s="73"/>
      <c r="AK749" s="7"/>
      <c r="AL749" s="16"/>
      <c r="AM749" s="2" t="s">
        <v>82</v>
      </c>
      <c r="AU749" s="16" t="s">
        <v>1952</v>
      </c>
      <c r="AW749" s="6">
        <f t="shared" ca="1" si="13"/>
        <v>71</v>
      </c>
    </row>
    <row r="750" ht="45" customHeight="1" outlineLevel="1">
      <c r="A750" s="69"/>
      <c r="B750" s="3" t="s">
        <v>47</v>
      </c>
      <c r="E750" s="2" t="s">
        <v>1074</v>
      </c>
      <c r="F750" s="6" t="s">
        <v>1075</v>
      </c>
      <c r="G750" s="5" t="s">
        <v>1949</v>
      </c>
      <c r="H750" s="2" t="s">
        <v>181</v>
      </c>
      <c r="I750" s="3" t="s">
        <v>414</v>
      </c>
      <c r="J750" s="7">
        <v>1</v>
      </c>
      <c r="K750" s="70" t="s">
        <v>53</v>
      </c>
      <c r="L750" s="9">
        <v>0</v>
      </c>
      <c r="M750" s="3">
        <v>510</v>
      </c>
      <c r="N750" s="6">
        <v>1954</v>
      </c>
      <c r="P750" s="71"/>
      <c r="R750" s="6">
        <v>1950</v>
      </c>
      <c r="S750" s="3" t="s">
        <v>54</v>
      </c>
      <c r="T750" s="72"/>
      <c r="U750" s="73"/>
      <c r="W750" s="2" t="s">
        <v>1953</v>
      </c>
      <c r="X750" s="10" t="s">
        <v>56</v>
      </c>
      <c r="Y750" s="10" t="s">
        <v>57</v>
      </c>
      <c r="Z750" s="75" t="s">
        <v>58</v>
      </c>
      <c r="AA750" s="76"/>
      <c r="AB750" s="77"/>
      <c r="AC750" s="77">
        <v>20108</v>
      </c>
      <c r="AD750" s="10"/>
      <c r="AG750" s="7">
        <v>1955</v>
      </c>
      <c r="AH750" s="7">
        <v>1950</v>
      </c>
      <c r="AI750" s="7"/>
      <c r="AJ750" s="73"/>
      <c r="AK750" s="7"/>
      <c r="AL750" s="16" t="s">
        <v>176</v>
      </c>
      <c r="AM750" s="2" t="s">
        <v>59</v>
      </c>
      <c r="AU750" s="16" t="s">
        <v>1952</v>
      </c>
      <c r="AW750" s="6">
        <f t="shared" ca="1" si="13"/>
        <v>71</v>
      </c>
    </row>
    <row r="751" ht="45" customHeight="1" outlineLevel="1">
      <c r="A751" s="69"/>
      <c r="B751" s="3" t="s">
        <v>47</v>
      </c>
      <c r="D751" s="5" t="s">
        <v>1954</v>
      </c>
      <c r="E751" s="2" t="s">
        <v>83</v>
      </c>
      <c r="F751" s="6" t="s">
        <v>84</v>
      </c>
      <c r="G751" s="5" t="s">
        <v>85</v>
      </c>
      <c r="H751" s="2" t="s">
        <v>491</v>
      </c>
      <c r="I751" s="3" t="s">
        <v>1955</v>
      </c>
      <c r="J751" s="7">
        <v>1</v>
      </c>
      <c r="K751" s="70" t="s">
        <v>53</v>
      </c>
      <c r="L751" s="9">
        <v>1</v>
      </c>
      <c r="M751" s="3">
        <v>511</v>
      </c>
      <c r="N751" s="6">
        <v>1954</v>
      </c>
      <c r="P751" s="71"/>
      <c r="R751" s="6">
        <v>1950</v>
      </c>
      <c r="S751" s="3" t="s">
        <v>54</v>
      </c>
      <c r="T751" s="72"/>
      <c r="U751" s="73"/>
      <c r="W751" s="2" t="s">
        <v>1956</v>
      </c>
      <c r="X751" s="10" t="s">
        <v>56</v>
      </c>
      <c r="Y751" s="10" t="s">
        <v>523</v>
      </c>
      <c r="Z751" s="75"/>
      <c r="AA751" s="76"/>
      <c r="AB751" s="77">
        <v>43462</v>
      </c>
      <c r="AC751" s="77"/>
      <c r="AD751" s="10"/>
      <c r="AI751" s="7"/>
      <c r="AJ751" s="73"/>
      <c r="AK751" s="7"/>
      <c r="AL751" s="16" t="s">
        <v>1957</v>
      </c>
      <c r="AW751" s="6">
        <f t="shared" ca="1" si="13"/>
        <v>71</v>
      </c>
    </row>
    <row r="752" ht="45" customHeight="1" outlineLevel="1">
      <c r="A752" s="69"/>
      <c r="B752" s="3" t="s">
        <v>47</v>
      </c>
      <c r="E752" s="2" t="s">
        <v>83</v>
      </c>
      <c r="F752" s="6" t="s">
        <v>179</v>
      </c>
      <c r="G752" s="5" t="s">
        <v>180</v>
      </c>
      <c r="H752" s="2" t="s">
        <v>57</v>
      </c>
      <c r="I752" s="3" t="s">
        <v>1958</v>
      </c>
      <c r="J752" s="7">
        <v>1</v>
      </c>
      <c r="K752" s="70" t="s">
        <v>53</v>
      </c>
      <c r="L752" s="9">
        <v>1</v>
      </c>
      <c r="M752" s="3">
        <v>512</v>
      </c>
      <c r="N752" s="6">
        <v>1954</v>
      </c>
      <c r="P752" s="71"/>
      <c r="R752" s="6">
        <v>1950</v>
      </c>
      <c r="S752" s="3" t="s">
        <v>54</v>
      </c>
      <c r="T752" s="72"/>
      <c r="U752" s="73"/>
      <c r="W752" s="2" t="s">
        <v>1959</v>
      </c>
      <c r="X752" s="10" t="s">
        <v>56</v>
      </c>
      <c r="Y752" s="10" t="s">
        <v>57</v>
      </c>
      <c r="Z752" s="75"/>
      <c r="AA752" s="76"/>
      <c r="AB752" s="77">
        <v>20057</v>
      </c>
      <c r="AC752" s="77">
        <v>20057</v>
      </c>
      <c r="AD752" s="10"/>
      <c r="AG752" s="7">
        <v>1954</v>
      </c>
      <c r="AH752" s="7">
        <v>1950</v>
      </c>
      <c r="AI752" s="7"/>
      <c r="AJ752" s="73"/>
      <c r="AK752" s="7"/>
      <c r="AL752" s="16"/>
      <c r="AM752" s="2" t="s">
        <v>59</v>
      </c>
      <c r="AW752" s="6">
        <f t="shared" ca="1" si="13"/>
        <v>71</v>
      </c>
    </row>
    <row r="753" ht="45" customHeight="1">
      <c r="A753" s="69"/>
      <c r="B753" s="3" t="s">
        <v>47</v>
      </c>
      <c r="E753" s="2" t="s">
        <v>83</v>
      </c>
      <c r="F753" s="6" t="s">
        <v>179</v>
      </c>
      <c r="G753" s="5" t="s">
        <v>857</v>
      </c>
      <c r="H753" s="2" t="s">
        <v>57</v>
      </c>
      <c r="I753" s="3" t="s">
        <v>1960</v>
      </c>
      <c r="J753" s="7">
        <v>1</v>
      </c>
      <c r="K753" s="70" t="s">
        <v>53</v>
      </c>
      <c r="L753" s="9">
        <v>1</v>
      </c>
      <c r="M753" s="3">
        <v>513</v>
      </c>
      <c r="P753" s="71"/>
      <c r="R753" s="6">
        <v>1950</v>
      </c>
      <c r="S753" s="3" t="s">
        <v>54</v>
      </c>
      <c r="T753" s="72"/>
      <c r="U753" s="73"/>
      <c r="W753" s="2" t="s">
        <v>1961</v>
      </c>
      <c r="X753" s="10" t="s">
        <v>56</v>
      </c>
      <c r="Y753" s="10" t="s">
        <v>57</v>
      </c>
      <c r="Z753" s="75"/>
      <c r="AA753" s="76"/>
      <c r="AB753" s="77"/>
      <c r="AC753" s="77">
        <v>20057</v>
      </c>
      <c r="AD753" s="10"/>
      <c r="AG753" s="7">
        <v>1954</v>
      </c>
      <c r="AH753" s="7">
        <v>1950</v>
      </c>
      <c r="AI753" s="7"/>
      <c r="AJ753" s="73"/>
      <c r="AK753" s="7"/>
      <c r="AL753" s="16"/>
      <c r="AM753" s="2" t="s">
        <v>59</v>
      </c>
      <c r="AW753" s="6" t="str">
        <f t="shared" ca="1" si="13"/>
        <v/>
      </c>
    </row>
    <row r="754" ht="45" customHeight="1">
      <c r="A754" s="69"/>
      <c r="B754" s="3" t="s">
        <v>47</v>
      </c>
      <c r="E754" s="2" t="s">
        <v>83</v>
      </c>
      <c r="F754" s="6" t="s">
        <v>704</v>
      </c>
      <c r="G754" s="5" t="s">
        <v>1962</v>
      </c>
      <c r="H754" s="2" t="s">
        <v>68</v>
      </c>
      <c r="I754" s="3" t="s">
        <v>1963</v>
      </c>
      <c r="J754" s="7">
        <v>1</v>
      </c>
      <c r="K754" s="70" t="s">
        <v>53</v>
      </c>
      <c r="L754" s="9">
        <v>1</v>
      </c>
      <c r="M754" s="3">
        <v>514</v>
      </c>
      <c r="N754" s="6">
        <v>1951</v>
      </c>
      <c r="P754" s="71"/>
      <c r="R754" s="6">
        <v>1950</v>
      </c>
      <c r="S754" s="3" t="s">
        <v>54</v>
      </c>
      <c r="T754" s="72"/>
      <c r="U754" s="73"/>
      <c r="W754" s="2" t="s">
        <v>1964</v>
      </c>
      <c r="X754" s="10" t="s">
        <v>56</v>
      </c>
      <c r="Y754" s="10" t="s">
        <v>68</v>
      </c>
      <c r="Z754" s="75" t="s">
        <v>260</v>
      </c>
      <c r="AA754" s="76"/>
      <c r="AB754" s="77">
        <v>20106</v>
      </c>
      <c r="AC754" s="77"/>
      <c r="AD754" s="6"/>
      <c r="AG754" s="7">
        <v>1955</v>
      </c>
      <c r="AH754" s="7">
        <v>1950</v>
      </c>
      <c r="AI754" s="7"/>
      <c r="AJ754" s="73"/>
      <c r="AK754" s="7"/>
      <c r="AL754" s="16"/>
      <c r="AU754" s="16" t="s">
        <v>1965</v>
      </c>
      <c r="AW754" s="6">
        <f t="shared" ca="1" si="13"/>
        <v>74</v>
      </c>
    </row>
    <row r="755" ht="45" customHeight="1">
      <c r="A755" s="69"/>
      <c r="B755" s="3" t="s">
        <v>47</v>
      </c>
      <c r="E755" s="78" t="s">
        <v>63</v>
      </c>
      <c r="F755" s="79" t="s">
        <v>1230</v>
      </c>
      <c r="G755" s="80" t="s">
        <v>1966</v>
      </c>
      <c r="H755" s="78" t="s">
        <v>68</v>
      </c>
      <c r="I755" s="81" t="s">
        <v>1963</v>
      </c>
      <c r="J755" s="7">
        <v>1</v>
      </c>
      <c r="K755" s="70" t="s">
        <v>53</v>
      </c>
      <c r="L755" s="9">
        <v>1</v>
      </c>
      <c r="M755" s="3">
        <v>515</v>
      </c>
      <c r="P755" s="71"/>
      <c r="R755" s="6">
        <v>1950</v>
      </c>
      <c r="S755" s="3" t="s">
        <v>54</v>
      </c>
      <c r="T755" s="72"/>
      <c r="U755" s="73"/>
      <c r="W755" s="78" t="s">
        <v>1967</v>
      </c>
      <c r="X755" s="82" t="s">
        <v>56</v>
      </c>
      <c r="Y755" s="82" t="s">
        <v>68</v>
      </c>
      <c r="Z755" s="83" t="s">
        <v>260</v>
      </c>
      <c r="AA755" s="76">
        <v>20106</v>
      </c>
      <c r="AB755" s="77"/>
      <c r="AC755" s="77"/>
      <c r="AD755" s="6"/>
      <c r="AG755" s="7">
        <v>1955</v>
      </c>
      <c r="AH755" s="7">
        <v>1950</v>
      </c>
      <c r="AI755" s="7"/>
      <c r="AJ755" s="73"/>
      <c r="AK755" s="7"/>
      <c r="AL755" s="16" t="s">
        <v>1968</v>
      </c>
      <c r="AW755" s="6" t="str">
        <f t="shared" ca="1" si="13"/>
        <v/>
      </c>
    </row>
    <row r="756" ht="45" customHeight="1" outlineLevel="1">
      <c r="A756" s="69"/>
      <c r="B756" s="3" t="s">
        <v>47</v>
      </c>
      <c r="E756" s="2" t="s">
        <v>83</v>
      </c>
      <c r="F756" s="6" t="s">
        <v>179</v>
      </c>
      <c r="G756" s="5" t="s">
        <v>1837</v>
      </c>
      <c r="H756" s="2" t="s">
        <v>51</v>
      </c>
      <c r="I756" s="3" t="s">
        <v>326</v>
      </c>
      <c r="J756" s="7">
        <v>1</v>
      </c>
      <c r="K756" s="70" t="s">
        <v>53</v>
      </c>
      <c r="L756" s="9">
        <v>1</v>
      </c>
      <c r="M756" s="3">
        <v>516</v>
      </c>
      <c r="P756" s="71"/>
      <c r="R756" s="6">
        <v>1950</v>
      </c>
      <c r="S756" s="3" t="s">
        <v>54</v>
      </c>
      <c r="T756" s="72"/>
      <c r="U756" s="73"/>
      <c r="W756" s="2" t="s">
        <v>1969</v>
      </c>
      <c r="X756" s="10" t="s">
        <v>56</v>
      </c>
      <c r="Y756" s="10" t="s">
        <v>57</v>
      </c>
      <c r="Z756" s="75" t="s">
        <v>58</v>
      </c>
      <c r="AA756" s="76"/>
      <c r="AB756" s="77"/>
      <c r="AC756" s="77">
        <v>20159</v>
      </c>
      <c r="AD756" s="10"/>
      <c r="AG756" s="7">
        <v>1955</v>
      </c>
      <c r="AH756" s="7">
        <v>1950</v>
      </c>
      <c r="AI756" s="7"/>
      <c r="AJ756" s="73"/>
      <c r="AK756" s="7"/>
      <c r="AL756" s="16"/>
      <c r="AM756" s="2" t="s">
        <v>59</v>
      </c>
      <c r="AO756" s="6" t="s">
        <v>73</v>
      </c>
      <c r="AR756" s="2" t="s">
        <v>73</v>
      </c>
      <c r="AT756" s="6">
        <v>2011</v>
      </c>
      <c r="AU756" s="16" t="s">
        <v>1970</v>
      </c>
      <c r="AW756" s="6" t="str">
        <f t="shared" ca="1" si="13"/>
        <v/>
      </c>
    </row>
    <row r="757" ht="45" customHeight="1">
      <c r="A757" s="69"/>
      <c r="B757" s="3" t="s">
        <v>47</v>
      </c>
      <c r="E757" s="2" t="s">
        <v>83</v>
      </c>
      <c r="F757" s="6" t="s">
        <v>704</v>
      </c>
      <c r="G757" s="5" t="s">
        <v>1971</v>
      </c>
      <c r="H757" s="2" t="s">
        <v>57</v>
      </c>
      <c r="I757" s="3" t="s">
        <v>1972</v>
      </c>
      <c r="J757" s="7">
        <v>1</v>
      </c>
      <c r="K757" s="70" t="s">
        <v>53</v>
      </c>
      <c r="L757" s="9">
        <v>1</v>
      </c>
      <c r="M757" s="3">
        <v>517</v>
      </c>
      <c r="P757" s="71"/>
      <c r="R757" s="6">
        <v>1950</v>
      </c>
      <c r="S757" s="3" t="s">
        <v>54</v>
      </c>
      <c r="T757" s="72"/>
      <c r="U757" s="73"/>
      <c r="W757" s="2" t="s">
        <v>1973</v>
      </c>
      <c r="X757" s="10" t="s">
        <v>56</v>
      </c>
      <c r="Y757" s="10" t="s">
        <v>57</v>
      </c>
      <c r="Z757" s="75"/>
      <c r="AA757" s="76"/>
      <c r="AB757" s="77"/>
      <c r="AC757" s="77">
        <v>20194</v>
      </c>
      <c r="AD757" s="10"/>
      <c r="AG757" s="7">
        <v>1955</v>
      </c>
      <c r="AH757" s="7">
        <v>1950</v>
      </c>
      <c r="AI757" s="7"/>
      <c r="AJ757" s="73"/>
      <c r="AK757" s="7"/>
      <c r="AL757" s="16"/>
      <c r="AM757" s="2" t="s">
        <v>59</v>
      </c>
      <c r="AW757" s="6" t="str">
        <f t="shared" ca="1" si="13"/>
        <v/>
      </c>
    </row>
    <row r="758" ht="45" customHeight="1">
      <c r="A758" s="69">
        <v>45231</v>
      </c>
      <c r="B758" s="3" t="s">
        <v>1974</v>
      </c>
      <c r="C758" s="4" t="s">
        <v>1975</v>
      </c>
      <c r="D758" s="5" t="s">
        <v>1976</v>
      </c>
      <c r="E758" s="2" t="s">
        <v>83</v>
      </c>
      <c r="F758" s="6" t="s">
        <v>704</v>
      </c>
      <c r="G758" s="5" t="s">
        <v>705</v>
      </c>
      <c r="H758" s="2" t="s">
        <v>491</v>
      </c>
      <c r="I758" s="3" t="s">
        <v>1977</v>
      </c>
      <c r="J758" s="114"/>
      <c r="K758" s="70" t="s">
        <v>1978</v>
      </c>
      <c r="L758" s="9">
        <v>1</v>
      </c>
      <c r="M758" s="3">
        <v>518</v>
      </c>
      <c r="N758" s="6">
        <v>1954</v>
      </c>
      <c r="P758" s="71" t="s">
        <v>1979</v>
      </c>
      <c r="R758" s="6">
        <v>1950</v>
      </c>
      <c r="S758" s="3" t="s">
        <v>1980</v>
      </c>
      <c r="T758" s="72" t="s">
        <v>998</v>
      </c>
      <c r="U758" s="73"/>
      <c r="V758" s="12">
        <v>44953</v>
      </c>
      <c r="W758" s="74" t="s">
        <v>62</v>
      </c>
      <c r="X758" s="10" t="s">
        <v>56</v>
      </c>
      <c r="Y758" s="10" t="s">
        <v>523</v>
      </c>
      <c r="Z758" s="75"/>
      <c r="AA758" s="76"/>
      <c r="AB758" s="77"/>
      <c r="AC758" s="77"/>
      <c r="AD758" s="10"/>
      <c r="AI758" s="7"/>
      <c r="AJ758" s="73"/>
      <c r="AK758" s="7"/>
      <c r="AL758" s="16"/>
      <c r="AW758" s="6">
        <f t="shared" ca="1" si="13"/>
        <v>71</v>
      </c>
    </row>
    <row r="759" ht="45" hidden="1" customHeight="1" outlineLevel="1">
      <c r="A759" s="69"/>
      <c r="B759" s="3" t="s">
        <v>47</v>
      </c>
      <c r="E759" s="2" t="s">
        <v>83</v>
      </c>
      <c r="F759" s="6" t="s">
        <v>84</v>
      </c>
      <c r="G759" s="5" t="s">
        <v>868</v>
      </c>
      <c r="H759" s="2" t="s">
        <v>68</v>
      </c>
      <c r="I759" s="3" t="s">
        <v>1981</v>
      </c>
      <c r="J759" s="7">
        <v>1</v>
      </c>
      <c r="K759" s="70" t="s">
        <v>127</v>
      </c>
      <c r="L759" s="9">
        <v>1</v>
      </c>
      <c r="M759" s="3">
        <v>519</v>
      </c>
      <c r="P759" s="71"/>
      <c r="R759" s="6">
        <v>1950</v>
      </c>
      <c r="S759" s="3" t="s">
        <v>128</v>
      </c>
      <c r="T759" s="72"/>
      <c r="U759" s="73"/>
      <c r="W759" s="2" t="s">
        <v>62</v>
      </c>
      <c r="X759" s="10" t="s">
        <v>56</v>
      </c>
      <c r="Y759" s="10" t="s">
        <v>68</v>
      </c>
      <c r="Z759" s="75"/>
      <c r="AA759" s="76"/>
      <c r="AB759" s="77"/>
      <c r="AC759" s="77"/>
      <c r="AD759" s="10"/>
      <c r="AI759" s="7"/>
      <c r="AJ759" s="73"/>
      <c r="AK759" s="7"/>
      <c r="AL759" s="16" t="s">
        <v>1982</v>
      </c>
      <c r="AW759" s="6" t="str">
        <f t="shared" ca="1" si="13"/>
        <v/>
      </c>
    </row>
    <row r="760" ht="45" customHeight="1" outlineLevel="1">
      <c r="A760" s="69"/>
      <c r="B760" s="3" t="s">
        <v>47</v>
      </c>
      <c r="E760" s="2" t="s">
        <v>83</v>
      </c>
      <c r="F760" s="6" t="s">
        <v>704</v>
      </c>
      <c r="G760" s="5" t="s">
        <v>1017</v>
      </c>
      <c r="H760" s="2" t="s">
        <v>57</v>
      </c>
      <c r="I760" s="3" t="s">
        <v>1983</v>
      </c>
      <c r="J760" s="7">
        <v>1</v>
      </c>
      <c r="K760" s="70" t="s">
        <v>53</v>
      </c>
      <c r="L760" s="9">
        <v>1</v>
      </c>
      <c r="M760" s="3">
        <v>520</v>
      </c>
      <c r="P760" s="71"/>
      <c r="R760" s="6">
        <v>1950</v>
      </c>
      <c r="S760" s="3" t="s">
        <v>54</v>
      </c>
      <c r="T760" s="72"/>
      <c r="U760" s="73"/>
      <c r="W760" s="2" t="s">
        <v>1984</v>
      </c>
      <c r="X760" s="10" t="s">
        <v>56</v>
      </c>
      <c r="Y760" s="10" t="s">
        <v>57</v>
      </c>
      <c r="Z760" s="75"/>
      <c r="AA760" s="76"/>
      <c r="AB760" s="77"/>
      <c r="AC760" s="77">
        <v>21405</v>
      </c>
      <c r="AD760" s="10"/>
      <c r="AG760" s="7">
        <v>1958</v>
      </c>
      <c r="AH760" s="7">
        <v>1950</v>
      </c>
      <c r="AI760" s="7"/>
      <c r="AJ760" s="73"/>
      <c r="AK760" s="7"/>
      <c r="AL760" s="16"/>
      <c r="AM760" s="2" t="s">
        <v>59</v>
      </c>
      <c r="AW760" s="6" t="str">
        <f t="shared" ca="1" si="13"/>
        <v/>
      </c>
    </row>
    <row r="761" s="147" customFormat="1" ht="45" customHeight="1" outlineLevel="1">
      <c r="A761" s="69"/>
      <c r="B761" s="3" t="s">
        <v>47</v>
      </c>
      <c r="C761" s="4"/>
      <c r="D761" s="5"/>
      <c r="E761" s="2" t="s">
        <v>48</v>
      </c>
      <c r="F761" s="6" t="s">
        <v>49</v>
      </c>
      <c r="G761" s="5" t="s">
        <v>1350</v>
      </c>
      <c r="H761" s="2" t="s">
        <v>491</v>
      </c>
      <c r="I761" s="3" t="s">
        <v>1985</v>
      </c>
      <c r="J761" s="7">
        <v>1</v>
      </c>
      <c r="K761" s="70" t="s">
        <v>53</v>
      </c>
      <c r="L761" s="9">
        <v>1</v>
      </c>
      <c r="M761" s="3">
        <v>521</v>
      </c>
      <c r="N761" s="6">
        <v>1955</v>
      </c>
      <c r="O761" s="10"/>
      <c r="P761" s="71"/>
      <c r="Q761" s="10"/>
      <c r="R761" s="6">
        <v>1950</v>
      </c>
      <c r="S761" s="3" t="s">
        <v>54</v>
      </c>
      <c r="T761" s="72"/>
      <c r="U761" s="73"/>
      <c r="V761" s="12"/>
      <c r="W761" s="2" t="s">
        <v>1986</v>
      </c>
      <c r="X761" s="10" t="s">
        <v>56</v>
      </c>
      <c r="Y761" s="10" t="s">
        <v>523</v>
      </c>
      <c r="Z761" s="75"/>
      <c r="AA761" s="76"/>
      <c r="AB761" s="77">
        <v>20164</v>
      </c>
      <c r="AC761" s="77"/>
      <c r="AD761" s="6"/>
      <c r="AE761" s="7"/>
      <c r="AF761" s="7"/>
      <c r="AG761" s="7">
        <v>1955</v>
      </c>
      <c r="AH761" s="7">
        <v>1950</v>
      </c>
      <c r="AI761" s="7"/>
      <c r="AJ761" s="73"/>
      <c r="AK761" s="7"/>
      <c r="AL761" s="16"/>
      <c r="AM761" s="2" t="s">
        <v>59</v>
      </c>
      <c r="AN761" s="6"/>
      <c r="AO761" s="6"/>
      <c r="AP761" s="6"/>
      <c r="AQ761" s="5"/>
      <c r="AR761" s="2"/>
      <c r="AS761" s="6"/>
      <c r="AT761" s="6"/>
      <c r="AU761" s="16"/>
      <c r="AV761" s="17"/>
      <c r="AW761" s="6">
        <f t="shared" ca="1" si="13"/>
        <v>70</v>
      </c>
    </row>
    <row r="762" s="147" customFormat="1" ht="45" customHeight="1">
      <c r="A762" s="69"/>
      <c r="B762" s="3" t="s">
        <v>47</v>
      </c>
      <c r="C762" s="4"/>
      <c r="D762" s="5"/>
      <c r="E762" s="2" t="s">
        <v>83</v>
      </c>
      <c r="F762" s="6" t="s">
        <v>704</v>
      </c>
      <c r="G762" s="5" t="s">
        <v>1987</v>
      </c>
      <c r="H762" s="2" t="s">
        <v>57</v>
      </c>
      <c r="I762" s="3" t="s">
        <v>582</v>
      </c>
      <c r="J762" s="7">
        <v>1</v>
      </c>
      <c r="K762" s="70" t="s">
        <v>53</v>
      </c>
      <c r="L762" s="9">
        <v>1</v>
      </c>
      <c r="M762" s="3">
        <v>522</v>
      </c>
      <c r="N762" s="6"/>
      <c r="O762" s="10"/>
      <c r="P762" s="71"/>
      <c r="Q762" s="10"/>
      <c r="R762" s="6">
        <v>1950</v>
      </c>
      <c r="S762" s="3" t="s">
        <v>54</v>
      </c>
      <c r="T762" s="72"/>
      <c r="U762" s="73"/>
      <c r="V762" s="12"/>
      <c r="W762" s="2" t="s">
        <v>1988</v>
      </c>
      <c r="X762" s="10" t="s">
        <v>56</v>
      </c>
      <c r="Y762" s="10" t="s">
        <v>57</v>
      </c>
      <c r="Z762" s="75"/>
      <c r="AA762" s="76"/>
      <c r="AB762" s="77">
        <v>20324</v>
      </c>
      <c r="AC762" s="77"/>
      <c r="AD762" s="6"/>
      <c r="AE762" s="7"/>
      <c r="AF762" s="7"/>
      <c r="AG762" s="7">
        <v>1955</v>
      </c>
      <c r="AH762" s="7">
        <v>1950</v>
      </c>
      <c r="AI762" s="7"/>
      <c r="AJ762" s="73"/>
      <c r="AK762" s="7"/>
      <c r="AL762" s="16"/>
      <c r="AM762" s="2" t="s">
        <v>59</v>
      </c>
      <c r="AN762" s="6"/>
      <c r="AO762" s="6"/>
      <c r="AP762" s="6"/>
      <c r="AQ762" s="5"/>
      <c r="AR762" s="2"/>
      <c r="AS762" s="6"/>
      <c r="AT762" s="6"/>
      <c r="AU762" s="16"/>
      <c r="AV762" s="17"/>
      <c r="AW762" s="6" t="str">
        <f t="shared" ca="1" si="13"/>
        <v/>
      </c>
    </row>
    <row r="763" ht="45" customHeight="1">
      <c r="A763" s="69"/>
      <c r="B763" s="3" t="s">
        <v>47</v>
      </c>
      <c r="E763" s="2" t="s">
        <v>63</v>
      </c>
      <c r="F763" s="6" t="s">
        <v>64</v>
      </c>
      <c r="G763" s="5" t="s">
        <v>75</v>
      </c>
      <c r="H763" s="2" t="s">
        <v>501</v>
      </c>
      <c r="I763" s="3" t="s">
        <v>1989</v>
      </c>
      <c r="J763" s="7">
        <v>1</v>
      </c>
      <c r="K763" s="70" t="s">
        <v>53</v>
      </c>
      <c r="L763" s="9">
        <v>1</v>
      </c>
      <c r="M763" s="3">
        <v>523</v>
      </c>
      <c r="N763" s="6">
        <v>1953</v>
      </c>
      <c r="P763" s="71"/>
      <c r="R763" s="6">
        <v>1950</v>
      </c>
      <c r="S763" s="3" t="s">
        <v>54</v>
      </c>
      <c r="T763" s="72"/>
      <c r="U763" s="73"/>
      <c r="W763" s="2" t="s">
        <v>1990</v>
      </c>
      <c r="X763" s="10" t="s">
        <v>504</v>
      </c>
      <c r="Y763" s="10" t="s">
        <v>501</v>
      </c>
      <c r="Z763" s="75"/>
      <c r="AA763" s="76"/>
      <c r="AB763" s="77">
        <v>22584</v>
      </c>
      <c r="AC763" s="77"/>
      <c r="AD763" s="6"/>
      <c r="AE763" s="7">
        <v>1955</v>
      </c>
      <c r="AF763" s="7" t="s">
        <v>1991</v>
      </c>
      <c r="AG763" s="7">
        <v>1961</v>
      </c>
      <c r="AH763" s="7">
        <v>1960</v>
      </c>
      <c r="AI763" s="7"/>
      <c r="AJ763" s="73"/>
      <c r="AK763" s="7"/>
      <c r="AL763" s="16"/>
      <c r="AM763" s="2" t="s">
        <v>53</v>
      </c>
      <c r="AO763" s="6" t="s">
        <v>100</v>
      </c>
      <c r="AR763" s="2" t="s">
        <v>73</v>
      </c>
      <c r="AT763" s="6">
        <v>1997</v>
      </c>
      <c r="AU763" s="16" t="s">
        <v>1992</v>
      </c>
      <c r="AW763" s="6">
        <f t="shared" ca="1" si="13"/>
        <v>72</v>
      </c>
    </row>
    <row r="764" ht="45" hidden="1" customHeight="1" outlineLevel="1">
      <c r="A764" s="69"/>
      <c r="B764" s="3" t="s">
        <v>47</v>
      </c>
      <c r="C764" s="4" t="s">
        <v>1263</v>
      </c>
      <c r="E764" s="2" t="s">
        <v>83</v>
      </c>
      <c r="F764" s="6" t="s">
        <v>84</v>
      </c>
      <c r="G764" s="5" t="s">
        <v>1993</v>
      </c>
      <c r="H764" s="2" t="s">
        <v>57</v>
      </c>
      <c r="I764" s="3" t="s">
        <v>1994</v>
      </c>
      <c r="J764" s="7">
        <v>1</v>
      </c>
      <c r="K764" s="104"/>
      <c r="L764" s="9">
        <v>1</v>
      </c>
      <c r="M764" s="3">
        <v>524</v>
      </c>
      <c r="N764" s="6">
        <v>1955</v>
      </c>
      <c r="P764" s="71"/>
      <c r="R764" s="6">
        <v>1950</v>
      </c>
      <c r="S764" s="3" t="s">
        <v>236</v>
      </c>
      <c r="T764" s="72"/>
      <c r="U764" s="73">
        <v>38044</v>
      </c>
      <c r="W764" s="2" t="s">
        <v>62</v>
      </c>
      <c r="X764" s="10" t="s">
        <v>56</v>
      </c>
      <c r="Y764" s="10" t="s">
        <v>57</v>
      </c>
      <c r="Z764" s="75"/>
      <c r="AA764" s="76"/>
      <c r="AB764" s="77"/>
      <c r="AC764" s="77"/>
      <c r="AD764" s="6"/>
      <c r="AI764" s="7"/>
      <c r="AJ764" s="95">
        <v>38044</v>
      </c>
      <c r="AK764" s="7">
        <v>2000</v>
      </c>
      <c r="AL764" s="16"/>
      <c r="AW764" s="6">
        <f t="shared" ca="1" si="13"/>
        <v>70</v>
      </c>
    </row>
    <row r="765" ht="45" customHeight="1" outlineLevel="1">
      <c r="A765" s="69"/>
      <c r="B765" s="3" t="s">
        <v>47</v>
      </c>
      <c r="C765" s="4" t="s">
        <v>1995</v>
      </c>
      <c r="E765" s="2" t="s">
        <v>83</v>
      </c>
      <c r="F765" s="6" t="s">
        <v>704</v>
      </c>
      <c r="G765" s="5" t="s">
        <v>1996</v>
      </c>
      <c r="H765" s="2" t="s">
        <v>977</v>
      </c>
      <c r="I765" s="3" t="s">
        <v>1997</v>
      </c>
      <c r="J765" s="7">
        <v>1</v>
      </c>
      <c r="K765" s="70" t="s">
        <v>53</v>
      </c>
      <c r="L765" s="9">
        <v>1</v>
      </c>
      <c r="M765" s="3">
        <v>525</v>
      </c>
      <c r="N765" s="6">
        <v>1955</v>
      </c>
      <c r="P765" s="71"/>
      <c r="R765" s="6">
        <v>1950</v>
      </c>
      <c r="S765" s="3" t="s">
        <v>54</v>
      </c>
      <c r="T765" s="72"/>
      <c r="U765" s="73"/>
      <c r="W765" s="2" t="s">
        <v>1998</v>
      </c>
      <c r="X765" s="10" t="s">
        <v>213</v>
      </c>
      <c r="Y765" s="10" t="s">
        <v>980</v>
      </c>
      <c r="Z765" s="75"/>
      <c r="AA765" s="76">
        <v>20257</v>
      </c>
      <c r="AB765" s="77"/>
      <c r="AC765" s="77"/>
      <c r="AD765" s="6"/>
      <c r="AG765" s="7">
        <v>1955</v>
      </c>
      <c r="AH765" s="7">
        <v>1950</v>
      </c>
      <c r="AI765" s="7"/>
      <c r="AJ765" s="73"/>
      <c r="AK765" s="7"/>
      <c r="AL765" s="16"/>
      <c r="AW765" s="6">
        <f t="shared" ca="1" si="13"/>
        <v>70</v>
      </c>
    </row>
    <row r="766" ht="45" customHeight="1" outlineLevel="1">
      <c r="A766" s="69"/>
      <c r="B766" s="3" t="s">
        <v>47</v>
      </c>
      <c r="D766" s="5" t="s">
        <v>1999</v>
      </c>
      <c r="E766" s="2" t="s">
        <v>83</v>
      </c>
      <c r="F766" s="6" t="s">
        <v>179</v>
      </c>
      <c r="G766" s="5" t="s">
        <v>313</v>
      </c>
      <c r="H766" s="2" t="s">
        <v>68</v>
      </c>
      <c r="I766" s="3" t="s">
        <v>2000</v>
      </c>
      <c r="J766" s="7">
        <v>1</v>
      </c>
      <c r="K766" s="70" t="s">
        <v>53</v>
      </c>
      <c r="L766" s="9">
        <v>1</v>
      </c>
      <c r="M766" s="3">
        <v>526</v>
      </c>
      <c r="N766" s="6">
        <v>1955</v>
      </c>
      <c r="P766" s="71"/>
      <c r="R766" s="6">
        <v>1950</v>
      </c>
      <c r="S766" s="3" t="s">
        <v>54</v>
      </c>
      <c r="T766" s="72"/>
      <c r="U766" s="73"/>
      <c r="W766" s="2" t="s">
        <v>2001</v>
      </c>
      <c r="X766" s="10" t="s">
        <v>504</v>
      </c>
      <c r="Y766" s="10" t="s">
        <v>511</v>
      </c>
      <c r="Z766" s="75"/>
      <c r="AA766" s="76" t="s">
        <v>2002</v>
      </c>
      <c r="AB766" s="77" t="s">
        <v>2002</v>
      </c>
      <c r="AC766" s="77"/>
      <c r="AD766" s="6"/>
      <c r="AE766" s="7">
        <v>1956</v>
      </c>
      <c r="AF766" s="7" t="s">
        <v>2003</v>
      </c>
      <c r="AG766" s="7">
        <v>1956</v>
      </c>
      <c r="AH766" s="7">
        <v>1950</v>
      </c>
      <c r="AI766" s="7" t="s">
        <v>2004</v>
      </c>
      <c r="AJ766" s="73"/>
      <c r="AK766" s="7"/>
      <c r="AL766" s="102" t="s">
        <v>2005</v>
      </c>
      <c r="AU766" s="16" t="s">
        <v>2006</v>
      </c>
      <c r="AW766" s="6">
        <f t="shared" ca="1" si="13"/>
        <v>70</v>
      </c>
    </row>
    <row r="767" ht="45" hidden="1" customHeight="1">
      <c r="A767" s="69"/>
      <c r="B767" s="3" t="s">
        <v>47</v>
      </c>
      <c r="C767" s="4" t="s">
        <v>1705</v>
      </c>
      <c r="E767" s="2" t="s">
        <v>48</v>
      </c>
      <c r="F767" s="6" t="s">
        <v>49</v>
      </c>
      <c r="G767" s="5" t="s">
        <v>2007</v>
      </c>
      <c r="H767" s="2" t="s">
        <v>57</v>
      </c>
      <c r="I767" s="3" t="s">
        <v>2008</v>
      </c>
      <c r="J767" s="7">
        <v>1</v>
      </c>
      <c r="K767" s="70"/>
      <c r="L767" s="9">
        <v>1</v>
      </c>
      <c r="M767" s="3">
        <v>527</v>
      </c>
      <c r="N767" s="6">
        <v>1955</v>
      </c>
      <c r="P767" s="71"/>
      <c r="R767" s="6">
        <v>1950</v>
      </c>
      <c r="S767" s="3" t="s">
        <v>236</v>
      </c>
      <c r="T767" s="72"/>
      <c r="U767" s="73"/>
      <c r="W767" s="2" t="s">
        <v>62</v>
      </c>
      <c r="X767" s="10" t="s">
        <v>56</v>
      </c>
      <c r="Y767" s="10" t="s">
        <v>57</v>
      </c>
      <c r="Z767" s="75"/>
      <c r="AA767" s="76"/>
      <c r="AB767" s="77"/>
      <c r="AC767" s="77"/>
      <c r="AD767" s="6"/>
      <c r="AI767" s="7"/>
      <c r="AJ767" s="95">
        <v>38175</v>
      </c>
      <c r="AK767" s="7">
        <v>2000</v>
      </c>
      <c r="AL767" s="102"/>
      <c r="AW767" s="6">
        <f t="shared" ca="1" si="13"/>
        <v>70</v>
      </c>
    </row>
    <row r="768" ht="45" hidden="1" customHeight="1" outlineLevel="1">
      <c r="A768" s="69"/>
      <c r="B768" s="3" t="s">
        <v>47</v>
      </c>
      <c r="C768" s="4" t="s">
        <v>1705</v>
      </c>
      <c r="E768" s="2" t="s">
        <v>48</v>
      </c>
      <c r="F768" s="6" t="s">
        <v>49</v>
      </c>
      <c r="G768" s="5" t="s">
        <v>2007</v>
      </c>
      <c r="H768" s="2" t="s">
        <v>57</v>
      </c>
      <c r="I768" s="3" t="s">
        <v>2009</v>
      </c>
      <c r="J768" s="7">
        <v>1</v>
      </c>
      <c r="K768" s="104"/>
      <c r="L768" s="9">
        <v>0</v>
      </c>
      <c r="M768" s="3">
        <v>527</v>
      </c>
      <c r="N768" s="6">
        <v>1955</v>
      </c>
      <c r="P768" s="71"/>
      <c r="R768" s="6">
        <v>1950</v>
      </c>
      <c r="S768" s="3" t="s">
        <v>236</v>
      </c>
      <c r="T768" s="72"/>
      <c r="U768" s="73"/>
      <c r="W768" s="2" t="s">
        <v>62</v>
      </c>
      <c r="X768" s="10" t="s">
        <v>56</v>
      </c>
      <c r="Y768" s="10" t="s">
        <v>57</v>
      </c>
      <c r="Z768" s="75"/>
      <c r="AA768" s="76"/>
      <c r="AB768" s="77"/>
      <c r="AC768" s="77"/>
      <c r="AD768" s="6"/>
      <c r="AI768" s="7"/>
      <c r="AJ768" s="95">
        <v>38175</v>
      </c>
      <c r="AK768" s="7">
        <v>2000</v>
      </c>
      <c r="AL768" s="16"/>
      <c r="AW768" s="6">
        <f t="shared" ca="1" si="13"/>
        <v>70</v>
      </c>
    </row>
    <row r="769" ht="45" hidden="1" customHeight="1" outlineLevel="1">
      <c r="A769" s="69"/>
      <c r="B769" s="3" t="s">
        <v>47</v>
      </c>
      <c r="C769" s="4" t="s">
        <v>1263</v>
      </c>
      <c r="E769" s="2" t="s">
        <v>63</v>
      </c>
      <c r="F769" s="6" t="s">
        <v>172</v>
      </c>
      <c r="G769" s="5" t="s">
        <v>2010</v>
      </c>
      <c r="H769" s="2" t="s">
        <v>382</v>
      </c>
      <c r="I769" s="3" t="s">
        <v>2011</v>
      </c>
      <c r="J769" s="114">
        <v>1</v>
      </c>
      <c r="K769" s="70"/>
      <c r="L769" s="9">
        <v>1</v>
      </c>
      <c r="M769" s="3">
        <v>528</v>
      </c>
      <c r="N769" s="6">
        <v>1955</v>
      </c>
      <c r="P769" s="71"/>
      <c r="R769" s="6">
        <v>1950</v>
      </c>
      <c r="S769" s="3" t="s">
        <v>236</v>
      </c>
      <c r="T769" s="72"/>
      <c r="U769" s="73"/>
      <c r="W769" s="2" t="s">
        <v>62</v>
      </c>
      <c r="X769" s="10" t="s">
        <v>91</v>
      </c>
      <c r="Y769" s="10" t="s">
        <v>385</v>
      </c>
      <c r="Z769" s="75"/>
      <c r="AA769" s="76"/>
      <c r="AB769" s="77"/>
      <c r="AC769" s="77"/>
      <c r="AD769" s="10"/>
      <c r="AI769" s="7"/>
      <c r="AJ769" s="95">
        <v>38044</v>
      </c>
      <c r="AK769" s="7">
        <v>2000</v>
      </c>
      <c r="AL769" s="16"/>
      <c r="AW769" s="6">
        <f t="shared" ca="1" si="13"/>
        <v>70</v>
      </c>
    </row>
    <row r="770" ht="45" hidden="1" customHeight="1" outlineLevel="1">
      <c r="A770" s="69"/>
      <c r="B770" s="3" t="s">
        <v>47</v>
      </c>
      <c r="C770" s="4" t="s">
        <v>1263</v>
      </c>
      <c r="E770" s="2" t="s">
        <v>63</v>
      </c>
      <c r="F770" s="6" t="s">
        <v>172</v>
      </c>
      <c r="G770" s="5" t="s">
        <v>2010</v>
      </c>
      <c r="H770" s="2" t="s">
        <v>51</v>
      </c>
      <c r="I770" s="96" t="s">
        <v>2012</v>
      </c>
      <c r="J770" s="7">
        <v>1</v>
      </c>
      <c r="K770" s="70"/>
      <c r="L770" s="9">
        <v>0</v>
      </c>
      <c r="M770" s="3">
        <v>528</v>
      </c>
      <c r="N770" s="6">
        <v>1955</v>
      </c>
      <c r="P770" s="71"/>
      <c r="R770" s="6">
        <v>1950</v>
      </c>
      <c r="S770" s="3" t="s">
        <v>236</v>
      </c>
      <c r="T770" s="72"/>
      <c r="U770" s="73"/>
      <c r="W770" s="2" t="s">
        <v>62</v>
      </c>
      <c r="X770" s="10" t="s">
        <v>56</v>
      </c>
      <c r="Y770" s="10" t="s">
        <v>57</v>
      </c>
      <c r="Z770" s="75" t="s">
        <v>58</v>
      </c>
      <c r="AA770" s="76"/>
      <c r="AB770" s="77"/>
      <c r="AC770" s="77"/>
      <c r="AD770" s="10"/>
      <c r="AI770" s="7"/>
      <c r="AJ770" s="95">
        <v>38044</v>
      </c>
      <c r="AK770" s="7">
        <v>2000</v>
      </c>
      <c r="AL770" s="16"/>
      <c r="AW770" s="6">
        <f t="shared" ca="1" si="13"/>
        <v>70</v>
      </c>
    </row>
    <row r="771" ht="45" customHeight="1" outlineLevel="1">
      <c r="A771" s="69"/>
      <c r="B771" s="3" t="s">
        <v>47</v>
      </c>
      <c r="E771" s="2" t="s">
        <v>83</v>
      </c>
      <c r="F771" s="6" t="s">
        <v>704</v>
      </c>
      <c r="G771" s="5" t="s">
        <v>2013</v>
      </c>
      <c r="H771" s="2" t="s">
        <v>57</v>
      </c>
      <c r="I771" s="3" t="s">
        <v>2014</v>
      </c>
      <c r="J771" s="7">
        <v>1</v>
      </c>
      <c r="K771" s="70" t="s">
        <v>53</v>
      </c>
      <c r="L771" s="9">
        <v>1</v>
      </c>
      <c r="M771" s="3">
        <v>529</v>
      </c>
      <c r="N771" s="6">
        <v>1965</v>
      </c>
      <c r="P771" s="71"/>
      <c r="R771" s="6">
        <v>1950</v>
      </c>
      <c r="S771" s="3" t="s">
        <v>54</v>
      </c>
      <c r="T771" s="72"/>
      <c r="U771" s="73"/>
      <c r="W771" s="2" t="s">
        <v>2015</v>
      </c>
      <c r="X771" s="10" t="s">
        <v>56</v>
      </c>
      <c r="Y771" s="10" t="s">
        <v>57</v>
      </c>
      <c r="Z771" s="75"/>
      <c r="AA771" s="76"/>
      <c r="AB771" s="77">
        <v>25351</v>
      </c>
      <c r="AC771" s="77"/>
      <c r="AD771" s="6"/>
      <c r="AG771" s="7">
        <v>1969</v>
      </c>
      <c r="AH771" s="7">
        <v>1960</v>
      </c>
      <c r="AI771" s="7"/>
      <c r="AJ771" s="73"/>
      <c r="AK771" s="7"/>
      <c r="AL771" s="16"/>
      <c r="AM771" s="2" t="s">
        <v>59</v>
      </c>
      <c r="AW771" s="6">
        <f t="shared" ca="1" si="13"/>
        <v>60</v>
      </c>
    </row>
    <row r="772" ht="45" hidden="1" customHeight="1" outlineLevel="1">
      <c r="A772" s="69"/>
      <c r="B772" s="3" t="s">
        <v>47</v>
      </c>
      <c r="C772" s="4" t="s">
        <v>2016</v>
      </c>
      <c r="E772" s="2" t="s">
        <v>63</v>
      </c>
      <c r="F772" s="6" t="s">
        <v>172</v>
      </c>
      <c r="G772" s="5" t="s">
        <v>173</v>
      </c>
      <c r="H772" s="2" t="s">
        <v>68</v>
      </c>
      <c r="I772" s="3" t="s">
        <v>2017</v>
      </c>
      <c r="J772" s="7">
        <v>1</v>
      </c>
      <c r="K772" s="104"/>
      <c r="L772" s="9">
        <v>1</v>
      </c>
      <c r="M772" s="3">
        <v>530</v>
      </c>
      <c r="N772" s="6">
        <v>1955</v>
      </c>
      <c r="P772" s="71"/>
      <c r="R772" s="6">
        <v>1950</v>
      </c>
      <c r="S772" s="94" t="s">
        <v>236</v>
      </c>
      <c r="T772" s="72"/>
      <c r="U772" s="73"/>
      <c r="W772" s="2" t="s">
        <v>62</v>
      </c>
      <c r="X772" s="10" t="s">
        <v>56</v>
      </c>
      <c r="Y772" s="10" t="s">
        <v>68</v>
      </c>
      <c r="Z772" s="75"/>
      <c r="AA772" s="76"/>
      <c r="AB772" s="77"/>
      <c r="AC772" s="77"/>
      <c r="AD772" s="6"/>
      <c r="AE772" s="7">
        <v>1956</v>
      </c>
      <c r="AF772" s="7">
        <v>21</v>
      </c>
      <c r="AI772" s="7"/>
      <c r="AJ772" s="95">
        <v>38044</v>
      </c>
      <c r="AK772" s="7">
        <v>2000</v>
      </c>
      <c r="AL772" s="115" t="s">
        <v>2018</v>
      </c>
      <c r="AW772" s="6">
        <f t="shared" ca="1" si="13"/>
        <v>70</v>
      </c>
    </row>
    <row r="773" ht="45" customHeight="1" outlineLevel="1">
      <c r="A773" s="69"/>
      <c r="B773" s="3" t="s">
        <v>47</v>
      </c>
      <c r="E773" s="2" t="s">
        <v>48</v>
      </c>
      <c r="F773" s="6" t="s">
        <v>49</v>
      </c>
      <c r="G773" s="5" t="s">
        <v>1889</v>
      </c>
      <c r="H773" s="2" t="s">
        <v>382</v>
      </c>
      <c r="I773" s="3" t="s">
        <v>2019</v>
      </c>
      <c r="J773" s="7">
        <v>1</v>
      </c>
      <c r="K773" s="70" t="s">
        <v>53</v>
      </c>
      <c r="L773" s="9">
        <v>1</v>
      </c>
      <c r="M773" s="3">
        <v>531</v>
      </c>
      <c r="N773" s="6">
        <v>1955</v>
      </c>
      <c r="P773" s="71"/>
      <c r="R773" s="6">
        <v>1950</v>
      </c>
      <c r="S773" s="3" t="s">
        <v>54</v>
      </c>
      <c r="T773" s="72"/>
      <c r="U773" s="73"/>
      <c r="W773" s="2" t="s">
        <v>2020</v>
      </c>
      <c r="X773" s="10" t="s">
        <v>91</v>
      </c>
      <c r="Y773" s="10" t="s">
        <v>385</v>
      </c>
      <c r="Z773" s="75"/>
      <c r="AA773" s="76"/>
      <c r="AB773" s="77">
        <v>20437</v>
      </c>
      <c r="AC773" s="77"/>
      <c r="AD773" s="6"/>
      <c r="AE773" s="7">
        <v>1955</v>
      </c>
      <c r="AF773" s="7">
        <v>19</v>
      </c>
      <c r="AG773" s="7">
        <v>1955</v>
      </c>
      <c r="AH773" s="7">
        <v>1950</v>
      </c>
      <c r="AI773" s="7"/>
      <c r="AJ773" s="73"/>
      <c r="AK773" s="7"/>
      <c r="AL773" s="16"/>
      <c r="AM773" s="2" t="s">
        <v>59</v>
      </c>
      <c r="AO773" s="6" t="s">
        <v>59</v>
      </c>
      <c r="AW773" s="6">
        <f t="shared" ca="1" si="13"/>
        <v>70</v>
      </c>
    </row>
    <row r="774" ht="45" customHeight="1" outlineLevel="1">
      <c r="A774" s="69"/>
      <c r="B774" s="3" t="s">
        <v>47</v>
      </c>
      <c r="E774" s="2" t="s">
        <v>83</v>
      </c>
      <c r="F774" s="6" t="s">
        <v>84</v>
      </c>
      <c r="G774" s="5" t="s">
        <v>2021</v>
      </c>
      <c r="H774" s="2" t="s">
        <v>57</v>
      </c>
      <c r="I774" s="3" t="s">
        <v>2022</v>
      </c>
      <c r="J774" s="7">
        <v>1</v>
      </c>
      <c r="K774" s="70" t="s">
        <v>53</v>
      </c>
      <c r="L774" s="9">
        <v>1</v>
      </c>
      <c r="M774" s="3">
        <v>532</v>
      </c>
      <c r="N774" s="6">
        <v>1955</v>
      </c>
      <c r="P774" s="71"/>
      <c r="R774" s="6">
        <v>1950</v>
      </c>
      <c r="S774" s="3" t="s">
        <v>54</v>
      </c>
      <c r="T774" s="72"/>
      <c r="U774" s="73"/>
      <c r="W774" s="98" t="s">
        <v>2023</v>
      </c>
      <c r="X774" s="10" t="s">
        <v>56</v>
      </c>
      <c r="Y774" s="10" t="s">
        <v>57</v>
      </c>
      <c r="Z774" s="75"/>
      <c r="AA774" s="76"/>
      <c r="AB774" s="77">
        <v>20829</v>
      </c>
      <c r="AC774" s="77"/>
      <c r="AD774" s="6"/>
      <c r="AG774" s="7">
        <v>1957</v>
      </c>
      <c r="AH774" s="7">
        <v>1950</v>
      </c>
      <c r="AI774" s="7"/>
      <c r="AJ774" s="73"/>
      <c r="AK774" s="7"/>
      <c r="AL774" s="16"/>
      <c r="AM774" s="2" t="s">
        <v>59</v>
      </c>
      <c r="AO774" s="6" t="s">
        <v>59</v>
      </c>
      <c r="AQ774" s="5" t="s">
        <v>73</v>
      </c>
      <c r="AU774" s="16" t="s">
        <v>2024</v>
      </c>
      <c r="AW774" s="6">
        <f t="shared" ca="1" si="13"/>
        <v>70</v>
      </c>
    </row>
    <row r="775" ht="45" customHeight="1" outlineLevel="1">
      <c r="A775" s="69"/>
      <c r="B775" s="3" t="s">
        <v>47</v>
      </c>
      <c r="D775" s="5" t="s">
        <v>2025</v>
      </c>
      <c r="E775" s="78" t="s">
        <v>1074</v>
      </c>
      <c r="F775" s="79" t="s">
        <v>2026</v>
      </c>
      <c r="G775" s="80" t="s">
        <v>2027</v>
      </c>
      <c r="H775" s="78" t="s">
        <v>68</v>
      </c>
      <c r="I775" s="81" t="s">
        <v>2028</v>
      </c>
      <c r="J775" s="7">
        <v>1</v>
      </c>
      <c r="K775" s="104" t="s">
        <v>53</v>
      </c>
      <c r="L775" s="9">
        <v>1</v>
      </c>
      <c r="M775" s="3">
        <v>533</v>
      </c>
      <c r="N775" s="6">
        <v>1955</v>
      </c>
      <c r="P775" s="71"/>
      <c r="R775" s="6">
        <v>1950</v>
      </c>
      <c r="S775" s="3" t="s">
        <v>54</v>
      </c>
      <c r="T775" s="72"/>
      <c r="U775" s="73"/>
      <c r="W775" s="78" t="s">
        <v>2029</v>
      </c>
      <c r="X775" s="82" t="s">
        <v>56</v>
      </c>
      <c r="Y775" s="82" t="s">
        <v>68</v>
      </c>
      <c r="Z775" s="83" t="s">
        <v>905</v>
      </c>
      <c r="AA775" s="76"/>
      <c r="AB775" s="77" t="s">
        <v>208</v>
      </c>
      <c r="AC775" s="77"/>
      <c r="AD775" s="6"/>
      <c r="AE775" s="7" t="s">
        <v>2030</v>
      </c>
      <c r="AF775" s="7" t="s">
        <v>2031</v>
      </c>
      <c r="AG775" s="7">
        <v>2017</v>
      </c>
      <c r="AH775" s="7">
        <v>2010</v>
      </c>
      <c r="AI775" s="7"/>
      <c r="AJ775" s="73"/>
      <c r="AK775" s="7"/>
      <c r="AL775" s="16" t="s">
        <v>2032</v>
      </c>
      <c r="AM775" s="2" t="s">
        <v>53</v>
      </c>
      <c r="AW775" s="6">
        <f t="shared" ca="1" si="13"/>
        <v>70</v>
      </c>
    </row>
    <row r="776" ht="45" hidden="1" customHeight="1">
      <c r="A776" s="69"/>
      <c r="B776" s="3" t="s">
        <v>190</v>
      </c>
      <c r="C776" s="4" t="s">
        <v>2033</v>
      </c>
      <c r="D776" s="5" t="s">
        <v>2034</v>
      </c>
      <c r="E776" s="2" t="s">
        <v>63</v>
      </c>
      <c r="F776" s="6" t="s">
        <v>1230</v>
      </c>
      <c r="G776" s="5" t="s">
        <v>2035</v>
      </c>
      <c r="H776" s="2" t="s">
        <v>51</v>
      </c>
      <c r="I776" s="3" t="s">
        <v>2036</v>
      </c>
      <c r="J776" s="7">
        <v>1</v>
      </c>
      <c r="L776" s="9">
        <v>1</v>
      </c>
      <c r="M776" s="3">
        <v>534</v>
      </c>
      <c r="N776" s="6">
        <v>1955</v>
      </c>
      <c r="P776" s="71"/>
      <c r="R776" s="6">
        <v>1950</v>
      </c>
      <c r="S776" s="3" t="s">
        <v>283</v>
      </c>
      <c r="T776" s="72"/>
      <c r="U776" s="73"/>
      <c r="W776" s="74" t="s">
        <v>62</v>
      </c>
      <c r="X776" s="10" t="s">
        <v>56</v>
      </c>
      <c r="Y776" s="10" t="s">
        <v>57</v>
      </c>
      <c r="Z776" s="75" t="s">
        <v>58</v>
      </c>
      <c r="AI776" s="7"/>
      <c r="AJ776" s="73"/>
      <c r="AK776" s="7"/>
      <c r="AL776" s="16"/>
      <c r="AW776" s="6">
        <f t="shared" ca="1" si="13"/>
        <v>70</v>
      </c>
    </row>
    <row r="777" ht="45" hidden="1" customHeight="1">
      <c r="A777" s="69"/>
      <c r="B777" s="3" t="s">
        <v>47</v>
      </c>
      <c r="C777" s="4" t="s">
        <v>2037</v>
      </c>
      <c r="D777" s="5" t="s">
        <v>2038</v>
      </c>
      <c r="E777" s="2" t="s">
        <v>63</v>
      </c>
      <c r="F777" s="6" t="s">
        <v>1230</v>
      </c>
      <c r="G777" s="5" t="s">
        <v>1231</v>
      </c>
      <c r="H777" s="2" t="s">
        <v>57</v>
      </c>
      <c r="I777" s="3" t="s">
        <v>2039</v>
      </c>
      <c r="J777" s="7">
        <v>1</v>
      </c>
      <c r="K777" s="104"/>
      <c r="L777" s="9">
        <v>1</v>
      </c>
      <c r="M777" s="3">
        <v>535</v>
      </c>
      <c r="N777" s="6">
        <v>1956</v>
      </c>
      <c r="O777" s="10">
        <v>20465</v>
      </c>
      <c r="P777" s="71" t="s">
        <v>2040</v>
      </c>
      <c r="R777" s="6">
        <v>1950</v>
      </c>
      <c r="S777" s="3" t="s">
        <v>236</v>
      </c>
      <c r="T777" s="72"/>
      <c r="U777" s="73"/>
      <c r="W777" s="2" t="s">
        <v>62</v>
      </c>
      <c r="X777" s="10" t="s">
        <v>56</v>
      </c>
      <c r="Y777" s="10" t="s">
        <v>57</v>
      </c>
      <c r="Z777" s="75"/>
      <c r="AA777" s="76"/>
      <c r="AB777" s="77"/>
      <c r="AC777" s="77"/>
      <c r="AD777" s="6"/>
      <c r="AI777" s="7"/>
      <c r="AJ777" s="10">
        <v>42334</v>
      </c>
      <c r="AK777" s="7">
        <v>2010</v>
      </c>
      <c r="AL777" s="16"/>
      <c r="AW777" s="6">
        <f t="shared" ca="1" si="13"/>
        <v>69</v>
      </c>
    </row>
    <row r="778" ht="45" hidden="1" customHeight="1" outlineLevel="1">
      <c r="A778" s="69"/>
      <c r="B778" s="3" t="s">
        <v>47</v>
      </c>
      <c r="C778" s="4" t="s">
        <v>2041</v>
      </c>
      <c r="D778" s="5" t="s">
        <v>2042</v>
      </c>
      <c r="E778" s="2" t="s">
        <v>63</v>
      </c>
      <c r="F778" s="6" t="s">
        <v>1230</v>
      </c>
      <c r="G778" s="5" t="s">
        <v>1606</v>
      </c>
      <c r="H778" s="2" t="s">
        <v>51</v>
      </c>
      <c r="I778" s="3" t="s">
        <v>222</v>
      </c>
      <c r="J778" s="7">
        <v>1</v>
      </c>
      <c r="K778" s="104"/>
      <c r="L778" s="9">
        <v>1</v>
      </c>
      <c r="M778" s="3">
        <v>536</v>
      </c>
      <c r="N778" s="6">
        <v>1956</v>
      </c>
      <c r="P778" s="71"/>
      <c r="R778" s="6">
        <v>1950</v>
      </c>
      <c r="S778" s="3" t="s">
        <v>939</v>
      </c>
      <c r="T778" s="72"/>
      <c r="U778" s="73"/>
      <c r="W778" s="74" t="s">
        <v>2043</v>
      </c>
      <c r="X778" s="10" t="s">
        <v>56</v>
      </c>
      <c r="Y778" s="10" t="s">
        <v>57</v>
      </c>
      <c r="Z778" s="75" t="s">
        <v>58</v>
      </c>
      <c r="AA778" s="76"/>
      <c r="AB778" s="77"/>
      <c r="AC778" s="77"/>
      <c r="AD778" s="6"/>
      <c r="AI778" s="7"/>
      <c r="AJ778" s="73"/>
      <c r="AK778" s="7"/>
      <c r="AL778" s="16"/>
      <c r="AW778" s="6">
        <f t="shared" ca="1" si="13"/>
        <v>69</v>
      </c>
    </row>
    <row r="779" ht="45" customHeight="1" outlineLevel="1">
      <c r="A779" s="69"/>
      <c r="B779" s="3" t="s">
        <v>47</v>
      </c>
      <c r="C779" s="97" t="s">
        <v>2044</v>
      </c>
      <c r="E779" s="2" t="s">
        <v>83</v>
      </c>
      <c r="F779" s="6" t="s">
        <v>84</v>
      </c>
      <c r="G779" s="5" t="s">
        <v>85</v>
      </c>
      <c r="H779" s="2" t="s">
        <v>501</v>
      </c>
      <c r="I779" s="3" t="s">
        <v>2045</v>
      </c>
      <c r="J779" s="7">
        <v>1</v>
      </c>
      <c r="K779" s="123" t="s">
        <v>53</v>
      </c>
      <c r="L779" s="9">
        <v>1</v>
      </c>
      <c r="M779" s="3">
        <v>537</v>
      </c>
      <c r="N779" s="6">
        <v>1957</v>
      </c>
      <c r="P779" s="71"/>
      <c r="R779" s="6">
        <v>1950</v>
      </c>
      <c r="S779" s="3" t="s">
        <v>54</v>
      </c>
      <c r="T779" s="72"/>
      <c r="U779" s="73"/>
      <c r="W779" s="2" t="s">
        <v>2046</v>
      </c>
      <c r="X779" s="10" t="s">
        <v>504</v>
      </c>
      <c r="Y779" s="10" t="s">
        <v>501</v>
      </c>
      <c r="Z779" s="75"/>
      <c r="AA779" s="76"/>
      <c r="AB779" s="77">
        <v>20985</v>
      </c>
      <c r="AC779" s="77"/>
      <c r="AD779" s="6"/>
      <c r="AE779" s="7">
        <v>1956</v>
      </c>
      <c r="AF779" s="7">
        <v>21</v>
      </c>
      <c r="AG779" s="7">
        <v>1957</v>
      </c>
      <c r="AH779" s="7">
        <v>1950</v>
      </c>
      <c r="AI779" s="7"/>
      <c r="AJ779" s="73"/>
      <c r="AK779" s="7"/>
      <c r="AL779" s="16" t="s">
        <v>2047</v>
      </c>
      <c r="AM779" s="2" t="s">
        <v>53</v>
      </c>
      <c r="AO779" s="6" t="s">
        <v>100</v>
      </c>
      <c r="AP779" s="6" t="s">
        <v>104</v>
      </c>
      <c r="AQ779" s="5" t="s">
        <v>104</v>
      </c>
      <c r="AR779" s="87" t="s">
        <v>73</v>
      </c>
      <c r="AS779" s="88"/>
      <c r="AT779" s="88">
        <v>2000</v>
      </c>
      <c r="AU779" s="89" t="s">
        <v>2048</v>
      </c>
      <c r="AV779" s="90"/>
      <c r="AW779" s="6">
        <f t="shared" ca="1" si="13"/>
        <v>68</v>
      </c>
    </row>
    <row r="780" ht="45" hidden="1" customHeight="1" outlineLevel="1">
      <c r="A780" s="69"/>
      <c r="B780" s="3" t="s">
        <v>47</v>
      </c>
      <c r="C780" s="144" t="s">
        <v>2049</v>
      </c>
      <c r="D780" s="5" t="s">
        <v>2050</v>
      </c>
      <c r="E780" s="2" t="s">
        <v>83</v>
      </c>
      <c r="F780" s="6" t="s">
        <v>179</v>
      </c>
      <c r="G780" s="5" t="s">
        <v>358</v>
      </c>
      <c r="H780" s="2" t="s">
        <v>57</v>
      </c>
      <c r="I780" s="3" t="s">
        <v>2051</v>
      </c>
      <c r="J780" s="7">
        <v>1</v>
      </c>
      <c r="K780" s="104"/>
      <c r="L780" s="9">
        <v>1</v>
      </c>
      <c r="M780" s="3">
        <v>538</v>
      </c>
      <c r="N780" s="6">
        <v>1956</v>
      </c>
      <c r="P780" s="71"/>
      <c r="R780" s="6">
        <v>1950</v>
      </c>
      <c r="S780" s="3" t="s">
        <v>236</v>
      </c>
      <c r="T780" s="72"/>
      <c r="U780" s="73"/>
      <c r="W780" s="2" t="s">
        <v>62</v>
      </c>
      <c r="X780" s="10" t="s">
        <v>56</v>
      </c>
      <c r="Y780" s="10" t="s">
        <v>57</v>
      </c>
      <c r="Z780" s="75"/>
      <c r="AA780" s="76"/>
      <c r="AB780" s="77"/>
      <c r="AC780" s="77"/>
      <c r="AD780" s="6"/>
      <c r="AI780" s="7"/>
      <c r="AJ780" s="10">
        <v>42319</v>
      </c>
      <c r="AK780" s="7">
        <v>2010</v>
      </c>
      <c r="AL780" s="16"/>
      <c r="AW780" s="6">
        <f t="shared" ca="1" si="13"/>
        <v>69</v>
      </c>
    </row>
    <row r="781" ht="45" hidden="1" customHeight="1" outlineLevel="1">
      <c r="A781" s="69">
        <v>43635</v>
      </c>
      <c r="B781" s="3" t="s">
        <v>190</v>
      </c>
      <c r="C781" s="4" t="s">
        <v>2052</v>
      </c>
      <c r="D781" s="5" t="s">
        <v>2053</v>
      </c>
      <c r="E781" s="2" t="s">
        <v>83</v>
      </c>
      <c r="F781" s="6" t="s">
        <v>179</v>
      </c>
      <c r="G781" s="5" t="s">
        <v>2054</v>
      </c>
      <c r="H781" s="2" t="s">
        <v>181</v>
      </c>
      <c r="I781" s="3" t="s">
        <v>2055</v>
      </c>
      <c r="J781" s="7">
        <v>1</v>
      </c>
      <c r="K781" s="104"/>
      <c r="L781" s="9">
        <v>1</v>
      </c>
      <c r="M781" s="3">
        <v>539</v>
      </c>
      <c r="N781" s="6">
        <v>1956</v>
      </c>
      <c r="P781" s="71"/>
      <c r="R781" s="6">
        <v>1950</v>
      </c>
      <c r="S781" s="3" t="s">
        <v>283</v>
      </c>
      <c r="T781" s="72"/>
      <c r="U781" s="73"/>
      <c r="W781" s="74" t="s">
        <v>62</v>
      </c>
      <c r="X781" s="10" t="s">
        <v>56</v>
      </c>
      <c r="Y781" s="10" t="s">
        <v>181</v>
      </c>
      <c r="Z781" s="75"/>
      <c r="AA781" s="76"/>
      <c r="AB781" s="77"/>
      <c r="AC781" s="77"/>
      <c r="AD781" s="6"/>
      <c r="AI781" s="7"/>
      <c r="AJ781" s="73"/>
      <c r="AK781" s="7"/>
      <c r="AL781" s="101" t="s">
        <v>2056</v>
      </c>
      <c r="AW781" s="6">
        <f t="shared" ca="1" si="13"/>
        <v>69</v>
      </c>
    </row>
    <row r="782" ht="45" hidden="1" customHeight="1" outlineLevel="1">
      <c r="A782" s="69"/>
      <c r="B782" s="3" t="s">
        <v>190</v>
      </c>
      <c r="C782" s="4" t="s">
        <v>2057</v>
      </c>
      <c r="D782" s="5" t="s">
        <v>2058</v>
      </c>
      <c r="E782" s="2" t="s">
        <v>83</v>
      </c>
      <c r="F782" s="6" t="s">
        <v>179</v>
      </c>
      <c r="G782" s="5" t="s">
        <v>2059</v>
      </c>
      <c r="H782" s="2" t="s">
        <v>57</v>
      </c>
      <c r="I782" s="3" t="s">
        <v>2060</v>
      </c>
      <c r="J782" s="7">
        <v>1</v>
      </c>
      <c r="K782" s="104"/>
      <c r="L782" s="9">
        <v>1</v>
      </c>
      <c r="M782" s="3">
        <v>540</v>
      </c>
      <c r="P782" s="71"/>
      <c r="R782" s="6">
        <v>1950</v>
      </c>
      <c r="S782" s="3" t="s">
        <v>283</v>
      </c>
      <c r="T782" s="72"/>
      <c r="U782" s="73"/>
      <c r="W782" s="74" t="s">
        <v>62</v>
      </c>
      <c r="X782" s="10" t="s">
        <v>56</v>
      </c>
      <c r="Y782" s="10" t="s">
        <v>57</v>
      </c>
      <c r="Z782" s="75"/>
      <c r="AA782" s="76"/>
      <c r="AB782" s="77"/>
      <c r="AC782" s="77"/>
      <c r="AD782" s="6"/>
      <c r="AI782" s="7"/>
      <c r="AJ782" s="73"/>
      <c r="AK782" s="7"/>
      <c r="AL782" s="16"/>
      <c r="AW782" s="6" t="str">
        <f t="shared" ca="1" si="13"/>
        <v/>
      </c>
    </row>
    <row r="783" ht="45" hidden="1" customHeight="1" outlineLevel="1">
      <c r="A783" s="69"/>
      <c r="B783" s="3" t="s">
        <v>190</v>
      </c>
      <c r="C783" s="4" t="s">
        <v>2061</v>
      </c>
      <c r="D783" s="5" t="s">
        <v>2062</v>
      </c>
      <c r="E783" s="2" t="s">
        <v>63</v>
      </c>
      <c r="F783" s="6" t="s">
        <v>172</v>
      </c>
      <c r="G783" s="5" t="s">
        <v>173</v>
      </c>
      <c r="H783" s="2" t="s">
        <v>57</v>
      </c>
      <c r="I783" s="3" t="s">
        <v>2063</v>
      </c>
      <c r="J783" s="7">
        <v>1</v>
      </c>
      <c r="K783" s="104"/>
      <c r="L783" s="9">
        <v>1</v>
      </c>
      <c r="M783" s="3">
        <v>541</v>
      </c>
      <c r="N783" s="6">
        <v>1956</v>
      </c>
      <c r="O783" s="10" t="s">
        <v>2064</v>
      </c>
      <c r="P783" s="71" t="s">
        <v>1452</v>
      </c>
      <c r="Q783" s="10" t="s">
        <v>1453</v>
      </c>
      <c r="R783" s="6">
        <v>1950</v>
      </c>
      <c r="S783" s="3" t="s">
        <v>283</v>
      </c>
      <c r="T783" s="72"/>
      <c r="U783" s="73"/>
      <c r="W783" s="74" t="s">
        <v>62</v>
      </c>
      <c r="X783" s="10" t="s">
        <v>56</v>
      </c>
      <c r="Y783" s="10" t="s">
        <v>57</v>
      </c>
      <c r="Z783" s="75"/>
      <c r="AA783" s="76"/>
      <c r="AB783" s="77"/>
      <c r="AC783" s="77"/>
      <c r="AD783" s="6"/>
      <c r="AI783" s="7"/>
      <c r="AJ783" s="73"/>
      <c r="AK783" s="7"/>
      <c r="AL783" s="16"/>
      <c r="AW783" s="6">
        <f t="shared" ca="1" si="13"/>
        <v>69</v>
      </c>
    </row>
    <row r="784" ht="45" hidden="1" customHeight="1" outlineLevel="1">
      <c r="A784" s="69"/>
      <c r="B784" s="3" t="s">
        <v>47</v>
      </c>
      <c r="C784" s="4" t="s">
        <v>2065</v>
      </c>
      <c r="E784" s="2" t="s">
        <v>83</v>
      </c>
      <c r="F784" s="6" t="s">
        <v>179</v>
      </c>
      <c r="G784" s="5" t="s">
        <v>319</v>
      </c>
      <c r="H784" s="2" t="s">
        <v>51</v>
      </c>
      <c r="I784" s="3" t="s">
        <v>2066</v>
      </c>
      <c r="J784" s="7">
        <v>1</v>
      </c>
      <c r="K784" s="104"/>
      <c r="L784" s="9">
        <v>1</v>
      </c>
      <c r="M784" s="3">
        <v>542</v>
      </c>
      <c r="P784" s="71"/>
      <c r="R784" s="6">
        <v>1950</v>
      </c>
      <c r="S784" s="3" t="s">
        <v>939</v>
      </c>
      <c r="T784" s="72"/>
      <c r="U784" s="73"/>
      <c r="W784" s="2" t="s">
        <v>2067</v>
      </c>
      <c r="X784" s="10" t="s">
        <v>56</v>
      </c>
      <c r="Y784" s="10" t="s">
        <v>57</v>
      </c>
      <c r="Z784" s="75"/>
      <c r="AA784" s="76"/>
      <c r="AB784" s="77"/>
      <c r="AC784" s="77"/>
      <c r="AD784" s="6"/>
      <c r="AI784" s="7"/>
      <c r="AJ784" s="73"/>
      <c r="AK784" s="7"/>
      <c r="AL784" s="16"/>
      <c r="AW784" s="6" t="str">
        <f t="shared" ca="1" si="13"/>
        <v/>
      </c>
    </row>
    <row r="785" s="147" customFormat="1" ht="45" hidden="1" customHeight="1" outlineLevel="1">
      <c r="A785" s="69"/>
      <c r="B785" s="3" t="s">
        <v>47</v>
      </c>
      <c r="C785" s="4" t="s">
        <v>1263</v>
      </c>
      <c r="D785" s="5"/>
      <c r="E785" s="2" t="s">
        <v>63</v>
      </c>
      <c r="F785" s="6" t="s">
        <v>172</v>
      </c>
      <c r="G785" s="5" t="s">
        <v>173</v>
      </c>
      <c r="H785" s="2" t="s">
        <v>68</v>
      </c>
      <c r="I785" s="3" t="s">
        <v>2068</v>
      </c>
      <c r="J785" s="7">
        <v>1</v>
      </c>
      <c r="K785" s="104"/>
      <c r="L785" s="9">
        <v>1</v>
      </c>
      <c r="M785" s="3">
        <v>543</v>
      </c>
      <c r="N785" s="6">
        <v>1956</v>
      </c>
      <c r="O785" s="10"/>
      <c r="P785" s="71"/>
      <c r="Q785" s="10"/>
      <c r="R785" s="6">
        <v>1950</v>
      </c>
      <c r="S785" s="3" t="s">
        <v>236</v>
      </c>
      <c r="T785" s="72"/>
      <c r="U785" s="73"/>
      <c r="V785" s="12"/>
      <c r="W785" s="2" t="s">
        <v>62</v>
      </c>
      <c r="X785" s="10" t="s">
        <v>56</v>
      </c>
      <c r="Y785" s="10" t="s">
        <v>68</v>
      </c>
      <c r="Z785" s="75" t="s">
        <v>260</v>
      </c>
      <c r="AA785" s="76"/>
      <c r="AB785" s="77"/>
      <c r="AC785" s="77"/>
      <c r="AD785" s="6"/>
      <c r="AE785" s="7"/>
      <c r="AF785" s="7"/>
      <c r="AG785" s="7"/>
      <c r="AH785" s="7"/>
      <c r="AI785" s="7"/>
      <c r="AJ785" s="95">
        <v>38044</v>
      </c>
      <c r="AK785" s="7">
        <v>2000</v>
      </c>
      <c r="AL785" s="16"/>
      <c r="AM785" s="2"/>
      <c r="AN785" s="6"/>
      <c r="AO785" s="6"/>
      <c r="AP785" s="6"/>
      <c r="AQ785" s="5"/>
      <c r="AR785" s="2"/>
      <c r="AS785" s="6"/>
      <c r="AT785" s="6"/>
      <c r="AU785" s="16"/>
      <c r="AV785" s="17"/>
      <c r="AW785" s="6">
        <f t="shared" ca="1" si="13"/>
        <v>69</v>
      </c>
    </row>
    <row r="786" ht="45" hidden="1" customHeight="1" outlineLevel="1">
      <c r="A786" s="69"/>
      <c r="B786" s="3" t="s">
        <v>47</v>
      </c>
      <c r="C786" s="4" t="s">
        <v>2069</v>
      </c>
      <c r="E786" s="2" t="s">
        <v>63</v>
      </c>
      <c r="F786" s="6" t="s">
        <v>172</v>
      </c>
      <c r="G786" s="5" t="s">
        <v>173</v>
      </c>
      <c r="H786" s="2" t="s">
        <v>51</v>
      </c>
      <c r="I786" s="3" t="s">
        <v>2070</v>
      </c>
      <c r="J786" s="7">
        <v>1</v>
      </c>
      <c r="K786" s="104"/>
      <c r="L786" s="9">
        <v>1</v>
      </c>
      <c r="M786" s="3">
        <v>544</v>
      </c>
      <c r="N786" s="6">
        <v>1956</v>
      </c>
      <c r="P786" s="71"/>
      <c r="R786" s="6">
        <v>1950</v>
      </c>
      <c r="S786" s="3" t="s">
        <v>236</v>
      </c>
      <c r="T786" s="72"/>
      <c r="U786" s="73"/>
      <c r="W786" s="2" t="s">
        <v>62</v>
      </c>
      <c r="X786" s="10" t="s">
        <v>56</v>
      </c>
      <c r="Y786" s="10" t="s">
        <v>57</v>
      </c>
      <c r="Z786" s="75" t="s">
        <v>58</v>
      </c>
      <c r="AA786" s="76"/>
      <c r="AB786" s="77"/>
      <c r="AC786" s="77"/>
      <c r="AD786" s="6"/>
      <c r="AI786" s="7"/>
      <c r="AJ786" s="95">
        <v>20694</v>
      </c>
      <c r="AK786" s="7">
        <v>1950</v>
      </c>
      <c r="AL786" s="16"/>
      <c r="AW786" s="6">
        <f t="shared" ca="1" si="13"/>
        <v>69</v>
      </c>
    </row>
    <row r="787" ht="45" customHeight="1" outlineLevel="1">
      <c r="A787" s="69"/>
      <c r="B787" s="3" t="s">
        <v>47</v>
      </c>
      <c r="E787" s="2" t="s">
        <v>83</v>
      </c>
      <c r="F787" s="6" t="s">
        <v>704</v>
      </c>
      <c r="G787" s="5" t="s">
        <v>996</v>
      </c>
      <c r="H787" s="2" t="s">
        <v>57</v>
      </c>
      <c r="I787" s="3" t="s">
        <v>2071</v>
      </c>
      <c r="J787" s="7">
        <v>1</v>
      </c>
      <c r="K787" s="70" t="s">
        <v>53</v>
      </c>
      <c r="L787" s="9">
        <v>1</v>
      </c>
      <c r="M787" s="3">
        <v>545</v>
      </c>
      <c r="N787" s="6">
        <v>1956</v>
      </c>
      <c r="P787" s="71"/>
      <c r="R787" s="6">
        <v>1950</v>
      </c>
      <c r="S787" s="3" t="s">
        <v>54</v>
      </c>
      <c r="T787" s="72"/>
      <c r="U787" s="73"/>
      <c r="W787" s="2" t="s">
        <v>2072</v>
      </c>
      <c r="X787" s="10" t="s">
        <v>56</v>
      </c>
      <c r="Y787" s="10" t="s">
        <v>57</v>
      </c>
      <c r="Z787" s="75"/>
      <c r="AA787" s="76"/>
      <c r="AB787" s="77"/>
      <c r="AC787" s="77">
        <v>21682</v>
      </c>
      <c r="AD787" s="10"/>
      <c r="AG787" s="7">
        <v>1959</v>
      </c>
      <c r="AH787" s="7">
        <v>1950</v>
      </c>
      <c r="AI787" s="7"/>
      <c r="AJ787" s="73"/>
      <c r="AK787" s="7"/>
      <c r="AL787" s="16"/>
      <c r="AM787" s="2" t="s">
        <v>59</v>
      </c>
      <c r="AW787" s="6">
        <f t="shared" ca="1" si="13"/>
        <v>69</v>
      </c>
    </row>
    <row r="788" ht="45" hidden="1" customHeight="1" outlineLevel="1">
      <c r="A788" s="69"/>
      <c r="B788" s="3" t="s">
        <v>47</v>
      </c>
      <c r="C788" s="4" t="s">
        <v>2073</v>
      </c>
      <c r="D788" s="5" t="s">
        <v>2074</v>
      </c>
      <c r="E788" s="2" t="s">
        <v>83</v>
      </c>
      <c r="F788" s="6" t="s">
        <v>179</v>
      </c>
      <c r="G788" s="5" t="s">
        <v>180</v>
      </c>
      <c r="H788" s="2" t="s">
        <v>57</v>
      </c>
      <c r="I788" s="3" t="s">
        <v>2075</v>
      </c>
      <c r="J788" s="7">
        <v>1</v>
      </c>
      <c r="K788" s="70"/>
      <c r="L788" s="9">
        <v>1</v>
      </c>
      <c r="M788" s="3">
        <v>546</v>
      </c>
      <c r="N788" s="6">
        <v>1956</v>
      </c>
      <c r="P788" s="71"/>
      <c r="R788" s="6">
        <v>1950</v>
      </c>
      <c r="S788" s="3" t="s">
        <v>236</v>
      </c>
      <c r="T788" s="72"/>
      <c r="W788" s="2" t="s">
        <v>62</v>
      </c>
      <c r="X788" s="10" t="s">
        <v>56</v>
      </c>
      <c r="Y788" s="10" t="s">
        <v>57</v>
      </c>
      <c r="Z788" s="75"/>
      <c r="AA788" s="76"/>
      <c r="AB788" s="77"/>
      <c r="AC788" s="77"/>
      <c r="AD788" s="10"/>
      <c r="AI788" s="7"/>
      <c r="AJ788" s="10">
        <v>44567</v>
      </c>
      <c r="AK788" s="7">
        <v>2020</v>
      </c>
      <c r="AL788" s="16"/>
      <c r="AW788" s="6">
        <f t="shared" ca="1" si="13"/>
        <v>69</v>
      </c>
    </row>
    <row r="789" ht="45" customHeight="1" outlineLevel="1">
      <c r="A789" s="69"/>
      <c r="B789" s="3" t="s">
        <v>47</v>
      </c>
      <c r="E789" s="2" t="s">
        <v>83</v>
      </c>
      <c r="F789" s="6" t="s">
        <v>179</v>
      </c>
      <c r="G789" s="5" t="s">
        <v>319</v>
      </c>
      <c r="H789" s="2" t="s">
        <v>51</v>
      </c>
      <c r="I789" s="3" t="s">
        <v>2076</v>
      </c>
      <c r="J789" s="7">
        <v>1</v>
      </c>
      <c r="K789" s="70" t="s">
        <v>53</v>
      </c>
      <c r="L789" s="9">
        <v>1</v>
      </c>
      <c r="M789" s="3">
        <v>547</v>
      </c>
      <c r="N789" s="6">
        <v>1956</v>
      </c>
      <c r="P789" s="71"/>
      <c r="R789" s="6">
        <v>1950</v>
      </c>
      <c r="S789" s="3" t="s">
        <v>54</v>
      </c>
      <c r="T789" s="72"/>
      <c r="U789" s="73"/>
      <c r="W789" s="2" t="s">
        <v>2077</v>
      </c>
      <c r="X789" s="10" t="s">
        <v>56</v>
      </c>
      <c r="Y789" s="10" t="s">
        <v>57</v>
      </c>
      <c r="Z789" s="75" t="s">
        <v>58</v>
      </c>
      <c r="AA789" s="76"/>
      <c r="AB789" s="77"/>
      <c r="AC789" s="77">
        <v>21436</v>
      </c>
      <c r="AD789" s="10"/>
      <c r="AG789" s="7">
        <v>1958</v>
      </c>
      <c r="AH789" s="7">
        <v>1950</v>
      </c>
      <c r="AI789" s="7"/>
      <c r="AJ789" s="73"/>
      <c r="AK789" s="7"/>
      <c r="AL789" s="16"/>
      <c r="AM789" s="2" t="s">
        <v>59</v>
      </c>
      <c r="AW789" s="6">
        <f t="shared" ca="1" si="13"/>
        <v>69</v>
      </c>
    </row>
    <row r="790" ht="45" hidden="1" customHeight="1" outlineLevel="1">
      <c r="A790" s="132">
        <v>43875</v>
      </c>
      <c r="B790" s="3" t="s">
        <v>47</v>
      </c>
      <c r="C790" s="144" t="s">
        <v>2078</v>
      </c>
      <c r="D790" s="117" t="s">
        <v>2079</v>
      </c>
      <c r="E790" s="2" t="s">
        <v>83</v>
      </c>
      <c r="F790" s="6" t="s">
        <v>179</v>
      </c>
      <c r="G790" s="5" t="s">
        <v>857</v>
      </c>
      <c r="H790" s="2" t="s">
        <v>51</v>
      </c>
      <c r="I790" s="3" t="s">
        <v>2080</v>
      </c>
      <c r="J790" s="7">
        <v>1</v>
      </c>
      <c r="K790" s="133"/>
      <c r="L790" s="9">
        <v>1</v>
      </c>
      <c r="M790" s="3">
        <v>548</v>
      </c>
      <c r="N790" s="6">
        <v>1956</v>
      </c>
      <c r="P790" s="71"/>
      <c r="R790" s="6">
        <v>1950</v>
      </c>
      <c r="S790" s="3" t="s">
        <v>236</v>
      </c>
      <c r="T790" s="72" t="s">
        <v>1136</v>
      </c>
      <c r="U790" s="73">
        <v>44027</v>
      </c>
      <c r="W790" s="2" t="s">
        <v>62</v>
      </c>
      <c r="X790" s="10" t="s">
        <v>56</v>
      </c>
      <c r="Y790" s="10" t="s">
        <v>57</v>
      </c>
      <c r="Z790" s="75" t="s">
        <v>58</v>
      </c>
      <c r="AA790" s="137"/>
      <c r="AB790" s="138"/>
      <c r="AC790" s="138"/>
      <c r="AD790" s="136"/>
      <c r="AE790" s="139"/>
      <c r="AG790" s="139"/>
      <c r="AH790" s="139"/>
      <c r="AI790" s="139"/>
      <c r="AJ790" s="136">
        <v>41088</v>
      </c>
      <c r="AK790" s="7">
        <v>2010</v>
      </c>
      <c r="AL790" s="16"/>
      <c r="AO790" s="141"/>
      <c r="AP790" s="141"/>
      <c r="AQ790" s="117"/>
      <c r="AR790" s="142"/>
      <c r="AS790" s="141"/>
      <c r="AT790" s="141"/>
      <c r="AU790" s="140"/>
      <c r="AV790" s="143"/>
      <c r="AW790" s="6">
        <f t="shared" ca="1" si="13"/>
        <v>69</v>
      </c>
    </row>
    <row r="791" ht="45" hidden="1" customHeight="1" outlineLevel="1">
      <c r="A791" s="69"/>
      <c r="B791" s="3" t="s">
        <v>47</v>
      </c>
      <c r="C791" s="4" t="s">
        <v>1263</v>
      </c>
      <c r="E791" s="2" t="s">
        <v>63</v>
      </c>
      <c r="F791" s="6" t="s">
        <v>172</v>
      </c>
      <c r="G791" s="5" t="s">
        <v>173</v>
      </c>
      <c r="H791" s="2" t="s">
        <v>382</v>
      </c>
      <c r="I791" s="3" t="s">
        <v>2081</v>
      </c>
      <c r="J791" s="114">
        <v>1</v>
      </c>
      <c r="K791" s="70"/>
      <c r="L791" s="9">
        <v>1</v>
      </c>
      <c r="M791" s="3">
        <v>549</v>
      </c>
      <c r="N791" s="6">
        <v>1956</v>
      </c>
      <c r="P791" s="71"/>
      <c r="R791" s="6">
        <v>1950</v>
      </c>
      <c r="S791" s="3" t="s">
        <v>236</v>
      </c>
      <c r="T791" s="72"/>
      <c r="U791" s="73"/>
      <c r="W791" s="2" t="s">
        <v>62</v>
      </c>
      <c r="X791" s="10" t="s">
        <v>91</v>
      </c>
      <c r="Y791" s="10" t="s">
        <v>385</v>
      </c>
      <c r="Z791" s="75"/>
      <c r="AA791" s="76"/>
      <c r="AB791" s="77"/>
      <c r="AC791" s="77"/>
      <c r="AD791" s="10"/>
      <c r="AI791" s="7"/>
      <c r="AJ791" s="95">
        <v>38044</v>
      </c>
      <c r="AK791" s="7">
        <v>2000</v>
      </c>
      <c r="AL791" s="16"/>
      <c r="AW791" s="6">
        <f t="shared" ca="1" si="13"/>
        <v>69</v>
      </c>
    </row>
    <row r="792" ht="45" customHeight="1" outlineLevel="1">
      <c r="A792" s="69"/>
      <c r="B792" s="3" t="s">
        <v>47</v>
      </c>
      <c r="E792" s="2" t="s">
        <v>63</v>
      </c>
      <c r="F792" s="6" t="s">
        <v>428</v>
      </c>
      <c r="G792" s="5" t="s">
        <v>2082</v>
      </c>
      <c r="H792" s="2" t="s">
        <v>51</v>
      </c>
      <c r="I792" s="3" t="s">
        <v>738</v>
      </c>
      <c r="J792" s="7">
        <v>1</v>
      </c>
      <c r="K792" s="70" t="s">
        <v>53</v>
      </c>
      <c r="L792" s="9">
        <v>1</v>
      </c>
      <c r="M792" s="3">
        <v>550</v>
      </c>
      <c r="N792" s="6">
        <v>1956</v>
      </c>
      <c r="P792" s="71"/>
      <c r="R792" s="6">
        <v>1950</v>
      </c>
      <c r="S792" s="3" t="s">
        <v>54</v>
      </c>
      <c r="T792" s="72"/>
      <c r="U792" s="73"/>
      <c r="W792" s="2" t="s">
        <v>2083</v>
      </c>
      <c r="X792" s="10" t="s">
        <v>56</v>
      </c>
      <c r="Y792" s="10" t="s">
        <v>57</v>
      </c>
      <c r="Z792" s="75" t="s">
        <v>58</v>
      </c>
      <c r="AA792" s="76"/>
      <c r="AB792" s="77">
        <v>20844</v>
      </c>
      <c r="AC792" s="77"/>
      <c r="AD792" s="6"/>
      <c r="AG792" s="7">
        <v>1957</v>
      </c>
      <c r="AH792" s="7">
        <v>1950</v>
      </c>
      <c r="AI792" s="7"/>
      <c r="AJ792" s="73"/>
      <c r="AK792" s="7"/>
      <c r="AL792" s="16"/>
      <c r="AM792" s="2" t="s">
        <v>59</v>
      </c>
      <c r="AO792" s="6" t="s">
        <v>59</v>
      </c>
      <c r="AQ792" s="5" t="s">
        <v>73</v>
      </c>
      <c r="AW792" s="6">
        <f t="shared" ca="1" si="13"/>
        <v>69</v>
      </c>
    </row>
    <row r="793" ht="45" customHeight="1" outlineLevel="1">
      <c r="A793" s="69"/>
      <c r="B793" s="3" t="s">
        <v>47</v>
      </c>
      <c r="E793" s="2" t="s">
        <v>63</v>
      </c>
      <c r="F793" s="6" t="s">
        <v>172</v>
      </c>
      <c r="G793" s="5" t="s">
        <v>173</v>
      </c>
      <c r="H793" s="2" t="s">
        <v>57</v>
      </c>
      <c r="I793" s="3" t="s">
        <v>2084</v>
      </c>
      <c r="J793" s="7">
        <v>1</v>
      </c>
      <c r="K793" s="70" t="s">
        <v>53</v>
      </c>
      <c r="L793" s="9">
        <v>1</v>
      </c>
      <c r="M793" s="3">
        <v>551</v>
      </c>
      <c r="N793" s="6">
        <v>1956</v>
      </c>
      <c r="P793" s="71"/>
      <c r="R793" s="6">
        <v>1950</v>
      </c>
      <c r="S793" s="3" t="s">
        <v>54</v>
      </c>
      <c r="T793" s="72"/>
      <c r="U793" s="73"/>
      <c r="W793" s="2" t="s">
        <v>2085</v>
      </c>
      <c r="X793" s="10" t="s">
        <v>56</v>
      </c>
      <c r="Y793" s="10" t="s">
        <v>57</v>
      </c>
      <c r="Z793" s="75"/>
      <c r="AA793" s="76"/>
      <c r="AB793" s="77">
        <v>20829</v>
      </c>
      <c r="AC793" s="77"/>
      <c r="AD793" s="6"/>
      <c r="AG793" s="7">
        <v>1957</v>
      </c>
      <c r="AH793" s="7">
        <v>1950</v>
      </c>
      <c r="AI793" s="7"/>
      <c r="AJ793" s="73"/>
      <c r="AK793" s="7"/>
      <c r="AL793" s="16"/>
      <c r="AM793" s="2" t="s">
        <v>59</v>
      </c>
      <c r="AW793" s="6">
        <f t="shared" ca="1" si="13"/>
        <v>69</v>
      </c>
    </row>
    <row r="794" ht="45" customHeight="1" outlineLevel="1">
      <c r="A794" s="69"/>
      <c r="B794" s="3" t="s">
        <v>47</v>
      </c>
      <c r="E794" s="2" t="s">
        <v>63</v>
      </c>
      <c r="F794" s="6" t="s">
        <v>172</v>
      </c>
      <c r="G794" s="5" t="s">
        <v>173</v>
      </c>
      <c r="H794" s="2" t="s">
        <v>57</v>
      </c>
      <c r="I794" s="3" t="s">
        <v>2086</v>
      </c>
      <c r="J794" s="7">
        <v>1</v>
      </c>
      <c r="K794" s="70" t="s">
        <v>53</v>
      </c>
      <c r="L794" s="9">
        <v>0</v>
      </c>
      <c r="M794" s="3">
        <v>551</v>
      </c>
      <c r="N794" s="6">
        <v>1956</v>
      </c>
      <c r="P794" s="71"/>
      <c r="R794" s="6">
        <v>1950</v>
      </c>
      <c r="S794" s="3" t="s">
        <v>54</v>
      </c>
      <c r="T794" s="72"/>
      <c r="U794" s="73"/>
      <c r="W794" s="2" t="s">
        <v>2087</v>
      </c>
      <c r="X794" s="10" t="s">
        <v>56</v>
      </c>
      <c r="Y794" s="10" t="s">
        <v>57</v>
      </c>
      <c r="Z794" s="75"/>
      <c r="AA794" s="76"/>
      <c r="AB794" s="77">
        <v>20829</v>
      </c>
      <c r="AC794" s="77"/>
      <c r="AD794" s="6"/>
      <c r="AG794" s="7">
        <v>1957</v>
      </c>
      <c r="AH794" s="7">
        <v>1950</v>
      </c>
      <c r="AI794" s="7"/>
      <c r="AJ794" s="73"/>
      <c r="AK794" s="7"/>
      <c r="AL794" s="16"/>
      <c r="AM794" s="2" t="s">
        <v>59</v>
      </c>
      <c r="AW794" s="6">
        <f t="shared" ca="1" si="13"/>
        <v>69</v>
      </c>
    </row>
    <row r="795" ht="45" customHeight="1" outlineLevel="1">
      <c r="A795" s="69"/>
      <c r="B795" s="3" t="s">
        <v>47</v>
      </c>
      <c r="E795" s="2" t="s">
        <v>63</v>
      </c>
      <c r="F795" s="6" t="s">
        <v>172</v>
      </c>
      <c r="G795" s="5" t="s">
        <v>173</v>
      </c>
      <c r="H795" s="2" t="s">
        <v>57</v>
      </c>
      <c r="I795" s="3" t="s">
        <v>2088</v>
      </c>
      <c r="J795" s="7">
        <v>1</v>
      </c>
      <c r="K795" s="70" t="s">
        <v>53</v>
      </c>
      <c r="L795" s="9">
        <v>0</v>
      </c>
      <c r="M795" s="3">
        <v>551</v>
      </c>
      <c r="N795" s="6">
        <v>1956</v>
      </c>
      <c r="P795" s="71"/>
      <c r="R795" s="6">
        <v>1950</v>
      </c>
      <c r="S795" s="3" t="s">
        <v>54</v>
      </c>
      <c r="T795" s="72"/>
      <c r="U795" s="73"/>
      <c r="W795" s="2" t="s">
        <v>2089</v>
      </c>
      <c r="X795" s="10" t="s">
        <v>56</v>
      </c>
      <c r="Y795" s="10" t="s">
        <v>57</v>
      </c>
      <c r="Z795" s="75"/>
      <c r="AA795" s="76"/>
      <c r="AB795" s="77">
        <v>20829</v>
      </c>
      <c r="AC795" s="77"/>
      <c r="AD795" s="6"/>
      <c r="AG795" s="7">
        <v>1957</v>
      </c>
      <c r="AH795" s="7">
        <v>1950</v>
      </c>
      <c r="AI795" s="7"/>
      <c r="AJ795" s="73"/>
      <c r="AK795" s="7"/>
      <c r="AL795" s="16"/>
      <c r="AM795" s="2" t="s">
        <v>59</v>
      </c>
      <c r="AW795" s="6">
        <f t="shared" ca="1" si="13"/>
        <v>69</v>
      </c>
    </row>
    <row r="796" ht="45" customHeight="1" outlineLevel="1">
      <c r="A796" s="69"/>
      <c r="B796" s="3" t="s">
        <v>47</v>
      </c>
      <c r="E796" s="2" t="s">
        <v>83</v>
      </c>
      <c r="F796" s="6" t="s">
        <v>84</v>
      </c>
      <c r="G796" s="5" t="s">
        <v>85</v>
      </c>
      <c r="H796" s="2" t="s">
        <v>57</v>
      </c>
      <c r="I796" s="3" t="s">
        <v>2090</v>
      </c>
      <c r="J796" s="7">
        <v>1</v>
      </c>
      <c r="K796" s="70" t="s">
        <v>53</v>
      </c>
      <c r="L796" s="9">
        <v>1</v>
      </c>
      <c r="M796" s="3">
        <v>552</v>
      </c>
      <c r="N796" s="6">
        <v>1956</v>
      </c>
      <c r="P796" s="71"/>
      <c r="R796" s="6">
        <v>1950</v>
      </c>
      <c r="S796" s="3" t="s">
        <v>54</v>
      </c>
      <c r="T796" s="72"/>
      <c r="U796" s="73"/>
      <c r="W796" s="2" t="s">
        <v>2091</v>
      </c>
      <c r="X796" s="10" t="s">
        <v>56</v>
      </c>
      <c r="Y796" s="10" t="s">
        <v>57</v>
      </c>
      <c r="Z796" s="75"/>
      <c r="AA796" s="76"/>
      <c r="AB796" s="77"/>
      <c r="AC796" s="77">
        <v>20849</v>
      </c>
      <c r="AD796" s="10"/>
      <c r="AG796" s="7">
        <v>1957</v>
      </c>
      <c r="AH796" s="7">
        <v>1950</v>
      </c>
      <c r="AI796" s="7"/>
      <c r="AJ796" s="73"/>
      <c r="AK796" s="7"/>
      <c r="AL796" s="16"/>
      <c r="AM796" s="2" t="s">
        <v>59</v>
      </c>
      <c r="AW796" s="6">
        <f t="shared" ca="1" si="13"/>
        <v>69</v>
      </c>
    </row>
    <row r="797" ht="45" customHeight="1" outlineLevel="1">
      <c r="A797" s="69"/>
      <c r="B797" s="3" t="s">
        <v>47</v>
      </c>
      <c r="E797" s="2" t="s">
        <v>1074</v>
      </c>
      <c r="F797" s="6" t="s">
        <v>2092</v>
      </c>
      <c r="G797" s="5" t="s">
        <v>2093</v>
      </c>
      <c r="H797" s="2" t="s">
        <v>51</v>
      </c>
      <c r="I797" s="3" t="s">
        <v>2094</v>
      </c>
      <c r="J797" s="7">
        <v>1</v>
      </c>
      <c r="K797" s="70" t="s">
        <v>1748</v>
      </c>
      <c r="L797" s="9">
        <v>0</v>
      </c>
      <c r="M797" s="3">
        <v>553</v>
      </c>
      <c r="N797" s="6">
        <v>1957</v>
      </c>
      <c r="P797" s="71"/>
      <c r="R797" s="6">
        <v>1950</v>
      </c>
      <c r="S797" s="3" t="s">
        <v>1749</v>
      </c>
      <c r="T797" s="72"/>
      <c r="U797" s="73"/>
      <c r="W797" s="2" t="s">
        <v>2095</v>
      </c>
      <c r="X797" s="10" t="s">
        <v>56</v>
      </c>
      <c r="Y797" s="10" t="s">
        <v>57</v>
      </c>
      <c r="Z797" s="75" t="s">
        <v>58</v>
      </c>
      <c r="AA797" s="76"/>
      <c r="AB797" s="77"/>
      <c r="AC797" s="77">
        <v>20838</v>
      </c>
      <c r="AD797" s="10"/>
      <c r="AG797" s="7">
        <v>1957</v>
      </c>
      <c r="AH797" s="7">
        <v>1950</v>
      </c>
      <c r="AI797" s="7"/>
      <c r="AJ797" s="73"/>
      <c r="AK797" s="7"/>
      <c r="AL797" s="16" t="s">
        <v>2096</v>
      </c>
      <c r="AM797" s="2" t="s">
        <v>59</v>
      </c>
      <c r="AW797" s="6">
        <f t="shared" ca="1" si="13"/>
        <v>68</v>
      </c>
    </row>
    <row r="798" ht="45" customHeight="1" outlineLevel="1">
      <c r="A798" s="69">
        <v>42940</v>
      </c>
      <c r="B798" s="3" t="s">
        <v>47</v>
      </c>
      <c r="C798" s="4" t="s">
        <v>2097</v>
      </c>
      <c r="D798" s="5" t="s">
        <v>2098</v>
      </c>
      <c r="E798" s="2" t="s">
        <v>1074</v>
      </c>
      <c r="F798" s="6" t="s">
        <v>2092</v>
      </c>
      <c r="G798" s="5" t="s">
        <v>2099</v>
      </c>
      <c r="H798" s="2" t="s">
        <v>382</v>
      </c>
      <c r="I798" s="3" t="s">
        <v>2100</v>
      </c>
      <c r="J798" s="7">
        <v>1</v>
      </c>
      <c r="K798" s="104" t="s">
        <v>1748</v>
      </c>
      <c r="L798" s="9">
        <v>1</v>
      </c>
      <c r="M798" s="3">
        <v>553</v>
      </c>
      <c r="N798" s="6">
        <v>1957</v>
      </c>
      <c r="O798" s="10">
        <v>20830</v>
      </c>
      <c r="P798" s="71" t="s">
        <v>2101</v>
      </c>
      <c r="R798" s="6">
        <v>1950</v>
      </c>
      <c r="S798" s="3" t="s">
        <v>2102</v>
      </c>
      <c r="T798" s="72" t="s">
        <v>998</v>
      </c>
      <c r="U798" s="73"/>
      <c r="V798" s="12">
        <v>40877</v>
      </c>
      <c r="W798" s="74" t="s">
        <v>2103</v>
      </c>
      <c r="X798" s="10" t="s">
        <v>91</v>
      </c>
      <c r="Y798" s="10" t="s">
        <v>385</v>
      </c>
      <c r="Z798" s="75"/>
      <c r="AA798" s="2"/>
      <c r="AB798" s="6"/>
      <c r="AC798" s="6"/>
      <c r="AD798" s="6"/>
      <c r="AI798" s="7"/>
      <c r="AJ798" s="73"/>
      <c r="AK798" s="7"/>
      <c r="AL798" s="16"/>
      <c r="AM798" s="2" t="s">
        <v>59</v>
      </c>
      <c r="AO798" s="6" t="s">
        <v>59</v>
      </c>
      <c r="AU798" s="16" t="s">
        <v>2104</v>
      </c>
      <c r="AW798" s="6">
        <f t="shared" ca="1" si="13"/>
        <v>68</v>
      </c>
    </row>
    <row r="799" ht="45" hidden="1" customHeight="1" outlineLevel="1">
      <c r="A799" s="132"/>
      <c r="B799" s="3" t="s">
        <v>47</v>
      </c>
      <c r="C799" s="144" t="s">
        <v>1914</v>
      </c>
      <c r="D799" s="117" t="s">
        <v>2105</v>
      </c>
      <c r="E799" s="2" t="s">
        <v>83</v>
      </c>
      <c r="F799" s="6" t="s">
        <v>179</v>
      </c>
      <c r="G799" s="5" t="s">
        <v>180</v>
      </c>
      <c r="H799" s="2" t="s">
        <v>57</v>
      </c>
      <c r="I799" s="3" t="s">
        <v>2106</v>
      </c>
      <c r="J799" s="7">
        <v>1</v>
      </c>
      <c r="K799" s="163"/>
      <c r="L799" s="134">
        <v>1</v>
      </c>
      <c r="M799" s="3">
        <v>554</v>
      </c>
      <c r="N799" s="6">
        <v>1956</v>
      </c>
      <c r="P799" s="135"/>
      <c r="Q799" s="136"/>
      <c r="R799" s="6">
        <v>1950</v>
      </c>
      <c r="S799" s="3" t="s">
        <v>236</v>
      </c>
      <c r="T799" s="72"/>
      <c r="U799" s="73"/>
      <c r="W799" s="2" t="s">
        <v>62</v>
      </c>
      <c r="X799" s="10" t="s">
        <v>56</v>
      </c>
      <c r="Y799" s="10" t="s">
        <v>57</v>
      </c>
      <c r="Z799" s="75"/>
      <c r="AA799" s="164"/>
      <c r="AB799" s="165"/>
      <c r="AC799" s="165"/>
      <c r="AD799" s="165"/>
      <c r="AE799" s="139"/>
      <c r="AG799" s="139"/>
      <c r="AH799" s="139"/>
      <c r="AI799" s="139"/>
      <c r="AJ799" s="10">
        <v>42349</v>
      </c>
      <c r="AK799" s="7">
        <v>2010</v>
      </c>
      <c r="AL799" s="16"/>
      <c r="AO799" s="141"/>
      <c r="AP799" s="141"/>
      <c r="AQ799" s="117"/>
      <c r="AR799" s="142"/>
      <c r="AS799" s="141"/>
      <c r="AT799" s="141"/>
      <c r="AU799" s="140"/>
      <c r="AV799" s="143"/>
      <c r="AW799" s="6">
        <f t="shared" ca="1" si="13"/>
        <v>69</v>
      </c>
    </row>
    <row r="800" ht="45" hidden="1" customHeight="1" outlineLevel="1">
      <c r="A800" s="69"/>
      <c r="B800" s="3" t="s">
        <v>190</v>
      </c>
      <c r="C800" s="4" t="s">
        <v>1871</v>
      </c>
      <c r="D800" s="5" t="s">
        <v>2107</v>
      </c>
      <c r="E800" s="2" t="s">
        <v>83</v>
      </c>
      <c r="F800" s="6" t="s">
        <v>704</v>
      </c>
      <c r="G800" s="5" t="s">
        <v>915</v>
      </c>
      <c r="H800" s="2" t="s">
        <v>57</v>
      </c>
      <c r="I800" s="3" t="s">
        <v>2108</v>
      </c>
      <c r="J800" s="7">
        <v>1</v>
      </c>
      <c r="K800" s="70"/>
      <c r="L800" s="9">
        <v>1</v>
      </c>
      <c r="M800" s="3">
        <v>555</v>
      </c>
      <c r="N800" s="6">
        <v>1957</v>
      </c>
      <c r="P800" s="71"/>
      <c r="R800" s="6">
        <v>1950</v>
      </c>
      <c r="S800" s="3" t="s">
        <v>283</v>
      </c>
      <c r="T800" s="72"/>
      <c r="U800" s="73"/>
      <c r="W800" s="74" t="s">
        <v>62</v>
      </c>
      <c r="X800" s="10" t="s">
        <v>56</v>
      </c>
      <c r="Y800" s="10" t="s">
        <v>57</v>
      </c>
      <c r="Z800" s="75"/>
      <c r="AA800" s="76"/>
      <c r="AB800" s="77"/>
      <c r="AC800" s="77"/>
      <c r="AD800" s="10"/>
      <c r="AI800" s="7"/>
      <c r="AJ800" s="73"/>
      <c r="AK800" s="7"/>
      <c r="AL800" s="16"/>
      <c r="AW800" s="6">
        <f t="shared" ca="1" si="13"/>
        <v>68</v>
      </c>
    </row>
    <row r="801" ht="45" customHeight="1" outlineLevel="1">
      <c r="A801" s="69"/>
      <c r="B801" s="3" t="s">
        <v>47</v>
      </c>
      <c r="E801" s="2" t="s">
        <v>83</v>
      </c>
      <c r="F801" s="6" t="s">
        <v>704</v>
      </c>
      <c r="G801" s="5" t="s">
        <v>996</v>
      </c>
      <c r="H801" s="2" t="s">
        <v>382</v>
      </c>
      <c r="I801" s="3" t="s">
        <v>2109</v>
      </c>
      <c r="J801" s="7">
        <v>1</v>
      </c>
      <c r="K801" s="70" t="s">
        <v>53</v>
      </c>
      <c r="L801" s="9">
        <v>1</v>
      </c>
      <c r="M801" s="3">
        <v>556</v>
      </c>
      <c r="N801" s="6">
        <v>1957</v>
      </c>
      <c r="P801" s="71"/>
      <c r="R801" s="6">
        <v>1950</v>
      </c>
      <c r="S801" s="3" t="s">
        <v>54</v>
      </c>
      <c r="T801" s="72"/>
      <c r="U801" s="73"/>
      <c r="W801" s="2" t="s">
        <v>2110</v>
      </c>
      <c r="X801" s="10" t="s">
        <v>91</v>
      </c>
      <c r="Y801" s="10" t="s">
        <v>385</v>
      </c>
      <c r="Z801" s="75"/>
      <c r="AA801" s="76"/>
      <c r="AB801" s="77"/>
      <c r="AC801" s="77">
        <v>37746</v>
      </c>
      <c r="AD801" s="10"/>
      <c r="AE801" s="7">
        <v>2001</v>
      </c>
      <c r="AF801" s="7">
        <v>28</v>
      </c>
      <c r="AG801" s="7">
        <v>2003</v>
      </c>
      <c r="AH801" s="7">
        <v>2000</v>
      </c>
      <c r="AI801" s="7"/>
      <c r="AJ801" s="73"/>
      <c r="AK801" s="7"/>
      <c r="AL801" s="16"/>
      <c r="AM801" s="2" t="s">
        <v>59</v>
      </c>
      <c r="AO801" s="6" t="s">
        <v>59</v>
      </c>
      <c r="AW801" s="6">
        <f t="shared" ca="1" si="13"/>
        <v>68</v>
      </c>
    </row>
    <row r="802" ht="45" customHeight="1" outlineLevel="1">
      <c r="A802" s="69"/>
      <c r="B802" s="3" t="s">
        <v>47</v>
      </c>
      <c r="E802" s="2" t="s">
        <v>83</v>
      </c>
      <c r="F802" s="6" t="s">
        <v>704</v>
      </c>
      <c r="G802" s="5" t="s">
        <v>1017</v>
      </c>
      <c r="H802" s="2" t="s">
        <v>57</v>
      </c>
      <c r="I802" s="3" t="s">
        <v>2111</v>
      </c>
      <c r="J802" s="7">
        <v>1</v>
      </c>
      <c r="K802" s="70" t="s">
        <v>53</v>
      </c>
      <c r="L802" s="9">
        <v>1</v>
      </c>
      <c r="M802" s="3">
        <v>557</v>
      </c>
      <c r="P802" s="71"/>
      <c r="R802" s="6">
        <v>1950</v>
      </c>
      <c r="S802" s="3" t="s">
        <v>54</v>
      </c>
      <c r="T802" s="72"/>
      <c r="U802" s="73"/>
      <c r="W802" s="2" t="s">
        <v>1984</v>
      </c>
      <c r="X802" s="10" t="s">
        <v>56</v>
      </c>
      <c r="Y802" s="10" t="s">
        <v>57</v>
      </c>
      <c r="Z802" s="75"/>
      <c r="AA802" s="76"/>
      <c r="AB802" s="77">
        <v>21521</v>
      </c>
      <c r="AC802" s="77"/>
      <c r="AD802" s="6"/>
      <c r="AG802" s="7">
        <v>1958</v>
      </c>
      <c r="AH802" s="7">
        <v>1950</v>
      </c>
      <c r="AI802" s="7"/>
      <c r="AJ802" s="73"/>
      <c r="AK802" s="7"/>
      <c r="AL802" s="16"/>
      <c r="AM802" s="2" t="s">
        <v>59</v>
      </c>
      <c r="AW802" s="6" t="str">
        <f t="shared" ca="1" si="13"/>
        <v/>
      </c>
    </row>
    <row r="803" ht="45" hidden="1" customHeight="1" outlineLevel="1">
      <c r="A803" s="69"/>
      <c r="B803" s="3" t="s">
        <v>60</v>
      </c>
      <c r="C803" s="4" t="s">
        <v>2112</v>
      </c>
      <c r="I803" s="3" t="s">
        <v>61</v>
      </c>
      <c r="J803" s="7">
        <v>0</v>
      </c>
      <c r="K803" s="104"/>
      <c r="L803" s="9">
        <v>1</v>
      </c>
      <c r="M803" s="3">
        <v>558</v>
      </c>
      <c r="P803" s="71"/>
      <c r="R803" s="6" t="s">
        <v>60</v>
      </c>
      <c r="S803" s="3" t="s">
        <v>60</v>
      </c>
      <c r="T803" s="72"/>
      <c r="U803" s="73"/>
      <c r="W803" s="74" t="s">
        <v>62</v>
      </c>
      <c r="X803" s="10"/>
      <c r="Y803" s="10"/>
      <c r="Z803" s="75"/>
      <c r="AA803" s="76"/>
      <c r="AB803" s="77"/>
      <c r="AC803" s="77"/>
      <c r="AD803" s="6"/>
      <c r="AI803" s="7"/>
      <c r="AJ803" s="73"/>
      <c r="AK803" s="7"/>
      <c r="AL803" s="16"/>
      <c r="AW803" s="6" t="str">
        <f t="shared" ref="AW803:AW866" ca="1" si="14">IF(N803&lt;&gt;0,(YEAR(TODAY())-N803),(""))</f>
        <v/>
      </c>
    </row>
    <row r="804" ht="45" hidden="1" customHeight="1" outlineLevel="1">
      <c r="A804" s="69"/>
      <c r="B804" s="3" t="s">
        <v>190</v>
      </c>
      <c r="C804" s="4" t="s">
        <v>2113</v>
      </c>
      <c r="D804" s="5" t="s">
        <v>2114</v>
      </c>
      <c r="E804" s="2" t="s">
        <v>63</v>
      </c>
      <c r="F804" s="6" t="s">
        <v>172</v>
      </c>
      <c r="G804" s="5" t="s">
        <v>1110</v>
      </c>
      <c r="H804" s="2" t="s">
        <v>51</v>
      </c>
      <c r="I804" s="3" t="s">
        <v>2115</v>
      </c>
      <c r="J804" s="7">
        <v>1</v>
      </c>
      <c r="K804" s="104"/>
      <c r="L804" s="9">
        <v>1</v>
      </c>
      <c r="M804" s="3">
        <v>559</v>
      </c>
      <c r="N804" s="6">
        <v>1957</v>
      </c>
      <c r="O804" s="10">
        <v>20982</v>
      </c>
      <c r="P804" s="71"/>
      <c r="R804" s="6">
        <v>1950</v>
      </c>
      <c r="S804" s="3" t="s">
        <v>283</v>
      </c>
      <c r="T804" s="72" t="s">
        <v>1136</v>
      </c>
      <c r="U804" s="73"/>
      <c r="W804" s="74" t="s">
        <v>62</v>
      </c>
      <c r="X804" s="10" t="s">
        <v>56</v>
      </c>
      <c r="Y804" s="10" t="s">
        <v>57</v>
      </c>
      <c r="Z804" s="75" t="s">
        <v>58</v>
      </c>
      <c r="AA804" s="76"/>
      <c r="AB804" s="77"/>
      <c r="AC804" s="77"/>
      <c r="AD804" s="6"/>
      <c r="AI804" s="7"/>
      <c r="AJ804" s="73"/>
      <c r="AK804" s="7"/>
      <c r="AL804" s="16"/>
      <c r="AW804" s="6">
        <f t="shared" ca="1" si="14"/>
        <v>68</v>
      </c>
    </row>
    <row r="805" ht="45" customHeight="1" outlineLevel="1">
      <c r="A805" s="69"/>
      <c r="B805" s="3" t="s">
        <v>47</v>
      </c>
      <c r="E805" s="2" t="s">
        <v>63</v>
      </c>
      <c r="F805" s="6" t="s">
        <v>172</v>
      </c>
      <c r="G805" s="5" t="s">
        <v>173</v>
      </c>
      <c r="H805" s="2" t="s">
        <v>51</v>
      </c>
      <c r="I805" s="3" t="s">
        <v>2116</v>
      </c>
      <c r="J805" s="7">
        <v>1</v>
      </c>
      <c r="K805" s="70" t="s">
        <v>53</v>
      </c>
      <c r="L805" s="9">
        <v>1</v>
      </c>
      <c r="M805" s="3">
        <v>560</v>
      </c>
      <c r="P805" s="71"/>
      <c r="R805" s="6">
        <v>1950</v>
      </c>
      <c r="S805" s="3" t="s">
        <v>54</v>
      </c>
      <c r="T805" s="72"/>
      <c r="U805" s="73"/>
      <c r="W805" s="2" t="s">
        <v>2117</v>
      </c>
      <c r="X805" s="10" t="s">
        <v>56</v>
      </c>
      <c r="Y805" s="10" t="s">
        <v>57</v>
      </c>
      <c r="Z805" s="75" t="s">
        <v>58</v>
      </c>
      <c r="AA805" s="76"/>
      <c r="AB805" s="77">
        <v>22747</v>
      </c>
      <c r="AC805" s="77"/>
      <c r="AD805" s="6"/>
      <c r="AG805" s="7">
        <v>1962</v>
      </c>
      <c r="AH805" s="7">
        <v>1960</v>
      </c>
      <c r="AI805" s="7"/>
      <c r="AJ805" s="73"/>
      <c r="AK805" s="7"/>
      <c r="AL805" s="16"/>
      <c r="AM805" s="2" t="s">
        <v>59</v>
      </c>
      <c r="AW805" s="6" t="str">
        <f t="shared" ca="1" si="14"/>
        <v/>
      </c>
    </row>
    <row r="806" ht="45" hidden="1" customHeight="1" outlineLevel="1">
      <c r="A806" s="69"/>
      <c r="B806" s="3" t="s">
        <v>47</v>
      </c>
      <c r="C806" s="4" t="s">
        <v>2118</v>
      </c>
      <c r="D806" s="5" t="s">
        <v>2119</v>
      </c>
      <c r="E806" s="2" t="s">
        <v>63</v>
      </c>
      <c r="F806" s="6" t="s">
        <v>172</v>
      </c>
      <c r="G806" s="5" t="s">
        <v>2120</v>
      </c>
      <c r="H806" s="2" t="s">
        <v>51</v>
      </c>
      <c r="I806" s="3" t="s">
        <v>2121</v>
      </c>
      <c r="J806" s="7">
        <v>1</v>
      </c>
      <c r="K806" s="104"/>
      <c r="L806" s="9">
        <v>1</v>
      </c>
      <c r="M806" s="3">
        <v>561</v>
      </c>
      <c r="N806" s="6">
        <v>1957</v>
      </c>
      <c r="P806" s="71"/>
      <c r="R806" s="6">
        <v>1950</v>
      </c>
      <c r="S806" s="3" t="s">
        <v>236</v>
      </c>
      <c r="T806" s="72" t="s">
        <v>1136</v>
      </c>
      <c r="W806" s="2" t="s">
        <v>62</v>
      </c>
      <c r="X806" s="10" t="s">
        <v>56</v>
      </c>
      <c r="Y806" s="10" t="s">
        <v>57</v>
      </c>
      <c r="Z806" s="75" t="s">
        <v>58</v>
      </c>
      <c r="AA806" s="76"/>
      <c r="AB806" s="77"/>
      <c r="AC806" s="77"/>
      <c r="AD806" s="6"/>
      <c r="AI806" s="7"/>
      <c r="AJ806" s="95">
        <v>44778</v>
      </c>
      <c r="AK806" s="7">
        <v>2020</v>
      </c>
      <c r="AL806" s="16"/>
      <c r="AW806" s="6">
        <f t="shared" ca="1" si="14"/>
        <v>68</v>
      </c>
    </row>
    <row r="807" ht="45" hidden="1" customHeight="1" outlineLevel="1">
      <c r="A807" s="69">
        <v>45033</v>
      </c>
      <c r="B807" s="3" t="s">
        <v>1926</v>
      </c>
      <c r="C807" s="4" t="s">
        <v>2122</v>
      </c>
      <c r="D807" s="5" t="s">
        <v>2123</v>
      </c>
      <c r="E807" s="2" t="s">
        <v>63</v>
      </c>
      <c r="F807" s="6" t="s">
        <v>172</v>
      </c>
      <c r="G807" s="5" t="s">
        <v>173</v>
      </c>
      <c r="H807" s="2" t="s">
        <v>382</v>
      </c>
      <c r="I807" s="3" t="s">
        <v>2124</v>
      </c>
      <c r="J807" s="7">
        <v>2</v>
      </c>
      <c r="K807" s="104"/>
      <c r="L807" s="9">
        <v>1</v>
      </c>
      <c r="M807" s="3">
        <v>562</v>
      </c>
      <c r="N807" s="6">
        <v>1957</v>
      </c>
      <c r="P807" s="71"/>
      <c r="R807" s="6">
        <v>1950</v>
      </c>
      <c r="S807" s="3" t="s">
        <v>283</v>
      </c>
      <c r="T807" s="72"/>
      <c r="U807" s="73"/>
      <c r="W807" s="74" t="s">
        <v>62</v>
      </c>
      <c r="X807" s="10" t="s">
        <v>91</v>
      </c>
      <c r="Y807" s="10" t="s">
        <v>385</v>
      </c>
      <c r="Z807" s="75"/>
      <c r="AA807" s="76"/>
      <c r="AB807" s="77"/>
      <c r="AC807" s="77"/>
      <c r="AD807" s="6"/>
      <c r="AI807" s="7"/>
      <c r="AJ807" s="73"/>
      <c r="AK807" s="7"/>
      <c r="AL807" s="16"/>
      <c r="AW807" s="6">
        <f t="shared" ca="1" si="14"/>
        <v>68</v>
      </c>
    </row>
    <row r="808" ht="45" customHeight="1" outlineLevel="1">
      <c r="A808" s="69"/>
      <c r="B808" s="3" t="s">
        <v>47</v>
      </c>
      <c r="E808" s="2" t="s">
        <v>83</v>
      </c>
      <c r="F808" s="6" t="s">
        <v>84</v>
      </c>
      <c r="G808" s="5" t="s">
        <v>2021</v>
      </c>
      <c r="H808" s="2" t="s">
        <v>288</v>
      </c>
      <c r="I808" s="3" t="s">
        <v>2125</v>
      </c>
      <c r="J808" s="7">
        <v>1</v>
      </c>
      <c r="K808" s="70" t="s">
        <v>53</v>
      </c>
      <c r="L808" s="9">
        <v>1</v>
      </c>
      <c r="M808" s="3">
        <v>563</v>
      </c>
      <c r="N808" s="6">
        <v>1957</v>
      </c>
      <c r="P808" s="71"/>
      <c r="R808" s="6">
        <v>1950</v>
      </c>
      <c r="S808" s="3" t="s">
        <v>54</v>
      </c>
      <c r="T808" s="72"/>
      <c r="U808" s="73"/>
      <c r="W808" s="2" t="s">
        <v>2126</v>
      </c>
      <c r="X808" s="10" t="s">
        <v>56</v>
      </c>
      <c r="Y808" s="10" t="s">
        <v>288</v>
      </c>
      <c r="Z808" s="75"/>
      <c r="AA808" s="76" t="s">
        <v>2127</v>
      </c>
      <c r="AB808" s="77"/>
      <c r="AC808" s="77" t="s">
        <v>2127</v>
      </c>
      <c r="AD808" s="10"/>
      <c r="AG808" s="7">
        <v>1958</v>
      </c>
      <c r="AH808" s="7">
        <v>1950</v>
      </c>
      <c r="AI808" s="7">
        <v>1974</v>
      </c>
      <c r="AJ808" s="73"/>
      <c r="AK808" s="7"/>
      <c r="AL808" s="16" t="s">
        <v>2128</v>
      </c>
      <c r="AM808" s="2" t="s">
        <v>100</v>
      </c>
      <c r="AN808" s="6" t="s">
        <v>73</v>
      </c>
      <c r="AO808" s="6" t="s">
        <v>59</v>
      </c>
      <c r="AP808" s="6" t="s">
        <v>73</v>
      </c>
      <c r="AQ808" s="5" t="s">
        <v>73</v>
      </c>
      <c r="AR808" s="2" t="s">
        <v>73</v>
      </c>
      <c r="AS808" s="6" t="s">
        <v>73</v>
      </c>
      <c r="AT808" s="6">
        <v>2012</v>
      </c>
      <c r="AU808" s="16" t="s">
        <v>2129</v>
      </c>
      <c r="AW808" s="6">
        <f t="shared" ca="1" si="14"/>
        <v>68</v>
      </c>
    </row>
    <row r="809" ht="45" customHeight="1" outlineLevel="1">
      <c r="A809" s="69"/>
      <c r="B809" s="3" t="s">
        <v>47</v>
      </c>
      <c r="E809" s="2" t="s">
        <v>83</v>
      </c>
      <c r="F809" s="6" t="s">
        <v>84</v>
      </c>
      <c r="G809" s="5" t="s">
        <v>835</v>
      </c>
      <c r="H809" s="2" t="s">
        <v>257</v>
      </c>
      <c r="I809" s="3" t="s">
        <v>2130</v>
      </c>
      <c r="J809" s="7">
        <v>1</v>
      </c>
      <c r="K809" s="70" t="s">
        <v>53</v>
      </c>
      <c r="L809" s="9">
        <v>1</v>
      </c>
      <c r="M809" s="3">
        <v>564</v>
      </c>
      <c r="N809" s="6">
        <v>1957</v>
      </c>
      <c r="P809" s="71"/>
      <c r="R809" s="6">
        <v>1950</v>
      </c>
      <c r="S809" s="3" t="s">
        <v>54</v>
      </c>
      <c r="T809" s="72"/>
      <c r="U809" s="73"/>
      <c r="W809" s="2" t="s">
        <v>2131</v>
      </c>
      <c r="X809" s="10" t="s">
        <v>56</v>
      </c>
      <c r="Y809" s="10" t="s">
        <v>68</v>
      </c>
      <c r="Z809" s="75" t="s">
        <v>260</v>
      </c>
      <c r="AA809" s="76"/>
      <c r="AB809" s="77"/>
      <c r="AC809" s="77">
        <v>21011</v>
      </c>
      <c r="AD809" s="10"/>
      <c r="AG809" s="7">
        <v>1957</v>
      </c>
      <c r="AH809" s="7">
        <v>1950</v>
      </c>
      <c r="AI809" s="7"/>
      <c r="AJ809" s="73"/>
      <c r="AK809" s="7"/>
      <c r="AL809" s="16"/>
      <c r="AW809" s="6">
        <f t="shared" ca="1" si="14"/>
        <v>68</v>
      </c>
    </row>
    <row r="810" ht="45" hidden="1" customHeight="1" outlineLevel="1">
      <c r="A810" s="69">
        <v>42702</v>
      </c>
      <c r="B810" s="3" t="s">
        <v>47</v>
      </c>
      <c r="C810" s="4" t="s">
        <v>2132</v>
      </c>
      <c r="D810" s="5" t="s">
        <v>2133</v>
      </c>
      <c r="E810" s="2" t="s">
        <v>83</v>
      </c>
      <c r="F810" s="6" t="s">
        <v>84</v>
      </c>
      <c r="G810" s="5" t="s">
        <v>85</v>
      </c>
      <c r="H810" s="2" t="s">
        <v>382</v>
      </c>
      <c r="I810" s="3" t="s">
        <v>2134</v>
      </c>
      <c r="J810" s="7">
        <v>1</v>
      </c>
      <c r="K810" s="104"/>
      <c r="L810" s="9">
        <v>1</v>
      </c>
      <c r="M810" s="3">
        <v>565</v>
      </c>
      <c r="N810" s="6">
        <v>1957</v>
      </c>
      <c r="P810" s="71"/>
      <c r="R810" s="6">
        <v>1950</v>
      </c>
      <c r="S810" s="3" t="s">
        <v>236</v>
      </c>
      <c r="T810" s="72" t="s">
        <v>1136</v>
      </c>
      <c r="V810" s="12">
        <v>21018</v>
      </c>
      <c r="W810" s="98" t="s">
        <v>2135</v>
      </c>
      <c r="X810" s="10" t="s">
        <v>91</v>
      </c>
      <c r="Y810" s="10" t="s">
        <v>214</v>
      </c>
      <c r="Z810" s="75"/>
      <c r="AA810" s="76"/>
      <c r="AB810" s="77"/>
      <c r="AC810" s="77"/>
      <c r="AD810" s="6"/>
      <c r="AI810" s="7"/>
      <c r="AJ810" s="10">
        <v>44335</v>
      </c>
      <c r="AK810" s="7">
        <v>2020</v>
      </c>
      <c r="AL810" s="16"/>
      <c r="AW810" s="6">
        <f t="shared" ca="1" si="14"/>
        <v>68</v>
      </c>
    </row>
    <row r="811" ht="45" customHeight="1" outlineLevel="1">
      <c r="A811" s="69"/>
      <c r="B811" s="3" t="s">
        <v>47</v>
      </c>
      <c r="E811" s="2" t="s">
        <v>83</v>
      </c>
      <c r="F811" s="6" t="s">
        <v>84</v>
      </c>
      <c r="G811" s="5" t="s">
        <v>1783</v>
      </c>
      <c r="H811" s="2" t="s">
        <v>288</v>
      </c>
      <c r="I811" s="3" t="s">
        <v>2136</v>
      </c>
      <c r="J811" s="7">
        <v>1</v>
      </c>
      <c r="K811" s="70" t="s">
        <v>53</v>
      </c>
      <c r="L811" s="9">
        <v>1</v>
      </c>
      <c r="M811" s="3">
        <v>566</v>
      </c>
      <c r="N811" s="6">
        <v>1957</v>
      </c>
      <c r="P811" s="71"/>
      <c r="R811" s="6">
        <v>1950</v>
      </c>
      <c r="S811" s="3" t="s">
        <v>54</v>
      </c>
      <c r="T811" s="72"/>
      <c r="U811" s="73"/>
      <c r="W811" s="2" t="s">
        <v>2137</v>
      </c>
      <c r="X811" s="10" t="s">
        <v>56</v>
      </c>
      <c r="Y811" s="10" t="s">
        <v>288</v>
      </c>
      <c r="Z811" s="75"/>
      <c r="AA811" s="76">
        <v>21362</v>
      </c>
      <c r="AB811" s="77"/>
      <c r="AC811" s="77"/>
      <c r="AD811" s="6"/>
      <c r="AE811" s="7">
        <v>1958</v>
      </c>
      <c r="AF811" s="7">
        <v>25</v>
      </c>
      <c r="AG811" s="7">
        <v>1958</v>
      </c>
      <c r="AH811" s="7">
        <v>1950</v>
      </c>
      <c r="AI811" s="7"/>
      <c r="AJ811" s="73"/>
      <c r="AK811" s="7"/>
      <c r="AL811" s="16"/>
      <c r="AM811" s="2" t="s">
        <v>100</v>
      </c>
      <c r="AN811" s="6" t="s">
        <v>73</v>
      </c>
      <c r="AO811" s="6" t="s">
        <v>100</v>
      </c>
      <c r="AP811" s="6" t="s">
        <v>73</v>
      </c>
      <c r="AQ811" s="5" t="s">
        <v>73</v>
      </c>
      <c r="AR811" s="2" t="s">
        <v>73</v>
      </c>
      <c r="AT811" s="6">
        <v>1986</v>
      </c>
      <c r="AU811" s="16" t="s">
        <v>2138</v>
      </c>
      <c r="AW811" s="6">
        <f t="shared" ca="1" si="14"/>
        <v>68</v>
      </c>
    </row>
    <row r="812" ht="45" hidden="1" customHeight="1" outlineLevel="1">
      <c r="A812" s="69"/>
      <c r="B812" s="3" t="s">
        <v>47</v>
      </c>
      <c r="C812" s="4" t="s">
        <v>1739</v>
      </c>
      <c r="E812" s="2" t="s">
        <v>63</v>
      </c>
      <c r="F812" s="6" t="s">
        <v>354</v>
      </c>
      <c r="G812" s="5" t="s">
        <v>1945</v>
      </c>
      <c r="H812" s="2" t="s">
        <v>51</v>
      </c>
      <c r="I812" s="96" t="s">
        <v>2139</v>
      </c>
      <c r="J812" s="7">
        <v>1</v>
      </c>
      <c r="K812" s="104"/>
      <c r="L812" s="9">
        <v>1</v>
      </c>
      <c r="M812" s="3">
        <v>567</v>
      </c>
      <c r="P812" s="71"/>
      <c r="R812" s="6">
        <v>1950</v>
      </c>
      <c r="S812" s="3" t="s">
        <v>236</v>
      </c>
      <c r="T812" s="72"/>
      <c r="U812" s="73"/>
      <c r="W812" s="2" t="s">
        <v>62</v>
      </c>
      <c r="X812" s="10" t="s">
        <v>56</v>
      </c>
      <c r="Y812" s="10" t="s">
        <v>57</v>
      </c>
      <c r="Z812" s="75" t="s">
        <v>58</v>
      </c>
      <c r="AA812" s="76"/>
      <c r="AB812" s="77"/>
      <c r="AC812" s="77"/>
      <c r="AD812" s="6"/>
      <c r="AI812" s="7"/>
      <c r="AJ812" s="95">
        <v>38044</v>
      </c>
      <c r="AK812" s="7">
        <v>2000</v>
      </c>
      <c r="AL812" s="16"/>
      <c r="AW812" s="6" t="str">
        <f t="shared" ca="1" si="14"/>
        <v/>
      </c>
    </row>
    <row r="813" ht="45" hidden="1" customHeight="1" outlineLevel="1">
      <c r="A813" s="69"/>
      <c r="B813" s="3" t="s">
        <v>47</v>
      </c>
      <c r="C813" s="4" t="s">
        <v>2140</v>
      </c>
      <c r="E813" s="2" t="s">
        <v>48</v>
      </c>
      <c r="F813" s="6" t="s">
        <v>564</v>
      </c>
      <c r="G813" s="5" t="s">
        <v>2141</v>
      </c>
      <c r="H813" s="2" t="s">
        <v>977</v>
      </c>
      <c r="I813" s="3" t="s">
        <v>2142</v>
      </c>
      <c r="J813" s="7">
        <v>1</v>
      </c>
      <c r="K813" s="104"/>
      <c r="L813" s="9">
        <v>1</v>
      </c>
      <c r="M813" s="3">
        <v>568</v>
      </c>
      <c r="N813" s="6">
        <v>1957</v>
      </c>
      <c r="P813" s="71"/>
      <c r="R813" s="6">
        <v>1950</v>
      </c>
      <c r="S813" s="3" t="s">
        <v>236</v>
      </c>
      <c r="T813" s="72"/>
      <c r="U813" s="73"/>
      <c r="W813" s="2" t="s">
        <v>62</v>
      </c>
      <c r="X813" s="10" t="s">
        <v>213</v>
      </c>
      <c r="Y813" s="10" t="s">
        <v>980</v>
      </c>
      <c r="Z813" s="75"/>
      <c r="AA813" s="76"/>
      <c r="AB813" s="77"/>
      <c r="AC813" s="77"/>
      <c r="AD813" s="6"/>
      <c r="AI813" s="7"/>
      <c r="AJ813" s="95">
        <v>40323</v>
      </c>
      <c r="AK813" s="7">
        <v>2010</v>
      </c>
      <c r="AL813" s="16"/>
      <c r="AW813" s="6">
        <f t="shared" ca="1" si="14"/>
        <v>68</v>
      </c>
    </row>
    <row r="814" ht="45" customHeight="1" outlineLevel="1">
      <c r="A814" s="69"/>
      <c r="B814" s="3" t="s">
        <v>47</v>
      </c>
      <c r="E814" s="2" t="s">
        <v>83</v>
      </c>
      <c r="F814" s="6" t="s">
        <v>179</v>
      </c>
      <c r="G814" s="5" t="s">
        <v>1683</v>
      </c>
      <c r="H814" s="2" t="s">
        <v>57</v>
      </c>
      <c r="I814" s="3" t="s">
        <v>2143</v>
      </c>
      <c r="J814" s="7">
        <v>1</v>
      </c>
      <c r="K814" s="70" t="s">
        <v>53</v>
      </c>
      <c r="L814" s="9">
        <v>1</v>
      </c>
      <c r="M814" s="3">
        <v>569</v>
      </c>
      <c r="P814" s="71"/>
      <c r="R814" s="6">
        <v>1950</v>
      </c>
      <c r="S814" s="3" t="s">
        <v>54</v>
      </c>
      <c r="T814" s="72"/>
      <c r="U814" s="73"/>
      <c r="W814" s="2" t="s">
        <v>2144</v>
      </c>
      <c r="X814" s="10" t="s">
        <v>56</v>
      </c>
      <c r="Y814" s="10" t="s">
        <v>57</v>
      </c>
      <c r="Z814" s="75"/>
      <c r="AA814" s="76"/>
      <c r="AB814" s="77"/>
      <c r="AC814" s="77">
        <v>21789</v>
      </c>
      <c r="AD814" s="10"/>
      <c r="AG814" s="7">
        <v>1959</v>
      </c>
      <c r="AH814" s="7">
        <v>1950</v>
      </c>
      <c r="AI814" s="7"/>
      <c r="AJ814" s="73"/>
      <c r="AK814" s="7"/>
      <c r="AL814" s="16"/>
      <c r="AM814" s="2" t="s">
        <v>59</v>
      </c>
      <c r="AW814" s="6" t="str">
        <f t="shared" ca="1" si="14"/>
        <v/>
      </c>
    </row>
    <row r="815" ht="45" hidden="1" customHeight="1" outlineLevel="1">
      <c r="A815" s="69"/>
      <c r="B815" s="3" t="s">
        <v>47</v>
      </c>
      <c r="C815" s="4" t="s">
        <v>2145</v>
      </c>
      <c r="D815" s="5" t="s">
        <v>2146</v>
      </c>
      <c r="E815" s="2" t="s">
        <v>83</v>
      </c>
      <c r="F815" s="6" t="s">
        <v>704</v>
      </c>
      <c r="G815" s="5" t="s">
        <v>705</v>
      </c>
      <c r="H815" s="2" t="s">
        <v>257</v>
      </c>
      <c r="I815" s="3" t="s">
        <v>2147</v>
      </c>
      <c r="J815" s="7">
        <v>1</v>
      </c>
      <c r="L815" s="9">
        <v>1</v>
      </c>
      <c r="M815" s="3">
        <v>570</v>
      </c>
      <c r="N815" s="6">
        <v>1957</v>
      </c>
      <c r="P815" s="71"/>
      <c r="R815" s="6">
        <v>1950</v>
      </c>
      <c r="S815" s="3" t="s">
        <v>236</v>
      </c>
      <c r="T815" s="72"/>
      <c r="U815" s="73"/>
      <c r="W815" s="2" t="s">
        <v>62</v>
      </c>
      <c r="X815" s="10" t="s">
        <v>56</v>
      </c>
      <c r="Y815" s="10" t="s">
        <v>68</v>
      </c>
      <c r="Z815" s="75" t="s">
        <v>260</v>
      </c>
      <c r="AI815" s="7"/>
      <c r="AJ815" s="10">
        <v>42198</v>
      </c>
      <c r="AK815" s="7">
        <v>2010</v>
      </c>
      <c r="AL815" s="16"/>
      <c r="AW815" s="6">
        <f t="shared" ca="1" si="14"/>
        <v>68</v>
      </c>
    </row>
    <row r="816" s="147" customFormat="1" ht="45" hidden="1" customHeight="1" outlineLevel="1">
      <c r="A816" s="69"/>
      <c r="B816" s="3" t="s">
        <v>47</v>
      </c>
      <c r="C816" s="4" t="s">
        <v>1263</v>
      </c>
      <c r="D816" s="5"/>
      <c r="E816" s="2" t="s">
        <v>48</v>
      </c>
      <c r="F816" s="6" t="s">
        <v>49</v>
      </c>
      <c r="G816" s="5" t="s">
        <v>1347</v>
      </c>
      <c r="H816" s="2" t="s">
        <v>51</v>
      </c>
      <c r="I816" s="3" t="s">
        <v>2148</v>
      </c>
      <c r="J816" s="7">
        <v>1</v>
      </c>
      <c r="K816" s="70"/>
      <c r="L816" s="9">
        <v>1</v>
      </c>
      <c r="M816" s="3">
        <v>571</v>
      </c>
      <c r="N816" s="6">
        <v>1958</v>
      </c>
      <c r="O816" s="10"/>
      <c r="P816" s="71"/>
      <c r="Q816" s="10"/>
      <c r="R816" s="6">
        <v>1950</v>
      </c>
      <c r="S816" s="3" t="s">
        <v>236</v>
      </c>
      <c r="T816" s="72"/>
      <c r="U816" s="73"/>
      <c r="V816" s="12"/>
      <c r="W816" s="2" t="s">
        <v>62</v>
      </c>
      <c r="X816" s="10" t="s">
        <v>56</v>
      </c>
      <c r="Y816" s="10" t="s">
        <v>57</v>
      </c>
      <c r="Z816" s="75" t="s">
        <v>58</v>
      </c>
      <c r="AA816" s="76"/>
      <c r="AB816" s="77"/>
      <c r="AC816" s="77"/>
      <c r="AD816" s="10"/>
      <c r="AE816" s="7">
        <v>1963</v>
      </c>
      <c r="AF816" s="7">
        <v>41</v>
      </c>
      <c r="AG816" s="7"/>
      <c r="AH816" s="7"/>
      <c r="AI816" s="7"/>
      <c r="AJ816" s="95">
        <v>38044</v>
      </c>
      <c r="AK816" s="7">
        <v>2000</v>
      </c>
      <c r="AL816" s="16"/>
      <c r="AM816" s="2"/>
      <c r="AN816" s="6"/>
      <c r="AO816" s="6"/>
      <c r="AP816" s="6"/>
      <c r="AQ816" s="5"/>
      <c r="AR816" s="2"/>
      <c r="AS816" s="6"/>
      <c r="AT816" s="6"/>
      <c r="AU816" s="16"/>
      <c r="AV816" s="17"/>
      <c r="AW816" s="6">
        <f t="shared" ca="1" si="14"/>
        <v>67</v>
      </c>
    </row>
    <row r="817" ht="45" customHeight="1" outlineLevel="1">
      <c r="A817" s="69"/>
      <c r="B817" s="3" t="s">
        <v>47</v>
      </c>
      <c r="E817" s="2" t="s">
        <v>83</v>
      </c>
      <c r="F817" s="6" t="s">
        <v>84</v>
      </c>
      <c r="G817" s="5" t="s">
        <v>85</v>
      </c>
      <c r="H817" s="2" t="s">
        <v>57</v>
      </c>
      <c r="I817" s="3" t="s">
        <v>2149</v>
      </c>
      <c r="J817" s="7">
        <v>1</v>
      </c>
      <c r="K817" s="70" t="s">
        <v>53</v>
      </c>
      <c r="L817" s="9">
        <v>1</v>
      </c>
      <c r="M817" s="3">
        <v>572</v>
      </c>
      <c r="N817" s="6">
        <v>1958</v>
      </c>
      <c r="P817" s="71"/>
      <c r="R817" s="6">
        <v>1950</v>
      </c>
      <c r="S817" s="3" t="s">
        <v>54</v>
      </c>
      <c r="T817" s="72"/>
      <c r="U817" s="73"/>
      <c r="W817" s="2" t="s">
        <v>2150</v>
      </c>
      <c r="X817" s="10" t="s">
        <v>56</v>
      </c>
      <c r="Y817" s="10" t="s">
        <v>57</v>
      </c>
      <c r="Z817" s="75"/>
      <c r="AA817" s="76"/>
      <c r="AB817" s="77">
        <v>21340</v>
      </c>
      <c r="AC817" s="77"/>
      <c r="AD817" s="6"/>
      <c r="AE817" s="7">
        <v>1958</v>
      </c>
      <c r="AF817" s="7">
        <v>25</v>
      </c>
      <c r="AG817" s="7">
        <v>1958</v>
      </c>
      <c r="AH817" s="7">
        <v>1950</v>
      </c>
      <c r="AI817" s="7"/>
      <c r="AJ817" s="73"/>
      <c r="AK817" s="7"/>
      <c r="AL817" s="16"/>
      <c r="AM817" s="2" t="s">
        <v>59</v>
      </c>
      <c r="AU817" s="16" t="s">
        <v>2151</v>
      </c>
      <c r="AW817" s="6">
        <f t="shared" ca="1" si="14"/>
        <v>67</v>
      </c>
    </row>
    <row r="818" ht="45" hidden="1" customHeight="1" outlineLevel="1">
      <c r="A818" s="69"/>
      <c r="B818" s="3" t="s">
        <v>47</v>
      </c>
      <c r="C818" s="4" t="s">
        <v>2152</v>
      </c>
      <c r="D818" s="5" t="s">
        <v>2153</v>
      </c>
      <c r="E818" s="2" t="s">
        <v>1074</v>
      </c>
      <c r="F818" s="6" t="s">
        <v>2154</v>
      </c>
      <c r="G818" s="5" t="s">
        <v>2155</v>
      </c>
      <c r="H818" s="2" t="s">
        <v>57</v>
      </c>
      <c r="I818" s="3" t="s">
        <v>2156</v>
      </c>
      <c r="J818" s="7">
        <v>1</v>
      </c>
      <c r="K818" s="104"/>
      <c r="L818" s="9">
        <v>1</v>
      </c>
      <c r="M818" s="3">
        <v>573</v>
      </c>
      <c r="N818" s="6">
        <v>1958</v>
      </c>
      <c r="P818" s="71"/>
      <c r="R818" s="6">
        <v>1950</v>
      </c>
      <c r="S818" s="3" t="s">
        <v>939</v>
      </c>
      <c r="T818" s="72"/>
      <c r="U818" s="73"/>
      <c r="W818" s="2" t="s">
        <v>62</v>
      </c>
      <c r="X818" s="10" t="s">
        <v>56</v>
      </c>
      <c r="Y818" s="10" t="s">
        <v>57</v>
      </c>
      <c r="Z818" s="75"/>
      <c r="AA818" s="76"/>
      <c r="AB818" s="77"/>
      <c r="AC818" s="77"/>
      <c r="AD818" s="6"/>
      <c r="AI818" s="7"/>
      <c r="AJ818" s="73"/>
      <c r="AK818" s="7"/>
      <c r="AL818" s="16"/>
      <c r="AW818" s="6">
        <f t="shared" ca="1" si="14"/>
        <v>67</v>
      </c>
    </row>
    <row r="819" ht="45" customHeight="1" outlineLevel="1">
      <c r="A819" s="69"/>
      <c r="B819" s="3" t="s">
        <v>47</v>
      </c>
      <c r="E819" s="2" t="s">
        <v>63</v>
      </c>
      <c r="F819" s="6" t="s">
        <v>172</v>
      </c>
      <c r="G819" s="5" t="s">
        <v>173</v>
      </c>
      <c r="H819" s="2" t="s">
        <v>51</v>
      </c>
      <c r="I819" s="3" t="s">
        <v>2157</v>
      </c>
      <c r="J819" s="7">
        <v>1</v>
      </c>
      <c r="K819" s="70" t="s">
        <v>53</v>
      </c>
      <c r="L819" s="9">
        <v>1</v>
      </c>
      <c r="M819" s="3">
        <v>574</v>
      </c>
      <c r="N819" s="6">
        <v>1958</v>
      </c>
      <c r="P819" s="71"/>
      <c r="R819" s="6">
        <v>1950</v>
      </c>
      <c r="S819" s="3" t="s">
        <v>54</v>
      </c>
      <c r="T819" s="72"/>
      <c r="U819" s="73"/>
      <c r="W819" s="2" t="s">
        <v>2158</v>
      </c>
      <c r="X819" s="10" t="s">
        <v>56</v>
      </c>
      <c r="Y819" s="10" t="s">
        <v>57</v>
      </c>
      <c r="Z819" s="75" t="s">
        <v>58</v>
      </c>
      <c r="AA819" s="76"/>
      <c r="AB819" s="77"/>
      <c r="AC819" s="77">
        <v>21374</v>
      </c>
      <c r="AD819" s="6"/>
      <c r="AG819" s="7">
        <v>1958</v>
      </c>
      <c r="AH819" s="7">
        <v>1950</v>
      </c>
      <c r="AI819" s="7"/>
      <c r="AJ819" s="73"/>
      <c r="AK819" s="7"/>
      <c r="AL819" s="16"/>
      <c r="AM819" s="2" t="s">
        <v>59</v>
      </c>
      <c r="AW819" s="6">
        <f t="shared" ca="1" si="14"/>
        <v>67</v>
      </c>
    </row>
    <row r="820" ht="45" customHeight="1" outlineLevel="1">
      <c r="A820" s="69"/>
      <c r="B820" s="3" t="s">
        <v>47</v>
      </c>
      <c r="E820" s="2" t="s">
        <v>63</v>
      </c>
      <c r="F820" s="6" t="s">
        <v>172</v>
      </c>
      <c r="G820" s="5" t="s">
        <v>618</v>
      </c>
      <c r="H820" s="2" t="s">
        <v>51</v>
      </c>
      <c r="I820" s="3" t="s">
        <v>2159</v>
      </c>
      <c r="J820" s="7">
        <v>1</v>
      </c>
      <c r="K820" s="70" t="s">
        <v>53</v>
      </c>
      <c r="L820" s="9">
        <v>1</v>
      </c>
      <c r="M820" s="3">
        <v>575</v>
      </c>
      <c r="N820" s="6">
        <v>1958</v>
      </c>
      <c r="P820" s="71"/>
      <c r="R820" s="6">
        <v>1950</v>
      </c>
      <c r="S820" s="3" t="s">
        <v>54</v>
      </c>
      <c r="T820" s="72"/>
      <c r="U820" s="73"/>
      <c r="W820" s="2" t="s">
        <v>2160</v>
      </c>
      <c r="X820" s="10" t="s">
        <v>56</v>
      </c>
      <c r="Y820" s="10" t="s">
        <v>57</v>
      </c>
      <c r="Z820" s="75" t="s">
        <v>58</v>
      </c>
      <c r="AA820" s="76"/>
      <c r="AB820" s="77"/>
      <c r="AC820" s="77">
        <v>22129</v>
      </c>
      <c r="AD820" s="10"/>
      <c r="AG820" s="7">
        <v>1960</v>
      </c>
      <c r="AH820" s="7">
        <v>1960</v>
      </c>
      <c r="AI820" s="7"/>
      <c r="AJ820" s="73"/>
      <c r="AK820" s="7"/>
      <c r="AL820" s="16"/>
      <c r="AM820" s="2" t="s">
        <v>59</v>
      </c>
      <c r="AU820" s="16" t="s">
        <v>447</v>
      </c>
      <c r="AW820" s="6">
        <f t="shared" ca="1" si="14"/>
        <v>67</v>
      </c>
    </row>
    <row r="821" ht="45" hidden="1" customHeight="1" outlineLevel="1">
      <c r="A821" s="69"/>
      <c r="B821" s="3" t="s">
        <v>47</v>
      </c>
      <c r="C821" s="4" t="s">
        <v>2161</v>
      </c>
      <c r="E821" s="2" t="s">
        <v>63</v>
      </c>
      <c r="F821" s="6" t="s">
        <v>172</v>
      </c>
      <c r="G821" s="5" t="s">
        <v>618</v>
      </c>
      <c r="H821" s="2" t="s">
        <v>257</v>
      </c>
      <c r="I821" s="3" t="s">
        <v>2162</v>
      </c>
      <c r="J821" s="7">
        <v>1</v>
      </c>
      <c r="K821" s="70"/>
      <c r="L821" s="9">
        <v>1</v>
      </c>
      <c r="M821" s="3">
        <v>576</v>
      </c>
      <c r="N821" s="6">
        <v>1958</v>
      </c>
      <c r="P821" s="71"/>
      <c r="R821" s="6">
        <v>1950</v>
      </c>
      <c r="S821" s="3" t="s">
        <v>236</v>
      </c>
      <c r="T821" s="72"/>
      <c r="U821" s="73"/>
      <c r="W821" s="2" t="s">
        <v>62</v>
      </c>
      <c r="X821" s="10" t="s">
        <v>56</v>
      </c>
      <c r="Y821" s="10" t="s">
        <v>68</v>
      </c>
      <c r="Z821" s="75" t="s">
        <v>260</v>
      </c>
      <c r="AA821" s="76"/>
      <c r="AB821" s="77"/>
      <c r="AC821" s="77"/>
      <c r="AD821" s="10"/>
      <c r="AI821" s="7"/>
      <c r="AJ821" s="95">
        <v>36346</v>
      </c>
      <c r="AK821" s="7">
        <v>1990</v>
      </c>
      <c r="AL821" s="16"/>
      <c r="AW821" s="6">
        <f t="shared" ca="1" si="14"/>
        <v>67</v>
      </c>
    </row>
    <row r="822" s="147" customFormat="1" ht="45" customHeight="1" outlineLevel="1">
      <c r="A822" s="69"/>
      <c r="B822" s="3" t="s">
        <v>47</v>
      </c>
      <c r="C822" s="4"/>
      <c r="D822" s="5"/>
      <c r="E822" s="78" t="s">
        <v>83</v>
      </c>
      <c r="F822" s="79" t="s">
        <v>704</v>
      </c>
      <c r="G822" s="80" t="s">
        <v>2163</v>
      </c>
      <c r="H822" s="78" t="s">
        <v>257</v>
      </c>
      <c r="I822" s="81" t="s">
        <v>2164</v>
      </c>
      <c r="J822" s="7">
        <v>1</v>
      </c>
      <c r="K822" s="70" t="s">
        <v>53</v>
      </c>
      <c r="L822" s="9">
        <v>1</v>
      </c>
      <c r="M822" s="3">
        <v>577</v>
      </c>
      <c r="N822" s="6">
        <v>1958</v>
      </c>
      <c r="O822" s="10"/>
      <c r="P822" s="71"/>
      <c r="Q822" s="10"/>
      <c r="R822" s="6">
        <v>1950</v>
      </c>
      <c r="S822" s="3" t="s">
        <v>54</v>
      </c>
      <c r="T822" s="72"/>
      <c r="U822" s="73"/>
      <c r="V822" s="12"/>
      <c r="W822" s="78" t="s">
        <v>2165</v>
      </c>
      <c r="X822" s="82" t="s">
        <v>56</v>
      </c>
      <c r="Y822" s="82" t="s">
        <v>68</v>
      </c>
      <c r="Z822" s="83" t="s">
        <v>260</v>
      </c>
      <c r="AA822" s="76"/>
      <c r="AB822" s="77">
        <v>24887</v>
      </c>
      <c r="AC822" s="77"/>
      <c r="AD822" s="6"/>
      <c r="AE822" s="7"/>
      <c r="AF822" s="7"/>
      <c r="AG822" s="7">
        <v>1968</v>
      </c>
      <c r="AH822" s="7">
        <v>1960</v>
      </c>
      <c r="AI822" s="7"/>
      <c r="AJ822" s="73"/>
      <c r="AK822" s="7"/>
      <c r="AL822" s="16"/>
      <c r="AM822" s="2" t="s">
        <v>59</v>
      </c>
      <c r="AN822" s="6"/>
      <c r="AO822" s="6"/>
      <c r="AP822" s="6"/>
      <c r="AQ822" s="5"/>
      <c r="AR822" s="2"/>
      <c r="AS822" s="6"/>
      <c r="AT822" s="6"/>
      <c r="AU822" s="16"/>
      <c r="AV822" s="17"/>
      <c r="AW822" s="6">
        <f t="shared" ca="1" si="14"/>
        <v>67</v>
      </c>
    </row>
    <row r="823" ht="45" customHeight="1" outlineLevel="1">
      <c r="A823" s="69"/>
      <c r="B823" s="3" t="s">
        <v>47</v>
      </c>
      <c r="E823" s="2" t="s">
        <v>83</v>
      </c>
      <c r="F823" s="6" t="s">
        <v>84</v>
      </c>
      <c r="G823" s="5" t="s">
        <v>85</v>
      </c>
      <c r="H823" s="2" t="s">
        <v>57</v>
      </c>
      <c r="I823" s="3" t="s">
        <v>2166</v>
      </c>
      <c r="J823" s="7">
        <v>1</v>
      </c>
      <c r="K823" s="70" t="s">
        <v>53</v>
      </c>
      <c r="L823" s="9">
        <v>1</v>
      </c>
      <c r="M823" s="3">
        <v>578</v>
      </c>
      <c r="N823" s="6">
        <v>1958</v>
      </c>
      <c r="P823" s="71"/>
      <c r="R823" s="6">
        <v>1950</v>
      </c>
      <c r="S823" s="3" t="s">
        <v>54</v>
      </c>
      <c r="T823" s="72"/>
      <c r="U823" s="73"/>
      <c r="W823" s="2" t="s">
        <v>2167</v>
      </c>
      <c r="X823" s="10" t="s">
        <v>56</v>
      </c>
      <c r="Y823" s="10" t="s">
        <v>57</v>
      </c>
      <c r="Z823" s="75"/>
      <c r="AA823" s="76"/>
      <c r="AB823" s="77">
        <v>21277</v>
      </c>
      <c r="AC823" s="77"/>
      <c r="AD823" s="6"/>
      <c r="AG823" s="7">
        <v>1958</v>
      </c>
      <c r="AH823" s="7">
        <v>1950</v>
      </c>
      <c r="AI823" s="7"/>
      <c r="AJ823" s="73"/>
      <c r="AK823" s="7"/>
      <c r="AL823" s="16"/>
      <c r="AM823" s="2" t="s">
        <v>59</v>
      </c>
      <c r="AW823" s="6">
        <f t="shared" ca="1" si="14"/>
        <v>67</v>
      </c>
    </row>
    <row r="824" ht="45" hidden="1" customHeight="1" outlineLevel="1">
      <c r="A824" s="69"/>
      <c r="B824" s="3" t="s">
        <v>47</v>
      </c>
      <c r="C824" s="4" t="s">
        <v>2168</v>
      </c>
      <c r="E824" s="2" t="s">
        <v>63</v>
      </c>
      <c r="F824" s="6" t="s">
        <v>172</v>
      </c>
      <c r="G824" s="5" t="s">
        <v>2169</v>
      </c>
      <c r="H824" s="2" t="s">
        <v>508</v>
      </c>
      <c r="I824" s="3" t="s">
        <v>2170</v>
      </c>
      <c r="J824" s="7">
        <v>1</v>
      </c>
      <c r="K824" s="104"/>
      <c r="L824" s="9">
        <v>1</v>
      </c>
      <c r="M824" s="3">
        <v>579</v>
      </c>
      <c r="N824" s="6">
        <v>1958</v>
      </c>
      <c r="P824" s="71"/>
      <c r="R824" s="6">
        <v>1950</v>
      </c>
      <c r="S824" s="3" t="s">
        <v>236</v>
      </c>
      <c r="T824" s="72"/>
      <c r="U824" s="73"/>
      <c r="W824" s="2" t="s">
        <v>62</v>
      </c>
      <c r="X824" s="10" t="s">
        <v>504</v>
      </c>
      <c r="Y824" s="10" t="s">
        <v>511</v>
      </c>
      <c r="Z824" s="75"/>
      <c r="AA824" s="76"/>
      <c r="AB824" s="77"/>
      <c r="AC824" s="77"/>
      <c r="AD824" s="6"/>
      <c r="AE824" s="7">
        <v>1958</v>
      </c>
      <c r="AF824" s="7">
        <v>26</v>
      </c>
      <c r="AI824" s="7"/>
      <c r="AJ824" s="95">
        <v>21418</v>
      </c>
      <c r="AK824" s="7">
        <v>1950</v>
      </c>
      <c r="AL824" s="16"/>
      <c r="AW824" s="6">
        <f t="shared" ca="1" si="14"/>
        <v>67</v>
      </c>
    </row>
    <row r="825" ht="45" hidden="1" customHeight="1" outlineLevel="1">
      <c r="A825" s="69"/>
      <c r="B825" s="3" t="s">
        <v>47</v>
      </c>
      <c r="C825" s="4" t="s">
        <v>2171</v>
      </c>
      <c r="E825" s="2" t="s">
        <v>63</v>
      </c>
      <c r="F825" s="6" t="s">
        <v>64</v>
      </c>
      <c r="G825" s="5" t="s">
        <v>69</v>
      </c>
      <c r="H825" s="2" t="s">
        <v>382</v>
      </c>
      <c r="I825" s="96" t="s">
        <v>2172</v>
      </c>
      <c r="J825" s="7">
        <v>1</v>
      </c>
      <c r="K825" s="104"/>
      <c r="L825" s="9">
        <v>1</v>
      </c>
      <c r="M825" s="3">
        <v>580</v>
      </c>
      <c r="N825" s="6">
        <v>1958</v>
      </c>
      <c r="P825" s="71"/>
      <c r="R825" s="6">
        <v>1950</v>
      </c>
      <c r="S825" s="3" t="s">
        <v>236</v>
      </c>
      <c r="T825" s="72"/>
      <c r="U825" s="73"/>
      <c r="W825" s="2" t="s">
        <v>62</v>
      </c>
      <c r="X825" s="10" t="s">
        <v>91</v>
      </c>
      <c r="Y825" s="10" t="s">
        <v>214</v>
      </c>
      <c r="Z825" s="75"/>
      <c r="AA825" s="76"/>
      <c r="AB825" s="77"/>
      <c r="AC825" s="77"/>
      <c r="AD825" s="6"/>
      <c r="AI825" s="7"/>
      <c r="AJ825" s="95">
        <v>41354</v>
      </c>
      <c r="AK825" s="7">
        <v>2010</v>
      </c>
      <c r="AL825" s="16"/>
      <c r="AW825" s="6">
        <f t="shared" ca="1" si="14"/>
        <v>67</v>
      </c>
    </row>
    <row r="826" ht="45" hidden="1" customHeight="1" outlineLevel="1">
      <c r="A826" s="69"/>
      <c r="B826" s="3" t="s">
        <v>47</v>
      </c>
      <c r="C826" s="4" t="s">
        <v>2173</v>
      </c>
      <c r="E826" s="2" t="s">
        <v>83</v>
      </c>
      <c r="F826" s="6" t="s">
        <v>931</v>
      </c>
      <c r="G826" s="5" t="s">
        <v>2174</v>
      </c>
      <c r="H826" s="2" t="s">
        <v>57</v>
      </c>
      <c r="I826" s="3" t="s">
        <v>2175</v>
      </c>
      <c r="J826" s="7">
        <v>1</v>
      </c>
      <c r="K826" s="104"/>
      <c r="L826" s="9">
        <v>1</v>
      </c>
      <c r="M826" s="3">
        <v>581</v>
      </c>
      <c r="N826" s="6">
        <v>1958</v>
      </c>
      <c r="P826" s="71"/>
      <c r="R826" s="6">
        <v>1950</v>
      </c>
      <c r="S826" s="3" t="s">
        <v>236</v>
      </c>
      <c r="T826" s="72"/>
      <c r="U826" s="73"/>
      <c r="W826" s="2" t="s">
        <v>62</v>
      </c>
      <c r="X826" s="10" t="s">
        <v>56</v>
      </c>
      <c r="Y826" s="10" t="s">
        <v>57</v>
      </c>
      <c r="Z826" s="75"/>
      <c r="AA826" s="76"/>
      <c r="AB826" s="77"/>
      <c r="AC826" s="77"/>
      <c r="AD826" s="6"/>
      <c r="AI826" s="7"/>
      <c r="AJ826" s="95">
        <v>40323</v>
      </c>
      <c r="AK826" s="7">
        <v>2010</v>
      </c>
      <c r="AL826" s="16"/>
      <c r="AW826" s="6">
        <f t="shared" ca="1" si="14"/>
        <v>67</v>
      </c>
    </row>
    <row r="827" ht="45" hidden="1" customHeight="1" outlineLevel="1">
      <c r="A827" s="69"/>
      <c r="B827" s="3" t="s">
        <v>47</v>
      </c>
      <c r="C827" s="4" t="s">
        <v>2176</v>
      </c>
      <c r="E827" s="2" t="s">
        <v>83</v>
      </c>
      <c r="F827" s="6" t="s">
        <v>179</v>
      </c>
      <c r="G827" s="5" t="s">
        <v>2177</v>
      </c>
      <c r="H827" s="2" t="s">
        <v>51</v>
      </c>
      <c r="I827" s="3" t="s">
        <v>2178</v>
      </c>
      <c r="J827" s="7">
        <v>1</v>
      </c>
      <c r="K827" s="104"/>
      <c r="L827" s="9">
        <v>1</v>
      </c>
      <c r="M827" s="3">
        <v>582</v>
      </c>
      <c r="N827" s="6">
        <v>1958</v>
      </c>
      <c r="P827" s="71"/>
      <c r="R827" s="6">
        <v>1950</v>
      </c>
      <c r="S827" s="3" t="s">
        <v>236</v>
      </c>
      <c r="T827" s="72"/>
      <c r="U827" s="73"/>
      <c r="W827" s="2" t="s">
        <v>62</v>
      </c>
      <c r="X827" s="10" t="s">
        <v>56</v>
      </c>
      <c r="Y827" s="10" t="s">
        <v>57</v>
      </c>
      <c r="Z827" s="75" t="s">
        <v>58</v>
      </c>
      <c r="AA827" s="76"/>
      <c r="AB827" s="77"/>
      <c r="AC827" s="77"/>
      <c r="AD827" s="6"/>
      <c r="AI827" s="7"/>
      <c r="AJ827" s="95">
        <v>36346</v>
      </c>
      <c r="AK827" s="7">
        <v>1990</v>
      </c>
      <c r="AL827" s="16"/>
      <c r="AW827" s="6">
        <f t="shared" ca="1" si="14"/>
        <v>67</v>
      </c>
    </row>
    <row r="828" ht="45" hidden="1" customHeight="1" outlineLevel="1">
      <c r="A828" s="69"/>
      <c r="B828" s="3" t="s">
        <v>47</v>
      </c>
      <c r="C828" s="4" t="s">
        <v>1263</v>
      </c>
      <c r="E828" s="2" t="s">
        <v>63</v>
      </c>
      <c r="F828" s="6" t="s">
        <v>172</v>
      </c>
      <c r="G828" s="5" t="s">
        <v>173</v>
      </c>
      <c r="H828" s="2" t="s">
        <v>382</v>
      </c>
      <c r="I828" s="3" t="s">
        <v>2179</v>
      </c>
      <c r="J828" s="114">
        <v>1</v>
      </c>
      <c r="K828" s="104"/>
      <c r="L828" s="9">
        <v>1</v>
      </c>
      <c r="M828" s="3">
        <v>583</v>
      </c>
      <c r="N828" s="6">
        <v>1958</v>
      </c>
      <c r="P828" s="71"/>
      <c r="R828" s="6">
        <v>1950</v>
      </c>
      <c r="S828" s="3" t="s">
        <v>236</v>
      </c>
      <c r="T828" s="72"/>
      <c r="U828" s="73"/>
      <c r="W828" s="2" t="s">
        <v>62</v>
      </c>
      <c r="X828" s="10" t="s">
        <v>91</v>
      </c>
      <c r="Y828" s="10" t="s">
        <v>385</v>
      </c>
      <c r="Z828" s="75"/>
      <c r="AA828" s="76"/>
      <c r="AB828" s="77"/>
      <c r="AC828" s="77"/>
      <c r="AD828" s="6"/>
      <c r="AI828" s="7"/>
      <c r="AJ828" s="10">
        <v>38044</v>
      </c>
      <c r="AK828" s="7">
        <v>2000</v>
      </c>
      <c r="AL828" s="16"/>
      <c r="AW828" s="6">
        <f t="shared" ca="1" si="14"/>
        <v>67</v>
      </c>
    </row>
    <row r="829" ht="45" customHeight="1" outlineLevel="1">
      <c r="A829" s="69"/>
      <c r="B829" s="3" t="s">
        <v>47</v>
      </c>
      <c r="E829" s="2" t="s">
        <v>63</v>
      </c>
      <c r="F829" s="6" t="s">
        <v>172</v>
      </c>
      <c r="G829" s="5" t="s">
        <v>173</v>
      </c>
      <c r="H829" s="2" t="s">
        <v>382</v>
      </c>
      <c r="I829" s="3" t="s">
        <v>2180</v>
      </c>
      <c r="J829" s="7">
        <v>1</v>
      </c>
      <c r="K829" s="70" t="s">
        <v>53</v>
      </c>
      <c r="L829" s="9">
        <v>1</v>
      </c>
      <c r="M829" s="3">
        <v>584</v>
      </c>
      <c r="N829" s="6">
        <v>1958</v>
      </c>
      <c r="P829" s="71"/>
      <c r="R829" s="6">
        <v>1950</v>
      </c>
      <c r="S829" s="3" t="s">
        <v>54</v>
      </c>
      <c r="T829" s="72"/>
      <c r="U829" s="73"/>
      <c r="W829" s="2" t="s">
        <v>2181</v>
      </c>
      <c r="X829" s="10" t="s">
        <v>91</v>
      </c>
      <c r="Y829" s="10" t="s">
        <v>214</v>
      </c>
      <c r="Z829" s="75"/>
      <c r="AA829" s="76"/>
      <c r="AB829" s="77"/>
      <c r="AC829" s="77">
        <v>21424</v>
      </c>
      <c r="AD829" s="10"/>
      <c r="AG829" s="7">
        <v>1958</v>
      </c>
      <c r="AH829" s="7">
        <v>1950</v>
      </c>
      <c r="AI829" s="7"/>
      <c r="AJ829" s="73"/>
      <c r="AK829" s="7"/>
      <c r="AL829" s="16"/>
      <c r="AM829" s="2" t="s">
        <v>59</v>
      </c>
      <c r="AO829" s="6" t="s">
        <v>59</v>
      </c>
      <c r="AW829" s="6">
        <f t="shared" ca="1" si="14"/>
        <v>67</v>
      </c>
    </row>
    <row r="830" ht="45" customHeight="1" outlineLevel="1">
      <c r="A830" s="69"/>
      <c r="B830" s="3" t="s">
        <v>47</v>
      </c>
      <c r="E830" s="2" t="s">
        <v>83</v>
      </c>
      <c r="F830" s="6" t="s">
        <v>84</v>
      </c>
      <c r="G830" s="5" t="s">
        <v>797</v>
      </c>
      <c r="H830" s="2" t="s">
        <v>57</v>
      </c>
      <c r="I830" s="3" t="s">
        <v>2182</v>
      </c>
      <c r="J830" s="7">
        <v>1</v>
      </c>
      <c r="K830" s="70" t="s">
        <v>53</v>
      </c>
      <c r="L830" s="9">
        <v>1</v>
      </c>
      <c r="M830" s="3">
        <v>585</v>
      </c>
      <c r="N830" s="6">
        <v>1985</v>
      </c>
      <c r="P830" s="71"/>
      <c r="R830" s="6">
        <v>1950</v>
      </c>
      <c r="S830" s="3" t="s">
        <v>54</v>
      </c>
      <c r="T830" s="72"/>
      <c r="U830" s="73"/>
      <c r="W830" s="2" t="s">
        <v>2183</v>
      </c>
      <c r="X830" s="10" t="s">
        <v>56</v>
      </c>
      <c r="Y830" s="10" t="s">
        <v>57</v>
      </c>
      <c r="Z830" s="75"/>
      <c r="AA830" s="76"/>
      <c r="AB830" s="77"/>
      <c r="AC830" s="77">
        <v>22747</v>
      </c>
      <c r="AD830" s="10"/>
      <c r="AG830" s="7">
        <v>1962</v>
      </c>
      <c r="AH830" s="7">
        <v>1960</v>
      </c>
      <c r="AI830" s="7"/>
      <c r="AJ830" s="73"/>
      <c r="AK830" s="7"/>
      <c r="AL830" s="16"/>
      <c r="AM830" s="2" t="s">
        <v>59</v>
      </c>
      <c r="AW830" s="6">
        <f t="shared" ca="1" si="14"/>
        <v>40</v>
      </c>
    </row>
    <row r="831" ht="45" hidden="1" customHeight="1" outlineLevel="1">
      <c r="A831" s="69"/>
      <c r="B831" s="3" t="s">
        <v>47</v>
      </c>
      <c r="C831" s="4" t="s">
        <v>2184</v>
      </c>
      <c r="E831" s="2" t="s">
        <v>83</v>
      </c>
      <c r="F831" s="6" t="s">
        <v>704</v>
      </c>
      <c r="G831" s="5" t="s">
        <v>705</v>
      </c>
      <c r="H831" s="2" t="s">
        <v>57</v>
      </c>
      <c r="I831" s="3" t="s">
        <v>2185</v>
      </c>
      <c r="J831" s="7">
        <v>1</v>
      </c>
      <c r="K831" s="70"/>
      <c r="L831" s="9">
        <v>1</v>
      </c>
      <c r="M831" s="3">
        <v>586</v>
      </c>
      <c r="P831" s="71"/>
      <c r="R831" s="6">
        <v>1950</v>
      </c>
      <c r="S831" s="3" t="s">
        <v>939</v>
      </c>
      <c r="T831" s="72"/>
      <c r="U831" s="73"/>
      <c r="W831" s="2" t="s">
        <v>2186</v>
      </c>
      <c r="X831" s="10" t="s">
        <v>56</v>
      </c>
      <c r="Y831" s="10" t="s">
        <v>57</v>
      </c>
      <c r="Z831" s="75" t="s">
        <v>58</v>
      </c>
      <c r="AA831" s="76"/>
      <c r="AB831" s="77"/>
      <c r="AC831" s="77"/>
      <c r="AD831" s="10"/>
      <c r="AI831" s="7"/>
      <c r="AJ831" s="73"/>
      <c r="AK831" s="7"/>
      <c r="AL831" s="16"/>
      <c r="AW831" s="6" t="str">
        <f t="shared" ca="1" si="14"/>
        <v/>
      </c>
    </row>
    <row r="832" ht="45" hidden="1" customHeight="1" outlineLevel="1">
      <c r="A832" s="69"/>
      <c r="B832" s="3" t="s">
        <v>47</v>
      </c>
      <c r="D832" s="5" t="s">
        <v>2187</v>
      </c>
      <c r="E832" s="2" t="s">
        <v>83</v>
      </c>
      <c r="F832" s="6" t="s">
        <v>704</v>
      </c>
      <c r="G832" s="5" t="s">
        <v>705</v>
      </c>
      <c r="H832" s="2" t="s">
        <v>57</v>
      </c>
      <c r="I832" s="3" t="s">
        <v>2188</v>
      </c>
      <c r="J832" s="7">
        <v>1</v>
      </c>
      <c r="K832" s="70"/>
      <c r="L832" s="9">
        <v>1</v>
      </c>
      <c r="M832" s="3">
        <v>587</v>
      </c>
      <c r="N832" s="6">
        <v>1958</v>
      </c>
      <c r="O832" s="10" t="s">
        <v>2064</v>
      </c>
      <c r="P832" s="71" t="s">
        <v>1452</v>
      </c>
      <c r="Q832" s="10" t="s">
        <v>1453</v>
      </c>
      <c r="R832" s="6">
        <v>1950</v>
      </c>
      <c r="S832" s="3" t="s">
        <v>236</v>
      </c>
      <c r="T832" s="72"/>
      <c r="U832" s="73"/>
      <c r="W832" s="2" t="s">
        <v>62</v>
      </c>
      <c r="X832" s="10" t="s">
        <v>56</v>
      </c>
      <c r="Y832" s="10" t="s">
        <v>57</v>
      </c>
      <c r="Z832" s="75"/>
      <c r="AA832" s="76"/>
      <c r="AB832" s="77"/>
      <c r="AC832" s="77"/>
      <c r="AD832" s="10"/>
      <c r="AI832" s="7"/>
      <c r="AK832" s="7"/>
      <c r="AL832" s="16"/>
      <c r="AW832" s="6">
        <f t="shared" ca="1" si="14"/>
        <v>67</v>
      </c>
    </row>
    <row r="833" ht="45" customHeight="1" outlineLevel="1">
      <c r="A833" s="69"/>
      <c r="B833" s="3" t="s">
        <v>47</v>
      </c>
      <c r="E833" s="2" t="s">
        <v>83</v>
      </c>
      <c r="F833" s="6" t="s">
        <v>179</v>
      </c>
      <c r="G833" s="5" t="s">
        <v>2189</v>
      </c>
      <c r="H833" s="2" t="s">
        <v>57</v>
      </c>
      <c r="I833" s="3" t="s">
        <v>2190</v>
      </c>
      <c r="J833" s="7">
        <v>1</v>
      </c>
      <c r="K833" s="70" t="s">
        <v>53</v>
      </c>
      <c r="L833" s="9">
        <v>1</v>
      </c>
      <c r="M833" s="3">
        <v>588</v>
      </c>
      <c r="N833" s="6">
        <v>1958</v>
      </c>
      <c r="P833" s="71"/>
      <c r="R833" s="6">
        <v>1950</v>
      </c>
      <c r="S833" s="3" t="s">
        <v>54</v>
      </c>
      <c r="T833" s="72"/>
      <c r="U833" s="73"/>
      <c r="W833" s="2" t="s">
        <v>2191</v>
      </c>
      <c r="X833" s="10" t="s">
        <v>56</v>
      </c>
      <c r="Y833" s="10" t="s">
        <v>57</v>
      </c>
      <c r="Z833" s="75"/>
      <c r="AA833" s="76"/>
      <c r="AB833" s="77">
        <v>25064</v>
      </c>
      <c r="AC833" s="77"/>
      <c r="AD833" s="6"/>
      <c r="AG833" s="7">
        <v>1968</v>
      </c>
      <c r="AH833" s="7">
        <v>1960</v>
      </c>
      <c r="AI833" s="7"/>
      <c r="AJ833" s="73"/>
      <c r="AK833" s="7"/>
      <c r="AL833" s="16"/>
      <c r="AM833" s="2" t="s">
        <v>59</v>
      </c>
      <c r="AW833" s="6">
        <f t="shared" ca="1" si="14"/>
        <v>67</v>
      </c>
    </row>
    <row r="834" ht="45" customHeight="1" outlineLevel="1">
      <c r="A834" s="69"/>
      <c r="B834" s="3" t="s">
        <v>47</v>
      </c>
      <c r="E834" s="2" t="s">
        <v>83</v>
      </c>
      <c r="F834" s="6" t="s">
        <v>84</v>
      </c>
      <c r="G834" s="5" t="s">
        <v>85</v>
      </c>
      <c r="H834" s="2" t="s">
        <v>382</v>
      </c>
      <c r="I834" s="3" t="s">
        <v>2192</v>
      </c>
      <c r="J834" s="7">
        <v>1</v>
      </c>
      <c r="K834" s="70" t="s">
        <v>53</v>
      </c>
      <c r="L834" s="9">
        <v>1</v>
      </c>
      <c r="M834" s="3">
        <v>589</v>
      </c>
      <c r="N834" s="6">
        <v>1958</v>
      </c>
      <c r="P834" s="71"/>
      <c r="R834" s="6">
        <v>1950</v>
      </c>
      <c r="S834" s="3" t="s">
        <v>54</v>
      </c>
      <c r="T834" s="72"/>
      <c r="U834" s="73"/>
      <c r="W834" s="2" t="s">
        <v>2193</v>
      </c>
      <c r="X834" s="10" t="s">
        <v>91</v>
      </c>
      <c r="Y834" s="10" t="s">
        <v>385</v>
      </c>
      <c r="Z834" s="75"/>
      <c r="AA834" s="76"/>
      <c r="AB834" s="77"/>
      <c r="AC834" s="77">
        <v>21992</v>
      </c>
      <c r="AD834" s="10"/>
      <c r="AE834" s="7">
        <v>1960</v>
      </c>
      <c r="AF834" s="7">
        <v>30</v>
      </c>
      <c r="AG834" s="7">
        <v>1960</v>
      </c>
      <c r="AH834" s="7">
        <v>1960</v>
      </c>
      <c r="AI834" s="7"/>
      <c r="AJ834" s="73"/>
      <c r="AK834" s="7"/>
      <c r="AL834" s="16"/>
      <c r="AM834" s="2" t="s">
        <v>59</v>
      </c>
      <c r="AO834" s="6" t="s">
        <v>59</v>
      </c>
      <c r="AW834" s="6">
        <f t="shared" ca="1" si="14"/>
        <v>67</v>
      </c>
    </row>
    <row r="835" ht="45" hidden="1" customHeight="1" outlineLevel="1">
      <c r="A835" s="69"/>
      <c r="B835" s="3" t="s">
        <v>47</v>
      </c>
      <c r="C835" s="4" t="s">
        <v>2194</v>
      </c>
      <c r="E835" s="2" t="s">
        <v>83</v>
      </c>
      <c r="F835" s="6" t="s">
        <v>179</v>
      </c>
      <c r="G835" s="5" t="s">
        <v>1343</v>
      </c>
      <c r="H835" s="2" t="s">
        <v>57</v>
      </c>
      <c r="I835" s="3" t="s">
        <v>2195</v>
      </c>
      <c r="J835" s="7">
        <v>1</v>
      </c>
      <c r="K835" s="70"/>
      <c r="L835" s="9">
        <v>1</v>
      </c>
      <c r="M835" s="3">
        <v>590</v>
      </c>
      <c r="N835" s="6">
        <v>1958</v>
      </c>
      <c r="P835" s="71"/>
      <c r="R835" s="6">
        <v>1950</v>
      </c>
      <c r="S835" s="3" t="s">
        <v>939</v>
      </c>
      <c r="T835" s="72"/>
      <c r="U835" s="73"/>
      <c r="W835" s="2" t="s">
        <v>2196</v>
      </c>
      <c r="X835" s="10" t="s">
        <v>56</v>
      </c>
      <c r="Y835" s="10" t="s">
        <v>57</v>
      </c>
      <c r="Z835" s="75"/>
      <c r="AA835" s="76"/>
      <c r="AB835" s="77"/>
      <c r="AC835" s="77"/>
      <c r="AD835" s="10"/>
      <c r="AI835" s="7"/>
      <c r="AJ835" s="73"/>
      <c r="AK835" s="7"/>
      <c r="AL835" s="16" t="s">
        <v>2197</v>
      </c>
      <c r="AW835" s="6">
        <f t="shared" ca="1" si="14"/>
        <v>67</v>
      </c>
    </row>
    <row r="836" ht="45" customHeight="1" outlineLevel="1">
      <c r="A836" s="69">
        <v>43447</v>
      </c>
      <c r="B836" s="3" t="s">
        <v>47</v>
      </c>
      <c r="C836" s="4" t="s">
        <v>2198</v>
      </c>
      <c r="D836" s="5" t="s">
        <v>2199</v>
      </c>
      <c r="E836" s="2" t="s">
        <v>83</v>
      </c>
      <c r="F836" s="6" t="s">
        <v>179</v>
      </c>
      <c r="G836" s="5" t="s">
        <v>1343</v>
      </c>
      <c r="H836" s="2" t="s">
        <v>508</v>
      </c>
      <c r="I836" s="3" t="s">
        <v>2200</v>
      </c>
      <c r="J836" s="7">
        <v>1</v>
      </c>
      <c r="K836" s="70" t="s">
        <v>53</v>
      </c>
      <c r="L836" s="9">
        <v>1</v>
      </c>
      <c r="M836" s="3">
        <v>591</v>
      </c>
      <c r="N836" s="6">
        <v>1958</v>
      </c>
      <c r="P836" s="71"/>
      <c r="R836" s="6">
        <v>1950</v>
      </c>
      <c r="S836" s="3" t="s">
        <v>54</v>
      </c>
      <c r="T836" s="72"/>
      <c r="U836" s="73"/>
      <c r="W836" s="2" t="s">
        <v>2201</v>
      </c>
      <c r="X836" s="10" t="s">
        <v>504</v>
      </c>
      <c r="Y836" s="10" t="s">
        <v>511</v>
      </c>
      <c r="Z836" s="75"/>
      <c r="AA836" s="76">
        <v>22180</v>
      </c>
      <c r="AB836" s="77"/>
      <c r="AC836" s="77"/>
      <c r="AD836" s="6"/>
      <c r="AE836" s="7">
        <v>1960</v>
      </c>
      <c r="AF836" s="7" t="s">
        <v>2202</v>
      </c>
      <c r="AG836" s="7">
        <v>1960</v>
      </c>
      <c r="AH836" s="7">
        <v>1960</v>
      </c>
      <c r="AI836" s="7">
        <v>1961</v>
      </c>
      <c r="AJ836" s="73"/>
      <c r="AK836" s="7"/>
      <c r="AL836" s="16" t="s">
        <v>2203</v>
      </c>
      <c r="AM836" s="2" t="s">
        <v>100</v>
      </c>
      <c r="AO836" s="6" t="s">
        <v>100</v>
      </c>
      <c r="AP836" s="6" t="s">
        <v>73</v>
      </c>
      <c r="AS836" s="6" t="s">
        <v>2204</v>
      </c>
      <c r="AT836" s="6">
        <v>2016</v>
      </c>
      <c r="AU836" s="16" t="s">
        <v>2205</v>
      </c>
      <c r="AW836" s="6">
        <f t="shared" ca="1" si="14"/>
        <v>67</v>
      </c>
    </row>
    <row r="837" ht="45" customHeight="1" outlineLevel="1">
      <c r="A837" s="69"/>
      <c r="B837" s="3" t="s">
        <v>47</v>
      </c>
      <c r="E837" s="2" t="s">
        <v>83</v>
      </c>
      <c r="F837" s="6" t="s">
        <v>704</v>
      </c>
      <c r="G837" s="5" t="s">
        <v>2206</v>
      </c>
      <c r="H837" s="2" t="s">
        <v>57</v>
      </c>
      <c r="I837" s="3" t="s">
        <v>2207</v>
      </c>
      <c r="J837" s="7">
        <v>1</v>
      </c>
      <c r="K837" s="70" t="s">
        <v>53</v>
      </c>
      <c r="L837" s="9">
        <v>1</v>
      </c>
      <c r="M837" s="3">
        <v>592</v>
      </c>
      <c r="N837" s="6">
        <v>1959</v>
      </c>
      <c r="P837" s="71"/>
      <c r="R837" s="6">
        <v>1950</v>
      </c>
      <c r="S837" s="3" t="s">
        <v>54</v>
      </c>
      <c r="T837" s="72"/>
      <c r="U837" s="73"/>
      <c r="W837" s="2" t="s">
        <v>2208</v>
      </c>
      <c r="X837" s="10" t="s">
        <v>56</v>
      </c>
      <c r="Y837" s="10" t="s">
        <v>57</v>
      </c>
      <c r="Z837" s="75"/>
      <c r="AA837" s="76"/>
      <c r="AB837" s="77"/>
      <c r="AC837" s="77">
        <v>21612</v>
      </c>
      <c r="AD837" s="10"/>
      <c r="AG837" s="7">
        <v>1959</v>
      </c>
      <c r="AH837" s="7">
        <v>1950</v>
      </c>
      <c r="AI837" s="7"/>
      <c r="AJ837" s="73"/>
      <c r="AK837" s="7"/>
      <c r="AL837" s="16"/>
      <c r="AM837" s="2" t="s">
        <v>59</v>
      </c>
      <c r="AU837" s="16" t="s">
        <v>2209</v>
      </c>
      <c r="AW837" s="6">
        <f t="shared" ca="1" si="14"/>
        <v>66</v>
      </c>
    </row>
    <row r="838" ht="45" customHeight="1" outlineLevel="1">
      <c r="A838" s="69">
        <v>44032</v>
      </c>
      <c r="B838" s="3" t="s">
        <v>47</v>
      </c>
      <c r="C838" s="4" t="s">
        <v>2210</v>
      </c>
      <c r="D838" s="5" t="s">
        <v>2211</v>
      </c>
      <c r="E838" s="2" t="s">
        <v>83</v>
      </c>
      <c r="F838" s="6" t="s">
        <v>704</v>
      </c>
      <c r="G838" s="5" t="s">
        <v>705</v>
      </c>
      <c r="H838" s="2" t="s">
        <v>51</v>
      </c>
      <c r="I838" s="3" t="s">
        <v>2212</v>
      </c>
      <c r="J838" s="7">
        <v>1</v>
      </c>
      <c r="K838" s="70" t="s">
        <v>1748</v>
      </c>
      <c r="L838" s="9">
        <v>1</v>
      </c>
      <c r="M838" s="3">
        <v>593</v>
      </c>
      <c r="N838" s="6">
        <v>1959</v>
      </c>
      <c r="O838" s="10">
        <v>42219</v>
      </c>
      <c r="P838" s="71" t="s">
        <v>2213</v>
      </c>
      <c r="R838" s="6">
        <v>1950</v>
      </c>
      <c r="S838" s="3" t="s">
        <v>2102</v>
      </c>
      <c r="T838" s="72" t="s">
        <v>998</v>
      </c>
      <c r="U838" s="73"/>
      <c r="W838" s="74"/>
      <c r="X838" s="10" t="s">
        <v>56</v>
      </c>
      <c r="Y838" s="10" t="s">
        <v>57</v>
      </c>
      <c r="Z838" s="75" t="s">
        <v>58</v>
      </c>
      <c r="AA838" s="76"/>
      <c r="AB838" s="77"/>
      <c r="AC838" s="77"/>
      <c r="AD838" s="10"/>
      <c r="AI838" s="7"/>
      <c r="AJ838" s="73"/>
      <c r="AK838" s="7"/>
      <c r="AL838" s="16"/>
      <c r="AW838" s="6">
        <f t="shared" ca="1" si="14"/>
        <v>66</v>
      </c>
    </row>
    <row r="839" s="147" customFormat="1" ht="45" customHeight="1" outlineLevel="1">
      <c r="A839" s="69">
        <v>44032</v>
      </c>
      <c r="B839" s="3" t="s">
        <v>47</v>
      </c>
      <c r="C839" s="4" t="s">
        <v>2210</v>
      </c>
      <c r="D839" s="5" t="s">
        <v>2211</v>
      </c>
      <c r="E839" s="2" t="s">
        <v>83</v>
      </c>
      <c r="F839" s="6" t="s">
        <v>704</v>
      </c>
      <c r="G839" s="5" t="s">
        <v>705</v>
      </c>
      <c r="H839" s="2" t="s">
        <v>51</v>
      </c>
      <c r="I839" s="3" t="s">
        <v>2214</v>
      </c>
      <c r="J839" s="7">
        <v>1</v>
      </c>
      <c r="K839" s="70" t="s">
        <v>1748</v>
      </c>
      <c r="L839" s="9">
        <v>1</v>
      </c>
      <c r="M839" s="3">
        <v>593</v>
      </c>
      <c r="N839" s="6">
        <v>1959</v>
      </c>
      <c r="O839" s="10">
        <v>22661</v>
      </c>
      <c r="P839" s="71" t="s">
        <v>2213</v>
      </c>
      <c r="Q839" s="10"/>
      <c r="R839" s="6">
        <v>1950</v>
      </c>
      <c r="S839" s="3" t="s">
        <v>2102</v>
      </c>
      <c r="T839" s="72" t="s">
        <v>998</v>
      </c>
      <c r="U839" s="73"/>
      <c r="V839" s="12"/>
      <c r="W839" s="74" t="s">
        <v>62</v>
      </c>
      <c r="X839" s="10" t="s">
        <v>56</v>
      </c>
      <c r="Y839" s="10" t="s">
        <v>57</v>
      </c>
      <c r="Z839" s="75" t="s">
        <v>58</v>
      </c>
      <c r="AA839" s="76"/>
      <c r="AB839" s="77"/>
      <c r="AC839" s="77"/>
      <c r="AD839" s="10"/>
      <c r="AE839" s="7"/>
      <c r="AF839" s="7"/>
      <c r="AG839" s="7"/>
      <c r="AH839" s="7"/>
      <c r="AI839" s="7"/>
      <c r="AJ839" s="73"/>
      <c r="AK839" s="7"/>
      <c r="AL839" s="16"/>
      <c r="AM839" s="2"/>
      <c r="AN839" s="6"/>
      <c r="AO839" s="6"/>
      <c r="AP839" s="6"/>
      <c r="AQ839" s="5"/>
      <c r="AR839" s="2"/>
      <c r="AS839" s="6"/>
      <c r="AT839" s="6"/>
      <c r="AU839" s="16"/>
      <c r="AV839" s="17"/>
      <c r="AW839" s="6">
        <f t="shared" ca="1" si="14"/>
        <v>66</v>
      </c>
    </row>
    <row r="840" ht="45" customHeight="1" outlineLevel="1">
      <c r="A840" s="69"/>
      <c r="B840" s="3" t="s">
        <v>47</v>
      </c>
      <c r="C840" s="4" t="s">
        <v>2215</v>
      </c>
      <c r="E840" s="2" t="s">
        <v>1074</v>
      </c>
      <c r="F840" s="6" t="s">
        <v>2154</v>
      </c>
      <c r="G840" s="5" t="s">
        <v>2155</v>
      </c>
      <c r="H840" s="2" t="s">
        <v>57</v>
      </c>
      <c r="I840" s="3" t="s">
        <v>2216</v>
      </c>
      <c r="J840" s="7">
        <v>1</v>
      </c>
      <c r="K840" s="70" t="s">
        <v>53</v>
      </c>
      <c r="L840" s="9">
        <v>1</v>
      </c>
      <c r="M840" s="3">
        <v>594</v>
      </c>
      <c r="N840" s="6">
        <v>1959</v>
      </c>
      <c r="P840" s="71"/>
      <c r="R840" s="6">
        <v>1950</v>
      </c>
      <c r="S840" s="3" t="s">
        <v>54</v>
      </c>
      <c r="T840" s="72"/>
      <c r="U840" s="73"/>
      <c r="W840" s="2" t="s">
        <v>2217</v>
      </c>
      <c r="X840" s="10" t="s">
        <v>56</v>
      </c>
      <c r="Y840" s="10" t="s">
        <v>57</v>
      </c>
      <c r="Z840" s="75"/>
      <c r="AA840" s="76"/>
      <c r="AB840" s="77">
        <v>21752</v>
      </c>
      <c r="AC840" s="77"/>
      <c r="AD840" s="6"/>
      <c r="AG840" s="7">
        <v>1959</v>
      </c>
      <c r="AH840" s="7">
        <v>1950</v>
      </c>
      <c r="AI840" s="7"/>
      <c r="AJ840" s="73"/>
      <c r="AK840" s="7"/>
      <c r="AL840" s="16"/>
      <c r="AM840" s="2" t="s">
        <v>59</v>
      </c>
      <c r="AO840" s="6" t="s">
        <v>59</v>
      </c>
      <c r="AU840" s="16" t="s">
        <v>2218</v>
      </c>
      <c r="AW840" s="6">
        <f t="shared" ca="1" si="14"/>
        <v>66</v>
      </c>
    </row>
    <row r="841" ht="45" customHeight="1" outlineLevel="1">
      <c r="A841" s="69"/>
      <c r="B841" s="3" t="s">
        <v>47</v>
      </c>
      <c r="E841" s="2" t="s">
        <v>63</v>
      </c>
      <c r="F841" s="6" t="s">
        <v>428</v>
      </c>
      <c r="G841" s="5" t="s">
        <v>2219</v>
      </c>
      <c r="H841" s="2" t="s">
        <v>57</v>
      </c>
      <c r="I841" s="3" t="s">
        <v>582</v>
      </c>
      <c r="J841" s="7">
        <v>1</v>
      </c>
      <c r="K841" s="70" t="s">
        <v>53</v>
      </c>
      <c r="L841" s="9">
        <v>1</v>
      </c>
      <c r="M841" s="3">
        <v>595</v>
      </c>
      <c r="N841" s="6">
        <v>1959</v>
      </c>
      <c r="P841" s="71"/>
      <c r="R841" s="6">
        <v>1950</v>
      </c>
      <c r="S841" s="3" t="s">
        <v>54</v>
      </c>
      <c r="T841" s="72"/>
      <c r="U841" s="73"/>
      <c r="W841" s="2" t="s">
        <v>2220</v>
      </c>
      <c r="X841" s="10" t="s">
        <v>56</v>
      </c>
      <c r="Y841" s="10" t="s">
        <v>57</v>
      </c>
      <c r="Z841" s="75"/>
      <c r="AA841" s="76"/>
      <c r="AB841" s="77">
        <v>26814</v>
      </c>
      <c r="AC841" s="77"/>
      <c r="AD841" s="6"/>
      <c r="AG841" s="7">
        <v>1973</v>
      </c>
      <c r="AH841" s="7">
        <v>1970</v>
      </c>
      <c r="AI841" s="7"/>
      <c r="AJ841" s="73"/>
      <c r="AK841" s="7"/>
      <c r="AL841" s="16"/>
      <c r="AM841" s="2" t="s">
        <v>59</v>
      </c>
      <c r="AW841" s="6">
        <f t="shared" ca="1" si="14"/>
        <v>66</v>
      </c>
    </row>
    <row r="842" ht="45" customHeight="1" outlineLevel="1">
      <c r="A842" s="69"/>
      <c r="B842" s="3" t="s">
        <v>47</v>
      </c>
      <c r="E842" s="2" t="s">
        <v>83</v>
      </c>
      <c r="F842" s="6" t="s">
        <v>179</v>
      </c>
      <c r="G842" s="5" t="s">
        <v>2221</v>
      </c>
      <c r="H842" s="2" t="s">
        <v>57</v>
      </c>
      <c r="I842" s="3" t="s">
        <v>2222</v>
      </c>
      <c r="J842" s="7">
        <v>1</v>
      </c>
      <c r="K842" s="70" t="s">
        <v>53</v>
      </c>
      <c r="L842" s="9">
        <v>1</v>
      </c>
      <c r="M842" s="3">
        <v>596</v>
      </c>
      <c r="N842" s="6">
        <v>1959</v>
      </c>
      <c r="P842" s="71"/>
      <c r="R842" s="6">
        <v>1950</v>
      </c>
      <c r="S842" s="3" t="s">
        <v>54</v>
      </c>
      <c r="T842" s="72"/>
      <c r="U842" s="73"/>
      <c r="W842" s="2" t="s">
        <v>2223</v>
      </c>
      <c r="X842" s="10" t="s">
        <v>56</v>
      </c>
      <c r="Y842" s="10" t="s">
        <v>57</v>
      </c>
      <c r="Z842" s="75"/>
      <c r="AA842" s="76"/>
      <c r="AB842" s="77"/>
      <c r="AC842" s="77">
        <v>21766</v>
      </c>
      <c r="AD842" s="10"/>
      <c r="AG842" s="7">
        <v>1959</v>
      </c>
      <c r="AH842" s="7">
        <v>1950</v>
      </c>
      <c r="AI842" s="7"/>
      <c r="AJ842" s="73"/>
      <c r="AK842" s="7"/>
      <c r="AL842" s="16"/>
      <c r="AM842" s="2" t="s">
        <v>59</v>
      </c>
      <c r="AU842" s="16" t="s">
        <v>2224</v>
      </c>
      <c r="AW842" s="6">
        <f t="shared" ca="1" si="14"/>
        <v>66</v>
      </c>
    </row>
    <row r="843" ht="45" customHeight="1" outlineLevel="1">
      <c r="A843" s="69"/>
      <c r="B843" s="3" t="s">
        <v>47</v>
      </c>
      <c r="C843" s="162" t="s">
        <v>62</v>
      </c>
      <c r="D843" s="5" t="s">
        <v>62</v>
      </c>
      <c r="E843" s="2" t="s">
        <v>83</v>
      </c>
      <c r="F843" s="6" t="s">
        <v>179</v>
      </c>
      <c r="G843" s="5" t="s">
        <v>2225</v>
      </c>
      <c r="H843" s="2" t="s">
        <v>57</v>
      </c>
      <c r="I843" s="3" t="s">
        <v>2226</v>
      </c>
      <c r="J843" s="6">
        <v>1</v>
      </c>
      <c r="K843" s="104" t="s">
        <v>53</v>
      </c>
      <c r="L843" s="2">
        <v>1</v>
      </c>
      <c r="M843" s="3">
        <v>597</v>
      </c>
      <c r="N843" s="6">
        <v>1959</v>
      </c>
      <c r="P843" s="6"/>
      <c r="R843" s="6">
        <v>1950</v>
      </c>
      <c r="S843" s="3" t="s">
        <v>54</v>
      </c>
      <c r="T843" s="6" t="s">
        <v>62</v>
      </c>
      <c r="U843" s="73"/>
      <c r="W843" s="2" t="s">
        <v>2227</v>
      </c>
      <c r="X843" s="6" t="s">
        <v>56</v>
      </c>
      <c r="Y843" s="6" t="s">
        <v>57</v>
      </c>
      <c r="Z843" s="5" t="s">
        <v>2228</v>
      </c>
      <c r="AA843" s="76">
        <v>21794</v>
      </c>
      <c r="AB843" s="6" t="s">
        <v>62</v>
      </c>
      <c r="AC843" s="6" t="s">
        <v>62</v>
      </c>
      <c r="AD843" s="6" t="s">
        <v>62</v>
      </c>
      <c r="AE843" s="6">
        <v>1959</v>
      </c>
      <c r="AF843" s="6">
        <v>29</v>
      </c>
      <c r="AG843" s="6">
        <v>1959</v>
      </c>
      <c r="AH843" s="6">
        <v>1950</v>
      </c>
      <c r="AI843" s="6" t="s">
        <v>62</v>
      </c>
      <c r="AJ843" s="73"/>
      <c r="AK843" s="6" t="s">
        <v>62</v>
      </c>
      <c r="AL843" s="5" t="s">
        <v>62</v>
      </c>
      <c r="AM843" s="2" t="s">
        <v>62</v>
      </c>
      <c r="AN843" s="6" t="s">
        <v>62</v>
      </c>
      <c r="AO843" s="6" t="s">
        <v>62</v>
      </c>
      <c r="AP843" s="6" t="s">
        <v>62</v>
      </c>
      <c r="AQ843" s="5" t="s">
        <v>62</v>
      </c>
      <c r="AR843" s="2" t="s">
        <v>62</v>
      </c>
      <c r="AS843" s="6" t="s">
        <v>62</v>
      </c>
      <c r="AT843" s="6" t="s">
        <v>62</v>
      </c>
      <c r="AU843" s="5" t="s">
        <v>62</v>
      </c>
      <c r="AV843" s="111"/>
      <c r="AW843" s="6">
        <f t="shared" ca="1" si="14"/>
        <v>66</v>
      </c>
    </row>
    <row r="844" s="166" customFormat="1" ht="45" hidden="1" customHeight="1" outlineLevel="1">
      <c r="A844" s="69"/>
      <c r="B844" s="3" t="s">
        <v>47</v>
      </c>
      <c r="C844" s="4" t="s">
        <v>1773</v>
      </c>
      <c r="D844" s="5"/>
      <c r="E844" s="2" t="s">
        <v>83</v>
      </c>
      <c r="F844" s="6" t="s">
        <v>84</v>
      </c>
      <c r="G844" s="5" t="s">
        <v>85</v>
      </c>
      <c r="H844" s="2" t="s">
        <v>57</v>
      </c>
      <c r="I844" s="3" t="s">
        <v>2229</v>
      </c>
      <c r="J844" s="7">
        <v>1</v>
      </c>
      <c r="K844" s="104"/>
      <c r="L844" s="9">
        <v>1</v>
      </c>
      <c r="M844" s="3">
        <v>598</v>
      </c>
      <c r="N844" s="6"/>
      <c r="O844" s="10"/>
      <c r="P844" s="71"/>
      <c r="Q844" s="10"/>
      <c r="R844" s="6">
        <v>1950</v>
      </c>
      <c r="S844" s="3" t="s">
        <v>236</v>
      </c>
      <c r="T844" s="72"/>
      <c r="U844" s="73">
        <v>22949</v>
      </c>
      <c r="V844" s="12"/>
      <c r="W844" s="2"/>
      <c r="X844" s="10" t="s">
        <v>56</v>
      </c>
      <c r="Y844" s="10" t="s">
        <v>57</v>
      </c>
      <c r="Z844" s="75"/>
      <c r="AA844" s="76"/>
      <c r="AB844" s="77"/>
      <c r="AC844" s="77"/>
      <c r="AD844" s="6"/>
      <c r="AE844" s="7">
        <v>1962</v>
      </c>
      <c r="AF844" s="7">
        <v>40</v>
      </c>
      <c r="AG844" s="7"/>
      <c r="AH844" s="7"/>
      <c r="AI844" s="7"/>
      <c r="AJ844" s="95">
        <v>22949</v>
      </c>
      <c r="AK844" s="7">
        <v>1960</v>
      </c>
      <c r="AL844" s="16"/>
      <c r="AM844" s="2"/>
      <c r="AN844" s="6"/>
      <c r="AO844" s="6"/>
      <c r="AP844" s="6"/>
      <c r="AQ844" s="5"/>
      <c r="AR844" s="2"/>
      <c r="AS844" s="6"/>
      <c r="AT844" s="6"/>
      <c r="AU844" s="16"/>
      <c r="AV844" s="17"/>
      <c r="AW844" s="84"/>
    </row>
    <row r="845" ht="45" customHeight="1" outlineLevel="1">
      <c r="A845" s="69"/>
      <c r="B845" s="3" t="s">
        <v>47</v>
      </c>
      <c r="E845" s="78" t="s">
        <v>63</v>
      </c>
      <c r="F845" s="79" t="s">
        <v>354</v>
      </c>
      <c r="G845" s="80" t="s">
        <v>971</v>
      </c>
      <c r="H845" s="78" t="s">
        <v>68</v>
      </c>
      <c r="I845" s="81" t="s">
        <v>2230</v>
      </c>
      <c r="J845" s="7">
        <v>1</v>
      </c>
      <c r="K845" s="70" t="s">
        <v>53</v>
      </c>
      <c r="L845" s="9">
        <v>1</v>
      </c>
      <c r="M845" s="3">
        <v>599</v>
      </c>
      <c r="N845" s="6">
        <v>1959</v>
      </c>
      <c r="P845" s="71"/>
      <c r="R845" s="6">
        <v>1950</v>
      </c>
      <c r="S845" s="3" t="s">
        <v>54</v>
      </c>
      <c r="T845" s="72"/>
      <c r="U845" s="73"/>
      <c r="W845" s="78" t="s">
        <v>2231</v>
      </c>
      <c r="X845" s="82" t="s">
        <v>56</v>
      </c>
      <c r="Y845" s="82" t="s">
        <v>68</v>
      </c>
      <c r="Z845" s="83"/>
      <c r="AA845" s="76"/>
      <c r="AB845" s="77"/>
      <c r="AC845" s="77">
        <v>22510</v>
      </c>
      <c r="AD845" s="10"/>
      <c r="AG845" s="7">
        <v>1961</v>
      </c>
      <c r="AH845" s="7">
        <v>1960</v>
      </c>
      <c r="AI845" s="7"/>
      <c r="AJ845" s="73"/>
      <c r="AK845" s="7"/>
      <c r="AL845" s="16"/>
      <c r="AM845" s="2" t="s">
        <v>82</v>
      </c>
      <c r="AN845" s="6" t="s">
        <v>73</v>
      </c>
      <c r="AO845" s="6" t="s">
        <v>82</v>
      </c>
      <c r="AP845" s="6" t="s">
        <v>73</v>
      </c>
      <c r="AQ845" s="5" t="s">
        <v>73</v>
      </c>
      <c r="AW845" s="6">
        <f t="shared" ca="1" si="14"/>
        <v>66</v>
      </c>
    </row>
    <row r="846" ht="45" customHeight="1" outlineLevel="1">
      <c r="A846" s="69"/>
      <c r="B846" s="3" t="s">
        <v>47</v>
      </c>
      <c r="E846" s="2" t="s">
        <v>63</v>
      </c>
      <c r="F846" s="6" t="s">
        <v>354</v>
      </c>
      <c r="G846" s="5" t="s">
        <v>971</v>
      </c>
      <c r="H846" s="2" t="s">
        <v>57</v>
      </c>
      <c r="I846" s="3" t="s">
        <v>2232</v>
      </c>
      <c r="J846" s="7">
        <v>1</v>
      </c>
      <c r="K846" s="70" t="s">
        <v>53</v>
      </c>
      <c r="L846" s="9">
        <v>1</v>
      </c>
      <c r="M846" s="3">
        <v>600</v>
      </c>
      <c r="N846" s="6">
        <v>1959</v>
      </c>
      <c r="P846" s="71"/>
      <c r="R846" s="6">
        <v>1950</v>
      </c>
      <c r="S846" s="3" t="s">
        <v>54</v>
      </c>
      <c r="T846" s="72"/>
      <c r="U846" s="73"/>
      <c r="W846" s="2" t="s">
        <v>2233</v>
      </c>
      <c r="X846" s="10" t="s">
        <v>56</v>
      </c>
      <c r="Y846" s="10" t="s">
        <v>57</v>
      </c>
      <c r="Z846" s="75"/>
      <c r="AA846" s="76"/>
      <c r="AB846" s="77"/>
      <c r="AC846" s="77">
        <v>23204</v>
      </c>
      <c r="AD846" s="10"/>
      <c r="AG846" s="7">
        <v>1963</v>
      </c>
      <c r="AH846" s="7">
        <v>1960</v>
      </c>
      <c r="AI846" s="7"/>
      <c r="AJ846" s="73"/>
      <c r="AK846" s="7"/>
      <c r="AL846" s="16" t="s">
        <v>2234</v>
      </c>
      <c r="AM846" s="2" t="s">
        <v>59</v>
      </c>
      <c r="AN846" s="6" t="s">
        <v>73</v>
      </c>
      <c r="AO846" s="6" t="s">
        <v>136</v>
      </c>
      <c r="AP846" s="6" t="s">
        <v>104</v>
      </c>
      <c r="AQ846" s="5" t="s">
        <v>73</v>
      </c>
      <c r="AU846" s="16" t="s">
        <v>2234</v>
      </c>
      <c r="AW846" s="6">
        <f t="shared" ca="1" si="14"/>
        <v>66</v>
      </c>
    </row>
    <row r="847" s="147" customFormat="1" ht="45" hidden="1" customHeight="1" outlineLevel="1">
      <c r="A847" s="69"/>
      <c r="B847" s="3" t="s">
        <v>47</v>
      </c>
      <c r="C847" s="116" t="s">
        <v>2235</v>
      </c>
      <c r="D847" s="5"/>
      <c r="E847" s="2" t="s">
        <v>83</v>
      </c>
      <c r="F847" s="6" t="s">
        <v>179</v>
      </c>
      <c r="G847" s="5" t="s">
        <v>2236</v>
      </c>
      <c r="H847" s="2" t="s">
        <v>51</v>
      </c>
      <c r="I847" s="3" t="s">
        <v>2237</v>
      </c>
      <c r="J847" s="7">
        <v>1</v>
      </c>
      <c r="K847" s="70"/>
      <c r="L847" s="9">
        <v>1</v>
      </c>
      <c r="M847" s="3">
        <v>601</v>
      </c>
      <c r="N847" s="6">
        <v>1959</v>
      </c>
      <c r="O847" s="10"/>
      <c r="P847" s="71"/>
      <c r="Q847" s="10"/>
      <c r="R847" s="6">
        <v>1950</v>
      </c>
      <c r="S847" s="3" t="s">
        <v>939</v>
      </c>
      <c r="T847" s="72"/>
      <c r="U847" s="73"/>
      <c r="V847" s="12"/>
      <c r="W847" s="2" t="s">
        <v>2238</v>
      </c>
      <c r="X847" s="10" t="s">
        <v>56</v>
      </c>
      <c r="Y847" s="10" t="s">
        <v>57</v>
      </c>
      <c r="Z847" s="75" t="s">
        <v>58</v>
      </c>
      <c r="AA847" s="76"/>
      <c r="AB847" s="77"/>
      <c r="AC847" s="77"/>
      <c r="AD847" s="10"/>
      <c r="AE847" s="7"/>
      <c r="AF847" s="7"/>
      <c r="AG847" s="7"/>
      <c r="AH847" s="7"/>
      <c r="AI847" s="7"/>
      <c r="AJ847" s="73"/>
      <c r="AK847" s="7"/>
      <c r="AL847" s="16"/>
      <c r="AM847" s="2"/>
      <c r="AN847" s="6"/>
      <c r="AO847" s="6"/>
      <c r="AP847" s="6"/>
      <c r="AQ847" s="5"/>
      <c r="AR847" s="2"/>
      <c r="AS847" s="6"/>
      <c r="AT847" s="6"/>
      <c r="AU847" s="16"/>
      <c r="AV847" s="17"/>
      <c r="AW847" s="6">
        <f t="shared" ca="1" si="14"/>
        <v>66</v>
      </c>
    </row>
    <row r="848" ht="45" customHeight="1" outlineLevel="1">
      <c r="A848" s="69"/>
      <c r="B848" s="3" t="s">
        <v>47</v>
      </c>
      <c r="E848" s="2" t="s">
        <v>1074</v>
      </c>
      <c r="F848" s="6" t="s">
        <v>1075</v>
      </c>
      <c r="G848" s="5" t="s">
        <v>2239</v>
      </c>
      <c r="H848" s="2" t="s">
        <v>51</v>
      </c>
      <c r="I848" s="3" t="s">
        <v>326</v>
      </c>
      <c r="J848" s="7">
        <v>1</v>
      </c>
      <c r="K848" s="70" t="s">
        <v>53</v>
      </c>
      <c r="L848" s="9">
        <v>1</v>
      </c>
      <c r="M848" s="3">
        <v>602</v>
      </c>
      <c r="N848" s="6">
        <v>1959</v>
      </c>
      <c r="P848" s="71"/>
      <c r="R848" s="6">
        <v>1950</v>
      </c>
      <c r="S848" s="3" t="s">
        <v>54</v>
      </c>
      <c r="T848" s="72"/>
      <c r="U848" s="73"/>
      <c r="W848" s="2" t="s">
        <v>2240</v>
      </c>
      <c r="X848" s="10" t="s">
        <v>56</v>
      </c>
      <c r="Y848" s="10" t="s">
        <v>57</v>
      </c>
      <c r="Z848" s="75" t="s">
        <v>58</v>
      </c>
      <c r="AA848" s="76"/>
      <c r="AB848" s="77"/>
      <c r="AC848" s="77">
        <v>21941</v>
      </c>
      <c r="AD848" s="10"/>
      <c r="AG848" s="7">
        <v>1960</v>
      </c>
      <c r="AH848" s="7">
        <v>1960</v>
      </c>
      <c r="AI848" s="7"/>
      <c r="AJ848" s="73"/>
      <c r="AK848" s="7"/>
      <c r="AL848" s="16"/>
      <c r="AM848" s="2" t="s">
        <v>59</v>
      </c>
      <c r="AW848" s="6">
        <f t="shared" ca="1" si="14"/>
        <v>66</v>
      </c>
    </row>
    <row r="849" ht="45" customHeight="1" outlineLevel="1">
      <c r="A849" s="69"/>
      <c r="B849" s="3" t="s">
        <v>47</v>
      </c>
      <c r="E849" s="78" t="s">
        <v>83</v>
      </c>
      <c r="F849" s="79" t="s">
        <v>179</v>
      </c>
      <c r="G849" s="80" t="s">
        <v>2177</v>
      </c>
      <c r="H849" s="78" t="s">
        <v>57</v>
      </c>
      <c r="I849" s="81" t="s">
        <v>2241</v>
      </c>
      <c r="J849" s="7">
        <v>1</v>
      </c>
      <c r="K849" s="70" t="s">
        <v>53</v>
      </c>
      <c r="L849" s="9">
        <v>1</v>
      </c>
      <c r="M849" s="3">
        <v>603</v>
      </c>
      <c r="N849" s="6">
        <v>1959</v>
      </c>
      <c r="P849" s="71"/>
      <c r="R849" s="6">
        <v>1950</v>
      </c>
      <c r="S849" s="3" t="s">
        <v>54</v>
      </c>
      <c r="T849" s="72"/>
      <c r="U849" s="73"/>
      <c r="W849" s="78" t="s">
        <v>2242</v>
      </c>
      <c r="X849" s="82" t="s">
        <v>56</v>
      </c>
      <c r="Y849" s="82" t="s">
        <v>68</v>
      </c>
      <c r="Z849" s="83" t="s">
        <v>905</v>
      </c>
      <c r="AA849" s="76"/>
      <c r="AB849" s="77">
        <v>22045</v>
      </c>
      <c r="AC849" s="77"/>
      <c r="AD849" s="6"/>
      <c r="AE849" s="7">
        <v>1960</v>
      </c>
      <c r="AF849" s="7">
        <v>31</v>
      </c>
      <c r="AG849" s="7">
        <v>1960</v>
      </c>
      <c r="AH849" s="7">
        <v>1960</v>
      </c>
      <c r="AI849" s="7"/>
      <c r="AJ849" s="73"/>
      <c r="AK849" s="7"/>
      <c r="AL849" s="16"/>
      <c r="AM849" s="2" t="s">
        <v>59</v>
      </c>
      <c r="AW849" s="6">
        <f t="shared" ca="1" si="14"/>
        <v>66</v>
      </c>
    </row>
    <row r="850" ht="45" customHeight="1" outlineLevel="1">
      <c r="A850" s="69"/>
      <c r="B850" s="3" t="s">
        <v>47</v>
      </c>
      <c r="E850" s="2" t="s">
        <v>83</v>
      </c>
      <c r="F850" s="6" t="s">
        <v>179</v>
      </c>
      <c r="G850" s="5" t="s">
        <v>180</v>
      </c>
      <c r="H850" s="2" t="s">
        <v>51</v>
      </c>
      <c r="I850" s="3" t="s">
        <v>1035</v>
      </c>
      <c r="J850" s="7">
        <v>1</v>
      </c>
      <c r="K850" s="70" t="s">
        <v>53</v>
      </c>
      <c r="L850" s="9">
        <v>1</v>
      </c>
      <c r="M850" s="3">
        <v>604</v>
      </c>
      <c r="N850" s="6">
        <v>1960</v>
      </c>
      <c r="P850" s="71"/>
      <c r="R850" s="6">
        <v>1960</v>
      </c>
      <c r="S850" s="3" t="s">
        <v>54</v>
      </c>
      <c r="T850" s="72"/>
      <c r="U850" s="73"/>
      <c r="W850" s="2" t="s">
        <v>2243</v>
      </c>
      <c r="X850" s="10" t="s">
        <v>56</v>
      </c>
      <c r="Y850" s="10" t="s">
        <v>57</v>
      </c>
      <c r="Z850" s="75" t="s">
        <v>58</v>
      </c>
      <c r="AA850" s="76"/>
      <c r="AB850" s="77"/>
      <c r="AC850" s="77">
        <v>21979</v>
      </c>
      <c r="AD850" s="10"/>
      <c r="AG850" s="7">
        <v>1960</v>
      </c>
      <c r="AH850" s="7">
        <v>1960</v>
      </c>
      <c r="AI850" s="7"/>
      <c r="AJ850" s="73"/>
      <c r="AK850" s="7"/>
      <c r="AL850" s="16"/>
      <c r="AM850" s="2" t="s">
        <v>59</v>
      </c>
      <c r="AW850" s="6">
        <f t="shared" ca="1" si="14"/>
        <v>65</v>
      </c>
    </row>
    <row r="851" ht="45" hidden="1" customHeight="1" outlineLevel="1">
      <c r="A851" s="69"/>
      <c r="B851" s="3" t="s">
        <v>190</v>
      </c>
      <c r="C851" s="4" t="s">
        <v>2244</v>
      </c>
      <c r="D851" s="5" t="s">
        <v>2245</v>
      </c>
      <c r="E851" s="2" t="s">
        <v>63</v>
      </c>
      <c r="F851" s="6" t="s">
        <v>354</v>
      </c>
      <c r="G851" s="5" t="s">
        <v>971</v>
      </c>
      <c r="H851" s="2" t="s">
        <v>57</v>
      </c>
      <c r="I851" s="3" t="s">
        <v>2246</v>
      </c>
      <c r="J851" s="7">
        <v>1</v>
      </c>
      <c r="K851" s="70"/>
      <c r="L851" s="9">
        <v>1</v>
      </c>
      <c r="M851" s="3">
        <v>605</v>
      </c>
      <c r="N851" s="6">
        <v>1960</v>
      </c>
      <c r="P851" s="71"/>
      <c r="R851" s="6">
        <v>1960</v>
      </c>
      <c r="S851" s="3" t="s">
        <v>283</v>
      </c>
      <c r="T851" s="72" t="s">
        <v>1136</v>
      </c>
      <c r="U851" s="73"/>
      <c r="W851" s="74" t="s">
        <v>62</v>
      </c>
      <c r="X851" s="10" t="s">
        <v>56</v>
      </c>
      <c r="Y851" s="10" t="s">
        <v>57</v>
      </c>
      <c r="Z851" s="75"/>
      <c r="AA851" s="76"/>
      <c r="AB851" s="77"/>
      <c r="AC851" s="77"/>
      <c r="AD851" s="10"/>
      <c r="AI851" s="7"/>
      <c r="AJ851" s="73"/>
      <c r="AK851" s="7"/>
      <c r="AL851" s="16"/>
      <c r="AW851" s="6">
        <f t="shared" ca="1" si="14"/>
        <v>65</v>
      </c>
    </row>
    <row r="852" s="147" customFormat="1" ht="45" customHeight="1" outlineLevel="1">
      <c r="A852" s="69"/>
      <c r="B852" s="3" t="s">
        <v>47</v>
      </c>
      <c r="C852" s="4"/>
      <c r="D852" s="5"/>
      <c r="E852" s="2" t="s">
        <v>63</v>
      </c>
      <c r="F852" s="6" t="s">
        <v>172</v>
      </c>
      <c r="G852" s="5" t="s">
        <v>937</v>
      </c>
      <c r="H852" s="2" t="s">
        <v>508</v>
      </c>
      <c r="I852" s="3" t="s">
        <v>2247</v>
      </c>
      <c r="J852" s="7">
        <v>1</v>
      </c>
      <c r="K852" s="70" t="s">
        <v>53</v>
      </c>
      <c r="L852" s="9">
        <v>1</v>
      </c>
      <c r="M852" s="3">
        <v>606</v>
      </c>
      <c r="N852" s="6">
        <v>1960</v>
      </c>
      <c r="O852" s="10"/>
      <c r="P852" s="71"/>
      <c r="Q852" s="10"/>
      <c r="R852" s="6">
        <v>1960</v>
      </c>
      <c r="S852" s="3" t="s">
        <v>54</v>
      </c>
      <c r="T852" s="72"/>
      <c r="U852" s="73"/>
      <c r="V852" s="12"/>
      <c r="W852" s="2" t="s">
        <v>940</v>
      </c>
      <c r="X852" s="10" t="s">
        <v>504</v>
      </c>
      <c r="Y852" s="10" t="s">
        <v>511</v>
      </c>
      <c r="Z852" s="75"/>
      <c r="AA852" s="76">
        <v>22854</v>
      </c>
      <c r="AB852" s="77"/>
      <c r="AC852" s="77"/>
      <c r="AD852" s="6"/>
      <c r="AE852" s="7"/>
      <c r="AF852" s="7"/>
      <c r="AG852" s="7">
        <v>1962</v>
      </c>
      <c r="AH852" s="7">
        <v>1960</v>
      </c>
      <c r="AI852" s="7"/>
      <c r="AJ852" s="73"/>
      <c r="AK852" s="7"/>
      <c r="AL852" s="16"/>
      <c r="AM852" s="2"/>
      <c r="AN852" s="6"/>
      <c r="AO852" s="6"/>
      <c r="AP852" s="6"/>
      <c r="AQ852" s="5"/>
      <c r="AR852" s="2"/>
      <c r="AS852" s="6"/>
      <c r="AT852" s="6"/>
      <c r="AU852" s="16"/>
      <c r="AV852" s="17"/>
      <c r="AW852" s="6">
        <f t="shared" ca="1" si="14"/>
        <v>65</v>
      </c>
    </row>
    <row r="853" ht="45" hidden="1" customHeight="1" outlineLevel="1">
      <c r="A853" s="69"/>
      <c r="B853" s="3" t="s">
        <v>47</v>
      </c>
      <c r="C853" s="4" t="s">
        <v>2248</v>
      </c>
      <c r="D853" s="5" t="s">
        <v>2249</v>
      </c>
      <c r="E853" s="2" t="s">
        <v>1074</v>
      </c>
      <c r="F853" s="6" t="s">
        <v>1075</v>
      </c>
      <c r="G853" s="5" t="s">
        <v>2250</v>
      </c>
      <c r="H853" s="2" t="s">
        <v>57</v>
      </c>
      <c r="I853" s="3" t="s">
        <v>2251</v>
      </c>
      <c r="J853" s="7">
        <v>1</v>
      </c>
      <c r="K853" s="104"/>
      <c r="L853" s="9">
        <v>1</v>
      </c>
      <c r="M853" s="3">
        <v>607</v>
      </c>
      <c r="N853" s="6">
        <v>1960</v>
      </c>
      <c r="P853" s="71"/>
      <c r="R853" s="6">
        <v>1960</v>
      </c>
      <c r="S853" s="3" t="s">
        <v>236</v>
      </c>
      <c r="T853" s="72"/>
      <c r="U853" s="73"/>
      <c r="W853" s="2" t="s">
        <v>62</v>
      </c>
      <c r="X853" s="10" t="s">
        <v>56</v>
      </c>
      <c r="Y853" s="10" t="s">
        <v>57</v>
      </c>
      <c r="Z853" s="75"/>
      <c r="AA853" s="76"/>
      <c r="AB853" s="77"/>
      <c r="AC853" s="77"/>
      <c r="AD853" s="6"/>
      <c r="AI853" s="7"/>
      <c r="AJ853" s="10">
        <v>42192</v>
      </c>
      <c r="AK853" s="7">
        <v>2010</v>
      </c>
      <c r="AL853" s="117"/>
      <c r="AW853" s="6">
        <f t="shared" ca="1" si="14"/>
        <v>65</v>
      </c>
    </row>
    <row r="854" ht="45" hidden="1" customHeight="1" outlineLevel="1">
      <c r="A854" s="69"/>
      <c r="B854" s="3" t="s">
        <v>47</v>
      </c>
      <c r="C854" s="4" t="s">
        <v>2252</v>
      </c>
      <c r="E854" s="2" t="s">
        <v>83</v>
      </c>
      <c r="F854" s="6" t="s">
        <v>179</v>
      </c>
      <c r="G854" s="5" t="s">
        <v>1837</v>
      </c>
      <c r="H854" s="2" t="s">
        <v>508</v>
      </c>
      <c r="I854" s="3" t="s">
        <v>2253</v>
      </c>
      <c r="J854" s="7">
        <v>1</v>
      </c>
      <c r="K854" s="70" t="s">
        <v>127</v>
      </c>
      <c r="L854" s="9">
        <v>1</v>
      </c>
      <c r="M854" s="3">
        <v>608</v>
      </c>
      <c r="N854" s="6">
        <v>1960</v>
      </c>
      <c r="P854" s="71"/>
      <c r="R854" s="6">
        <v>1960</v>
      </c>
      <c r="S854" s="3" t="s">
        <v>128</v>
      </c>
      <c r="T854" s="72"/>
      <c r="U854" s="73"/>
      <c r="W854" s="2" t="s">
        <v>62</v>
      </c>
      <c r="X854" s="10" t="s">
        <v>504</v>
      </c>
      <c r="Y854" s="10" t="s">
        <v>511</v>
      </c>
      <c r="Z854" s="75"/>
      <c r="AA854" s="76" t="s">
        <v>129</v>
      </c>
      <c r="AB854" s="77"/>
      <c r="AC854" s="77"/>
      <c r="AD854" s="6"/>
      <c r="AE854" s="7" t="s">
        <v>2254</v>
      </c>
      <c r="AF854" s="7" t="s">
        <v>2255</v>
      </c>
      <c r="AI854" s="7"/>
      <c r="AJ854" s="73"/>
      <c r="AK854" s="7"/>
      <c r="AL854" s="16" t="s">
        <v>2256</v>
      </c>
      <c r="AW854" s="6">
        <f t="shared" ca="1" si="14"/>
        <v>65</v>
      </c>
    </row>
    <row r="855" ht="45" hidden="1" customHeight="1" outlineLevel="1">
      <c r="A855" s="69"/>
      <c r="B855" s="3" t="s">
        <v>47</v>
      </c>
      <c r="C855" s="4" t="s">
        <v>2257</v>
      </c>
      <c r="E855" s="2" t="s">
        <v>694</v>
      </c>
      <c r="F855" s="6" t="s">
        <v>695</v>
      </c>
      <c r="G855" s="5" t="s">
        <v>696</v>
      </c>
      <c r="H855" s="2" t="s">
        <v>57</v>
      </c>
      <c r="I855" s="3" t="s">
        <v>2258</v>
      </c>
      <c r="J855" s="7">
        <v>1</v>
      </c>
      <c r="K855" s="104"/>
      <c r="L855" s="9">
        <v>1</v>
      </c>
      <c r="M855" s="3">
        <v>609</v>
      </c>
      <c r="N855" s="6">
        <v>1960</v>
      </c>
      <c r="P855" s="71"/>
      <c r="R855" s="6">
        <v>1960</v>
      </c>
      <c r="S855" s="3" t="s">
        <v>236</v>
      </c>
      <c r="T855" s="72"/>
      <c r="U855" s="73"/>
      <c r="W855" s="2" t="s">
        <v>62</v>
      </c>
      <c r="X855" s="10" t="s">
        <v>56</v>
      </c>
      <c r="Y855" s="10" t="s">
        <v>57</v>
      </c>
      <c r="Z855" s="75"/>
      <c r="AA855" s="76"/>
      <c r="AB855" s="77"/>
      <c r="AC855" s="77"/>
      <c r="AD855" s="6"/>
      <c r="AI855" s="7"/>
      <c r="AJ855" s="95">
        <v>22833</v>
      </c>
      <c r="AK855" s="7">
        <v>1960</v>
      </c>
      <c r="AL855" s="16"/>
      <c r="AW855" s="6">
        <f t="shared" ca="1" si="14"/>
        <v>65</v>
      </c>
    </row>
    <row r="856" s="147" customFormat="1" ht="45" customHeight="1" outlineLevel="1">
      <c r="A856" s="69"/>
      <c r="B856" s="3" t="s">
        <v>47</v>
      </c>
      <c r="C856" s="4"/>
      <c r="D856" s="5"/>
      <c r="E856" s="2" t="s">
        <v>83</v>
      </c>
      <c r="F856" s="6" t="s">
        <v>179</v>
      </c>
      <c r="G856" s="5" t="s">
        <v>1343</v>
      </c>
      <c r="H856" s="2" t="s">
        <v>382</v>
      </c>
      <c r="I856" s="3" t="s">
        <v>2259</v>
      </c>
      <c r="J856" s="7">
        <v>1</v>
      </c>
      <c r="K856" s="70" t="s">
        <v>53</v>
      </c>
      <c r="L856" s="9">
        <v>1</v>
      </c>
      <c r="M856" s="3">
        <v>610</v>
      </c>
      <c r="N856" s="6">
        <v>1960</v>
      </c>
      <c r="O856" s="10"/>
      <c r="P856" s="71"/>
      <c r="Q856" s="10"/>
      <c r="R856" s="6">
        <v>1960</v>
      </c>
      <c r="S856" s="3" t="s">
        <v>54</v>
      </c>
      <c r="T856" s="72"/>
      <c r="U856" s="73"/>
      <c r="V856" s="12"/>
      <c r="W856" s="2" t="s">
        <v>2260</v>
      </c>
      <c r="X856" s="10" t="s">
        <v>91</v>
      </c>
      <c r="Y856" s="10" t="s">
        <v>385</v>
      </c>
      <c r="Z856" s="75"/>
      <c r="AA856" s="76"/>
      <c r="AB856" s="77"/>
      <c r="AC856" s="77">
        <v>22098</v>
      </c>
      <c r="AD856" s="10"/>
      <c r="AE856" s="7"/>
      <c r="AF856" s="7"/>
      <c r="AG856" s="7">
        <v>1960</v>
      </c>
      <c r="AH856" s="7">
        <v>1960</v>
      </c>
      <c r="AI856" s="7"/>
      <c r="AJ856" s="73"/>
      <c r="AK856" s="7"/>
      <c r="AL856" s="16"/>
      <c r="AM856" s="2" t="s">
        <v>59</v>
      </c>
      <c r="AN856" s="6"/>
      <c r="AO856" s="6" t="s">
        <v>59</v>
      </c>
      <c r="AP856" s="6"/>
      <c r="AQ856" s="5"/>
      <c r="AR856" s="2"/>
      <c r="AS856" s="6"/>
      <c r="AT856" s="6"/>
      <c r="AU856" s="16"/>
      <c r="AV856" s="17"/>
      <c r="AW856" s="6">
        <f t="shared" ca="1" si="14"/>
        <v>65</v>
      </c>
    </row>
    <row r="857" ht="45" hidden="1" customHeight="1" outlineLevel="1">
      <c r="A857" s="69"/>
      <c r="B857" s="3" t="s">
        <v>47</v>
      </c>
      <c r="C857" s="4" t="s">
        <v>2257</v>
      </c>
      <c r="E857" s="2" t="s">
        <v>694</v>
      </c>
      <c r="F857" s="6" t="s">
        <v>695</v>
      </c>
      <c r="G857" s="5" t="s">
        <v>696</v>
      </c>
      <c r="H857" s="2" t="s">
        <v>88</v>
      </c>
      <c r="I857" s="3" t="s">
        <v>2261</v>
      </c>
      <c r="J857" s="7">
        <v>1</v>
      </c>
      <c r="K857" s="70"/>
      <c r="L857" s="9">
        <v>1</v>
      </c>
      <c r="M857" s="3">
        <v>611</v>
      </c>
      <c r="N857" s="6">
        <v>1960</v>
      </c>
      <c r="P857" s="71"/>
      <c r="R857" s="6">
        <v>1960</v>
      </c>
      <c r="S857" s="3" t="s">
        <v>236</v>
      </c>
      <c r="T857" s="72"/>
      <c r="U857" s="73"/>
      <c r="W857" s="2" t="s">
        <v>62</v>
      </c>
      <c r="X857" s="10" t="s">
        <v>91</v>
      </c>
      <c r="Y857" s="10" t="s">
        <v>214</v>
      </c>
      <c r="Z857" s="75"/>
      <c r="AA857" s="76"/>
      <c r="AB857" s="77"/>
      <c r="AC857" s="77"/>
      <c r="AD857" s="10"/>
      <c r="AI857" s="7"/>
      <c r="AJ857" s="95">
        <v>22833</v>
      </c>
      <c r="AK857" s="7">
        <v>1960</v>
      </c>
      <c r="AW857" s="6">
        <f t="shared" ca="1" si="14"/>
        <v>65</v>
      </c>
    </row>
    <row r="858" ht="45" customHeight="1" outlineLevel="1">
      <c r="A858" s="69"/>
      <c r="B858" s="3" t="s">
        <v>47</v>
      </c>
      <c r="E858" s="2" t="s">
        <v>83</v>
      </c>
      <c r="F858" s="6" t="s">
        <v>84</v>
      </c>
      <c r="G858" s="5" t="s">
        <v>850</v>
      </c>
      <c r="H858" s="2" t="s">
        <v>68</v>
      </c>
      <c r="I858" s="3" t="s">
        <v>2262</v>
      </c>
      <c r="J858" s="7">
        <v>1</v>
      </c>
      <c r="K858" s="70" t="s">
        <v>53</v>
      </c>
      <c r="L858" s="9">
        <v>1</v>
      </c>
      <c r="M858" s="3">
        <v>612</v>
      </c>
      <c r="N858" s="6">
        <v>1960</v>
      </c>
      <c r="P858" s="71"/>
      <c r="R858" s="6">
        <v>1960</v>
      </c>
      <c r="S858" s="3" t="s">
        <v>54</v>
      </c>
      <c r="T858" s="72"/>
      <c r="U858" s="73"/>
      <c r="W858" s="2" t="s">
        <v>2263</v>
      </c>
      <c r="X858" s="10" t="s">
        <v>56</v>
      </c>
      <c r="Y858" s="10" t="s">
        <v>68</v>
      </c>
      <c r="Z858" s="75"/>
      <c r="AA858" s="76">
        <v>24644</v>
      </c>
      <c r="AB858" s="77"/>
      <c r="AC858" s="77">
        <v>24644</v>
      </c>
      <c r="AD858" s="10"/>
      <c r="AE858" s="7">
        <v>1960</v>
      </c>
      <c r="AF858" s="7">
        <v>32</v>
      </c>
      <c r="AG858" s="7">
        <v>1967</v>
      </c>
      <c r="AH858" s="7">
        <v>1960</v>
      </c>
      <c r="AJ858" s="73"/>
      <c r="AL858" s="16"/>
      <c r="AM858" s="2" t="s">
        <v>53</v>
      </c>
      <c r="AN858" s="6" t="s">
        <v>73</v>
      </c>
      <c r="AO858" s="6" t="s">
        <v>59</v>
      </c>
      <c r="AQ858" s="5" t="s">
        <v>104</v>
      </c>
      <c r="AU858" s="16" t="s">
        <v>930</v>
      </c>
      <c r="AW858" s="6">
        <f t="shared" ca="1" si="14"/>
        <v>65</v>
      </c>
    </row>
    <row r="859" s="147" customFormat="1" ht="45" customHeight="1" outlineLevel="1">
      <c r="A859" s="69"/>
      <c r="B859" s="3" t="s">
        <v>47</v>
      </c>
      <c r="C859" s="4"/>
      <c r="D859" s="5"/>
      <c r="E859" s="2" t="s">
        <v>83</v>
      </c>
      <c r="F859" s="6" t="s">
        <v>84</v>
      </c>
      <c r="G859" s="5" t="s">
        <v>2264</v>
      </c>
      <c r="H859" s="2" t="s">
        <v>57</v>
      </c>
      <c r="I859" s="3" t="s">
        <v>2265</v>
      </c>
      <c r="J859" s="7">
        <v>1</v>
      </c>
      <c r="K859" s="70" t="s">
        <v>53</v>
      </c>
      <c r="L859" s="9">
        <v>1</v>
      </c>
      <c r="M859" s="3">
        <v>613</v>
      </c>
      <c r="N859" s="6">
        <v>1960</v>
      </c>
      <c r="O859" s="10"/>
      <c r="P859" s="71"/>
      <c r="Q859" s="10"/>
      <c r="R859" s="6">
        <v>1960</v>
      </c>
      <c r="S859" s="3" t="s">
        <v>54</v>
      </c>
      <c r="T859" s="72"/>
      <c r="U859" s="73"/>
      <c r="V859" s="12"/>
      <c r="W859" s="2" t="s">
        <v>2266</v>
      </c>
      <c r="X859" s="10" t="s">
        <v>56</v>
      </c>
      <c r="Y859" s="10" t="s">
        <v>57</v>
      </c>
      <c r="Z859" s="75"/>
      <c r="AA859" s="76"/>
      <c r="AB859" s="77">
        <v>23083</v>
      </c>
      <c r="AC859" s="77"/>
      <c r="AD859" s="6"/>
      <c r="AE859" s="7"/>
      <c r="AF859" s="7"/>
      <c r="AG859" s="7">
        <v>1963</v>
      </c>
      <c r="AH859" s="7">
        <v>1960</v>
      </c>
      <c r="AI859" s="7"/>
      <c r="AJ859" s="73"/>
      <c r="AK859" s="7"/>
      <c r="AL859" s="16"/>
      <c r="AM859" s="2" t="s">
        <v>59</v>
      </c>
      <c r="AN859" s="6"/>
      <c r="AO859" s="6"/>
      <c r="AP859" s="6"/>
      <c r="AQ859" s="5"/>
      <c r="AR859" s="2"/>
      <c r="AS859" s="6"/>
      <c r="AT859" s="6"/>
      <c r="AU859" s="16"/>
      <c r="AV859" s="17"/>
      <c r="AW859" s="6">
        <f t="shared" ca="1" si="14"/>
        <v>65</v>
      </c>
    </row>
    <row r="860" ht="45" hidden="1" customHeight="1" outlineLevel="1">
      <c r="A860" s="69"/>
      <c r="B860" s="3" t="s">
        <v>47</v>
      </c>
      <c r="C860" s="4" t="s">
        <v>1773</v>
      </c>
      <c r="E860" s="2" t="s">
        <v>83</v>
      </c>
      <c r="F860" s="6" t="s">
        <v>84</v>
      </c>
      <c r="G860" s="5" t="s">
        <v>85</v>
      </c>
      <c r="H860" s="2" t="s">
        <v>382</v>
      </c>
      <c r="I860" s="3" t="s">
        <v>2267</v>
      </c>
      <c r="J860" s="7">
        <v>1</v>
      </c>
      <c r="K860" s="104"/>
      <c r="L860" s="9">
        <v>1</v>
      </c>
      <c r="M860" s="3">
        <v>614</v>
      </c>
      <c r="N860" s="6">
        <v>1960</v>
      </c>
      <c r="P860" s="71"/>
      <c r="R860" s="6">
        <v>1960</v>
      </c>
      <c r="S860" s="3" t="s">
        <v>236</v>
      </c>
      <c r="T860" s="72"/>
      <c r="U860" s="73">
        <v>22949</v>
      </c>
      <c r="W860" s="2" t="s">
        <v>62</v>
      </c>
      <c r="X860" s="10" t="s">
        <v>91</v>
      </c>
      <c r="Y860" s="10" t="s">
        <v>385</v>
      </c>
      <c r="Z860" s="75"/>
      <c r="AA860" s="76"/>
      <c r="AB860" s="77"/>
      <c r="AC860" s="77"/>
      <c r="AD860" s="6"/>
      <c r="AE860" s="7">
        <v>1962</v>
      </c>
      <c r="AF860" s="7">
        <v>40</v>
      </c>
      <c r="AI860" s="7"/>
      <c r="AJ860" s="95">
        <v>22949</v>
      </c>
      <c r="AK860" s="7">
        <v>1960</v>
      </c>
      <c r="AL860" s="5"/>
      <c r="AW860" s="6">
        <f t="shared" ca="1" si="14"/>
        <v>65</v>
      </c>
    </row>
    <row r="861" s="147" customFormat="1" ht="45" customHeight="1" outlineLevel="1">
      <c r="A861" s="69"/>
      <c r="B861" s="3" t="s">
        <v>47</v>
      </c>
      <c r="C861" s="4"/>
      <c r="D861" s="5" t="s">
        <v>2268</v>
      </c>
      <c r="E861" s="2" t="s">
        <v>83</v>
      </c>
      <c r="F861" s="6" t="s">
        <v>84</v>
      </c>
      <c r="G861" s="5" t="s">
        <v>85</v>
      </c>
      <c r="H861" s="2" t="s">
        <v>57</v>
      </c>
      <c r="I861" s="3" t="s">
        <v>2269</v>
      </c>
      <c r="J861" s="7">
        <v>1</v>
      </c>
      <c r="K861" s="70" t="s">
        <v>53</v>
      </c>
      <c r="L861" s="9">
        <v>1</v>
      </c>
      <c r="M861" s="3">
        <v>615</v>
      </c>
      <c r="N861" s="6">
        <v>1960</v>
      </c>
      <c r="O861" s="10"/>
      <c r="P861" s="71"/>
      <c r="Q861" s="10"/>
      <c r="R861" s="6">
        <v>1960</v>
      </c>
      <c r="S861" s="3" t="s">
        <v>54</v>
      </c>
      <c r="T861" s="72"/>
      <c r="U861" s="73"/>
      <c r="V861" s="12"/>
      <c r="W861" s="2" t="s">
        <v>2270</v>
      </c>
      <c r="X861" s="10" t="s">
        <v>56</v>
      </c>
      <c r="Y861" s="10" t="s">
        <v>57</v>
      </c>
      <c r="Z861" s="75"/>
      <c r="AA861" s="76"/>
      <c r="AB861" s="77">
        <v>22747</v>
      </c>
      <c r="AC861" s="77"/>
      <c r="AD861" s="6"/>
      <c r="AE861" s="7" t="s">
        <v>2271</v>
      </c>
      <c r="AF861" s="7" t="s">
        <v>2272</v>
      </c>
      <c r="AG861" s="7">
        <v>1962</v>
      </c>
      <c r="AH861" s="7">
        <v>1960</v>
      </c>
      <c r="AI861" s="7">
        <v>1989</v>
      </c>
      <c r="AJ861" s="73"/>
      <c r="AK861" s="7"/>
      <c r="AL861" s="16" t="s">
        <v>2273</v>
      </c>
      <c r="AM861" s="2" t="s">
        <v>59</v>
      </c>
      <c r="AN861" s="6"/>
      <c r="AO861" s="6"/>
      <c r="AP861" s="6"/>
      <c r="AQ861" s="5"/>
      <c r="AR861" s="2"/>
      <c r="AS861" s="6"/>
      <c r="AT861" s="6"/>
      <c r="AU861" s="16" t="s">
        <v>2274</v>
      </c>
      <c r="AV861" s="17"/>
      <c r="AW861" s="6">
        <f t="shared" ca="1" si="14"/>
        <v>65</v>
      </c>
    </row>
    <row r="862" s="147" customFormat="1" ht="45" customHeight="1" outlineLevel="1">
      <c r="A862" s="69"/>
      <c r="B862" s="3" t="s">
        <v>47</v>
      </c>
      <c r="C862" s="4"/>
      <c r="D862" s="5"/>
      <c r="E862" s="2" t="s">
        <v>83</v>
      </c>
      <c r="F862" s="6" t="s">
        <v>84</v>
      </c>
      <c r="G862" s="5" t="s">
        <v>2275</v>
      </c>
      <c r="H862" s="2" t="s">
        <v>51</v>
      </c>
      <c r="I862" s="3" t="s">
        <v>359</v>
      </c>
      <c r="J862" s="7">
        <v>1</v>
      </c>
      <c r="K862" s="70" t="s">
        <v>53</v>
      </c>
      <c r="L862" s="9">
        <v>1</v>
      </c>
      <c r="M862" s="3">
        <v>616</v>
      </c>
      <c r="N862" s="6">
        <v>1960</v>
      </c>
      <c r="O862" s="10"/>
      <c r="P862" s="71"/>
      <c r="Q862" s="10"/>
      <c r="R862" s="6">
        <v>1960</v>
      </c>
      <c r="S862" s="3" t="s">
        <v>54</v>
      </c>
      <c r="T862" s="72"/>
      <c r="U862" s="73"/>
      <c r="V862" s="12"/>
      <c r="W862" s="2" t="s">
        <v>2276</v>
      </c>
      <c r="X862" s="10" t="s">
        <v>56</v>
      </c>
      <c r="Y862" s="10" t="s">
        <v>57</v>
      </c>
      <c r="Z862" s="75" t="s">
        <v>58</v>
      </c>
      <c r="AA862" s="76"/>
      <c r="AB862" s="77">
        <v>25645</v>
      </c>
      <c r="AC862" s="77"/>
      <c r="AD862" s="6"/>
      <c r="AE862" s="7"/>
      <c r="AF862" s="7"/>
      <c r="AG862" s="7">
        <v>1970</v>
      </c>
      <c r="AH862" s="7">
        <v>1970</v>
      </c>
      <c r="AI862" s="7"/>
      <c r="AJ862" s="73"/>
      <c r="AK862" s="7"/>
      <c r="AL862" s="16"/>
      <c r="AM862" s="2" t="s">
        <v>59</v>
      </c>
      <c r="AN862" s="6"/>
      <c r="AO862" s="6"/>
      <c r="AP862" s="6"/>
      <c r="AQ862" s="5"/>
      <c r="AR862" s="2"/>
      <c r="AS862" s="6"/>
      <c r="AT862" s="6"/>
      <c r="AU862" s="16"/>
      <c r="AV862" s="17"/>
      <c r="AW862" s="6">
        <f t="shared" ca="1" si="14"/>
        <v>65</v>
      </c>
    </row>
    <row r="863" ht="45" hidden="1" customHeight="1" outlineLevel="1">
      <c r="A863" s="69"/>
      <c r="B863" s="3" t="s">
        <v>47</v>
      </c>
      <c r="C863" s="4" t="s">
        <v>1263</v>
      </c>
      <c r="E863" s="2" t="s">
        <v>83</v>
      </c>
      <c r="F863" s="6" t="s">
        <v>84</v>
      </c>
      <c r="G863" s="5" t="s">
        <v>2275</v>
      </c>
      <c r="H863" s="2" t="s">
        <v>57</v>
      </c>
      <c r="I863" s="96" t="s">
        <v>2277</v>
      </c>
      <c r="J863" s="7">
        <v>1</v>
      </c>
      <c r="K863" s="104"/>
      <c r="L863" s="9">
        <v>1</v>
      </c>
      <c r="M863" s="3">
        <v>617</v>
      </c>
      <c r="N863" s="6">
        <v>1960</v>
      </c>
      <c r="P863" s="71"/>
      <c r="R863" s="6">
        <v>1960</v>
      </c>
      <c r="S863" s="3" t="s">
        <v>236</v>
      </c>
      <c r="T863" s="72"/>
      <c r="U863" s="73">
        <v>38044</v>
      </c>
      <c r="W863" s="2" t="s">
        <v>62</v>
      </c>
      <c r="X863" s="10" t="s">
        <v>56</v>
      </c>
      <c r="Y863" s="10" t="s">
        <v>57</v>
      </c>
      <c r="Z863" s="75"/>
      <c r="AA863" s="76"/>
      <c r="AB863" s="77"/>
      <c r="AC863" s="77"/>
      <c r="AD863" s="6"/>
      <c r="AI863" s="7"/>
      <c r="AJ863" s="95">
        <v>38044</v>
      </c>
      <c r="AK863" s="7">
        <v>2000</v>
      </c>
      <c r="AL863" s="16"/>
      <c r="AW863" s="6">
        <f t="shared" ca="1" si="14"/>
        <v>65</v>
      </c>
    </row>
    <row r="864" s="147" customFormat="1" ht="45" customHeight="1" outlineLevel="1">
      <c r="A864" s="69"/>
      <c r="B864" s="3" t="s">
        <v>47</v>
      </c>
      <c r="C864" s="4"/>
      <c r="D864" s="5"/>
      <c r="E864" s="78" t="s">
        <v>83</v>
      </c>
      <c r="F864" s="79" t="s">
        <v>704</v>
      </c>
      <c r="G864" s="80" t="s">
        <v>1306</v>
      </c>
      <c r="H864" s="78" t="s">
        <v>257</v>
      </c>
      <c r="I864" s="81" t="s">
        <v>2278</v>
      </c>
      <c r="J864" s="7">
        <v>1</v>
      </c>
      <c r="K864" s="70" t="s">
        <v>53</v>
      </c>
      <c r="L864" s="9">
        <v>1</v>
      </c>
      <c r="M864" s="3">
        <v>618</v>
      </c>
      <c r="N864" s="6">
        <v>1960</v>
      </c>
      <c r="O864" s="10"/>
      <c r="P864" s="71"/>
      <c r="Q864" s="10"/>
      <c r="R864" s="6">
        <v>1960</v>
      </c>
      <c r="S864" s="3" t="s">
        <v>54</v>
      </c>
      <c r="T864" s="72"/>
      <c r="U864" s="73"/>
      <c r="V864" s="12"/>
      <c r="W864" s="78" t="s">
        <v>2279</v>
      </c>
      <c r="X864" s="82" t="s">
        <v>56</v>
      </c>
      <c r="Y864" s="82" t="s">
        <v>68</v>
      </c>
      <c r="Z864" s="83" t="s">
        <v>260</v>
      </c>
      <c r="AA864" s="76"/>
      <c r="AB864" s="77">
        <v>22850</v>
      </c>
      <c r="AC864" s="77"/>
      <c r="AD864" s="6"/>
      <c r="AE864" s="7"/>
      <c r="AF864" s="7"/>
      <c r="AG864" s="7">
        <v>1962</v>
      </c>
      <c r="AH864" s="7">
        <v>1960</v>
      </c>
      <c r="AI864" s="7"/>
      <c r="AJ864" s="73"/>
      <c r="AK864" s="7"/>
      <c r="AL864" s="16"/>
      <c r="AM864" s="2" t="s">
        <v>59</v>
      </c>
      <c r="AN864" s="6"/>
      <c r="AO864" s="6"/>
      <c r="AP864" s="6"/>
      <c r="AQ864" s="5"/>
      <c r="AR864" s="2"/>
      <c r="AS864" s="6"/>
      <c r="AT864" s="6"/>
      <c r="AU864" s="16"/>
      <c r="AV864" s="17"/>
      <c r="AW864" s="6">
        <f t="shared" ca="1" si="14"/>
        <v>65</v>
      </c>
    </row>
    <row r="865" s="147" customFormat="1" ht="45" customHeight="1" outlineLevel="1">
      <c r="A865" s="69"/>
      <c r="B865" s="3" t="s">
        <v>47</v>
      </c>
      <c r="C865" s="4"/>
      <c r="D865" s="5"/>
      <c r="E865" s="78" t="s">
        <v>63</v>
      </c>
      <c r="F865" s="79" t="s">
        <v>64</v>
      </c>
      <c r="G865" s="80" t="s">
        <v>2280</v>
      </c>
      <c r="H865" s="78" t="s">
        <v>51</v>
      </c>
      <c r="I865" s="81" t="s">
        <v>2281</v>
      </c>
      <c r="J865" s="7">
        <v>1</v>
      </c>
      <c r="K865" s="70" t="s">
        <v>53</v>
      </c>
      <c r="L865" s="9">
        <v>1</v>
      </c>
      <c r="M865" s="3">
        <v>619</v>
      </c>
      <c r="N865" s="6">
        <v>1961</v>
      </c>
      <c r="O865" s="10"/>
      <c r="P865" s="71"/>
      <c r="Q865" s="10"/>
      <c r="R865" s="6">
        <v>1960</v>
      </c>
      <c r="S865" s="3" t="s">
        <v>54</v>
      </c>
      <c r="T865" s="72"/>
      <c r="U865" s="73"/>
      <c r="V865" s="12"/>
      <c r="W865" s="78" t="s">
        <v>2282</v>
      </c>
      <c r="X865" s="82" t="s">
        <v>56</v>
      </c>
      <c r="Y865" s="82" t="s">
        <v>57</v>
      </c>
      <c r="Z865" s="83" t="s">
        <v>58</v>
      </c>
      <c r="AA865" s="76"/>
      <c r="AB865" s="77"/>
      <c r="AC865" s="77">
        <v>22468</v>
      </c>
      <c r="AD865" s="10"/>
      <c r="AE865" s="7"/>
      <c r="AF865" s="7"/>
      <c r="AG865" s="7">
        <v>1961</v>
      </c>
      <c r="AH865" s="7">
        <v>1960</v>
      </c>
      <c r="AI865" s="7"/>
      <c r="AJ865" s="73"/>
      <c r="AK865" s="7"/>
      <c r="AL865" s="16"/>
      <c r="AM865" s="2" t="s">
        <v>59</v>
      </c>
      <c r="AN865" s="6"/>
      <c r="AO865" s="6"/>
      <c r="AP865" s="6"/>
      <c r="AQ865" s="5"/>
      <c r="AR865" s="2"/>
      <c r="AS865" s="6"/>
      <c r="AT865" s="6"/>
      <c r="AU865" s="16"/>
      <c r="AV865" s="17"/>
      <c r="AW865" s="6">
        <f t="shared" ca="1" si="14"/>
        <v>64</v>
      </c>
    </row>
    <row r="866" ht="45" hidden="1" customHeight="1" outlineLevel="1">
      <c r="A866" s="69"/>
      <c r="B866" s="3" t="s">
        <v>47</v>
      </c>
      <c r="C866" s="4" t="s">
        <v>2283</v>
      </c>
      <c r="D866" s="5" t="s">
        <v>2284</v>
      </c>
      <c r="E866" s="2" t="s">
        <v>83</v>
      </c>
      <c r="F866" s="6" t="s">
        <v>179</v>
      </c>
      <c r="G866" s="5" t="s">
        <v>2285</v>
      </c>
      <c r="H866" s="2" t="s">
        <v>57</v>
      </c>
      <c r="I866" s="3" t="s">
        <v>2286</v>
      </c>
      <c r="J866" s="7">
        <v>1</v>
      </c>
      <c r="K866" s="70"/>
      <c r="L866" s="9">
        <v>1</v>
      </c>
      <c r="M866" s="3">
        <v>620</v>
      </c>
      <c r="N866" s="6">
        <v>1961</v>
      </c>
      <c r="P866" s="71"/>
      <c r="R866" s="6">
        <v>1960</v>
      </c>
      <c r="S866" s="3" t="s">
        <v>236</v>
      </c>
      <c r="T866" s="72"/>
      <c r="U866" s="10">
        <v>43837</v>
      </c>
      <c r="W866" s="2" t="s">
        <v>62</v>
      </c>
      <c r="X866" s="10" t="s">
        <v>56</v>
      </c>
      <c r="Y866" s="10" t="s">
        <v>57</v>
      </c>
      <c r="Z866" s="75"/>
      <c r="AA866" s="76"/>
      <c r="AB866" s="77"/>
      <c r="AC866" s="77"/>
      <c r="AD866" s="10"/>
      <c r="AI866" s="7"/>
      <c r="AJ866" s="10">
        <v>43837</v>
      </c>
      <c r="AK866" s="7">
        <v>2020</v>
      </c>
      <c r="AL866" s="16"/>
      <c r="AW866" s="6">
        <f t="shared" ca="1" si="14"/>
        <v>64</v>
      </c>
    </row>
    <row r="867" ht="45" customHeight="1" outlineLevel="1">
      <c r="A867" s="69"/>
      <c r="B867" s="3" t="s">
        <v>47</v>
      </c>
      <c r="E867" s="2" t="s">
        <v>63</v>
      </c>
      <c r="F867" s="6" t="s">
        <v>172</v>
      </c>
      <c r="G867" s="5" t="s">
        <v>2287</v>
      </c>
      <c r="H867" s="2" t="s">
        <v>51</v>
      </c>
      <c r="I867" s="3" t="s">
        <v>2288</v>
      </c>
      <c r="J867" s="7">
        <v>1</v>
      </c>
      <c r="K867" s="70" t="s">
        <v>53</v>
      </c>
      <c r="L867" s="9">
        <v>1</v>
      </c>
      <c r="M867" s="3">
        <v>621</v>
      </c>
      <c r="N867" s="6">
        <v>1961</v>
      </c>
      <c r="P867" s="71"/>
      <c r="R867" s="6">
        <v>1960</v>
      </c>
      <c r="S867" s="3" t="s">
        <v>54</v>
      </c>
      <c r="T867" s="72"/>
      <c r="U867" s="73"/>
      <c r="W867" s="2" t="s">
        <v>2289</v>
      </c>
      <c r="X867" s="10" t="s">
        <v>56</v>
      </c>
      <c r="Y867" s="10" t="s">
        <v>57</v>
      </c>
      <c r="Z867" s="75" t="s">
        <v>58</v>
      </c>
      <c r="AA867" s="76"/>
      <c r="AB867" s="77"/>
      <c r="AC867" s="77">
        <v>22672</v>
      </c>
      <c r="AD867" s="10"/>
      <c r="AG867" s="7">
        <v>1962</v>
      </c>
      <c r="AH867" s="7">
        <v>1960</v>
      </c>
      <c r="AI867" s="7"/>
      <c r="AJ867" s="73"/>
      <c r="AK867" s="7"/>
      <c r="AL867" s="16" t="s">
        <v>2290</v>
      </c>
      <c r="AM867" s="2" t="s">
        <v>59</v>
      </c>
      <c r="AU867" s="16" t="s">
        <v>447</v>
      </c>
      <c r="AW867" s="6">
        <f t="shared" ref="AW867:AW930" ca="1" si="15">IF(N867&lt;&gt;0,(YEAR(TODAY())-N867),(""))</f>
        <v>64</v>
      </c>
    </row>
    <row r="868" ht="45" customHeight="1" outlineLevel="1">
      <c r="A868" s="69"/>
      <c r="B868" s="3" t="s">
        <v>47</v>
      </c>
      <c r="E868" s="2" t="s">
        <v>63</v>
      </c>
      <c r="F868" s="6" t="s">
        <v>172</v>
      </c>
      <c r="G868" s="5" t="s">
        <v>2287</v>
      </c>
      <c r="H868" s="2" t="s">
        <v>51</v>
      </c>
      <c r="I868" s="3" t="s">
        <v>317</v>
      </c>
      <c r="J868" s="7">
        <v>1</v>
      </c>
      <c r="K868" s="70" t="s">
        <v>53</v>
      </c>
      <c r="L868" s="9">
        <v>1</v>
      </c>
      <c r="M868" s="3">
        <v>622</v>
      </c>
      <c r="N868" s="6">
        <v>1961</v>
      </c>
      <c r="P868" s="71"/>
      <c r="R868" s="6">
        <v>1960</v>
      </c>
      <c r="S868" s="3" t="s">
        <v>54</v>
      </c>
      <c r="T868" s="72"/>
      <c r="U868" s="73"/>
      <c r="W868" s="2" t="s">
        <v>2291</v>
      </c>
      <c r="X868" s="10" t="s">
        <v>56</v>
      </c>
      <c r="Y868" s="10" t="s">
        <v>57</v>
      </c>
      <c r="Z868" s="75" t="s">
        <v>58</v>
      </c>
      <c r="AA868" s="76"/>
      <c r="AB868" s="77"/>
      <c r="AC868" s="77">
        <v>22672</v>
      </c>
      <c r="AD868" s="10"/>
      <c r="AG868" s="7">
        <v>1962</v>
      </c>
      <c r="AH868" s="7">
        <v>1960</v>
      </c>
      <c r="AI868" s="7"/>
      <c r="AJ868" s="73"/>
      <c r="AK868" s="7"/>
      <c r="AL868" s="16"/>
      <c r="AM868" s="2" t="s">
        <v>59</v>
      </c>
      <c r="AW868" s="6">
        <f t="shared" ca="1" si="15"/>
        <v>64</v>
      </c>
    </row>
    <row r="869" ht="45" customHeight="1" outlineLevel="1">
      <c r="A869" s="69"/>
      <c r="B869" s="3" t="s">
        <v>47</v>
      </c>
      <c r="E869" s="2" t="s">
        <v>63</v>
      </c>
      <c r="F869" s="6" t="s">
        <v>172</v>
      </c>
      <c r="G869" s="5" t="s">
        <v>2287</v>
      </c>
      <c r="H869" s="2" t="s">
        <v>57</v>
      </c>
      <c r="I869" s="3" t="s">
        <v>2292</v>
      </c>
      <c r="J869" s="7">
        <v>1</v>
      </c>
      <c r="K869" s="70" t="s">
        <v>53</v>
      </c>
      <c r="L869" s="9">
        <v>1</v>
      </c>
      <c r="M869" s="3">
        <v>623</v>
      </c>
      <c r="N869" s="6">
        <v>1961</v>
      </c>
      <c r="P869" s="71"/>
      <c r="R869" s="6">
        <v>1960</v>
      </c>
      <c r="S869" s="3" t="s">
        <v>54</v>
      </c>
      <c r="T869" s="72"/>
      <c r="U869" s="73"/>
      <c r="W869" s="2" t="s">
        <v>2293</v>
      </c>
      <c r="X869" s="10" t="s">
        <v>56</v>
      </c>
      <c r="Y869" s="10" t="s">
        <v>57</v>
      </c>
      <c r="Z869" s="75" t="s">
        <v>58</v>
      </c>
      <c r="AA869" s="76"/>
      <c r="AB869" s="77">
        <v>22747</v>
      </c>
      <c r="AC869" s="77"/>
      <c r="AD869" s="6"/>
      <c r="AG869" s="7">
        <v>1962</v>
      </c>
      <c r="AH869" s="7">
        <v>1960</v>
      </c>
      <c r="AI869" s="7"/>
      <c r="AJ869" s="73"/>
      <c r="AK869" s="7"/>
      <c r="AL869" s="16" t="s">
        <v>2290</v>
      </c>
      <c r="AM869" s="2" t="s">
        <v>59</v>
      </c>
      <c r="AU869" s="16" t="s">
        <v>447</v>
      </c>
      <c r="AW869" s="6">
        <f t="shared" ca="1" si="15"/>
        <v>64</v>
      </c>
    </row>
    <row r="870" ht="45" hidden="1" customHeight="1" outlineLevel="1">
      <c r="A870" s="69"/>
      <c r="B870" s="3" t="s">
        <v>190</v>
      </c>
      <c r="C870" s="4" t="s">
        <v>2294</v>
      </c>
      <c r="D870" s="5" t="s">
        <v>2295</v>
      </c>
      <c r="E870" s="2" t="s">
        <v>63</v>
      </c>
      <c r="F870" s="6" t="s">
        <v>172</v>
      </c>
      <c r="G870" s="5" t="s">
        <v>2287</v>
      </c>
      <c r="H870" s="2" t="s">
        <v>68</v>
      </c>
      <c r="I870" s="3" t="s">
        <v>2296</v>
      </c>
      <c r="J870" s="7">
        <v>1</v>
      </c>
      <c r="K870" s="104"/>
      <c r="L870" s="9">
        <v>1</v>
      </c>
      <c r="M870" s="3">
        <v>624</v>
      </c>
      <c r="N870" s="6">
        <v>1961</v>
      </c>
      <c r="P870" s="71"/>
      <c r="R870" s="6">
        <v>1960</v>
      </c>
      <c r="S870" s="3" t="s">
        <v>283</v>
      </c>
      <c r="T870" s="72"/>
      <c r="U870" s="73"/>
      <c r="W870" s="74" t="s">
        <v>62</v>
      </c>
      <c r="X870" s="10" t="s">
        <v>56</v>
      </c>
      <c r="Y870" s="10" t="s">
        <v>68</v>
      </c>
      <c r="Z870" s="75" t="s">
        <v>260</v>
      </c>
      <c r="AA870" s="146"/>
      <c r="AB870" s="77"/>
      <c r="AC870" s="77"/>
      <c r="AD870" s="6"/>
      <c r="AI870" s="7"/>
      <c r="AJ870" s="73"/>
      <c r="AK870" s="7"/>
      <c r="AL870" s="16"/>
      <c r="AW870" s="6">
        <f t="shared" ca="1" si="15"/>
        <v>64</v>
      </c>
    </row>
    <row r="871" s="147" customFormat="1" ht="45" hidden="1" customHeight="1" outlineLevel="1">
      <c r="A871" s="69">
        <v>45427</v>
      </c>
      <c r="B871" s="3" t="s">
        <v>1926</v>
      </c>
      <c r="C871" s="4" t="s">
        <v>2297</v>
      </c>
      <c r="D871" s="5" t="s">
        <v>2298</v>
      </c>
      <c r="E871" s="2" t="s">
        <v>63</v>
      </c>
      <c r="F871" s="6" t="s">
        <v>172</v>
      </c>
      <c r="G871" s="5" t="s">
        <v>2287</v>
      </c>
      <c r="H871" s="2" t="s">
        <v>57</v>
      </c>
      <c r="I871" s="3" t="s">
        <v>2299</v>
      </c>
      <c r="J871" s="7">
        <v>1</v>
      </c>
      <c r="K871" s="104"/>
      <c r="L871" s="9">
        <v>1</v>
      </c>
      <c r="M871" s="3">
        <v>625</v>
      </c>
      <c r="N871" s="6">
        <v>1961</v>
      </c>
      <c r="O871" s="10"/>
      <c r="P871" s="71"/>
      <c r="Q871" s="10"/>
      <c r="R871" s="6">
        <v>1960</v>
      </c>
      <c r="S871" s="3" t="s">
        <v>283</v>
      </c>
      <c r="T871" s="72"/>
      <c r="U871" s="73"/>
      <c r="V871" s="12"/>
      <c r="W871" s="74" t="s">
        <v>62</v>
      </c>
      <c r="X871" s="10" t="s">
        <v>56</v>
      </c>
      <c r="Y871" s="10" t="s">
        <v>57</v>
      </c>
      <c r="Z871" s="75"/>
      <c r="AA871" s="146"/>
      <c r="AB871" s="77"/>
      <c r="AC871" s="77"/>
      <c r="AD871" s="6"/>
      <c r="AE871" s="7"/>
      <c r="AF871" s="7"/>
      <c r="AG871" s="7"/>
      <c r="AH871" s="7"/>
      <c r="AI871" s="7"/>
      <c r="AJ871" s="73"/>
      <c r="AK871" s="7"/>
      <c r="AL871" s="16" t="s">
        <v>2300</v>
      </c>
      <c r="AM871" s="2"/>
      <c r="AN871" s="6"/>
      <c r="AO871" s="6"/>
      <c r="AP871" s="6"/>
      <c r="AQ871" s="5"/>
      <c r="AR871" s="2"/>
      <c r="AS871" s="6"/>
      <c r="AT871" s="6"/>
      <c r="AU871" s="16"/>
      <c r="AV871" s="17"/>
      <c r="AW871" s="6">
        <f t="shared" ca="1" si="15"/>
        <v>64</v>
      </c>
    </row>
    <row r="872" ht="45" hidden="1" customHeight="1" outlineLevel="1">
      <c r="A872" s="69"/>
      <c r="B872" s="3" t="s">
        <v>47</v>
      </c>
      <c r="C872" s="4" t="s">
        <v>1263</v>
      </c>
      <c r="E872" s="2" t="s">
        <v>63</v>
      </c>
      <c r="F872" s="6" t="s">
        <v>172</v>
      </c>
      <c r="G872" s="5" t="s">
        <v>2287</v>
      </c>
      <c r="H872" s="2" t="s">
        <v>57</v>
      </c>
      <c r="I872" s="3" t="s">
        <v>2301</v>
      </c>
      <c r="J872" s="7">
        <v>1</v>
      </c>
      <c r="K872" s="104"/>
      <c r="L872" s="9">
        <v>1</v>
      </c>
      <c r="M872" s="3">
        <v>626</v>
      </c>
      <c r="N872" s="6">
        <v>1961</v>
      </c>
      <c r="P872" s="71"/>
      <c r="R872" s="6">
        <v>1960</v>
      </c>
      <c r="S872" s="3" t="s">
        <v>236</v>
      </c>
      <c r="T872" s="72"/>
      <c r="U872" s="73"/>
      <c r="W872" s="2" t="s">
        <v>62</v>
      </c>
      <c r="X872" s="10" t="s">
        <v>56</v>
      </c>
      <c r="Y872" s="10" t="s">
        <v>57</v>
      </c>
      <c r="Z872" s="75"/>
      <c r="AA872" s="146"/>
      <c r="AB872" s="77"/>
      <c r="AC872" s="77"/>
      <c r="AD872" s="6"/>
      <c r="AI872" s="7"/>
      <c r="AJ872" s="95">
        <v>38044</v>
      </c>
      <c r="AK872" s="7">
        <v>2000</v>
      </c>
      <c r="AL872" s="16"/>
      <c r="AW872" s="6">
        <f t="shared" ca="1" si="15"/>
        <v>64</v>
      </c>
    </row>
    <row r="873" ht="45" hidden="1" customHeight="1" outlineLevel="1">
      <c r="A873" s="69"/>
      <c r="B873" s="3" t="s">
        <v>47</v>
      </c>
      <c r="C873" s="4" t="s">
        <v>1263</v>
      </c>
      <c r="E873" s="2" t="s">
        <v>63</v>
      </c>
      <c r="F873" s="6" t="s">
        <v>172</v>
      </c>
      <c r="G873" s="5" t="s">
        <v>2287</v>
      </c>
      <c r="H873" s="2" t="s">
        <v>57</v>
      </c>
      <c r="I873" s="96" t="s">
        <v>2302</v>
      </c>
      <c r="J873" s="7">
        <v>1</v>
      </c>
      <c r="K873" s="104"/>
      <c r="L873" s="9">
        <v>1</v>
      </c>
      <c r="M873" s="3">
        <v>627</v>
      </c>
      <c r="N873" s="6">
        <v>1961</v>
      </c>
      <c r="P873" s="71"/>
      <c r="R873" s="6">
        <v>1960</v>
      </c>
      <c r="S873" s="3" t="s">
        <v>236</v>
      </c>
      <c r="T873" s="72"/>
      <c r="U873" s="73"/>
      <c r="W873" s="2" t="s">
        <v>62</v>
      </c>
      <c r="X873" s="10" t="s">
        <v>56</v>
      </c>
      <c r="Y873" s="10" t="s">
        <v>57</v>
      </c>
      <c r="Z873" s="75"/>
      <c r="AA873" s="146"/>
      <c r="AB873" s="77"/>
      <c r="AC873" s="77"/>
      <c r="AD873" s="6"/>
      <c r="AI873" s="7"/>
      <c r="AJ873" s="95">
        <v>38044</v>
      </c>
      <c r="AK873" s="7">
        <v>2000</v>
      </c>
      <c r="AL873" s="16"/>
      <c r="AW873" s="6">
        <f t="shared" ca="1" si="15"/>
        <v>64</v>
      </c>
    </row>
    <row r="874" s="147" customFormat="1" ht="45" hidden="1" customHeight="1" outlineLevel="1">
      <c r="A874" s="69"/>
      <c r="B874" s="3" t="s">
        <v>47</v>
      </c>
      <c r="C874" s="4" t="s">
        <v>1263</v>
      </c>
      <c r="D874" s="5"/>
      <c r="E874" s="2" t="s">
        <v>63</v>
      </c>
      <c r="F874" s="6" t="s">
        <v>172</v>
      </c>
      <c r="G874" s="5" t="s">
        <v>2287</v>
      </c>
      <c r="H874" s="2" t="s">
        <v>57</v>
      </c>
      <c r="I874" s="3" t="s">
        <v>2303</v>
      </c>
      <c r="J874" s="7">
        <v>1</v>
      </c>
      <c r="K874" s="104"/>
      <c r="L874" s="9">
        <v>1</v>
      </c>
      <c r="M874" s="3">
        <v>628</v>
      </c>
      <c r="N874" s="6">
        <v>1961</v>
      </c>
      <c r="O874" s="10"/>
      <c r="P874" s="71"/>
      <c r="Q874" s="10"/>
      <c r="R874" s="6">
        <v>1960</v>
      </c>
      <c r="S874" s="3" t="s">
        <v>236</v>
      </c>
      <c r="T874" s="72"/>
      <c r="U874" s="73"/>
      <c r="V874" s="12"/>
      <c r="W874" s="2" t="s">
        <v>62</v>
      </c>
      <c r="X874" s="10" t="s">
        <v>56</v>
      </c>
      <c r="Y874" s="10" t="s">
        <v>57</v>
      </c>
      <c r="Z874" s="75"/>
      <c r="AA874" s="146"/>
      <c r="AB874" s="77"/>
      <c r="AC874" s="77"/>
      <c r="AD874" s="6"/>
      <c r="AE874" s="7"/>
      <c r="AF874" s="7"/>
      <c r="AG874" s="7"/>
      <c r="AH874" s="7"/>
      <c r="AI874" s="7"/>
      <c r="AJ874" s="95">
        <v>38044</v>
      </c>
      <c r="AK874" s="7">
        <v>2000</v>
      </c>
      <c r="AL874" s="16"/>
      <c r="AM874" s="2"/>
      <c r="AN874" s="6"/>
      <c r="AO874" s="6"/>
      <c r="AP874" s="6"/>
      <c r="AQ874" s="5"/>
      <c r="AR874" s="2"/>
      <c r="AS874" s="6"/>
      <c r="AT874" s="6"/>
      <c r="AU874" s="16"/>
      <c r="AV874" s="17"/>
      <c r="AW874" s="6">
        <f t="shared" ca="1" si="15"/>
        <v>64</v>
      </c>
    </row>
    <row r="875" s="147" customFormat="1" ht="45" hidden="1" customHeight="1" outlineLevel="1">
      <c r="A875" s="69"/>
      <c r="B875" s="3" t="s">
        <v>47</v>
      </c>
      <c r="C875" s="4" t="s">
        <v>1263</v>
      </c>
      <c r="D875" s="5"/>
      <c r="E875" s="2" t="s">
        <v>63</v>
      </c>
      <c r="F875" s="6" t="s">
        <v>172</v>
      </c>
      <c r="G875" s="5" t="s">
        <v>2287</v>
      </c>
      <c r="H875" s="2" t="s">
        <v>57</v>
      </c>
      <c r="I875" s="3" t="s">
        <v>2304</v>
      </c>
      <c r="J875" s="7">
        <v>1</v>
      </c>
      <c r="K875" s="104"/>
      <c r="L875" s="9">
        <v>1</v>
      </c>
      <c r="M875" s="3">
        <v>629</v>
      </c>
      <c r="N875" s="6">
        <v>1961</v>
      </c>
      <c r="O875" s="10"/>
      <c r="P875" s="71"/>
      <c r="Q875" s="10"/>
      <c r="R875" s="6">
        <v>1960</v>
      </c>
      <c r="S875" s="3" t="s">
        <v>236</v>
      </c>
      <c r="T875" s="72"/>
      <c r="U875" s="73"/>
      <c r="V875" s="12"/>
      <c r="W875" s="2" t="s">
        <v>62</v>
      </c>
      <c r="X875" s="10" t="s">
        <v>56</v>
      </c>
      <c r="Y875" s="10" t="s">
        <v>57</v>
      </c>
      <c r="Z875" s="75"/>
      <c r="AA875" s="146"/>
      <c r="AB875" s="77"/>
      <c r="AC875" s="77"/>
      <c r="AD875" s="6"/>
      <c r="AE875" s="7"/>
      <c r="AF875" s="7"/>
      <c r="AG875" s="7"/>
      <c r="AH875" s="7"/>
      <c r="AI875" s="7"/>
      <c r="AJ875" s="95">
        <v>38175</v>
      </c>
      <c r="AK875" s="7">
        <v>2000</v>
      </c>
      <c r="AL875" s="16"/>
      <c r="AM875" s="2"/>
      <c r="AN875" s="6"/>
      <c r="AO875" s="6"/>
      <c r="AP875" s="6"/>
      <c r="AQ875" s="5"/>
      <c r="AR875" s="2"/>
      <c r="AS875" s="6"/>
      <c r="AT875" s="6"/>
      <c r="AU875" s="16"/>
      <c r="AV875" s="17"/>
      <c r="AW875" s="6">
        <f t="shared" ca="1" si="15"/>
        <v>64</v>
      </c>
    </row>
    <row r="876" ht="45" customHeight="1" outlineLevel="1">
      <c r="A876" s="69"/>
      <c r="B876" s="3" t="s">
        <v>47</v>
      </c>
      <c r="E876" s="2" t="s">
        <v>63</v>
      </c>
      <c r="F876" s="6" t="s">
        <v>172</v>
      </c>
      <c r="G876" s="5" t="s">
        <v>2287</v>
      </c>
      <c r="H876" s="2" t="s">
        <v>51</v>
      </c>
      <c r="I876" s="3" t="s">
        <v>1362</v>
      </c>
      <c r="J876" s="7">
        <v>1</v>
      </c>
      <c r="K876" s="70" t="s">
        <v>53</v>
      </c>
      <c r="L876" s="9">
        <v>1</v>
      </c>
      <c r="M876" s="3">
        <v>630</v>
      </c>
      <c r="N876" s="6">
        <v>1961</v>
      </c>
      <c r="P876" s="71"/>
      <c r="R876" s="6">
        <v>1960</v>
      </c>
      <c r="S876" s="3" t="s">
        <v>54</v>
      </c>
      <c r="T876" s="72"/>
      <c r="U876" s="73"/>
      <c r="W876" s="2" t="s">
        <v>2305</v>
      </c>
      <c r="X876" s="10" t="s">
        <v>56</v>
      </c>
      <c r="Y876" s="10" t="s">
        <v>57</v>
      </c>
      <c r="Z876" s="75" t="s">
        <v>58</v>
      </c>
      <c r="AA876" s="76"/>
      <c r="AB876" s="77"/>
      <c r="AC876" s="77">
        <v>22672</v>
      </c>
      <c r="AD876" s="10"/>
      <c r="AG876" s="7">
        <v>1962</v>
      </c>
      <c r="AH876" s="7">
        <v>1960</v>
      </c>
      <c r="AI876" s="7"/>
      <c r="AJ876" s="73"/>
      <c r="AK876" s="7"/>
      <c r="AL876" s="16" t="s">
        <v>2290</v>
      </c>
      <c r="AM876" s="2" t="s">
        <v>59</v>
      </c>
      <c r="AU876" s="16" t="s">
        <v>447</v>
      </c>
      <c r="AW876" s="6">
        <f t="shared" ca="1" si="15"/>
        <v>64</v>
      </c>
    </row>
    <row r="877" ht="45" hidden="1" customHeight="1" outlineLevel="1">
      <c r="A877" s="69"/>
      <c r="B877" s="3" t="s">
        <v>47</v>
      </c>
      <c r="C877" s="4" t="s">
        <v>2306</v>
      </c>
      <c r="E877" s="2" t="s">
        <v>63</v>
      </c>
      <c r="F877" s="6" t="s">
        <v>354</v>
      </c>
      <c r="G877" s="5" t="s">
        <v>971</v>
      </c>
      <c r="H877" s="2" t="s">
        <v>57</v>
      </c>
      <c r="I877" s="96" t="s">
        <v>2307</v>
      </c>
      <c r="J877" s="7">
        <v>1</v>
      </c>
      <c r="K877" s="70"/>
      <c r="L877" s="9">
        <v>1</v>
      </c>
      <c r="M877" s="3">
        <v>631</v>
      </c>
      <c r="N877" s="6">
        <v>1961</v>
      </c>
      <c r="P877" s="71"/>
      <c r="R877" s="6">
        <v>1960</v>
      </c>
      <c r="S877" s="3" t="s">
        <v>236</v>
      </c>
      <c r="T877" s="72"/>
      <c r="U877" s="73"/>
      <c r="W877" s="2" t="s">
        <v>62</v>
      </c>
      <c r="X877" s="10" t="s">
        <v>56</v>
      </c>
      <c r="Y877" s="10" t="s">
        <v>57</v>
      </c>
      <c r="Z877" s="75"/>
      <c r="AA877" s="76"/>
      <c r="AB877" s="77"/>
      <c r="AC877" s="77"/>
      <c r="AD877" s="10"/>
      <c r="AI877" s="7"/>
      <c r="AJ877" s="95">
        <v>40634</v>
      </c>
      <c r="AK877" s="7">
        <v>2000</v>
      </c>
      <c r="AL877" s="16"/>
      <c r="AW877" s="6">
        <f t="shared" ca="1" si="15"/>
        <v>64</v>
      </c>
    </row>
    <row r="878" ht="45" customHeight="1" outlineLevel="1">
      <c r="A878" s="69"/>
      <c r="B878" s="3" t="s">
        <v>47</v>
      </c>
      <c r="E878" s="2" t="s">
        <v>83</v>
      </c>
      <c r="F878" s="6" t="s">
        <v>84</v>
      </c>
      <c r="G878" s="5" t="s">
        <v>85</v>
      </c>
      <c r="H878" s="2" t="s">
        <v>51</v>
      </c>
      <c r="I878" s="3" t="s">
        <v>2308</v>
      </c>
      <c r="J878" s="7">
        <v>1</v>
      </c>
      <c r="K878" s="70" t="s">
        <v>53</v>
      </c>
      <c r="L878" s="9">
        <v>1</v>
      </c>
      <c r="M878" s="3">
        <v>632</v>
      </c>
      <c r="N878" s="6">
        <v>1961</v>
      </c>
      <c r="P878" s="71"/>
      <c r="R878" s="6">
        <v>1960</v>
      </c>
      <c r="S878" s="3" t="s">
        <v>54</v>
      </c>
      <c r="T878" s="72"/>
      <c r="U878" s="73"/>
      <c r="W878" s="2" t="s">
        <v>2309</v>
      </c>
      <c r="X878" s="10" t="s">
        <v>56</v>
      </c>
      <c r="Y878" s="10" t="s">
        <v>57</v>
      </c>
      <c r="Z878" s="75" t="s">
        <v>58</v>
      </c>
      <c r="AA878" s="76"/>
      <c r="AB878" s="77">
        <v>23967</v>
      </c>
      <c r="AC878" s="77"/>
      <c r="AD878" s="6"/>
      <c r="AG878" s="7">
        <v>1965</v>
      </c>
      <c r="AH878" s="7">
        <v>1960</v>
      </c>
      <c r="AI878" s="7"/>
      <c r="AJ878" s="73"/>
      <c r="AK878" s="7"/>
      <c r="AL878" s="16" t="s">
        <v>2310</v>
      </c>
      <c r="AM878" s="2" t="s">
        <v>59</v>
      </c>
      <c r="AO878" s="6" t="s">
        <v>59</v>
      </c>
      <c r="AR878" s="87"/>
      <c r="AS878" s="88"/>
      <c r="AT878" s="88"/>
      <c r="AU878" s="89" t="s">
        <v>2311</v>
      </c>
      <c r="AV878" s="90"/>
      <c r="AW878" s="6">
        <f t="shared" ca="1" si="15"/>
        <v>64</v>
      </c>
    </row>
    <row r="879" ht="45" customHeight="1" outlineLevel="1">
      <c r="A879" s="69"/>
      <c r="B879" s="3" t="s">
        <v>47</v>
      </c>
      <c r="D879" s="5" t="s">
        <v>2312</v>
      </c>
      <c r="E879" s="2" t="s">
        <v>83</v>
      </c>
      <c r="F879" s="6" t="s">
        <v>84</v>
      </c>
      <c r="G879" s="5" t="s">
        <v>85</v>
      </c>
      <c r="H879" s="2" t="s">
        <v>501</v>
      </c>
      <c r="I879" s="3" t="s">
        <v>2313</v>
      </c>
      <c r="J879" s="7">
        <v>1</v>
      </c>
      <c r="K879" s="70" t="s">
        <v>53</v>
      </c>
      <c r="L879" s="9">
        <v>1</v>
      </c>
      <c r="M879" s="3">
        <v>633</v>
      </c>
      <c r="N879" s="6">
        <v>1961</v>
      </c>
      <c r="P879" s="71"/>
      <c r="R879" s="6">
        <v>1960</v>
      </c>
      <c r="S879" s="3" t="s">
        <v>54</v>
      </c>
      <c r="T879" s="72"/>
      <c r="U879" s="73"/>
      <c r="W879" s="2" t="s">
        <v>2314</v>
      </c>
      <c r="X879" s="10" t="s">
        <v>504</v>
      </c>
      <c r="Y879" s="10" t="s">
        <v>501</v>
      </c>
      <c r="Z879" s="75"/>
      <c r="AA879" s="76">
        <v>27015</v>
      </c>
      <c r="AB879" s="77"/>
      <c r="AC879" s="77"/>
      <c r="AD879" s="6"/>
      <c r="AE879" s="7">
        <v>1973</v>
      </c>
      <c r="AF879" s="7">
        <v>62</v>
      </c>
      <c r="AG879" s="7">
        <v>1973</v>
      </c>
      <c r="AH879" s="7">
        <v>1970</v>
      </c>
      <c r="AI879" s="7"/>
      <c r="AJ879" s="73"/>
      <c r="AK879" s="7"/>
      <c r="AL879" s="16"/>
      <c r="AM879" s="2" t="s">
        <v>82</v>
      </c>
      <c r="AO879" s="6" t="s">
        <v>100</v>
      </c>
      <c r="AR879" s="2" t="s">
        <v>73</v>
      </c>
      <c r="AT879" s="6">
        <v>2000</v>
      </c>
      <c r="AU879" s="16" t="s">
        <v>2048</v>
      </c>
      <c r="AW879" s="6">
        <f t="shared" ca="1" si="15"/>
        <v>64</v>
      </c>
    </row>
    <row r="880" s="147" customFormat="1" ht="45" hidden="1" customHeight="1" outlineLevel="1">
      <c r="A880" s="69">
        <v>45345</v>
      </c>
      <c r="B880" s="3" t="s">
        <v>1926</v>
      </c>
      <c r="C880" s="4" t="s">
        <v>2315</v>
      </c>
      <c r="D880" s="5" t="s">
        <v>2316</v>
      </c>
      <c r="E880" s="2" t="s">
        <v>694</v>
      </c>
      <c r="F880" s="6" t="s">
        <v>695</v>
      </c>
      <c r="G880" s="5" t="s">
        <v>2317</v>
      </c>
      <c r="H880" s="2" t="s">
        <v>508</v>
      </c>
      <c r="I880" s="3" t="s">
        <v>2318</v>
      </c>
      <c r="J880" s="7">
        <v>1</v>
      </c>
      <c r="K880" s="104"/>
      <c r="L880" s="9">
        <v>1</v>
      </c>
      <c r="M880" s="3">
        <v>634</v>
      </c>
      <c r="N880" s="6">
        <v>1961</v>
      </c>
      <c r="O880" s="10"/>
      <c r="P880" s="71"/>
      <c r="Q880" s="10"/>
      <c r="R880" s="6">
        <v>1960</v>
      </c>
      <c r="S880" s="3" t="s">
        <v>283</v>
      </c>
      <c r="T880" s="72" t="s">
        <v>1136</v>
      </c>
      <c r="U880" s="73"/>
      <c r="V880" s="12"/>
      <c r="W880" s="74" t="s">
        <v>62</v>
      </c>
      <c r="X880" s="10" t="s">
        <v>504</v>
      </c>
      <c r="Y880" s="10" t="s">
        <v>511</v>
      </c>
      <c r="Z880" s="75"/>
      <c r="AA880" s="76"/>
      <c r="AB880" s="77"/>
      <c r="AC880" s="77"/>
      <c r="AD880" s="6"/>
      <c r="AE880" s="7"/>
      <c r="AF880" s="7"/>
      <c r="AG880" s="7"/>
      <c r="AH880" s="7"/>
      <c r="AI880" s="7"/>
      <c r="AJ880" s="73"/>
      <c r="AK880" s="7"/>
      <c r="AL880" s="16"/>
      <c r="AM880" s="2"/>
      <c r="AN880" s="6"/>
      <c r="AO880" s="6"/>
      <c r="AP880" s="6"/>
      <c r="AQ880" s="5"/>
      <c r="AR880" s="2"/>
      <c r="AS880" s="6"/>
      <c r="AT880" s="6"/>
      <c r="AU880" s="16"/>
      <c r="AV880" s="17"/>
      <c r="AW880" s="6">
        <f t="shared" ca="1" si="15"/>
        <v>64</v>
      </c>
    </row>
    <row r="881" ht="45" customHeight="1" outlineLevel="1">
      <c r="A881" s="69"/>
      <c r="B881" s="3" t="s">
        <v>47</v>
      </c>
      <c r="E881" s="2" t="s">
        <v>63</v>
      </c>
      <c r="F881" s="6" t="s">
        <v>64</v>
      </c>
      <c r="G881" s="5" t="s">
        <v>2319</v>
      </c>
      <c r="H881" s="2" t="s">
        <v>57</v>
      </c>
      <c r="I881" s="3" t="s">
        <v>2320</v>
      </c>
      <c r="J881" s="7">
        <v>1</v>
      </c>
      <c r="K881" s="70" t="s">
        <v>53</v>
      </c>
      <c r="L881" s="9">
        <v>1</v>
      </c>
      <c r="M881" s="3">
        <v>635</v>
      </c>
      <c r="N881" s="6">
        <v>1961</v>
      </c>
      <c r="P881" s="71"/>
      <c r="R881" s="6">
        <v>1960</v>
      </c>
      <c r="S881" s="3" t="s">
        <v>54</v>
      </c>
      <c r="T881" s="72"/>
      <c r="U881" s="73"/>
      <c r="W881" s="2" t="s">
        <v>2321</v>
      </c>
      <c r="X881" s="10" t="s">
        <v>56</v>
      </c>
      <c r="Y881" s="10" t="s">
        <v>57</v>
      </c>
      <c r="Z881" s="75"/>
      <c r="AA881" s="76"/>
      <c r="AB881" s="77">
        <v>22514</v>
      </c>
      <c r="AC881" s="77"/>
      <c r="AD881" s="6"/>
      <c r="AG881" s="7">
        <v>1961</v>
      </c>
      <c r="AH881" s="7">
        <v>1960</v>
      </c>
      <c r="AI881" s="7"/>
      <c r="AJ881" s="73"/>
      <c r="AK881" s="7"/>
      <c r="AL881" s="16"/>
      <c r="AM881" s="2" t="s">
        <v>59</v>
      </c>
      <c r="AW881" s="6">
        <f t="shared" ca="1" si="15"/>
        <v>64</v>
      </c>
    </row>
    <row r="882" ht="45" customHeight="1" outlineLevel="1">
      <c r="A882" s="69"/>
      <c r="B882" s="3" t="s">
        <v>47</v>
      </c>
      <c r="E882" s="2" t="s">
        <v>83</v>
      </c>
      <c r="F882" s="6" t="s">
        <v>179</v>
      </c>
      <c r="G882" s="5" t="s">
        <v>2322</v>
      </c>
      <c r="H882" s="2" t="s">
        <v>51</v>
      </c>
      <c r="I882" s="3" t="s">
        <v>579</v>
      </c>
      <c r="J882" s="7">
        <v>1</v>
      </c>
      <c r="K882" s="70" t="s">
        <v>53</v>
      </c>
      <c r="L882" s="9">
        <v>0</v>
      </c>
      <c r="M882" s="3">
        <v>636</v>
      </c>
      <c r="N882" s="6">
        <v>1961</v>
      </c>
      <c r="P882" s="71"/>
      <c r="R882" s="6">
        <v>1960</v>
      </c>
      <c r="S882" s="3" t="s">
        <v>54</v>
      </c>
      <c r="T882" s="72"/>
      <c r="U882" s="73"/>
      <c r="W882" s="2" t="s">
        <v>2323</v>
      </c>
      <c r="X882" s="10" t="s">
        <v>56</v>
      </c>
      <c r="Y882" s="10" t="s">
        <v>57</v>
      </c>
      <c r="Z882" s="75" t="s">
        <v>58</v>
      </c>
      <c r="AA882" s="76"/>
      <c r="AB882" s="77"/>
      <c r="AC882" s="77">
        <v>22690</v>
      </c>
      <c r="AD882" s="10"/>
      <c r="AG882" s="7">
        <v>1962</v>
      </c>
      <c r="AH882" s="7">
        <v>1960</v>
      </c>
      <c r="AI882" s="7"/>
      <c r="AJ882" s="73"/>
      <c r="AK882" s="7"/>
      <c r="AL882" s="16" t="s">
        <v>176</v>
      </c>
      <c r="AM882" s="2" t="s">
        <v>59</v>
      </c>
      <c r="AW882" s="6">
        <f t="shared" ca="1" si="15"/>
        <v>64</v>
      </c>
    </row>
    <row r="883" ht="45" customHeight="1" outlineLevel="1">
      <c r="A883" s="69"/>
      <c r="B883" s="3" t="s">
        <v>47</v>
      </c>
      <c r="E883" s="2" t="s">
        <v>83</v>
      </c>
      <c r="F883" s="6" t="s">
        <v>179</v>
      </c>
      <c r="G883" s="5" t="s">
        <v>2322</v>
      </c>
      <c r="H883" s="2" t="s">
        <v>51</v>
      </c>
      <c r="I883" s="3" t="s">
        <v>414</v>
      </c>
      <c r="J883" s="7">
        <v>1</v>
      </c>
      <c r="K883" s="70" t="s">
        <v>53</v>
      </c>
      <c r="L883" s="9">
        <v>1</v>
      </c>
      <c r="M883" s="3">
        <v>636</v>
      </c>
      <c r="N883" s="6">
        <v>1961</v>
      </c>
      <c r="P883" s="71"/>
      <c r="R883" s="6">
        <v>1960</v>
      </c>
      <c r="S883" s="3" t="s">
        <v>54</v>
      </c>
      <c r="T883" s="72"/>
      <c r="U883" s="73"/>
      <c r="W883" s="2" t="s">
        <v>2324</v>
      </c>
      <c r="X883" s="10" t="s">
        <v>56</v>
      </c>
      <c r="Y883" s="10" t="s">
        <v>57</v>
      </c>
      <c r="Z883" s="75" t="s">
        <v>58</v>
      </c>
      <c r="AA883" s="76"/>
      <c r="AB883" s="77"/>
      <c r="AC883" s="77">
        <v>22690</v>
      </c>
      <c r="AD883" s="10"/>
      <c r="AG883" s="7">
        <v>1962</v>
      </c>
      <c r="AH883" s="7">
        <v>1960</v>
      </c>
      <c r="AI883" s="7"/>
      <c r="AJ883" s="73"/>
      <c r="AK883" s="7"/>
      <c r="AL883" s="16" t="s">
        <v>176</v>
      </c>
      <c r="AM883" s="2" t="s">
        <v>59</v>
      </c>
      <c r="AW883" s="6">
        <f t="shared" ca="1" si="15"/>
        <v>64</v>
      </c>
    </row>
    <row r="884" ht="45" customHeight="1" outlineLevel="1">
      <c r="A884" s="69"/>
      <c r="B884" s="3" t="s">
        <v>47</v>
      </c>
      <c r="E884" s="2" t="s">
        <v>63</v>
      </c>
      <c r="F884" s="6" t="s">
        <v>172</v>
      </c>
      <c r="G884" s="5" t="s">
        <v>173</v>
      </c>
      <c r="H884" s="2" t="s">
        <v>57</v>
      </c>
      <c r="I884" s="3" t="s">
        <v>2325</v>
      </c>
      <c r="J884" s="7">
        <v>1</v>
      </c>
      <c r="K884" s="70" t="s">
        <v>53</v>
      </c>
      <c r="L884" s="9">
        <v>1</v>
      </c>
      <c r="M884" s="3">
        <v>637</v>
      </c>
      <c r="N884" s="6">
        <v>1961</v>
      </c>
      <c r="P884" s="71"/>
      <c r="R884" s="6">
        <v>1960</v>
      </c>
      <c r="S884" s="3" t="s">
        <v>54</v>
      </c>
      <c r="T884" s="72"/>
      <c r="U884" s="73"/>
      <c r="W884" s="2" t="s">
        <v>2326</v>
      </c>
      <c r="X884" s="10" t="s">
        <v>56</v>
      </c>
      <c r="Y884" s="10" t="s">
        <v>57</v>
      </c>
      <c r="Z884" s="75"/>
      <c r="AA884" s="76"/>
      <c r="AB884" s="77"/>
      <c r="AC884" s="77">
        <v>22672</v>
      </c>
      <c r="AD884" s="10"/>
      <c r="AG884" s="7">
        <v>1962</v>
      </c>
      <c r="AH884" s="7">
        <v>1960</v>
      </c>
      <c r="AI884" s="7"/>
      <c r="AJ884" s="73"/>
      <c r="AK884" s="7"/>
      <c r="AL884" s="16"/>
      <c r="AM884" s="2" t="s">
        <v>59</v>
      </c>
      <c r="AU884" s="16" t="s">
        <v>2327</v>
      </c>
      <c r="AW884" s="6">
        <f t="shared" ca="1" si="15"/>
        <v>64</v>
      </c>
    </row>
    <row r="885" ht="45" customHeight="1" outlineLevel="1">
      <c r="A885" s="69"/>
      <c r="B885" s="3" t="s">
        <v>47</v>
      </c>
      <c r="E885" s="2" t="s">
        <v>63</v>
      </c>
      <c r="F885" s="6" t="s">
        <v>64</v>
      </c>
      <c r="G885" s="5" t="s">
        <v>243</v>
      </c>
      <c r="H885" s="2" t="s">
        <v>51</v>
      </c>
      <c r="I885" s="3" t="s">
        <v>2328</v>
      </c>
      <c r="J885" s="7">
        <v>1</v>
      </c>
      <c r="K885" s="70" t="s">
        <v>53</v>
      </c>
      <c r="L885" s="9">
        <v>1</v>
      </c>
      <c r="M885" s="3">
        <v>638</v>
      </c>
      <c r="N885" s="6">
        <v>1961</v>
      </c>
      <c r="P885" s="71"/>
      <c r="R885" s="6">
        <v>1960</v>
      </c>
      <c r="S885" s="3" t="s">
        <v>54</v>
      </c>
      <c r="T885" s="72"/>
      <c r="U885" s="73"/>
      <c r="W885" s="2" t="s">
        <v>2329</v>
      </c>
      <c r="X885" s="10" t="s">
        <v>56</v>
      </c>
      <c r="Y885" s="10" t="s">
        <v>57</v>
      </c>
      <c r="Z885" s="75" t="s">
        <v>58</v>
      </c>
      <c r="AA885" s="76"/>
      <c r="AB885" s="77">
        <v>24182</v>
      </c>
      <c r="AC885" s="77"/>
      <c r="AD885" s="6"/>
      <c r="AG885" s="7">
        <v>1966</v>
      </c>
      <c r="AH885" s="7">
        <v>1960</v>
      </c>
      <c r="AI885" s="7"/>
      <c r="AJ885" s="73"/>
      <c r="AK885" s="7"/>
      <c r="AL885" s="16" t="s">
        <v>176</v>
      </c>
      <c r="AM885" s="2" t="s">
        <v>59</v>
      </c>
      <c r="AW885" s="6">
        <f t="shared" ca="1" si="15"/>
        <v>64</v>
      </c>
    </row>
    <row r="886" ht="45" customHeight="1" outlineLevel="1">
      <c r="A886" s="69"/>
      <c r="B886" s="3" t="s">
        <v>47</v>
      </c>
      <c r="E886" s="2" t="s">
        <v>63</v>
      </c>
      <c r="F886" s="6" t="s">
        <v>64</v>
      </c>
      <c r="G886" s="5" t="s">
        <v>243</v>
      </c>
      <c r="H886" s="2" t="s">
        <v>57</v>
      </c>
      <c r="I886" s="3" t="s">
        <v>2330</v>
      </c>
      <c r="J886" s="7">
        <v>1</v>
      </c>
      <c r="K886" s="70" t="s">
        <v>53</v>
      </c>
      <c r="L886" s="9">
        <v>0</v>
      </c>
      <c r="M886" s="3">
        <v>638</v>
      </c>
      <c r="N886" s="6">
        <v>1961</v>
      </c>
      <c r="P886" s="71"/>
      <c r="R886" s="6">
        <v>1960</v>
      </c>
      <c r="S886" s="3" t="s">
        <v>54</v>
      </c>
      <c r="T886" s="72"/>
      <c r="U886" s="73"/>
      <c r="W886" s="2" t="s">
        <v>2331</v>
      </c>
      <c r="X886" s="10" t="s">
        <v>56</v>
      </c>
      <c r="Y886" s="10" t="s">
        <v>57</v>
      </c>
      <c r="Z886" s="75"/>
      <c r="AA886" s="76"/>
      <c r="AB886" s="77">
        <v>24182</v>
      </c>
      <c r="AC886" s="77"/>
      <c r="AD886" s="6"/>
      <c r="AG886" s="7">
        <v>1966</v>
      </c>
      <c r="AH886" s="7">
        <v>1960</v>
      </c>
      <c r="AI886" s="7"/>
      <c r="AJ886" s="73"/>
      <c r="AK886" s="7"/>
      <c r="AL886" s="16"/>
      <c r="AM886" s="2" t="s">
        <v>59</v>
      </c>
      <c r="AW886" s="6">
        <f t="shared" ca="1" si="15"/>
        <v>64</v>
      </c>
    </row>
    <row r="887" s="147" customFormat="1" ht="45" hidden="1" customHeight="1" outlineLevel="1">
      <c r="A887" s="69"/>
      <c r="B887" s="3" t="s">
        <v>47</v>
      </c>
      <c r="C887" s="4" t="s">
        <v>2332</v>
      </c>
      <c r="D887" s="5" t="s">
        <v>2333</v>
      </c>
      <c r="E887" s="2" t="s">
        <v>1074</v>
      </c>
      <c r="F887" s="6" t="s">
        <v>1075</v>
      </c>
      <c r="G887" s="5" t="s">
        <v>1949</v>
      </c>
      <c r="H887" s="2" t="s">
        <v>51</v>
      </c>
      <c r="I887" s="3" t="s">
        <v>1855</v>
      </c>
      <c r="J887" s="7">
        <v>1</v>
      </c>
      <c r="K887" s="104"/>
      <c r="L887" s="9">
        <v>1</v>
      </c>
      <c r="M887" s="3">
        <v>639</v>
      </c>
      <c r="N887" s="6">
        <v>1961</v>
      </c>
      <c r="O887" s="10"/>
      <c r="P887" s="71"/>
      <c r="Q887" s="10"/>
      <c r="R887" s="6">
        <v>1960</v>
      </c>
      <c r="S887" s="3" t="s">
        <v>236</v>
      </c>
      <c r="T887" s="72"/>
      <c r="U887" s="10"/>
      <c r="V887" s="12"/>
      <c r="W887" s="2" t="s">
        <v>62</v>
      </c>
      <c r="X887" s="10" t="s">
        <v>56</v>
      </c>
      <c r="Y887" s="10" t="s">
        <v>57</v>
      </c>
      <c r="Z887" s="75" t="s">
        <v>58</v>
      </c>
      <c r="AA887" s="76"/>
      <c r="AB887" s="77"/>
      <c r="AC887" s="77"/>
      <c r="AD887" s="6"/>
      <c r="AE887" s="7"/>
      <c r="AF887" s="7"/>
      <c r="AG887" s="7"/>
      <c r="AH887" s="7"/>
      <c r="AI887" s="7"/>
      <c r="AJ887" s="10">
        <v>44495</v>
      </c>
      <c r="AK887" s="7">
        <v>2020</v>
      </c>
      <c r="AL887" s="16"/>
      <c r="AM887" s="2"/>
      <c r="AN887" s="6"/>
      <c r="AO887" s="6"/>
      <c r="AP887" s="6"/>
      <c r="AQ887" s="5"/>
      <c r="AR887" s="2"/>
      <c r="AS887" s="6"/>
      <c r="AT887" s="6"/>
      <c r="AU887" s="16"/>
      <c r="AV887" s="17"/>
      <c r="AW887" s="6">
        <f t="shared" ca="1" si="15"/>
        <v>64</v>
      </c>
    </row>
    <row r="888" s="147" customFormat="1" ht="45" customHeight="1" outlineLevel="1">
      <c r="A888" s="69"/>
      <c r="B888" s="3" t="s">
        <v>47</v>
      </c>
      <c r="C888" s="4"/>
      <c r="D888" s="5"/>
      <c r="E888" s="2" t="s">
        <v>48</v>
      </c>
      <c r="F888" s="6" t="s">
        <v>49</v>
      </c>
      <c r="G888" s="5" t="s">
        <v>1889</v>
      </c>
      <c r="H888" s="2" t="s">
        <v>57</v>
      </c>
      <c r="I888" s="3" t="s">
        <v>2334</v>
      </c>
      <c r="J888" s="7">
        <v>1</v>
      </c>
      <c r="K888" s="70" t="s">
        <v>53</v>
      </c>
      <c r="L888" s="9">
        <v>1</v>
      </c>
      <c r="M888" s="3">
        <v>640</v>
      </c>
      <c r="N888" s="6">
        <v>1961</v>
      </c>
      <c r="O888" s="10"/>
      <c r="P888" s="71"/>
      <c r="Q888" s="10"/>
      <c r="R888" s="6">
        <v>1960</v>
      </c>
      <c r="S888" s="3" t="s">
        <v>54</v>
      </c>
      <c r="T888" s="72"/>
      <c r="U888" s="73"/>
      <c r="V888" s="12"/>
      <c r="W888" s="2" t="s">
        <v>2335</v>
      </c>
      <c r="X888" s="10" t="s">
        <v>56</v>
      </c>
      <c r="Y888" s="10" t="s">
        <v>57</v>
      </c>
      <c r="Z888" s="75"/>
      <c r="AA888" s="76"/>
      <c r="AB888" s="77">
        <v>26491</v>
      </c>
      <c r="AC888" s="77">
        <v>26491</v>
      </c>
      <c r="AD888" s="10"/>
      <c r="AE888" s="7">
        <v>1971</v>
      </c>
      <c r="AF888" s="7">
        <v>56</v>
      </c>
      <c r="AG888" s="7">
        <v>1972</v>
      </c>
      <c r="AH888" s="7">
        <v>1970</v>
      </c>
      <c r="AI888" s="7"/>
      <c r="AJ888" s="73"/>
      <c r="AK888" s="7"/>
      <c r="AL888" s="16"/>
      <c r="AM888" s="2" t="s">
        <v>59</v>
      </c>
      <c r="AN888" s="6"/>
      <c r="AO888" s="6" t="s">
        <v>73</v>
      </c>
      <c r="AP888" s="6"/>
      <c r="AQ888" s="5"/>
      <c r="AR888" s="2"/>
      <c r="AS888" s="6"/>
      <c r="AT888" s="6"/>
      <c r="AU888" s="16" t="s">
        <v>718</v>
      </c>
      <c r="AV888" s="17"/>
      <c r="AW888" s="6">
        <f t="shared" ca="1" si="15"/>
        <v>64</v>
      </c>
    </row>
    <row r="889" s="147" customFormat="1" ht="45" customHeight="1" outlineLevel="1">
      <c r="A889" s="69"/>
      <c r="B889" s="3" t="s">
        <v>47</v>
      </c>
      <c r="C889" s="4"/>
      <c r="D889" s="5" t="s">
        <v>2336</v>
      </c>
      <c r="E889" s="2" t="s">
        <v>83</v>
      </c>
      <c r="F889" s="6" t="s">
        <v>84</v>
      </c>
      <c r="G889" s="5" t="s">
        <v>85</v>
      </c>
      <c r="H889" s="2" t="s">
        <v>57</v>
      </c>
      <c r="I889" s="3" t="s">
        <v>2337</v>
      </c>
      <c r="J889" s="7">
        <v>1</v>
      </c>
      <c r="K889" s="70" t="s">
        <v>53</v>
      </c>
      <c r="L889" s="9">
        <v>1</v>
      </c>
      <c r="M889" s="3">
        <v>641</v>
      </c>
      <c r="N889" s="6">
        <v>1961</v>
      </c>
      <c r="O889" s="10"/>
      <c r="P889" s="71"/>
      <c r="Q889" s="10"/>
      <c r="R889" s="6">
        <v>1960</v>
      </c>
      <c r="S889" s="3" t="s">
        <v>54</v>
      </c>
      <c r="T889" s="72"/>
      <c r="U889" s="73"/>
      <c r="V889" s="12"/>
      <c r="W889" s="2" t="s">
        <v>2338</v>
      </c>
      <c r="X889" s="10" t="s">
        <v>56</v>
      </c>
      <c r="Y889" s="10" t="s">
        <v>57</v>
      </c>
      <c r="Z889" s="75"/>
      <c r="AA889" s="76"/>
      <c r="AB889" s="77">
        <v>36889</v>
      </c>
      <c r="AC889" s="77"/>
      <c r="AD889" s="6"/>
      <c r="AE889" s="7">
        <v>1999</v>
      </c>
      <c r="AF889" s="7">
        <v>17</v>
      </c>
      <c r="AG889" s="7">
        <v>2000</v>
      </c>
      <c r="AH889" s="7">
        <v>2000</v>
      </c>
      <c r="AI889" s="7"/>
      <c r="AJ889" s="73"/>
      <c r="AK889" s="7"/>
      <c r="AL889" s="16"/>
      <c r="AM889" s="2" t="s">
        <v>59</v>
      </c>
      <c r="AN889" s="6"/>
      <c r="AO889" s="6"/>
      <c r="AP889" s="6"/>
      <c r="AQ889" s="5"/>
      <c r="AR889" s="2"/>
      <c r="AS889" s="6"/>
      <c r="AT889" s="6"/>
      <c r="AU889" s="16"/>
      <c r="AV889" s="17"/>
      <c r="AW889" s="6">
        <f t="shared" ca="1" si="15"/>
        <v>64</v>
      </c>
    </row>
    <row r="890" ht="45" customHeight="1" outlineLevel="1">
      <c r="A890" s="69"/>
      <c r="B890" s="3" t="s">
        <v>47</v>
      </c>
      <c r="E890" s="2" t="s">
        <v>63</v>
      </c>
      <c r="F890" s="6" t="s">
        <v>172</v>
      </c>
      <c r="G890" s="5" t="s">
        <v>1123</v>
      </c>
      <c r="H890" s="2" t="s">
        <v>57</v>
      </c>
      <c r="I890" s="3" t="s">
        <v>2339</v>
      </c>
      <c r="J890" s="7">
        <v>1</v>
      </c>
      <c r="K890" s="70" t="s">
        <v>53</v>
      </c>
      <c r="L890" s="9">
        <v>1</v>
      </c>
      <c r="M890" s="3">
        <v>642</v>
      </c>
      <c r="N890" s="6">
        <v>1961</v>
      </c>
      <c r="P890" s="71"/>
      <c r="R890" s="6">
        <v>1960</v>
      </c>
      <c r="S890" s="3" t="s">
        <v>54</v>
      </c>
      <c r="T890" s="72"/>
      <c r="U890" s="73"/>
      <c r="W890" s="2" t="s">
        <v>2340</v>
      </c>
      <c r="X890" s="10" t="s">
        <v>56</v>
      </c>
      <c r="Y890" s="10" t="s">
        <v>57</v>
      </c>
      <c r="Z890" s="75"/>
      <c r="AA890" s="76"/>
      <c r="AB890" s="77">
        <v>22854</v>
      </c>
      <c r="AC890" s="77"/>
      <c r="AD890" s="6"/>
      <c r="AG890" s="7">
        <v>1962</v>
      </c>
      <c r="AH890" s="7">
        <v>1960</v>
      </c>
      <c r="AI890" s="7"/>
      <c r="AJ890" s="73"/>
      <c r="AK890" s="7"/>
      <c r="AL890" s="16"/>
      <c r="AM890" s="2" t="s">
        <v>59</v>
      </c>
      <c r="AW890" s="6">
        <f t="shared" ca="1" si="15"/>
        <v>64</v>
      </c>
    </row>
    <row r="891" s="147" customFormat="1" ht="45" hidden="1" customHeight="1" outlineLevel="1">
      <c r="A891" s="69"/>
      <c r="B891" s="3" t="s">
        <v>47</v>
      </c>
      <c r="C891" s="4" t="s">
        <v>2341</v>
      </c>
      <c r="D891" s="5"/>
      <c r="E891" s="2" t="s">
        <v>48</v>
      </c>
      <c r="F891" s="6" t="s">
        <v>217</v>
      </c>
      <c r="G891" s="5" t="s">
        <v>2342</v>
      </c>
      <c r="H891" s="2" t="s">
        <v>57</v>
      </c>
      <c r="I891" s="3" t="s">
        <v>2343</v>
      </c>
      <c r="J891" s="7">
        <v>1</v>
      </c>
      <c r="K891" s="104"/>
      <c r="L891" s="9">
        <v>1</v>
      </c>
      <c r="M891" s="3">
        <v>643</v>
      </c>
      <c r="N891" s="6">
        <v>1961</v>
      </c>
      <c r="O891" s="10"/>
      <c r="P891" s="71"/>
      <c r="Q891" s="10"/>
      <c r="R891" s="6">
        <v>1960</v>
      </c>
      <c r="S891" s="3" t="s">
        <v>236</v>
      </c>
      <c r="T891" s="72"/>
      <c r="U891" s="73"/>
      <c r="V891" s="12"/>
      <c r="W891" s="2" t="s">
        <v>62</v>
      </c>
      <c r="X891" s="10" t="s">
        <v>56</v>
      </c>
      <c r="Y891" s="10" t="s">
        <v>57</v>
      </c>
      <c r="Z891" s="75"/>
      <c r="AA891" s="76"/>
      <c r="AB891" s="77"/>
      <c r="AC891" s="77"/>
      <c r="AD891" s="6"/>
      <c r="AE891" s="7">
        <v>1963</v>
      </c>
      <c r="AF891" s="7">
        <v>38</v>
      </c>
      <c r="AG891" s="7"/>
      <c r="AH891" s="7"/>
      <c r="AI891" s="7"/>
      <c r="AJ891" s="95">
        <v>22781</v>
      </c>
      <c r="AK891" s="7">
        <v>1960</v>
      </c>
      <c r="AL891" s="16"/>
      <c r="AM891" s="2"/>
      <c r="AN891" s="6"/>
      <c r="AO891" s="6"/>
      <c r="AP891" s="6"/>
      <c r="AQ891" s="5"/>
      <c r="AR891" s="2"/>
      <c r="AS891" s="6"/>
      <c r="AT891" s="6"/>
      <c r="AU891" s="16"/>
      <c r="AV891" s="17"/>
      <c r="AW891" s="6">
        <f t="shared" ca="1" si="15"/>
        <v>64</v>
      </c>
    </row>
    <row r="892" s="147" customFormat="1" ht="45" customHeight="1" outlineLevel="1">
      <c r="A892" s="69"/>
      <c r="B892" s="3" t="s">
        <v>47</v>
      </c>
      <c r="C892" s="4"/>
      <c r="D892" s="5"/>
      <c r="E892" s="2" t="s">
        <v>694</v>
      </c>
      <c r="F892" s="6" t="s">
        <v>695</v>
      </c>
      <c r="G892" s="5" t="s">
        <v>696</v>
      </c>
      <c r="H892" s="2" t="s">
        <v>57</v>
      </c>
      <c r="I892" s="3" t="s">
        <v>2344</v>
      </c>
      <c r="J892" s="7">
        <v>1</v>
      </c>
      <c r="K892" s="70" t="s">
        <v>53</v>
      </c>
      <c r="L892" s="9">
        <v>1</v>
      </c>
      <c r="M892" s="3">
        <v>644</v>
      </c>
      <c r="N892" s="6">
        <v>1961</v>
      </c>
      <c r="O892" s="10"/>
      <c r="P892" s="71"/>
      <c r="Q892" s="10"/>
      <c r="R892" s="6">
        <v>1960</v>
      </c>
      <c r="S892" s="3" t="s">
        <v>54</v>
      </c>
      <c r="T892" s="72"/>
      <c r="U892" s="73"/>
      <c r="V892" s="12"/>
      <c r="W892" s="2" t="s">
        <v>2345</v>
      </c>
      <c r="X892" s="10" t="s">
        <v>56</v>
      </c>
      <c r="Y892" s="10" t="s">
        <v>57</v>
      </c>
      <c r="Z892" s="75"/>
      <c r="AA892" s="76"/>
      <c r="AB892" s="77">
        <v>22886</v>
      </c>
      <c r="AC892" s="77"/>
      <c r="AD892" s="6"/>
      <c r="AE892" s="7"/>
      <c r="AF892" s="7"/>
      <c r="AG892" s="7">
        <v>1962</v>
      </c>
      <c r="AH892" s="7">
        <v>1960</v>
      </c>
      <c r="AI892" s="7"/>
      <c r="AJ892" s="73"/>
      <c r="AK892" s="7"/>
      <c r="AL892" s="16"/>
      <c r="AM892" s="2" t="s">
        <v>59</v>
      </c>
      <c r="AN892" s="6"/>
      <c r="AO892" s="6" t="s">
        <v>59</v>
      </c>
      <c r="AP892" s="6"/>
      <c r="AQ892" s="5" t="s">
        <v>73</v>
      </c>
      <c r="AR892" s="2"/>
      <c r="AS892" s="6"/>
      <c r="AT892" s="6"/>
      <c r="AU892" s="16"/>
      <c r="AV892" s="17"/>
      <c r="AW892" s="6">
        <f t="shared" ca="1" si="15"/>
        <v>64</v>
      </c>
    </row>
    <row r="893" ht="45" customHeight="1" outlineLevel="1">
      <c r="A893" s="69"/>
      <c r="B893" s="3" t="s">
        <v>47</v>
      </c>
      <c r="E893" s="2" t="s">
        <v>63</v>
      </c>
      <c r="F893" s="6" t="s">
        <v>354</v>
      </c>
      <c r="G893" s="5" t="s">
        <v>971</v>
      </c>
      <c r="H893" s="2" t="s">
        <v>57</v>
      </c>
      <c r="I893" s="3" t="s">
        <v>2346</v>
      </c>
      <c r="J893" s="7">
        <v>1</v>
      </c>
      <c r="K893" s="70" t="s">
        <v>53</v>
      </c>
      <c r="L893" s="9">
        <v>1</v>
      </c>
      <c r="M893" s="3">
        <v>645</v>
      </c>
      <c r="N893" s="6">
        <v>1961</v>
      </c>
      <c r="P893" s="71"/>
      <c r="R893" s="6">
        <v>1960</v>
      </c>
      <c r="S893" s="3" t="s">
        <v>54</v>
      </c>
      <c r="T893" s="72"/>
      <c r="U893" s="73"/>
      <c r="W893" s="2" t="s">
        <v>2347</v>
      </c>
      <c r="X893" s="10" t="s">
        <v>56</v>
      </c>
      <c r="Y893" s="10" t="s">
        <v>57</v>
      </c>
      <c r="Z893" s="75"/>
      <c r="AA893" s="76"/>
      <c r="AB893" s="77">
        <v>22959</v>
      </c>
      <c r="AC893" s="77"/>
      <c r="AD893" s="6"/>
      <c r="AE893" s="7">
        <v>1961</v>
      </c>
      <c r="AF893" s="7">
        <v>37</v>
      </c>
      <c r="AG893" s="7">
        <v>1962</v>
      </c>
      <c r="AH893" s="7">
        <v>1960</v>
      </c>
      <c r="AI893" s="7"/>
      <c r="AJ893" s="73"/>
      <c r="AK893" s="7"/>
      <c r="AL893" s="16"/>
      <c r="AM893" s="2" t="s">
        <v>59</v>
      </c>
      <c r="AN893" s="6" t="s">
        <v>73</v>
      </c>
      <c r="AO893" s="6" t="s">
        <v>82</v>
      </c>
      <c r="AP893" s="6" t="s">
        <v>73</v>
      </c>
      <c r="AQ893" s="5" t="s">
        <v>73</v>
      </c>
      <c r="AW893" s="6">
        <f t="shared" ca="1" si="15"/>
        <v>64</v>
      </c>
    </row>
    <row r="894" s="147" customFormat="1" ht="45" hidden="1" customHeight="1" outlineLevel="1">
      <c r="A894" s="69">
        <v>44171</v>
      </c>
      <c r="B894" s="3" t="s">
        <v>1926</v>
      </c>
      <c r="C894" s="4" t="s">
        <v>2348</v>
      </c>
      <c r="D894" s="5" t="s">
        <v>2349</v>
      </c>
      <c r="E894" s="2" t="s">
        <v>83</v>
      </c>
      <c r="F894" s="6" t="s">
        <v>179</v>
      </c>
      <c r="G894" s="5" t="s">
        <v>339</v>
      </c>
      <c r="H894" s="2" t="s">
        <v>51</v>
      </c>
      <c r="I894" s="3" t="s">
        <v>2350</v>
      </c>
      <c r="J894" s="7">
        <v>1</v>
      </c>
      <c r="K894" s="104"/>
      <c r="L894" s="9">
        <v>1</v>
      </c>
      <c r="M894" s="3">
        <v>646</v>
      </c>
      <c r="N894" s="6">
        <v>1962</v>
      </c>
      <c r="O894" s="10"/>
      <c r="P894" s="71"/>
      <c r="Q894" s="10"/>
      <c r="R894" s="6">
        <v>1960</v>
      </c>
      <c r="S894" s="3" t="s">
        <v>283</v>
      </c>
      <c r="T894" s="72" t="s">
        <v>998</v>
      </c>
      <c r="U894" s="73"/>
      <c r="V894" s="12"/>
      <c r="W894" s="74" t="s">
        <v>62</v>
      </c>
      <c r="X894" s="10" t="s">
        <v>56</v>
      </c>
      <c r="Y894" s="10" t="s">
        <v>57</v>
      </c>
      <c r="Z894" s="75" t="s">
        <v>58</v>
      </c>
      <c r="AA894" s="76"/>
      <c r="AB894" s="77"/>
      <c r="AC894" s="77"/>
      <c r="AD894" s="6"/>
      <c r="AE894" s="7"/>
      <c r="AF894" s="7"/>
      <c r="AG894" s="7"/>
      <c r="AH894" s="7"/>
      <c r="AI894" s="7"/>
      <c r="AJ894" s="73"/>
      <c r="AK894" s="7"/>
      <c r="AL894" s="16"/>
      <c r="AM894" s="2"/>
      <c r="AN894" s="6"/>
      <c r="AO894" s="6"/>
      <c r="AP894" s="6"/>
      <c r="AQ894" s="5"/>
      <c r="AR894" s="2"/>
      <c r="AS894" s="6"/>
      <c r="AT894" s="6"/>
      <c r="AU894" s="16"/>
      <c r="AV894" s="17"/>
      <c r="AW894" s="6">
        <f t="shared" ca="1" si="15"/>
        <v>63</v>
      </c>
    </row>
    <row r="895" s="147" customFormat="1" ht="45" hidden="1" customHeight="1" outlineLevel="1">
      <c r="A895" s="69"/>
      <c r="B895" s="3" t="s">
        <v>47</v>
      </c>
      <c r="C895" s="4"/>
      <c r="D895" s="5" t="s">
        <v>2351</v>
      </c>
      <c r="E895" s="2" t="s">
        <v>83</v>
      </c>
      <c r="F895" s="6" t="s">
        <v>179</v>
      </c>
      <c r="G895" s="5" t="s">
        <v>339</v>
      </c>
      <c r="H895" s="2" t="s">
        <v>57</v>
      </c>
      <c r="I895" s="3" t="s">
        <v>2352</v>
      </c>
      <c r="J895" s="7">
        <v>1</v>
      </c>
      <c r="K895" s="104"/>
      <c r="L895" s="9">
        <v>1</v>
      </c>
      <c r="M895" s="3">
        <v>647</v>
      </c>
      <c r="N895" s="6">
        <v>1962</v>
      </c>
      <c r="O895" s="10"/>
      <c r="P895" s="71"/>
      <c r="Q895" s="10"/>
      <c r="R895" s="6">
        <v>1960</v>
      </c>
      <c r="S895" s="3" t="s">
        <v>236</v>
      </c>
      <c r="T895" s="72"/>
      <c r="U895" s="10">
        <v>43837</v>
      </c>
      <c r="V895" s="12"/>
      <c r="W895" s="2" t="s">
        <v>62</v>
      </c>
      <c r="X895" s="10" t="s">
        <v>56</v>
      </c>
      <c r="Y895" s="10" t="s">
        <v>57</v>
      </c>
      <c r="Z895" s="75"/>
      <c r="AA895" s="76"/>
      <c r="AB895" s="77"/>
      <c r="AC895" s="77"/>
      <c r="AD895" s="6"/>
      <c r="AE895" s="7"/>
      <c r="AF895" s="7"/>
      <c r="AG895" s="7"/>
      <c r="AH895" s="7"/>
      <c r="AI895" s="7"/>
      <c r="AJ895" s="10">
        <v>43837</v>
      </c>
      <c r="AK895" s="7">
        <v>2020</v>
      </c>
      <c r="AL895" s="16"/>
      <c r="AM895" s="2"/>
      <c r="AN895" s="6"/>
      <c r="AO895" s="6"/>
      <c r="AP895" s="6"/>
      <c r="AQ895" s="5"/>
      <c r="AR895" s="2"/>
      <c r="AS895" s="6"/>
      <c r="AT895" s="6"/>
      <c r="AU895" s="16"/>
      <c r="AV895" s="17"/>
      <c r="AW895" s="6">
        <f t="shared" ca="1" si="15"/>
        <v>63</v>
      </c>
    </row>
    <row r="896" s="147" customFormat="1" ht="45" hidden="1" customHeight="1" outlineLevel="1">
      <c r="A896" s="69">
        <v>43871</v>
      </c>
      <c r="B896" s="3" t="s">
        <v>47</v>
      </c>
      <c r="C896" s="4" t="s">
        <v>2353</v>
      </c>
      <c r="D896" s="5" t="s">
        <v>2354</v>
      </c>
      <c r="E896" s="2" t="s">
        <v>83</v>
      </c>
      <c r="F896" s="6" t="s">
        <v>179</v>
      </c>
      <c r="G896" s="5" t="s">
        <v>339</v>
      </c>
      <c r="H896" s="2" t="s">
        <v>57</v>
      </c>
      <c r="I896" s="3" t="s">
        <v>2355</v>
      </c>
      <c r="J896" s="7">
        <v>1</v>
      </c>
      <c r="K896" s="104"/>
      <c r="L896" s="9">
        <v>1</v>
      </c>
      <c r="M896" s="3">
        <v>648</v>
      </c>
      <c r="N896" s="6">
        <v>1962</v>
      </c>
      <c r="O896" s="10"/>
      <c r="P896" s="71"/>
      <c r="Q896" s="10"/>
      <c r="R896" s="6">
        <v>1960</v>
      </c>
      <c r="S896" s="3" t="s">
        <v>236</v>
      </c>
      <c r="T896" s="72" t="s">
        <v>1136</v>
      </c>
      <c r="U896" s="10"/>
      <c r="V896" s="12"/>
      <c r="W896" s="2" t="s">
        <v>62</v>
      </c>
      <c r="X896" s="10" t="s">
        <v>56</v>
      </c>
      <c r="Y896" s="10" t="s">
        <v>57</v>
      </c>
      <c r="Z896" s="75"/>
      <c r="AA896" s="76"/>
      <c r="AB896" s="77"/>
      <c r="AC896" s="77"/>
      <c r="AD896" s="6"/>
      <c r="AE896" s="7"/>
      <c r="AF896" s="7"/>
      <c r="AG896" s="7"/>
      <c r="AH896" s="7"/>
      <c r="AI896" s="7"/>
      <c r="AJ896" s="10">
        <v>44438</v>
      </c>
      <c r="AK896" s="7">
        <v>2020</v>
      </c>
      <c r="AL896" s="16"/>
      <c r="AM896" s="2"/>
      <c r="AN896" s="6"/>
      <c r="AO896" s="6"/>
      <c r="AP896" s="6"/>
      <c r="AQ896" s="5"/>
      <c r="AR896" s="2"/>
      <c r="AS896" s="6"/>
      <c r="AT896" s="6"/>
      <c r="AU896" s="16"/>
      <c r="AV896" s="17"/>
      <c r="AW896" s="6">
        <f t="shared" ca="1" si="15"/>
        <v>63</v>
      </c>
    </row>
    <row r="897" ht="45" customHeight="1" outlineLevel="1">
      <c r="A897" s="69">
        <v>44777</v>
      </c>
      <c r="B897" s="3" t="s">
        <v>1926</v>
      </c>
      <c r="C897" s="4" t="s">
        <v>2356</v>
      </c>
      <c r="D897" s="5" t="s">
        <v>2357</v>
      </c>
      <c r="E897" s="2" t="s">
        <v>63</v>
      </c>
      <c r="F897" s="6" t="s">
        <v>428</v>
      </c>
      <c r="G897" s="5" t="s">
        <v>429</v>
      </c>
      <c r="H897" s="2" t="s">
        <v>57</v>
      </c>
      <c r="I897" s="3" t="s">
        <v>2358</v>
      </c>
      <c r="J897" s="7">
        <v>1</v>
      </c>
      <c r="K897" s="70" t="s">
        <v>53</v>
      </c>
      <c r="L897" s="9">
        <v>1</v>
      </c>
      <c r="M897" s="3">
        <v>649</v>
      </c>
      <c r="N897" s="6">
        <v>1962</v>
      </c>
      <c r="P897" s="71"/>
      <c r="R897" s="6">
        <v>1960</v>
      </c>
      <c r="S897" s="3" t="s">
        <v>195</v>
      </c>
      <c r="T897" s="72" t="s">
        <v>998</v>
      </c>
      <c r="U897" s="73"/>
      <c r="W897" s="74" t="s">
        <v>2359</v>
      </c>
      <c r="X897" s="10" t="s">
        <v>56</v>
      </c>
      <c r="Y897" s="10" t="s">
        <v>57</v>
      </c>
      <c r="Z897" s="75"/>
      <c r="AA897" s="76"/>
      <c r="AB897" s="77">
        <v>23599</v>
      </c>
      <c r="AC897" s="77"/>
      <c r="AD897" s="6"/>
      <c r="AG897" s="7">
        <v>1964</v>
      </c>
      <c r="AH897" s="7">
        <v>1960</v>
      </c>
      <c r="AI897" s="7"/>
      <c r="AJ897" s="73"/>
      <c r="AK897" s="7"/>
      <c r="AL897" s="75" t="s">
        <v>2360</v>
      </c>
      <c r="AM897" s="2" t="s">
        <v>59</v>
      </c>
      <c r="AO897" s="6" t="s">
        <v>53</v>
      </c>
      <c r="AP897" s="6" t="s">
        <v>73</v>
      </c>
      <c r="AQ897" s="5" t="s">
        <v>73</v>
      </c>
      <c r="AU897" s="16" t="s">
        <v>2361</v>
      </c>
      <c r="AW897" s="6">
        <f t="shared" ca="1" si="15"/>
        <v>63</v>
      </c>
    </row>
    <row r="898" ht="45" customHeight="1" outlineLevel="1">
      <c r="A898" s="69"/>
      <c r="B898" s="3" t="s">
        <v>47</v>
      </c>
      <c r="E898" s="2" t="s">
        <v>63</v>
      </c>
      <c r="F898" s="6" t="s">
        <v>428</v>
      </c>
      <c r="G898" s="5" t="s">
        <v>429</v>
      </c>
      <c r="H898" s="2" t="s">
        <v>57</v>
      </c>
      <c r="I898" s="3" t="s">
        <v>2362</v>
      </c>
      <c r="J898" s="7">
        <v>1</v>
      </c>
      <c r="K898" s="70" t="s">
        <v>53</v>
      </c>
      <c r="L898" s="9">
        <v>1</v>
      </c>
      <c r="M898" s="3">
        <v>650</v>
      </c>
      <c r="N898" s="6">
        <v>1962</v>
      </c>
      <c r="P898" s="71"/>
      <c r="R898" s="6">
        <v>1960</v>
      </c>
      <c r="S898" s="3" t="s">
        <v>54</v>
      </c>
      <c r="T898" s="72"/>
      <c r="U898" s="73"/>
      <c r="W898" s="2" t="s">
        <v>2363</v>
      </c>
      <c r="X898" s="10" t="s">
        <v>56</v>
      </c>
      <c r="Y898" s="10" t="s">
        <v>57</v>
      </c>
      <c r="Z898" s="75"/>
      <c r="AA898" s="76"/>
      <c r="AB898" s="77"/>
      <c r="AC898" s="77">
        <v>23599</v>
      </c>
      <c r="AD898" s="10"/>
      <c r="AG898" s="7">
        <v>1964</v>
      </c>
      <c r="AH898" s="7">
        <v>1960</v>
      </c>
      <c r="AI898" s="7"/>
      <c r="AJ898" s="73"/>
      <c r="AK898" s="7"/>
      <c r="AL898" s="16"/>
      <c r="AM898" s="2" t="s">
        <v>59</v>
      </c>
      <c r="AO898" s="6" t="s">
        <v>136</v>
      </c>
      <c r="AQ898" s="5" t="s">
        <v>104</v>
      </c>
      <c r="AU898" s="167" t="s">
        <v>2364</v>
      </c>
      <c r="AV898" s="168"/>
      <c r="AW898" s="6">
        <f t="shared" ca="1" si="15"/>
        <v>63</v>
      </c>
    </row>
    <row r="899" ht="65.25" customHeight="1" outlineLevel="1">
      <c r="A899" s="69"/>
      <c r="B899" s="3" t="s">
        <v>47</v>
      </c>
      <c r="C899" s="4" t="s">
        <v>2365</v>
      </c>
      <c r="D899" s="5" t="s">
        <v>2366</v>
      </c>
      <c r="E899" s="78" t="s">
        <v>63</v>
      </c>
      <c r="F899" s="79" t="s">
        <v>428</v>
      </c>
      <c r="G899" s="80" t="s">
        <v>429</v>
      </c>
      <c r="H899" s="78" t="s">
        <v>68</v>
      </c>
      <c r="I899" s="81" t="s">
        <v>2367</v>
      </c>
      <c r="J899" s="7">
        <v>1</v>
      </c>
      <c r="K899" s="70" t="s">
        <v>53</v>
      </c>
      <c r="L899" s="9">
        <v>1</v>
      </c>
      <c r="M899" s="3">
        <v>651</v>
      </c>
      <c r="N899" s="6">
        <v>1962</v>
      </c>
      <c r="P899" s="71"/>
      <c r="R899" s="6">
        <v>1960</v>
      </c>
      <c r="S899" s="3" t="s">
        <v>54</v>
      </c>
      <c r="T899" s="72"/>
      <c r="U899" s="73"/>
      <c r="W899" s="78" t="s">
        <v>2368</v>
      </c>
      <c r="X899" s="82" t="s">
        <v>56</v>
      </c>
      <c r="Y899" s="82" t="s">
        <v>57</v>
      </c>
      <c r="Z899" s="83"/>
      <c r="AA899" s="76">
        <v>40912</v>
      </c>
      <c r="AB899" s="77">
        <v>40912</v>
      </c>
      <c r="AC899" s="77">
        <v>40912</v>
      </c>
      <c r="AD899" s="6"/>
      <c r="AE899" s="7">
        <v>2008</v>
      </c>
      <c r="AF899" s="7">
        <v>57</v>
      </c>
      <c r="AG899" s="7">
        <v>2012</v>
      </c>
      <c r="AH899" s="7">
        <v>2010</v>
      </c>
      <c r="AI899" s="7"/>
      <c r="AJ899" s="73"/>
      <c r="AK899" s="7"/>
      <c r="AL899" s="99"/>
      <c r="AM899" s="2" t="s">
        <v>59</v>
      </c>
      <c r="AO899" s="6" t="s">
        <v>53</v>
      </c>
      <c r="AP899" s="6" t="s">
        <v>73</v>
      </c>
      <c r="AQ899" s="5" t="s">
        <v>73</v>
      </c>
      <c r="AW899" s="6">
        <f t="shared" ca="1" si="15"/>
        <v>63</v>
      </c>
    </row>
    <row r="900" ht="45" customHeight="1" outlineLevel="1">
      <c r="A900" s="69"/>
      <c r="B900" s="3" t="s">
        <v>47</v>
      </c>
      <c r="E900" s="2" t="s">
        <v>63</v>
      </c>
      <c r="F900" s="6" t="s">
        <v>428</v>
      </c>
      <c r="G900" s="5" t="s">
        <v>2369</v>
      </c>
      <c r="H900" s="2" t="s">
        <v>51</v>
      </c>
      <c r="I900" s="3" t="s">
        <v>2370</v>
      </c>
      <c r="J900" s="7">
        <v>1</v>
      </c>
      <c r="K900" s="70" t="s">
        <v>53</v>
      </c>
      <c r="L900" s="9">
        <v>1</v>
      </c>
      <c r="M900" s="3">
        <v>652</v>
      </c>
      <c r="N900" s="6">
        <v>1962</v>
      </c>
      <c r="P900" s="71"/>
      <c r="R900" s="6">
        <v>1960</v>
      </c>
      <c r="S900" s="3" t="s">
        <v>54</v>
      </c>
      <c r="T900" s="72"/>
      <c r="U900" s="73"/>
      <c r="W900" s="2" t="s">
        <v>2371</v>
      </c>
      <c r="X900" s="10" t="s">
        <v>56</v>
      </c>
      <c r="Y900" s="10" t="s">
        <v>57</v>
      </c>
      <c r="Z900" s="75" t="s">
        <v>58</v>
      </c>
      <c r="AA900" s="76"/>
      <c r="AB900" s="77">
        <v>29329</v>
      </c>
      <c r="AC900" s="77">
        <v>29329</v>
      </c>
      <c r="AD900" s="10"/>
      <c r="AE900" s="7">
        <v>1979</v>
      </c>
      <c r="AF900" s="7">
        <v>84</v>
      </c>
      <c r="AG900" s="7">
        <v>1980</v>
      </c>
      <c r="AH900" s="7">
        <v>1980</v>
      </c>
      <c r="AI900" s="7"/>
      <c r="AJ900" s="73"/>
      <c r="AK900" s="7"/>
      <c r="AL900" s="16"/>
      <c r="AM900" s="2" t="s">
        <v>59</v>
      </c>
      <c r="AW900" s="6">
        <f t="shared" ca="1" si="15"/>
        <v>63</v>
      </c>
    </row>
    <row r="901" ht="45" customHeight="1" outlineLevel="1">
      <c r="A901" s="69"/>
      <c r="B901" s="3" t="s">
        <v>47</v>
      </c>
      <c r="E901" s="2" t="s">
        <v>63</v>
      </c>
      <c r="F901" s="6" t="s">
        <v>428</v>
      </c>
      <c r="G901" s="5" t="s">
        <v>2372</v>
      </c>
      <c r="H901" s="2" t="s">
        <v>57</v>
      </c>
      <c r="I901" s="3" t="s">
        <v>2373</v>
      </c>
      <c r="J901" s="7">
        <v>1</v>
      </c>
      <c r="K901" s="70" t="s">
        <v>53</v>
      </c>
      <c r="L901" s="9">
        <v>1</v>
      </c>
      <c r="M901" s="3">
        <v>653</v>
      </c>
      <c r="N901" s="6">
        <v>1962</v>
      </c>
      <c r="P901" s="71"/>
      <c r="R901" s="6">
        <v>1960</v>
      </c>
      <c r="S901" s="3" t="s">
        <v>54</v>
      </c>
      <c r="T901" s="72"/>
      <c r="U901" s="73"/>
      <c r="W901" s="2" t="s">
        <v>2374</v>
      </c>
      <c r="X901" s="10" t="s">
        <v>56</v>
      </c>
      <c r="Y901" s="10" t="s">
        <v>57</v>
      </c>
      <c r="Z901" s="75"/>
      <c r="AA901" s="76"/>
      <c r="AB901" s="77">
        <v>27715</v>
      </c>
      <c r="AC901" s="77"/>
      <c r="AD901" s="6"/>
      <c r="AG901" s="7">
        <v>1975</v>
      </c>
      <c r="AH901" s="7">
        <v>1970</v>
      </c>
      <c r="AI901" s="7"/>
      <c r="AJ901" s="73"/>
      <c r="AK901" s="7"/>
      <c r="AL901" s="16"/>
      <c r="AM901" s="2" t="s">
        <v>59</v>
      </c>
      <c r="AO901" s="6" t="s">
        <v>59</v>
      </c>
      <c r="AW901" s="6">
        <f t="shared" ca="1" si="15"/>
        <v>63</v>
      </c>
    </row>
    <row r="902" ht="45" hidden="1" customHeight="1" outlineLevel="1">
      <c r="A902" s="69"/>
      <c r="B902" s="3" t="s">
        <v>47</v>
      </c>
      <c r="C902" s="4" t="s">
        <v>1263</v>
      </c>
      <c r="E902" s="2" t="s">
        <v>83</v>
      </c>
      <c r="F902" s="6" t="s">
        <v>179</v>
      </c>
      <c r="G902" s="5" t="s">
        <v>180</v>
      </c>
      <c r="H902" s="2" t="s">
        <v>181</v>
      </c>
      <c r="I902" s="96" t="s">
        <v>2375</v>
      </c>
      <c r="J902" s="7">
        <v>1</v>
      </c>
      <c r="K902" s="104"/>
      <c r="L902" s="9">
        <v>1</v>
      </c>
      <c r="M902" s="3">
        <v>654</v>
      </c>
      <c r="N902" s="6">
        <v>1962</v>
      </c>
      <c r="P902" s="71"/>
      <c r="R902" s="6">
        <v>1960</v>
      </c>
      <c r="S902" s="3" t="s">
        <v>236</v>
      </c>
      <c r="T902" s="72"/>
      <c r="U902" s="73"/>
      <c r="W902" s="2" t="s">
        <v>62</v>
      </c>
      <c r="X902" s="10" t="s">
        <v>56</v>
      </c>
      <c r="Y902" s="10" t="s">
        <v>181</v>
      </c>
      <c r="Z902" s="75"/>
      <c r="AA902" s="76"/>
      <c r="AB902" s="77"/>
      <c r="AC902" s="77"/>
      <c r="AD902" s="6"/>
      <c r="AI902" s="7"/>
      <c r="AJ902" s="95">
        <v>38044</v>
      </c>
      <c r="AK902" s="7">
        <v>2000</v>
      </c>
      <c r="AL902" s="16"/>
      <c r="AW902" s="6">
        <f t="shared" ca="1" si="15"/>
        <v>63</v>
      </c>
    </row>
    <row r="903" ht="45" customHeight="1" outlineLevel="1">
      <c r="A903" s="69"/>
      <c r="B903" s="3" t="s">
        <v>47</v>
      </c>
      <c r="E903" s="2" t="s">
        <v>83</v>
      </c>
      <c r="F903" s="6" t="s">
        <v>84</v>
      </c>
      <c r="G903" s="5" t="s">
        <v>2021</v>
      </c>
      <c r="H903" s="2" t="s">
        <v>51</v>
      </c>
      <c r="I903" s="3" t="s">
        <v>2376</v>
      </c>
      <c r="J903" s="7">
        <v>1</v>
      </c>
      <c r="K903" s="70" t="s">
        <v>53</v>
      </c>
      <c r="L903" s="9">
        <v>1</v>
      </c>
      <c r="M903" s="3">
        <v>655</v>
      </c>
      <c r="N903" s="6">
        <v>1961</v>
      </c>
      <c r="P903" s="71"/>
      <c r="R903" s="6">
        <v>1960</v>
      </c>
      <c r="S903" s="3" t="s">
        <v>54</v>
      </c>
      <c r="T903" s="72"/>
      <c r="U903" s="73"/>
      <c r="W903" s="2" t="s">
        <v>2377</v>
      </c>
      <c r="X903" s="10" t="s">
        <v>56</v>
      </c>
      <c r="Y903" s="10" t="s">
        <v>57</v>
      </c>
      <c r="Z903" s="75" t="s">
        <v>58</v>
      </c>
      <c r="AA903" s="76"/>
      <c r="AB903" s="77">
        <v>22690</v>
      </c>
      <c r="AC903" s="77"/>
      <c r="AD903" s="6"/>
      <c r="AG903" s="7">
        <v>1962</v>
      </c>
      <c r="AH903" s="7">
        <v>1960</v>
      </c>
      <c r="AI903" s="7"/>
      <c r="AJ903" s="73"/>
      <c r="AK903" s="7"/>
      <c r="AL903" s="16"/>
      <c r="AM903" s="2" t="s">
        <v>59</v>
      </c>
      <c r="AO903" s="6" t="s">
        <v>59</v>
      </c>
      <c r="AQ903" s="5" t="s">
        <v>73</v>
      </c>
      <c r="AU903" s="16" t="s">
        <v>2024</v>
      </c>
      <c r="AW903" s="6">
        <f t="shared" ca="1" si="15"/>
        <v>64</v>
      </c>
    </row>
    <row r="904" ht="45" customHeight="1" outlineLevel="1">
      <c r="A904" s="69"/>
      <c r="B904" s="3" t="s">
        <v>47</v>
      </c>
      <c r="E904" s="2" t="s">
        <v>83</v>
      </c>
      <c r="F904" s="6" t="s">
        <v>84</v>
      </c>
      <c r="G904" s="5" t="s">
        <v>2021</v>
      </c>
      <c r="H904" s="2" t="s">
        <v>51</v>
      </c>
      <c r="I904" s="3" t="s">
        <v>2378</v>
      </c>
      <c r="J904" s="7">
        <v>1</v>
      </c>
      <c r="K904" s="70" t="s">
        <v>53</v>
      </c>
      <c r="L904" s="9">
        <v>1</v>
      </c>
      <c r="M904" s="3">
        <v>656</v>
      </c>
      <c r="N904" s="6">
        <v>1962</v>
      </c>
      <c r="P904" s="71"/>
      <c r="R904" s="6">
        <v>1960</v>
      </c>
      <c r="S904" s="3" t="s">
        <v>54</v>
      </c>
      <c r="T904" s="72"/>
      <c r="U904" s="73"/>
      <c r="W904" s="2" t="s">
        <v>2379</v>
      </c>
      <c r="X904" s="10" t="s">
        <v>56</v>
      </c>
      <c r="Y904" s="10" t="s">
        <v>57</v>
      </c>
      <c r="Z904" s="75" t="s">
        <v>58</v>
      </c>
      <c r="AA904" s="76"/>
      <c r="AB904" s="77">
        <v>22690</v>
      </c>
      <c r="AC904" s="77"/>
      <c r="AD904" s="6"/>
      <c r="AG904" s="7">
        <v>1962</v>
      </c>
      <c r="AH904" s="7">
        <v>1960</v>
      </c>
      <c r="AI904" s="7"/>
      <c r="AJ904" s="73"/>
      <c r="AK904" s="7"/>
      <c r="AL904" s="16"/>
      <c r="AM904" s="2" t="s">
        <v>59</v>
      </c>
      <c r="AO904" s="6" t="s">
        <v>59</v>
      </c>
      <c r="AQ904" s="5" t="s">
        <v>73</v>
      </c>
      <c r="AU904" s="16" t="s">
        <v>2024</v>
      </c>
      <c r="AW904" s="6">
        <f t="shared" ca="1" si="15"/>
        <v>63</v>
      </c>
    </row>
    <row r="905" ht="45" customHeight="1" outlineLevel="1">
      <c r="A905" s="69"/>
      <c r="B905" s="3" t="s">
        <v>47</v>
      </c>
      <c r="E905" s="2" t="s">
        <v>83</v>
      </c>
      <c r="F905" s="6" t="s">
        <v>84</v>
      </c>
      <c r="G905" s="5" t="s">
        <v>2021</v>
      </c>
      <c r="H905" s="2" t="s">
        <v>51</v>
      </c>
      <c r="I905" s="3" t="s">
        <v>2380</v>
      </c>
      <c r="J905" s="7">
        <v>1</v>
      </c>
      <c r="K905" s="70" t="s">
        <v>53</v>
      </c>
      <c r="L905" s="9">
        <v>1</v>
      </c>
      <c r="M905" s="3">
        <v>657</v>
      </c>
      <c r="N905" s="6">
        <v>1962</v>
      </c>
      <c r="P905" s="71"/>
      <c r="R905" s="6">
        <v>1960</v>
      </c>
      <c r="S905" s="3" t="s">
        <v>54</v>
      </c>
      <c r="T905" s="72"/>
      <c r="U905" s="73"/>
      <c r="W905" s="2" t="s">
        <v>2381</v>
      </c>
      <c r="X905" s="10" t="s">
        <v>56</v>
      </c>
      <c r="Y905" s="10" t="s">
        <v>57</v>
      </c>
      <c r="Z905" s="75" t="s">
        <v>58</v>
      </c>
      <c r="AA905" s="76"/>
      <c r="AB905" s="77">
        <v>22690</v>
      </c>
      <c r="AC905" s="77"/>
      <c r="AD905" s="6"/>
      <c r="AG905" s="7">
        <v>1962</v>
      </c>
      <c r="AH905" s="7">
        <v>1960</v>
      </c>
      <c r="AI905" s="7"/>
      <c r="AJ905" s="73"/>
      <c r="AK905" s="7"/>
      <c r="AL905" s="16"/>
      <c r="AM905" s="2" t="s">
        <v>59</v>
      </c>
      <c r="AO905" s="6" t="s">
        <v>59</v>
      </c>
      <c r="AQ905" s="5" t="s">
        <v>73</v>
      </c>
      <c r="AU905" s="16" t="s">
        <v>2024</v>
      </c>
      <c r="AW905" s="6">
        <f t="shared" ca="1" si="15"/>
        <v>63</v>
      </c>
    </row>
    <row r="906" ht="45" customHeight="1" outlineLevel="1">
      <c r="A906" s="69"/>
      <c r="B906" s="3" t="s">
        <v>47</v>
      </c>
      <c r="E906" s="2" t="s">
        <v>83</v>
      </c>
      <c r="F906" s="6" t="s">
        <v>84</v>
      </c>
      <c r="G906" s="5" t="s">
        <v>2021</v>
      </c>
      <c r="H906" s="2" t="s">
        <v>51</v>
      </c>
      <c r="I906" s="3" t="s">
        <v>2382</v>
      </c>
      <c r="J906" s="7">
        <v>1</v>
      </c>
      <c r="K906" s="70" t="s">
        <v>53</v>
      </c>
      <c r="L906" s="9">
        <v>1</v>
      </c>
      <c r="M906" s="3">
        <v>658</v>
      </c>
      <c r="N906" s="6">
        <v>1962</v>
      </c>
      <c r="P906" s="71"/>
      <c r="R906" s="6">
        <v>1960</v>
      </c>
      <c r="S906" s="3" t="s">
        <v>54</v>
      </c>
      <c r="T906" s="72"/>
      <c r="U906" s="73"/>
      <c r="W906" s="2" t="s">
        <v>2383</v>
      </c>
      <c r="X906" s="10" t="s">
        <v>56</v>
      </c>
      <c r="Y906" s="10" t="s">
        <v>57</v>
      </c>
      <c r="Z906" s="75" t="s">
        <v>58</v>
      </c>
      <c r="AA906" s="76"/>
      <c r="AB906" s="77">
        <v>22690</v>
      </c>
      <c r="AC906" s="77"/>
      <c r="AD906" s="6"/>
      <c r="AG906" s="7">
        <v>1962</v>
      </c>
      <c r="AH906" s="7">
        <v>1960</v>
      </c>
      <c r="AI906" s="7"/>
      <c r="AJ906" s="73"/>
      <c r="AK906" s="7"/>
      <c r="AL906" s="16"/>
      <c r="AM906" s="2" t="s">
        <v>59</v>
      </c>
      <c r="AO906" s="6" t="s">
        <v>59</v>
      </c>
      <c r="AQ906" s="5" t="s">
        <v>73</v>
      </c>
      <c r="AU906" s="16" t="s">
        <v>2024</v>
      </c>
      <c r="AW906" s="6">
        <f t="shared" ca="1" si="15"/>
        <v>63</v>
      </c>
    </row>
    <row r="907" ht="45" customHeight="1" outlineLevel="1">
      <c r="A907" s="69"/>
      <c r="B907" s="3" t="s">
        <v>47</v>
      </c>
      <c r="E907" s="110" t="s">
        <v>48</v>
      </c>
      <c r="F907" s="121" t="s">
        <v>564</v>
      </c>
      <c r="G907" s="120" t="s">
        <v>837</v>
      </c>
      <c r="H907" s="110" t="s">
        <v>68</v>
      </c>
      <c r="I907" s="94" t="s">
        <v>2384</v>
      </c>
      <c r="J907" s="122">
        <v>1</v>
      </c>
      <c r="K907" s="123" t="s">
        <v>53</v>
      </c>
      <c r="L907" s="124">
        <v>1</v>
      </c>
      <c r="M907" s="94">
        <v>659</v>
      </c>
      <c r="N907" s="121">
        <v>1962</v>
      </c>
      <c r="O907" s="112"/>
      <c r="P907" s="125"/>
      <c r="Q907" s="112"/>
      <c r="R907" s="121">
        <v>1960</v>
      </c>
      <c r="S907" s="94" t="s">
        <v>54</v>
      </c>
      <c r="T907" s="72"/>
      <c r="U907" s="126"/>
      <c r="V907" s="127"/>
      <c r="W907" s="110" t="s">
        <v>2385</v>
      </c>
      <c r="X907" s="112" t="s">
        <v>56</v>
      </c>
      <c r="Y907" s="112" t="s">
        <v>68</v>
      </c>
      <c r="Z907" s="113" t="s">
        <v>905</v>
      </c>
      <c r="AA907" s="128">
        <v>22959</v>
      </c>
      <c r="AB907" s="77">
        <v>22959</v>
      </c>
      <c r="AC907" s="77"/>
      <c r="AD907" s="6"/>
      <c r="AE907" s="7">
        <v>1962</v>
      </c>
      <c r="AF907" s="7">
        <v>40</v>
      </c>
      <c r="AG907" s="7">
        <v>1962</v>
      </c>
      <c r="AH907" s="7">
        <v>1960</v>
      </c>
      <c r="AI907" s="7"/>
      <c r="AJ907" s="73"/>
      <c r="AK907" s="7"/>
      <c r="AL907" s="16"/>
      <c r="AM907" s="2" t="s">
        <v>82</v>
      </c>
      <c r="AO907" s="6" t="s">
        <v>136</v>
      </c>
      <c r="AP907" s="6" t="s">
        <v>73</v>
      </c>
      <c r="AQ907" s="5" t="s">
        <v>73</v>
      </c>
      <c r="AW907" s="6">
        <f t="shared" ca="1" si="15"/>
        <v>63</v>
      </c>
    </row>
    <row r="908" ht="45" hidden="1" customHeight="1" outlineLevel="1">
      <c r="A908" s="69"/>
      <c r="B908" s="3" t="s">
        <v>47</v>
      </c>
      <c r="C908" s="4" t="s">
        <v>2386</v>
      </c>
      <c r="E908" s="2" t="s">
        <v>63</v>
      </c>
      <c r="F908" s="6" t="s">
        <v>354</v>
      </c>
      <c r="G908" s="5" t="s">
        <v>971</v>
      </c>
      <c r="H908" s="2" t="s">
        <v>57</v>
      </c>
      <c r="I908" s="3" t="s">
        <v>2387</v>
      </c>
      <c r="J908" s="7">
        <v>1</v>
      </c>
      <c r="K908" s="104"/>
      <c r="L908" s="9">
        <v>1</v>
      </c>
      <c r="M908" s="3">
        <v>660</v>
      </c>
      <c r="N908" s="6">
        <v>1962</v>
      </c>
      <c r="P908" s="71"/>
      <c r="R908" s="6">
        <v>1960</v>
      </c>
      <c r="S908" s="3" t="s">
        <v>236</v>
      </c>
      <c r="T908" s="72"/>
      <c r="U908" s="73"/>
      <c r="W908" s="2" t="s">
        <v>62</v>
      </c>
      <c r="X908" s="10" t="s">
        <v>56</v>
      </c>
      <c r="Y908" s="10" t="s">
        <v>57</v>
      </c>
      <c r="Z908" s="75"/>
      <c r="AA908" s="76"/>
      <c r="AB908" s="77"/>
      <c r="AC908" s="77"/>
      <c r="AD908" s="6"/>
      <c r="AI908" s="7"/>
      <c r="AJ908" s="95">
        <v>39595</v>
      </c>
      <c r="AK908" s="7">
        <v>2000</v>
      </c>
      <c r="AL908" s="99" t="s">
        <v>2388</v>
      </c>
      <c r="AW908" s="6">
        <f t="shared" ca="1" si="15"/>
        <v>63</v>
      </c>
    </row>
    <row r="909" ht="45" hidden="1" customHeight="1" outlineLevel="1">
      <c r="A909" s="69"/>
      <c r="B909" s="3" t="s">
        <v>190</v>
      </c>
      <c r="C909" s="4" t="s">
        <v>2389</v>
      </c>
      <c r="D909" s="5" t="s">
        <v>995</v>
      </c>
      <c r="E909" s="2" t="s">
        <v>83</v>
      </c>
      <c r="F909" s="6" t="s">
        <v>704</v>
      </c>
      <c r="G909" s="5" t="s">
        <v>996</v>
      </c>
      <c r="H909" s="2" t="s">
        <v>88</v>
      </c>
      <c r="I909" s="3" t="s">
        <v>2390</v>
      </c>
      <c r="J909" s="7">
        <v>1</v>
      </c>
      <c r="K909" s="104"/>
      <c r="L909" s="9">
        <v>1</v>
      </c>
      <c r="M909" s="3">
        <v>661</v>
      </c>
      <c r="N909" s="6">
        <v>1962</v>
      </c>
      <c r="P909" s="71"/>
      <c r="R909" s="6">
        <v>1960</v>
      </c>
      <c r="S909" s="3" t="s">
        <v>939</v>
      </c>
      <c r="T909" s="72"/>
      <c r="U909" s="73"/>
      <c r="W909" s="74" t="s">
        <v>62</v>
      </c>
      <c r="X909" s="10" t="s">
        <v>91</v>
      </c>
      <c r="Y909" s="10" t="s">
        <v>214</v>
      </c>
      <c r="Z909" s="75" t="s">
        <v>58</v>
      </c>
      <c r="AA909" s="76"/>
      <c r="AB909" s="77"/>
      <c r="AC909" s="77"/>
      <c r="AD909" s="6"/>
      <c r="AI909" s="7"/>
      <c r="AJ909" s="73"/>
      <c r="AK909" s="7"/>
      <c r="AW909" s="6">
        <f t="shared" ca="1" si="15"/>
        <v>63</v>
      </c>
    </row>
    <row r="910" ht="45" customHeight="1" outlineLevel="1">
      <c r="A910" s="69">
        <v>45561</v>
      </c>
      <c r="B910" s="3" t="s">
        <v>1926</v>
      </c>
      <c r="C910" s="4" t="s">
        <v>2391</v>
      </c>
      <c r="D910" s="5" t="s">
        <v>2392</v>
      </c>
      <c r="E910" s="2" t="s">
        <v>83</v>
      </c>
      <c r="F910" s="6" t="s">
        <v>84</v>
      </c>
      <c r="G910" s="5" t="s">
        <v>850</v>
      </c>
      <c r="H910" s="2" t="s">
        <v>288</v>
      </c>
      <c r="I910" s="3" t="s">
        <v>2393</v>
      </c>
      <c r="J910" s="7">
        <v>1</v>
      </c>
      <c r="K910" s="70" t="s">
        <v>53</v>
      </c>
      <c r="L910" s="9">
        <v>1</v>
      </c>
      <c r="M910" s="3">
        <v>662</v>
      </c>
      <c r="N910" s="6">
        <v>1962</v>
      </c>
      <c r="O910" s="10">
        <v>22706</v>
      </c>
      <c r="P910" s="71" t="s">
        <v>2394</v>
      </c>
      <c r="R910" s="6">
        <v>1960</v>
      </c>
      <c r="S910" s="3" t="s">
        <v>195</v>
      </c>
      <c r="T910" s="72"/>
      <c r="U910" s="73"/>
      <c r="W910" s="74" t="s">
        <v>2395</v>
      </c>
      <c r="X910" s="10" t="s">
        <v>56</v>
      </c>
      <c r="Y910" s="10" t="s">
        <v>288</v>
      </c>
      <c r="Z910" s="75"/>
      <c r="AA910" s="76" t="s">
        <v>2396</v>
      </c>
      <c r="AB910" s="77"/>
      <c r="AC910" s="77"/>
      <c r="AD910" s="6"/>
      <c r="AE910" s="7" t="s">
        <v>2397</v>
      </c>
      <c r="AF910" s="7" t="s">
        <v>2398</v>
      </c>
      <c r="AG910" s="7">
        <v>1964</v>
      </c>
      <c r="AH910" s="7">
        <v>1960</v>
      </c>
      <c r="AI910" s="6" t="s">
        <v>2399</v>
      </c>
      <c r="AJ910" s="73"/>
      <c r="AL910" s="16" t="s">
        <v>2400</v>
      </c>
      <c r="AM910" s="2" t="s">
        <v>53</v>
      </c>
      <c r="AN910" s="6" t="s">
        <v>73</v>
      </c>
      <c r="AO910" s="6" t="s">
        <v>100</v>
      </c>
      <c r="AP910" s="6" t="s">
        <v>73</v>
      </c>
      <c r="AQ910" s="5" t="s">
        <v>73</v>
      </c>
      <c r="AR910" s="87" t="s">
        <v>73</v>
      </c>
      <c r="AS910" s="88"/>
      <c r="AT910" s="88" t="s">
        <v>2401</v>
      </c>
      <c r="AU910" s="89" t="s">
        <v>2402</v>
      </c>
      <c r="AV910" s="90"/>
      <c r="AW910" s="6">
        <f t="shared" ca="1" si="15"/>
        <v>63</v>
      </c>
    </row>
    <row r="911" ht="45" hidden="1" customHeight="1">
      <c r="A911" s="69"/>
      <c r="B911" s="3" t="s">
        <v>47</v>
      </c>
      <c r="C911" s="4" t="s">
        <v>2403</v>
      </c>
      <c r="E911" s="2" t="s">
        <v>63</v>
      </c>
      <c r="F911" s="6" t="s">
        <v>1480</v>
      </c>
      <c r="G911" s="5" t="s">
        <v>2404</v>
      </c>
      <c r="H911" s="2" t="s">
        <v>57</v>
      </c>
      <c r="I911" s="3" t="s">
        <v>2405</v>
      </c>
      <c r="J911" s="7">
        <v>1</v>
      </c>
      <c r="K911" s="104"/>
      <c r="L911" s="9">
        <v>1</v>
      </c>
      <c r="M911" s="3">
        <v>663</v>
      </c>
      <c r="N911" s="6">
        <v>1962</v>
      </c>
      <c r="P911" s="71"/>
      <c r="R911" s="6">
        <v>1960</v>
      </c>
      <c r="S911" s="3" t="s">
        <v>236</v>
      </c>
      <c r="T911" s="72"/>
      <c r="U911" s="73"/>
      <c r="W911" s="2" t="s">
        <v>62</v>
      </c>
      <c r="X911" s="10" t="s">
        <v>56</v>
      </c>
      <c r="Y911" s="10" t="s">
        <v>57</v>
      </c>
      <c r="Z911" s="75"/>
      <c r="AA911" s="76"/>
      <c r="AB911" s="77"/>
      <c r="AC911" s="77"/>
      <c r="AD911" s="6"/>
      <c r="AJ911" s="95">
        <v>22819</v>
      </c>
      <c r="AK911" s="7">
        <v>1960</v>
      </c>
      <c r="AL911" s="16"/>
      <c r="AW911" s="6">
        <f t="shared" ca="1" si="15"/>
        <v>63</v>
      </c>
    </row>
    <row r="912" ht="45" customHeight="1" outlineLevel="1">
      <c r="A912" s="69"/>
      <c r="B912" s="3" t="s">
        <v>47</v>
      </c>
      <c r="E912" s="2" t="s">
        <v>63</v>
      </c>
      <c r="F912" s="6" t="s">
        <v>1480</v>
      </c>
      <c r="G912" s="5" t="s">
        <v>1481</v>
      </c>
      <c r="H912" s="2" t="s">
        <v>382</v>
      </c>
      <c r="I912" s="3" t="s">
        <v>2406</v>
      </c>
      <c r="J912" s="114">
        <v>1</v>
      </c>
      <c r="K912" s="70" t="s">
        <v>53</v>
      </c>
      <c r="L912" s="9">
        <v>1</v>
      </c>
      <c r="M912" s="3">
        <v>664</v>
      </c>
      <c r="N912" s="6">
        <v>1962</v>
      </c>
      <c r="P912" s="71"/>
      <c r="R912" s="6">
        <v>1960</v>
      </c>
      <c r="S912" s="3" t="s">
        <v>54</v>
      </c>
      <c r="T912" s="72"/>
      <c r="U912" s="73"/>
      <c r="W912" s="2" t="s">
        <v>2407</v>
      </c>
      <c r="X912" s="10" t="s">
        <v>91</v>
      </c>
      <c r="Y912" s="10" t="s">
        <v>385</v>
      </c>
      <c r="Z912" s="75"/>
      <c r="AA912" s="76"/>
      <c r="AB912" s="77">
        <v>22881</v>
      </c>
      <c r="AC912" s="77"/>
      <c r="AD912" s="6"/>
      <c r="AG912" s="7">
        <v>1962</v>
      </c>
      <c r="AH912" s="7">
        <v>1960</v>
      </c>
      <c r="AI912" s="7"/>
      <c r="AJ912" s="73"/>
      <c r="AK912" s="7"/>
      <c r="AL912" s="16"/>
      <c r="AM912" s="2" t="s">
        <v>59</v>
      </c>
      <c r="AO912" s="6" t="s">
        <v>59</v>
      </c>
      <c r="AW912" s="6">
        <f t="shared" ca="1" si="15"/>
        <v>63</v>
      </c>
    </row>
    <row r="913" ht="45" customHeight="1" outlineLevel="1">
      <c r="A913" s="69"/>
      <c r="B913" s="3" t="s">
        <v>47</v>
      </c>
      <c r="E913" s="2" t="s">
        <v>63</v>
      </c>
      <c r="F913" s="6" t="s">
        <v>1480</v>
      </c>
      <c r="G913" s="5" t="s">
        <v>2408</v>
      </c>
      <c r="H913" s="2" t="s">
        <v>57</v>
      </c>
      <c r="I913" s="3" t="s">
        <v>2409</v>
      </c>
      <c r="J913" s="7">
        <v>1</v>
      </c>
      <c r="K913" s="70" t="s">
        <v>53</v>
      </c>
      <c r="L913" s="9">
        <v>1</v>
      </c>
      <c r="M913" s="3">
        <v>665</v>
      </c>
      <c r="N913" s="6">
        <v>1962</v>
      </c>
      <c r="P913" s="71"/>
      <c r="R913" s="6">
        <v>1960</v>
      </c>
      <c r="S913" s="3" t="s">
        <v>54</v>
      </c>
      <c r="T913" s="72"/>
      <c r="U913" s="73"/>
      <c r="W913" s="2" t="s">
        <v>2410</v>
      </c>
      <c r="X913" s="10" t="s">
        <v>56</v>
      </c>
      <c r="Y913" s="10" t="s">
        <v>57</v>
      </c>
      <c r="Z913" s="75"/>
      <c r="AA913" s="76"/>
      <c r="AB913" s="77">
        <v>23544</v>
      </c>
      <c r="AC913" s="77"/>
      <c r="AD913" s="6"/>
      <c r="AG913" s="7">
        <v>1964</v>
      </c>
      <c r="AH913" s="7">
        <v>1960</v>
      </c>
      <c r="AI913" s="7"/>
      <c r="AJ913" s="73"/>
      <c r="AK913" s="7"/>
      <c r="AL913" s="16"/>
      <c r="AM913" s="2" t="s">
        <v>59</v>
      </c>
      <c r="AO913" s="6" t="s">
        <v>136</v>
      </c>
      <c r="AU913" s="16" t="s">
        <v>2411</v>
      </c>
      <c r="AW913" s="6">
        <f t="shared" ca="1" si="15"/>
        <v>63</v>
      </c>
    </row>
    <row r="914" ht="45" customHeight="1" outlineLevel="1">
      <c r="A914" s="69"/>
      <c r="B914" s="3" t="s">
        <v>47</v>
      </c>
      <c r="E914" s="2" t="s">
        <v>63</v>
      </c>
      <c r="F914" s="6" t="s">
        <v>1480</v>
      </c>
      <c r="G914" s="5" t="s">
        <v>2412</v>
      </c>
      <c r="H914" s="2" t="s">
        <v>181</v>
      </c>
      <c r="I914" s="3" t="s">
        <v>2413</v>
      </c>
      <c r="J914" s="7">
        <v>1</v>
      </c>
      <c r="K914" s="70" t="s">
        <v>53</v>
      </c>
      <c r="L914" s="9">
        <v>1</v>
      </c>
      <c r="M914" s="3">
        <v>666</v>
      </c>
      <c r="N914" s="6">
        <v>1962</v>
      </c>
      <c r="P914" s="71"/>
      <c r="R914" s="6">
        <v>1960</v>
      </c>
      <c r="S914" s="3" t="s">
        <v>54</v>
      </c>
      <c r="T914" s="72"/>
      <c r="U914" s="73"/>
      <c r="W914" s="2" t="s">
        <v>2414</v>
      </c>
      <c r="X914" s="10" t="s">
        <v>56</v>
      </c>
      <c r="Y914" s="10" t="s">
        <v>181</v>
      </c>
      <c r="Z914" s="75"/>
      <c r="AA914" s="76"/>
      <c r="AB914" s="77">
        <v>23544</v>
      </c>
      <c r="AC914" s="77"/>
      <c r="AD914" s="6"/>
      <c r="AG914" s="7">
        <v>1964</v>
      </c>
      <c r="AH914" s="7">
        <v>1960</v>
      </c>
      <c r="AI914" s="7"/>
      <c r="AJ914" s="73"/>
      <c r="AK914" s="7"/>
      <c r="AL914" s="16"/>
      <c r="AM914" s="2" t="s">
        <v>82</v>
      </c>
      <c r="AW914" s="6">
        <f t="shared" ca="1" si="15"/>
        <v>63</v>
      </c>
    </row>
    <row r="915" ht="45" customHeight="1" outlineLevel="1">
      <c r="A915" s="69"/>
      <c r="B915" s="3" t="s">
        <v>47</v>
      </c>
      <c r="E915" s="2" t="s">
        <v>63</v>
      </c>
      <c r="F915" s="6" t="s">
        <v>1480</v>
      </c>
      <c r="G915" s="5" t="s">
        <v>2415</v>
      </c>
      <c r="H915" s="2" t="s">
        <v>382</v>
      </c>
      <c r="I915" s="3" t="s">
        <v>2416</v>
      </c>
      <c r="J915" s="7">
        <v>1</v>
      </c>
      <c r="K915" s="70" t="s">
        <v>53</v>
      </c>
      <c r="L915" s="9">
        <v>1</v>
      </c>
      <c r="M915" s="3">
        <v>667</v>
      </c>
      <c r="N915" s="6">
        <v>1962</v>
      </c>
      <c r="P915" s="71"/>
      <c r="R915" s="6">
        <v>1960</v>
      </c>
      <c r="S915" s="3" t="s">
        <v>54</v>
      </c>
      <c r="T915" s="72"/>
      <c r="U915" s="73"/>
      <c r="W915" s="2" t="s">
        <v>2417</v>
      </c>
      <c r="X915" s="10" t="s">
        <v>91</v>
      </c>
      <c r="Y915" s="10" t="s">
        <v>385</v>
      </c>
      <c r="Z915" s="75"/>
      <c r="AA915" s="76"/>
      <c r="AB915" s="77">
        <v>22881</v>
      </c>
      <c r="AC915" s="77"/>
      <c r="AD915" s="6"/>
      <c r="AG915" s="7">
        <v>1962</v>
      </c>
      <c r="AH915" s="7">
        <v>1960</v>
      </c>
      <c r="AI915" s="7"/>
      <c r="AJ915" s="73"/>
      <c r="AK915" s="7"/>
      <c r="AL915" s="16"/>
      <c r="AM915" s="2" t="s">
        <v>59</v>
      </c>
      <c r="AO915" s="6" t="s">
        <v>59</v>
      </c>
      <c r="AW915" s="6">
        <f t="shared" ca="1" si="15"/>
        <v>63</v>
      </c>
    </row>
    <row r="916" ht="45" hidden="1" customHeight="1" outlineLevel="1">
      <c r="A916" s="69"/>
      <c r="B916" s="3" t="s">
        <v>60</v>
      </c>
      <c r="I916" s="3" t="s">
        <v>61</v>
      </c>
      <c r="J916" s="7">
        <v>0</v>
      </c>
      <c r="K916" s="104"/>
      <c r="L916" s="9">
        <v>1</v>
      </c>
      <c r="M916" s="3">
        <v>668</v>
      </c>
      <c r="P916" s="71"/>
      <c r="R916" s="6" t="s">
        <v>60</v>
      </c>
      <c r="S916" s="3" t="s">
        <v>60</v>
      </c>
      <c r="T916" s="72"/>
      <c r="U916" s="73"/>
      <c r="W916" s="74" t="s">
        <v>62</v>
      </c>
      <c r="X916" s="10"/>
      <c r="Y916" s="10"/>
      <c r="Z916" s="75"/>
      <c r="AA916" s="76"/>
      <c r="AB916" s="77"/>
      <c r="AC916" s="77"/>
      <c r="AD916" s="6"/>
      <c r="AI916" s="7"/>
      <c r="AJ916" s="73"/>
      <c r="AK916" s="7"/>
      <c r="AL916" s="16"/>
      <c r="AW916" s="6" t="str">
        <f t="shared" ca="1" si="15"/>
        <v/>
      </c>
    </row>
    <row r="917" ht="45" customHeight="1" outlineLevel="1">
      <c r="A917" s="69"/>
      <c r="B917" s="3" t="s">
        <v>47</v>
      </c>
      <c r="E917" s="2" t="s">
        <v>63</v>
      </c>
      <c r="F917" s="6" t="s">
        <v>1480</v>
      </c>
      <c r="G917" s="5" t="s">
        <v>2418</v>
      </c>
      <c r="H917" s="2" t="s">
        <v>491</v>
      </c>
      <c r="I917" s="3" t="s">
        <v>2419</v>
      </c>
      <c r="J917" s="7">
        <v>1</v>
      </c>
      <c r="K917" s="70" t="s">
        <v>53</v>
      </c>
      <c r="L917" s="9">
        <v>1</v>
      </c>
      <c r="M917" s="3">
        <v>669</v>
      </c>
      <c r="N917" s="6">
        <v>1962</v>
      </c>
      <c r="P917" s="71"/>
      <c r="R917" s="6">
        <v>1960</v>
      </c>
      <c r="S917" s="3" t="s">
        <v>54</v>
      </c>
      <c r="T917" s="72"/>
      <c r="U917" s="73"/>
      <c r="W917" s="2" t="s">
        <v>2420</v>
      </c>
      <c r="X917" s="10" t="s">
        <v>56</v>
      </c>
      <c r="Y917" s="10" t="s">
        <v>494</v>
      </c>
      <c r="Z917" s="75"/>
      <c r="AA917" s="76"/>
      <c r="AB917" s="77">
        <v>22881</v>
      </c>
      <c r="AC917" s="77"/>
      <c r="AD917" s="6"/>
      <c r="AG917" s="7">
        <v>1962</v>
      </c>
      <c r="AH917" s="7">
        <v>1960</v>
      </c>
      <c r="AI917" s="7"/>
      <c r="AJ917" s="73"/>
      <c r="AK917" s="7"/>
      <c r="AL917" s="16"/>
      <c r="AM917" s="2" t="s">
        <v>59</v>
      </c>
      <c r="AO917" s="6" t="s">
        <v>59</v>
      </c>
      <c r="AW917" s="6">
        <f t="shared" ca="1" si="15"/>
        <v>63</v>
      </c>
    </row>
    <row r="918" ht="45" customHeight="1" outlineLevel="1">
      <c r="A918" s="69"/>
      <c r="B918" s="3" t="s">
        <v>47</v>
      </c>
      <c r="E918" s="2" t="s">
        <v>63</v>
      </c>
      <c r="F918" s="6" t="s">
        <v>1480</v>
      </c>
      <c r="G918" s="5" t="s">
        <v>1481</v>
      </c>
      <c r="H918" s="2" t="s">
        <v>57</v>
      </c>
      <c r="I918" s="3" t="s">
        <v>2421</v>
      </c>
      <c r="J918" s="7">
        <v>1</v>
      </c>
      <c r="K918" s="70" t="s">
        <v>53</v>
      </c>
      <c r="L918" s="9">
        <v>1</v>
      </c>
      <c r="M918" s="3">
        <v>670</v>
      </c>
      <c r="N918" s="6">
        <v>1962</v>
      </c>
      <c r="P918" s="71"/>
      <c r="R918" s="6">
        <v>1960</v>
      </c>
      <c r="S918" s="3" t="s">
        <v>54</v>
      </c>
      <c r="T918" s="72"/>
      <c r="U918" s="73"/>
      <c r="W918" s="2" t="s">
        <v>2422</v>
      </c>
      <c r="X918" s="10" t="s">
        <v>56</v>
      </c>
      <c r="Y918" s="10" t="s">
        <v>57</v>
      </c>
      <c r="Z918" s="75"/>
      <c r="AA918" s="76"/>
      <c r="AB918" s="77">
        <v>23021</v>
      </c>
      <c r="AC918" s="77"/>
      <c r="AD918" s="6"/>
      <c r="AG918" s="7">
        <v>1963</v>
      </c>
      <c r="AH918" s="7">
        <v>1960</v>
      </c>
      <c r="AI918" s="7"/>
      <c r="AJ918" s="73"/>
      <c r="AK918" s="7"/>
      <c r="AL918" s="16"/>
      <c r="AM918" s="2" t="s">
        <v>59</v>
      </c>
      <c r="AW918" s="6">
        <f t="shared" ca="1" si="15"/>
        <v>63</v>
      </c>
    </row>
    <row r="919" ht="45" customHeight="1" outlineLevel="1">
      <c r="A919" s="69"/>
      <c r="B919" s="3" t="s">
        <v>47</v>
      </c>
      <c r="E919" s="2" t="s">
        <v>694</v>
      </c>
      <c r="F919" s="6" t="s">
        <v>695</v>
      </c>
      <c r="G919" s="5" t="s">
        <v>696</v>
      </c>
      <c r="H919" s="2" t="s">
        <v>57</v>
      </c>
      <c r="I919" s="3" t="s">
        <v>2423</v>
      </c>
      <c r="J919" s="7">
        <v>1</v>
      </c>
      <c r="K919" s="70" t="s">
        <v>53</v>
      </c>
      <c r="L919" s="9">
        <v>1</v>
      </c>
      <c r="M919" s="3">
        <v>671</v>
      </c>
      <c r="N919" s="6">
        <v>1962</v>
      </c>
      <c r="P919" s="71"/>
      <c r="R919" s="6">
        <v>1960</v>
      </c>
      <c r="S919" s="3" t="s">
        <v>54</v>
      </c>
      <c r="T919" s="72"/>
      <c r="U919" s="73"/>
      <c r="W919" s="2" t="s">
        <v>2424</v>
      </c>
      <c r="X919" s="10" t="s">
        <v>56</v>
      </c>
      <c r="Y919" s="10" t="s">
        <v>57</v>
      </c>
      <c r="Z919" s="75"/>
      <c r="AA919" s="76"/>
      <c r="AB919" s="77">
        <v>23183</v>
      </c>
      <c r="AC919" s="77"/>
      <c r="AD919" s="6"/>
      <c r="AG919" s="7">
        <v>1963</v>
      </c>
      <c r="AH919" s="7">
        <v>1960</v>
      </c>
      <c r="AI919" s="7"/>
      <c r="AJ919" s="73"/>
      <c r="AK919" s="7"/>
      <c r="AL919" s="16"/>
      <c r="AM919" s="2" t="s">
        <v>59</v>
      </c>
      <c r="AO919" s="6" t="s">
        <v>59</v>
      </c>
      <c r="AQ919" s="5" t="s">
        <v>73</v>
      </c>
      <c r="AW919" s="6">
        <f t="shared" ca="1" si="15"/>
        <v>63</v>
      </c>
    </row>
    <row r="920" ht="45" customHeight="1" outlineLevel="1">
      <c r="A920" s="69"/>
      <c r="B920" s="3" t="s">
        <v>47</v>
      </c>
      <c r="E920" s="2" t="s">
        <v>1074</v>
      </c>
      <c r="F920" s="6" t="s">
        <v>2154</v>
      </c>
      <c r="G920" s="5" t="s">
        <v>2155</v>
      </c>
      <c r="H920" s="2" t="s">
        <v>57</v>
      </c>
      <c r="I920" s="3" t="s">
        <v>2425</v>
      </c>
      <c r="J920" s="7">
        <v>1</v>
      </c>
      <c r="K920" s="70" t="s">
        <v>53</v>
      </c>
      <c r="L920" s="9">
        <v>1</v>
      </c>
      <c r="M920" s="3">
        <v>672</v>
      </c>
      <c r="N920" s="6">
        <v>1962</v>
      </c>
      <c r="P920" s="71"/>
      <c r="R920" s="6">
        <v>1960</v>
      </c>
      <c r="S920" s="3" t="s">
        <v>54</v>
      </c>
      <c r="T920" s="72"/>
      <c r="U920" s="73"/>
      <c r="W920" s="2" t="s">
        <v>2426</v>
      </c>
      <c r="X920" s="10" t="s">
        <v>56</v>
      </c>
      <c r="Y920" s="10" t="s">
        <v>57</v>
      </c>
      <c r="Z920" s="75"/>
      <c r="AA920" s="76"/>
      <c r="AB920" s="77"/>
      <c r="AC920" s="77">
        <v>24624</v>
      </c>
      <c r="AD920" s="10"/>
      <c r="AG920" s="7">
        <v>1967</v>
      </c>
      <c r="AH920" s="7">
        <v>1960</v>
      </c>
      <c r="AI920" s="7"/>
      <c r="AJ920" s="73"/>
      <c r="AK920" s="7"/>
      <c r="AL920" s="16"/>
      <c r="AM920" s="2" t="s">
        <v>59</v>
      </c>
      <c r="AO920" s="6" t="s">
        <v>82</v>
      </c>
      <c r="AQ920" s="5" t="s">
        <v>73</v>
      </c>
      <c r="AU920" s="16" t="s">
        <v>2427</v>
      </c>
      <c r="AW920" s="6">
        <f t="shared" ca="1" si="15"/>
        <v>63</v>
      </c>
    </row>
    <row r="921" ht="45" hidden="1" customHeight="1" outlineLevel="1">
      <c r="A921" s="69"/>
      <c r="B921" s="3" t="s">
        <v>47</v>
      </c>
      <c r="C921" s="4" t="s">
        <v>2428</v>
      </c>
      <c r="D921" s="5" t="s">
        <v>2429</v>
      </c>
      <c r="E921" s="2" t="s">
        <v>63</v>
      </c>
      <c r="F921" s="6" t="s">
        <v>64</v>
      </c>
      <c r="G921" s="5" t="s">
        <v>69</v>
      </c>
      <c r="H921" s="2" t="s">
        <v>57</v>
      </c>
      <c r="I921" s="3" t="s">
        <v>2430</v>
      </c>
      <c r="J921" s="7">
        <v>1</v>
      </c>
      <c r="K921" s="70"/>
      <c r="L921" s="9">
        <v>1</v>
      </c>
      <c r="M921" s="3">
        <v>673</v>
      </c>
      <c r="N921" s="6">
        <v>1962</v>
      </c>
      <c r="P921" s="71"/>
      <c r="R921" s="6">
        <v>1960</v>
      </c>
      <c r="S921" s="3" t="s">
        <v>236</v>
      </c>
      <c r="T921" s="72"/>
      <c r="U921" s="73"/>
      <c r="W921" s="2" t="s">
        <v>62</v>
      </c>
      <c r="X921" s="10" t="s">
        <v>56</v>
      </c>
      <c r="Y921" s="10" t="s">
        <v>57</v>
      </c>
      <c r="Z921" s="75"/>
      <c r="AA921" s="76"/>
      <c r="AB921" s="77"/>
      <c r="AC921" s="77"/>
      <c r="AD921" s="10"/>
      <c r="AI921" s="7"/>
      <c r="AJ921" s="10">
        <v>43637</v>
      </c>
      <c r="AK921" s="7">
        <v>2010</v>
      </c>
      <c r="AL921" s="16"/>
      <c r="AW921" s="6">
        <f t="shared" ca="1" si="15"/>
        <v>63</v>
      </c>
    </row>
    <row r="922" ht="45" customHeight="1">
      <c r="A922" s="69"/>
      <c r="B922" s="3" t="s">
        <v>47</v>
      </c>
      <c r="E922" s="2" t="s">
        <v>63</v>
      </c>
      <c r="F922" s="6" t="s">
        <v>64</v>
      </c>
      <c r="G922" s="5" t="s">
        <v>243</v>
      </c>
      <c r="H922" s="2" t="s">
        <v>288</v>
      </c>
      <c r="I922" s="3" t="s">
        <v>2431</v>
      </c>
      <c r="J922" s="7">
        <v>1</v>
      </c>
      <c r="K922" s="70" t="s">
        <v>53</v>
      </c>
      <c r="L922" s="9">
        <v>1</v>
      </c>
      <c r="M922" s="3">
        <v>674</v>
      </c>
      <c r="N922" s="6">
        <v>1962</v>
      </c>
      <c r="P922" s="71"/>
      <c r="R922" s="6">
        <v>1960</v>
      </c>
      <c r="S922" s="3" t="s">
        <v>54</v>
      </c>
      <c r="T922" s="72"/>
      <c r="U922" s="73"/>
      <c r="W922" s="2" t="s">
        <v>2432</v>
      </c>
      <c r="X922" s="10" t="s">
        <v>56</v>
      </c>
      <c r="Y922" s="10" t="s">
        <v>288</v>
      </c>
      <c r="Z922" s="75"/>
      <c r="AA922" s="76">
        <v>24947</v>
      </c>
      <c r="AB922" s="77">
        <v>24947</v>
      </c>
      <c r="AC922" s="77">
        <v>24947</v>
      </c>
      <c r="AD922" s="10"/>
      <c r="AE922" s="7">
        <v>1968</v>
      </c>
      <c r="AF922" s="7" t="s">
        <v>2433</v>
      </c>
      <c r="AG922" s="7">
        <v>1968</v>
      </c>
      <c r="AH922" s="7">
        <v>1960</v>
      </c>
      <c r="AI922" s="7" t="s">
        <v>2434</v>
      </c>
      <c r="AJ922" s="73"/>
      <c r="AK922" s="7"/>
      <c r="AL922" s="16" t="s">
        <v>2435</v>
      </c>
      <c r="AM922" s="2" t="s">
        <v>53</v>
      </c>
      <c r="AN922" s="6" t="s">
        <v>73</v>
      </c>
      <c r="AO922" s="6" t="s">
        <v>53</v>
      </c>
      <c r="AP922" s="6" t="s">
        <v>73</v>
      </c>
      <c r="AS922" s="6" t="s">
        <v>73</v>
      </c>
      <c r="AT922" s="6">
        <v>1985</v>
      </c>
      <c r="AU922" s="16" t="s">
        <v>2436</v>
      </c>
      <c r="AW922" s="6">
        <f t="shared" ca="1" si="15"/>
        <v>63</v>
      </c>
    </row>
    <row r="923" ht="45" customHeight="1">
      <c r="A923" s="69"/>
      <c r="B923" s="3" t="s">
        <v>47</v>
      </c>
      <c r="E923" s="2" t="s">
        <v>63</v>
      </c>
      <c r="F923" s="6" t="s">
        <v>83</v>
      </c>
      <c r="G923" s="5" t="s">
        <v>1185</v>
      </c>
      <c r="H923" s="2" t="s">
        <v>51</v>
      </c>
      <c r="I923" s="3" t="s">
        <v>735</v>
      </c>
      <c r="J923" s="7">
        <v>1</v>
      </c>
      <c r="K923" s="70" t="s">
        <v>53</v>
      </c>
      <c r="L923" s="9">
        <v>1</v>
      </c>
      <c r="M923" s="3">
        <v>675</v>
      </c>
      <c r="N923" s="6">
        <v>1962</v>
      </c>
      <c r="P923" s="71"/>
      <c r="R923" s="6">
        <v>1960</v>
      </c>
      <c r="S923" s="3" t="s">
        <v>54</v>
      </c>
      <c r="T923" s="72"/>
      <c r="U923" s="73"/>
      <c r="W923" s="2" t="s">
        <v>2437</v>
      </c>
      <c r="X923" s="10" t="s">
        <v>56</v>
      </c>
      <c r="Y923" s="10" t="s">
        <v>57</v>
      </c>
      <c r="Z923" s="75" t="s">
        <v>58</v>
      </c>
      <c r="AA923" s="76"/>
      <c r="AB923" s="77">
        <v>22775</v>
      </c>
      <c r="AC923" s="77"/>
      <c r="AD923" s="6"/>
      <c r="AG923" s="7">
        <v>1962</v>
      </c>
      <c r="AH923" s="7">
        <v>1960</v>
      </c>
      <c r="AI923" s="7"/>
      <c r="AJ923" s="73"/>
      <c r="AK923" s="7"/>
      <c r="AL923" s="16"/>
      <c r="AM923" s="2" t="s">
        <v>59</v>
      </c>
      <c r="AO923" s="6" t="s">
        <v>59</v>
      </c>
      <c r="AQ923" s="5" t="s">
        <v>73</v>
      </c>
      <c r="AU923" s="16" t="s">
        <v>1187</v>
      </c>
      <c r="AW923" s="6">
        <f t="shared" ca="1" si="15"/>
        <v>63</v>
      </c>
    </row>
    <row r="924" ht="45" hidden="1" customHeight="1">
      <c r="A924" s="69"/>
      <c r="B924" s="3" t="s">
        <v>47</v>
      </c>
      <c r="C924" s="4" t="s">
        <v>2438</v>
      </c>
      <c r="D924" s="5" t="s">
        <v>2439</v>
      </c>
      <c r="E924" s="2" t="s">
        <v>48</v>
      </c>
      <c r="F924" s="6" t="s">
        <v>49</v>
      </c>
      <c r="G924" s="5" t="s">
        <v>2440</v>
      </c>
      <c r="H924" s="2" t="s">
        <v>51</v>
      </c>
      <c r="I924" s="3" t="s">
        <v>2441</v>
      </c>
      <c r="J924" s="7">
        <v>1</v>
      </c>
      <c r="K924" s="104"/>
      <c r="L924" s="9">
        <v>1</v>
      </c>
      <c r="M924" s="3">
        <v>676</v>
      </c>
      <c r="N924" s="6">
        <v>1962</v>
      </c>
      <c r="P924" s="71"/>
      <c r="R924" s="6">
        <v>1960</v>
      </c>
      <c r="S924" s="3" t="s">
        <v>236</v>
      </c>
      <c r="T924" s="72"/>
      <c r="U924" s="73"/>
      <c r="W924" s="2" t="s">
        <v>62</v>
      </c>
      <c r="X924" s="10" t="s">
        <v>56</v>
      </c>
      <c r="Y924" s="10" t="s">
        <v>57</v>
      </c>
      <c r="Z924" s="75" t="s">
        <v>58</v>
      </c>
      <c r="AA924" s="76"/>
      <c r="AB924" s="77"/>
      <c r="AC924" s="77"/>
      <c r="AD924" s="6"/>
      <c r="AI924" s="7"/>
      <c r="AJ924" s="95">
        <v>41737</v>
      </c>
      <c r="AK924" s="7">
        <v>2010</v>
      </c>
      <c r="AL924" s="16"/>
      <c r="AW924" s="6">
        <f t="shared" ca="1" si="15"/>
        <v>63</v>
      </c>
    </row>
    <row r="925" ht="45" hidden="1" customHeight="1">
      <c r="A925" s="69"/>
      <c r="B925" s="3" t="s">
        <v>190</v>
      </c>
      <c r="C925" s="4" t="s">
        <v>2442</v>
      </c>
      <c r="D925" s="5" t="s">
        <v>2443</v>
      </c>
      <c r="E925" s="2" t="s">
        <v>83</v>
      </c>
      <c r="F925" s="6" t="s">
        <v>179</v>
      </c>
      <c r="G925" s="5" t="s">
        <v>2444</v>
      </c>
      <c r="H925" s="2" t="s">
        <v>51</v>
      </c>
      <c r="I925" s="3" t="s">
        <v>2445</v>
      </c>
      <c r="J925" s="7">
        <v>1</v>
      </c>
      <c r="K925" s="104"/>
      <c r="L925" s="9">
        <v>1</v>
      </c>
      <c r="M925" s="3">
        <v>677</v>
      </c>
      <c r="N925" s="6">
        <v>1962</v>
      </c>
      <c r="P925" s="71"/>
      <c r="R925" s="6">
        <v>1960</v>
      </c>
      <c r="S925" s="3" t="s">
        <v>283</v>
      </c>
      <c r="T925" s="72"/>
      <c r="U925" s="73"/>
      <c r="W925" s="74" t="s">
        <v>62</v>
      </c>
      <c r="X925" s="10" t="s">
        <v>56</v>
      </c>
      <c r="Y925" s="10" t="s">
        <v>57</v>
      </c>
      <c r="Z925" s="75" t="s">
        <v>58</v>
      </c>
      <c r="AA925" s="76"/>
      <c r="AB925" s="77"/>
      <c r="AC925" s="77"/>
      <c r="AD925" s="6"/>
      <c r="AI925" s="7"/>
      <c r="AJ925" s="73"/>
      <c r="AK925" s="7"/>
      <c r="AL925" s="16"/>
      <c r="AW925" s="6">
        <f t="shared" ca="1" si="15"/>
        <v>63</v>
      </c>
    </row>
    <row r="926" ht="45" customHeight="1">
      <c r="A926" s="69"/>
      <c r="B926" s="3" t="s">
        <v>47</v>
      </c>
      <c r="E926" s="2" t="s">
        <v>83</v>
      </c>
      <c r="F926" s="6" t="s">
        <v>704</v>
      </c>
      <c r="G926" s="5" t="s">
        <v>996</v>
      </c>
      <c r="H926" s="2" t="s">
        <v>181</v>
      </c>
      <c r="I926" s="3" t="s">
        <v>2446</v>
      </c>
      <c r="J926" s="7">
        <v>1</v>
      </c>
      <c r="K926" s="70" t="s">
        <v>53</v>
      </c>
      <c r="L926" s="9">
        <v>1</v>
      </c>
      <c r="M926" s="3">
        <v>678</v>
      </c>
      <c r="N926" s="6">
        <v>1962</v>
      </c>
      <c r="P926" s="71"/>
      <c r="R926" s="6">
        <v>1960</v>
      </c>
      <c r="S926" s="3" t="s">
        <v>54</v>
      </c>
      <c r="T926" s="72"/>
      <c r="U926" s="73"/>
      <c r="W926" s="2" t="s">
        <v>2447</v>
      </c>
      <c r="X926" s="10" t="s">
        <v>56</v>
      </c>
      <c r="Y926" s="10" t="s">
        <v>181</v>
      </c>
      <c r="Z926" s="75"/>
      <c r="AA926" s="76"/>
      <c r="AB926" s="77">
        <v>23194</v>
      </c>
      <c r="AC926" s="77"/>
      <c r="AD926" s="6"/>
      <c r="AE926" s="7">
        <v>1963</v>
      </c>
      <c r="AF926" s="7">
        <v>41</v>
      </c>
      <c r="AG926" s="7">
        <v>1963</v>
      </c>
      <c r="AH926" s="7">
        <v>1960</v>
      </c>
      <c r="AI926" s="7"/>
      <c r="AJ926" s="73"/>
      <c r="AK926" s="7"/>
      <c r="AL926" s="16"/>
      <c r="AM926" s="2" t="s">
        <v>59</v>
      </c>
      <c r="AW926" s="6">
        <f t="shared" ca="1" si="15"/>
        <v>63</v>
      </c>
    </row>
    <row r="927" ht="45" customHeight="1">
      <c r="A927" s="69"/>
      <c r="B927" s="3" t="s">
        <v>47</v>
      </c>
      <c r="E927" s="2" t="s">
        <v>63</v>
      </c>
      <c r="F927" s="6" t="s">
        <v>83</v>
      </c>
      <c r="G927" s="5" t="s">
        <v>2448</v>
      </c>
      <c r="H927" s="2" t="s">
        <v>57</v>
      </c>
      <c r="I927" s="3" t="s">
        <v>2449</v>
      </c>
      <c r="J927" s="7">
        <v>1</v>
      </c>
      <c r="K927" s="70" t="s">
        <v>53</v>
      </c>
      <c r="L927" s="9">
        <v>0</v>
      </c>
      <c r="M927" s="3">
        <v>679</v>
      </c>
      <c r="N927" s="6">
        <v>1962</v>
      </c>
      <c r="P927" s="71"/>
      <c r="R927" s="6">
        <v>1960</v>
      </c>
      <c r="S927" s="3" t="s">
        <v>54</v>
      </c>
      <c r="T927" s="72"/>
      <c r="U927" s="73"/>
      <c r="W927" s="2" t="s">
        <v>2450</v>
      </c>
      <c r="X927" s="10" t="s">
        <v>56</v>
      </c>
      <c r="Y927" s="10" t="s">
        <v>57</v>
      </c>
      <c r="Z927" s="75"/>
      <c r="AA927" s="76"/>
      <c r="AB927" s="77">
        <v>22854</v>
      </c>
      <c r="AC927" s="77"/>
      <c r="AD927" s="6"/>
      <c r="AG927" s="7">
        <v>1962</v>
      </c>
      <c r="AH927" s="7">
        <v>1960</v>
      </c>
      <c r="AI927" s="7"/>
      <c r="AJ927" s="73"/>
      <c r="AK927" s="7"/>
      <c r="AL927" s="16"/>
      <c r="AM927" s="2" t="s">
        <v>59</v>
      </c>
      <c r="AW927" s="6">
        <f t="shared" ca="1" si="15"/>
        <v>63</v>
      </c>
    </row>
    <row r="928" ht="45" customHeight="1" outlineLevel="1">
      <c r="A928" s="69"/>
      <c r="B928" s="3" t="s">
        <v>47</v>
      </c>
      <c r="C928" s="4" t="s">
        <v>2451</v>
      </c>
      <c r="E928" s="2" t="s">
        <v>63</v>
      </c>
      <c r="F928" s="6" t="s">
        <v>1480</v>
      </c>
      <c r="G928" s="5" t="s">
        <v>2452</v>
      </c>
      <c r="H928" s="2" t="s">
        <v>382</v>
      </c>
      <c r="I928" s="3" t="s">
        <v>2453</v>
      </c>
      <c r="J928" s="7">
        <v>1</v>
      </c>
      <c r="K928" s="70" t="s">
        <v>53</v>
      </c>
      <c r="L928" s="9">
        <v>1</v>
      </c>
      <c r="M928" s="3">
        <v>680</v>
      </c>
      <c r="N928" s="6">
        <v>1962</v>
      </c>
      <c r="P928" s="71"/>
      <c r="R928" s="6">
        <v>1960</v>
      </c>
      <c r="S928" s="3" t="s">
        <v>54</v>
      </c>
      <c r="T928" s="72"/>
      <c r="U928" s="73"/>
      <c r="W928" s="2" t="s">
        <v>2454</v>
      </c>
      <c r="X928" s="10" t="s">
        <v>56</v>
      </c>
      <c r="Y928" s="10" t="s">
        <v>57</v>
      </c>
      <c r="Z928" s="75"/>
      <c r="AA928" s="76"/>
      <c r="AB928" s="77">
        <v>22881</v>
      </c>
      <c r="AC928" s="77"/>
      <c r="AD928" s="6"/>
      <c r="AG928" s="7">
        <v>1962</v>
      </c>
      <c r="AH928" s="7">
        <v>1960</v>
      </c>
      <c r="AI928" s="7"/>
      <c r="AJ928" s="73"/>
      <c r="AK928" s="7"/>
      <c r="AL928" s="16" t="s">
        <v>2455</v>
      </c>
      <c r="AW928" s="6">
        <f t="shared" ca="1" si="15"/>
        <v>63</v>
      </c>
    </row>
    <row r="929" s="86" customFormat="1" ht="45" customHeight="1" outlineLevel="1">
      <c r="A929" s="69"/>
      <c r="B929" s="3" t="s">
        <v>47</v>
      </c>
      <c r="C929" s="4"/>
      <c r="D929" s="5"/>
      <c r="E929" s="2" t="s">
        <v>83</v>
      </c>
      <c r="F929" s="6" t="s">
        <v>84</v>
      </c>
      <c r="G929" s="5" t="s">
        <v>2275</v>
      </c>
      <c r="H929" s="2" t="s">
        <v>57</v>
      </c>
      <c r="I929" s="3" t="s">
        <v>2456</v>
      </c>
      <c r="J929" s="7">
        <v>1</v>
      </c>
      <c r="K929" s="70" t="s">
        <v>53</v>
      </c>
      <c r="L929" s="9">
        <v>1</v>
      </c>
      <c r="M929" s="3">
        <v>681</v>
      </c>
      <c r="N929" s="6">
        <v>1962</v>
      </c>
      <c r="O929" s="10"/>
      <c r="P929" s="71"/>
      <c r="Q929" s="10"/>
      <c r="R929" s="6">
        <v>1960</v>
      </c>
      <c r="S929" s="3" t="s">
        <v>54</v>
      </c>
      <c r="T929" s="72"/>
      <c r="U929" s="73"/>
      <c r="V929" s="12"/>
      <c r="W929" s="2" t="s">
        <v>2457</v>
      </c>
      <c r="X929" s="10" t="s">
        <v>56</v>
      </c>
      <c r="Y929" s="10" t="s">
        <v>57</v>
      </c>
      <c r="Z929" s="75"/>
      <c r="AA929" s="76"/>
      <c r="AB929" s="77">
        <v>23490</v>
      </c>
      <c r="AC929" s="77"/>
      <c r="AD929" s="6"/>
      <c r="AE929" s="7"/>
      <c r="AF929" s="7"/>
      <c r="AG929" s="7">
        <v>1964</v>
      </c>
      <c r="AH929" s="7">
        <v>1960</v>
      </c>
      <c r="AI929" s="7"/>
      <c r="AJ929" s="73"/>
      <c r="AK929" s="7"/>
      <c r="AL929" s="16"/>
      <c r="AM929" s="2" t="s">
        <v>59</v>
      </c>
      <c r="AN929" s="6"/>
      <c r="AO929" s="6"/>
      <c r="AP929" s="6"/>
      <c r="AQ929" s="5"/>
      <c r="AR929" s="2"/>
      <c r="AS929" s="6"/>
      <c r="AT929" s="6"/>
      <c r="AU929" s="16"/>
      <c r="AV929" s="17"/>
      <c r="AW929" s="6">
        <f t="shared" ca="1" si="15"/>
        <v>63</v>
      </c>
    </row>
    <row r="930" ht="45" hidden="1" customHeight="1">
      <c r="A930" s="69"/>
      <c r="B930" s="3" t="s">
        <v>47</v>
      </c>
      <c r="C930" s="4" t="s">
        <v>2458</v>
      </c>
      <c r="E930" s="2" t="s">
        <v>83</v>
      </c>
      <c r="F930" s="6" t="s">
        <v>179</v>
      </c>
      <c r="G930" s="5" t="s">
        <v>180</v>
      </c>
      <c r="H930" s="2" t="s">
        <v>57</v>
      </c>
      <c r="I930" s="3" t="s">
        <v>2459</v>
      </c>
      <c r="J930" s="7">
        <v>1</v>
      </c>
      <c r="K930" s="104"/>
      <c r="L930" s="9">
        <v>1</v>
      </c>
      <c r="M930" s="94">
        <v>682</v>
      </c>
      <c r="N930" s="6">
        <v>1962</v>
      </c>
      <c r="P930" s="71"/>
      <c r="R930" s="6">
        <v>1960</v>
      </c>
      <c r="S930" s="94" t="s">
        <v>236</v>
      </c>
      <c r="T930" s="72"/>
      <c r="U930" s="73"/>
      <c r="W930" s="2" t="s">
        <v>62</v>
      </c>
      <c r="X930" s="10" t="s">
        <v>56</v>
      </c>
      <c r="Y930" s="10" t="s">
        <v>57</v>
      </c>
      <c r="Z930" s="75"/>
      <c r="AA930" s="76"/>
      <c r="AB930" s="77"/>
      <c r="AC930" s="77"/>
      <c r="AD930" s="6"/>
      <c r="AI930" s="7"/>
      <c r="AJ930" s="95">
        <v>22874</v>
      </c>
      <c r="AK930" s="7">
        <v>1960</v>
      </c>
      <c r="AL930" s="115"/>
      <c r="AW930" s="6">
        <f t="shared" ca="1" si="15"/>
        <v>63</v>
      </c>
    </row>
    <row r="931" ht="45" customHeight="1" outlineLevel="1">
      <c r="A931" s="69"/>
      <c r="B931" s="3" t="s">
        <v>47</v>
      </c>
      <c r="E931" s="2" t="s">
        <v>83</v>
      </c>
      <c r="F931" s="6" t="s">
        <v>704</v>
      </c>
      <c r="G931" s="5" t="s">
        <v>894</v>
      </c>
      <c r="H931" s="2" t="s">
        <v>57</v>
      </c>
      <c r="I931" s="3" t="s">
        <v>2460</v>
      </c>
      <c r="J931" s="7">
        <v>1</v>
      </c>
      <c r="K931" s="70" t="s">
        <v>53</v>
      </c>
      <c r="L931" s="9">
        <v>1</v>
      </c>
      <c r="M931" s="3">
        <v>683</v>
      </c>
      <c r="N931" s="6">
        <v>1962</v>
      </c>
      <c r="P931" s="71"/>
      <c r="R931" s="6">
        <v>1960</v>
      </c>
      <c r="S931" s="3" t="s">
        <v>54</v>
      </c>
      <c r="T931" s="72"/>
      <c r="U931" s="73"/>
      <c r="W931" s="2" t="s">
        <v>2461</v>
      </c>
      <c r="X931" s="10" t="s">
        <v>56</v>
      </c>
      <c r="Y931" s="10" t="s">
        <v>57</v>
      </c>
      <c r="Z931" s="75"/>
      <c r="AA931" s="76"/>
      <c r="AB931" s="77">
        <v>23363</v>
      </c>
      <c r="AC931" s="77"/>
      <c r="AD931" s="6"/>
      <c r="AG931" s="7">
        <v>1963</v>
      </c>
      <c r="AH931" s="7">
        <v>1960</v>
      </c>
      <c r="AI931" s="7"/>
      <c r="AJ931" s="73"/>
      <c r="AK931" s="7"/>
      <c r="AL931" s="16"/>
      <c r="AM931" s="2" t="s">
        <v>59</v>
      </c>
      <c r="AW931" s="6">
        <f t="shared" ref="AW931:AW994" ca="1" si="16">IF(N931&lt;&gt;0,(YEAR(TODAY())-N931),(""))</f>
        <v>63</v>
      </c>
    </row>
    <row r="932" ht="45" customHeight="1" outlineLevel="1">
      <c r="A932" s="69"/>
      <c r="B932" s="3" t="s">
        <v>47</v>
      </c>
      <c r="E932" s="2" t="s">
        <v>63</v>
      </c>
      <c r="F932" s="6" t="s">
        <v>172</v>
      </c>
      <c r="G932" s="5" t="s">
        <v>173</v>
      </c>
      <c r="H932" s="2" t="s">
        <v>68</v>
      </c>
      <c r="I932" s="3" t="s">
        <v>2462</v>
      </c>
      <c r="J932" s="7">
        <v>1</v>
      </c>
      <c r="K932" s="70" t="s">
        <v>53</v>
      </c>
      <c r="L932" s="9">
        <v>1</v>
      </c>
      <c r="M932" s="3">
        <v>684</v>
      </c>
      <c r="N932" s="6">
        <v>1962</v>
      </c>
      <c r="P932" s="71"/>
      <c r="R932" s="6">
        <v>1960</v>
      </c>
      <c r="S932" s="3" t="s">
        <v>54</v>
      </c>
      <c r="T932" s="72"/>
      <c r="U932" s="73"/>
      <c r="W932" s="2" t="s">
        <v>2463</v>
      </c>
      <c r="X932" s="10" t="s">
        <v>56</v>
      </c>
      <c r="Y932" s="10" t="s">
        <v>68</v>
      </c>
      <c r="Z932" s="75"/>
      <c r="AA932" s="76">
        <v>23536</v>
      </c>
      <c r="AB932" s="77"/>
      <c r="AC932" s="77"/>
      <c r="AD932" s="6"/>
      <c r="AF932" s="7">
        <v>104</v>
      </c>
      <c r="AG932" s="7">
        <v>1964</v>
      </c>
      <c r="AH932" s="7">
        <v>1960</v>
      </c>
      <c r="AI932" s="7">
        <v>1983</v>
      </c>
      <c r="AJ932" s="73"/>
      <c r="AK932" s="7"/>
      <c r="AL932" s="16" t="s">
        <v>1804</v>
      </c>
      <c r="AM932" s="2" t="s">
        <v>73</v>
      </c>
      <c r="AW932" s="6">
        <f t="shared" ca="1" si="16"/>
        <v>63</v>
      </c>
    </row>
    <row r="933" ht="45" hidden="1" customHeight="1">
      <c r="A933" s="69">
        <v>42240</v>
      </c>
      <c r="B933" s="3" t="s">
        <v>190</v>
      </c>
      <c r="C933" s="4" t="s">
        <v>2464</v>
      </c>
      <c r="D933" s="5" t="s">
        <v>2465</v>
      </c>
      <c r="E933" s="2" t="s">
        <v>83</v>
      </c>
      <c r="F933" s="6" t="s">
        <v>84</v>
      </c>
      <c r="G933" s="5" t="s">
        <v>2264</v>
      </c>
      <c r="H933" s="2" t="s">
        <v>51</v>
      </c>
      <c r="I933" s="3" t="s">
        <v>2466</v>
      </c>
      <c r="J933" s="7">
        <v>1</v>
      </c>
      <c r="K933" s="104"/>
      <c r="L933" s="9">
        <v>0</v>
      </c>
      <c r="M933" s="3">
        <v>685</v>
      </c>
      <c r="N933" s="6">
        <v>1962</v>
      </c>
      <c r="P933" s="71"/>
      <c r="R933" s="6">
        <v>1960</v>
      </c>
      <c r="S933" s="3" t="s">
        <v>283</v>
      </c>
      <c r="T933" s="72" t="s">
        <v>998</v>
      </c>
      <c r="U933" s="73"/>
      <c r="W933" s="74" t="s">
        <v>62</v>
      </c>
      <c r="X933" s="10" t="s">
        <v>56</v>
      </c>
      <c r="Y933" s="10" t="s">
        <v>57</v>
      </c>
      <c r="Z933" s="75" t="s">
        <v>58</v>
      </c>
      <c r="AA933" s="76"/>
      <c r="AB933" s="77"/>
      <c r="AC933" s="77"/>
      <c r="AD933" s="6"/>
      <c r="AI933" s="7"/>
      <c r="AJ933" s="73"/>
      <c r="AK933" s="7"/>
      <c r="AL933" s="16"/>
      <c r="AW933" s="6">
        <f t="shared" ca="1" si="16"/>
        <v>63</v>
      </c>
    </row>
    <row r="934" ht="45" hidden="1" customHeight="1">
      <c r="A934" s="69">
        <v>42240</v>
      </c>
      <c r="B934" s="3" t="s">
        <v>190</v>
      </c>
      <c r="C934" s="4" t="s">
        <v>2467</v>
      </c>
      <c r="D934" s="5" t="s">
        <v>2465</v>
      </c>
      <c r="E934" s="2" t="s">
        <v>83</v>
      </c>
      <c r="F934" s="6" t="s">
        <v>84</v>
      </c>
      <c r="G934" s="5" t="s">
        <v>2264</v>
      </c>
      <c r="H934" s="2" t="s">
        <v>51</v>
      </c>
      <c r="I934" s="3" t="s">
        <v>2468</v>
      </c>
      <c r="J934" s="7">
        <v>1</v>
      </c>
      <c r="K934" s="104"/>
      <c r="L934" s="9">
        <v>1</v>
      </c>
      <c r="M934" s="3">
        <v>685</v>
      </c>
      <c r="N934" s="6">
        <v>1962</v>
      </c>
      <c r="P934" s="71"/>
      <c r="R934" s="6">
        <v>1960</v>
      </c>
      <c r="S934" s="3" t="s">
        <v>283</v>
      </c>
      <c r="T934" s="72" t="s">
        <v>998</v>
      </c>
      <c r="U934" s="73"/>
      <c r="W934" s="74" t="s">
        <v>62</v>
      </c>
      <c r="X934" s="10" t="s">
        <v>56</v>
      </c>
      <c r="Y934" s="10" t="s">
        <v>57</v>
      </c>
      <c r="Z934" s="75" t="s">
        <v>58</v>
      </c>
      <c r="AA934" s="76"/>
      <c r="AB934" s="77"/>
      <c r="AC934" s="77"/>
      <c r="AD934" s="6"/>
      <c r="AI934" s="7"/>
      <c r="AJ934" s="73"/>
      <c r="AK934" s="7"/>
      <c r="AL934" s="16"/>
      <c r="AW934" s="6">
        <f t="shared" ca="1" si="16"/>
        <v>63</v>
      </c>
    </row>
    <row r="935" ht="45" hidden="1" customHeight="1" outlineLevel="1">
      <c r="A935" s="69"/>
      <c r="B935" s="3" t="s">
        <v>47</v>
      </c>
      <c r="C935" s="4" t="s">
        <v>2469</v>
      </c>
      <c r="D935" s="5" t="s">
        <v>2470</v>
      </c>
      <c r="E935" s="2" t="s">
        <v>83</v>
      </c>
      <c r="F935" s="6" t="s">
        <v>84</v>
      </c>
      <c r="G935" s="5" t="s">
        <v>85</v>
      </c>
      <c r="H935" s="2" t="s">
        <v>57</v>
      </c>
      <c r="I935" s="3" t="s">
        <v>2471</v>
      </c>
      <c r="J935" s="7">
        <v>1</v>
      </c>
      <c r="K935" s="104"/>
      <c r="L935" s="9">
        <v>1</v>
      </c>
      <c r="M935" s="3">
        <v>686</v>
      </c>
      <c r="N935" s="6">
        <v>1962</v>
      </c>
      <c r="O935" s="10" t="s">
        <v>2472</v>
      </c>
      <c r="P935" s="71" t="s">
        <v>2473</v>
      </c>
      <c r="Q935" s="10" t="s">
        <v>1453</v>
      </c>
      <c r="R935" s="6">
        <v>1960</v>
      </c>
      <c r="S935" s="3" t="s">
        <v>236</v>
      </c>
      <c r="T935" s="72" t="s">
        <v>1136</v>
      </c>
      <c r="W935" s="2" t="s">
        <v>62</v>
      </c>
      <c r="X935" s="10" t="s">
        <v>56</v>
      </c>
      <c r="Y935" s="10" t="s">
        <v>57</v>
      </c>
      <c r="Z935" s="75"/>
      <c r="AA935" s="76"/>
      <c r="AB935" s="77"/>
      <c r="AC935" s="77"/>
      <c r="AD935" s="6"/>
      <c r="AI935" s="7"/>
      <c r="AJ935" s="10">
        <v>44572</v>
      </c>
      <c r="AK935" s="7">
        <v>2020</v>
      </c>
      <c r="AL935" s="16" t="s">
        <v>2474</v>
      </c>
      <c r="AW935" s="6">
        <f t="shared" ca="1" si="16"/>
        <v>63</v>
      </c>
    </row>
    <row r="936" ht="45" hidden="1" customHeight="1" outlineLevel="1">
      <c r="A936" s="69"/>
      <c r="B936" s="3" t="s">
        <v>47</v>
      </c>
      <c r="C936" s="4" t="s">
        <v>2475</v>
      </c>
      <c r="D936" s="5" t="s">
        <v>2476</v>
      </c>
      <c r="E936" s="2" t="s">
        <v>63</v>
      </c>
      <c r="F936" s="6" t="s">
        <v>172</v>
      </c>
      <c r="G936" s="5" t="s">
        <v>2477</v>
      </c>
      <c r="H936" s="2" t="s">
        <v>57</v>
      </c>
      <c r="I936" s="3" t="s">
        <v>2478</v>
      </c>
      <c r="J936" s="7">
        <v>1</v>
      </c>
      <c r="K936" s="104"/>
      <c r="L936" s="9">
        <v>1</v>
      </c>
      <c r="M936" s="3">
        <v>687</v>
      </c>
      <c r="N936" s="6">
        <v>1962</v>
      </c>
      <c r="P936" s="71"/>
      <c r="R936" s="6">
        <v>1960</v>
      </c>
      <c r="S936" s="3" t="s">
        <v>236</v>
      </c>
      <c r="T936" s="72" t="s">
        <v>1136</v>
      </c>
      <c r="W936" s="2" t="s">
        <v>62</v>
      </c>
      <c r="X936" s="10" t="s">
        <v>56</v>
      </c>
      <c r="Y936" s="10" t="s">
        <v>57</v>
      </c>
      <c r="Z936" s="75"/>
      <c r="AA936" s="76"/>
      <c r="AB936" s="77"/>
      <c r="AC936" s="77"/>
      <c r="AD936" s="6"/>
      <c r="AI936" s="7"/>
      <c r="AJ936" s="10">
        <v>44508</v>
      </c>
      <c r="AK936" s="7">
        <v>2020</v>
      </c>
      <c r="AL936" s="16"/>
      <c r="AW936" s="6">
        <f t="shared" ca="1" si="16"/>
        <v>63</v>
      </c>
    </row>
    <row r="937" ht="45" customHeight="1">
      <c r="A937" s="69"/>
      <c r="B937" s="3" t="s">
        <v>47</v>
      </c>
      <c r="E937" s="2" t="s">
        <v>83</v>
      </c>
      <c r="F937" s="6" t="s">
        <v>84</v>
      </c>
      <c r="G937" s="5" t="s">
        <v>85</v>
      </c>
      <c r="H937" s="2" t="s">
        <v>57</v>
      </c>
      <c r="I937" s="3" t="s">
        <v>2479</v>
      </c>
      <c r="J937" s="7">
        <v>1</v>
      </c>
      <c r="K937" s="70" t="s">
        <v>53</v>
      </c>
      <c r="L937" s="9">
        <v>1</v>
      </c>
      <c r="M937" s="3">
        <v>688</v>
      </c>
      <c r="N937" s="6">
        <v>1962</v>
      </c>
      <c r="P937" s="71"/>
      <c r="R937" s="6">
        <v>1960</v>
      </c>
      <c r="S937" s="3" t="s">
        <v>54</v>
      </c>
      <c r="T937" s="72"/>
      <c r="U937" s="73"/>
      <c r="W937" s="2" t="s">
        <v>2480</v>
      </c>
      <c r="X937" s="10" t="s">
        <v>56</v>
      </c>
      <c r="Y937" s="10" t="s">
        <v>57</v>
      </c>
      <c r="Z937" s="75"/>
      <c r="AA937" s="76"/>
      <c r="AB937" s="77">
        <v>24530</v>
      </c>
      <c r="AC937" s="77"/>
      <c r="AD937" s="6"/>
      <c r="AE937" s="7" t="s">
        <v>2481</v>
      </c>
      <c r="AF937" s="7" t="s">
        <v>2482</v>
      </c>
      <c r="AG937" s="7">
        <v>1967</v>
      </c>
      <c r="AH937" s="7">
        <v>1960</v>
      </c>
      <c r="AI937" s="7"/>
      <c r="AJ937" s="73"/>
      <c r="AK937" s="7"/>
      <c r="AL937" s="16"/>
      <c r="AM937" s="2" t="s">
        <v>59</v>
      </c>
      <c r="AO937" s="6" t="s">
        <v>100</v>
      </c>
      <c r="AP937" s="6" t="s">
        <v>104</v>
      </c>
      <c r="AR937" s="2" t="s">
        <v>73</v>
      </c>
      <c r="AT937" s="6">
        <v>1980</v>
      </c>
      <c r="AU937" s="16" t="s">
        <v>2483</v>
      </c>
      <c r="AW937" s="6">
        <f t="shared" ca="1" si="16"/>
        <v>63</v>
      </c>
    </row>
    <row r="938" ht="45" customHeight="1" outlineLevel="1">
      <c r="A938" s="69"/>
      <c r="B938" s="3" t="s">
        <v>47</v>
      </c>
      <c r="E938" s="2" t="s">
        <v>83</v>
      </c>
      <c r="F938" s="6" t="s">
        <v>84</v>
      </c>
      <c r="G938" s="5" t="s">
        <v>85</v>
      </c>
      <c r="H938" s="2" t="s">
        <v>57</v>
      </c>
      <c r="I938" s="3" t="s">
        <v>2484</v>
      </c>
      <c r="J938" s="7">
        <v>1</v>
      </c>
      <c r="K938" s="70" t="s">
        <v>53</v>
      </c>
      <c r="L938" s="9">
        <v>1</v>
      </c>
      <c r="M938" s="3">
        <v>689</v>
      </c>
      <c r="N938" s="6">
        <v>1962</v>
      </c>
      <c r="P938" s="71"/>
      <c r="R938" s="6">
        <v>1960</v>
      </c>
      <c r="S938" s="3" t="s">
        <v>54</v>
      </c>
      <c r="T938" s="72"/>
      <c r="U938" s="73"/>
      <c r="W938" s="2" t="s">
        <v>2485</v>
      </c>
      <c r="X938" s="10" t="s">
        <v>56</v>
      </c>
      <c r="Y938" s="10" t="s">
        <v>57</v>
      </c>
      <c r="Z938" s="75" t="s">
        <v>58</v>
      </c>
      <c r="AA938" s="76"/>
      <c r="AB938" s="77">
        <v>23589</v>
      </c>
      <c r="AC938" s="77"/>
      <c r="AD938" s="6"/>
      <c r="AE938" s="7" t="s">
        <v>2481</v>
      </c>
      <c r="AF938" s="7" t="s">
        <v>2486</v>
      </c>
      <c r="AG938" s="7">
        <v>1964</v>
      </c>
      <c r="AH938" s="7">
        <v>1960</v>
      </c>
      <c r="AI938" s="7"/>
      <c r="AJ938" s="73"/>
      <c r="AK938" s="7"/>
      <c r="AL938" s="16" t="s">
        <v>2487</v>
      </c>
      <c r="AM938" s="2" t="s">
        <v>59</v>
      </c>
      <c r="AO938" s="6" t="s">
        <v>59</v>
      </c>
      <c r="AP938" s="6" t="s">
        <v>73</v>
      </c>
      <c r="AQ938" s="5" t="s">
        <v>73</v>
      </c>
      <c r="AW938" s="6">
        <f t="shared" ca="1" si="16"/>
        <v>63</v>
      </c>
    </row>
    <row r="939" ht="45" customHeight="1">
      <c r="A939" s="69"/>
      <c r="B939" s="3" t="s">
        <v>47</v>
      </c>
      <c r="E939" s="2" t="s">
        <v>83</v>
      </c>
      <c r="F939" s="6" t="s">
        <v>84</v>
      </c>
      <c r="G939" s="5" t="s">
        <v>2275</v>
      </c>
      <c r="H939" s="2" t="s">
        <v>181</v>
      </c>
      <c r="I939" s="3" t="s">
        <v>2488</v>
      </c>
      <c r="J939" s="7">
        <v>1</v>
      </c>
      <c r="K939" s="70" t="s">
        <v>53</v>
      </c>
      <c r="L939" s="9">
        <v>1</v>
      </c>
      <c r="M939" s="3">
        <v>690</v>
      </c>
      <c r="N939" s="6">
        <v>1963</v>
      </c>
      <c r="P939" s="71"/>
      <c r="R939" s="6">
        <v>1960</v>
      </c>
      <c r="S939" s="3" t="s">
        <v>54</v>
      </c>
      <c r="T939" s="72"/>
      <c r="U939" s="73"/>
      <c r="W939" s="2" t="s">
        <v>2489</v>
      </c>
      <c r="X939" s="10" t="s">
        <v>56</v>
      </c>
      <c r="Y939" s="10" t="s">
        <v>181</v>
      </c>
      <c r="Z939" s="75"/>
      <c r="AA939" s="76"/>
      <c r="AB939" s="77">
        <v>29339</v>
      </c>
      <c r="AC939" s="77">
        <v>29339</v>
      </c>
      <c r="AD939" s="10"/>
      <c r="AE939" s="7">
        <v>1979</v>
      </c>
      <c r="AF939" s="7">
        <v>84</v>
      </c>
      <c r="AG939" s="7">
        <v>1980</v>
      </c>
      <c r="AH939" s="7">
        <v>1980</v>
      </c>
      <c r="AI939" s="7"/>
      <c r="AJ939" s="73"/>
      <c r="AK939" s="7"/>
      <c r="AL939" s="16"/>
      <c r="AM939" s="2" t="s">
        <v>59</v>
      </c>
      <c r="AW939" s="6">
        <f t="shared" ca="1" si="16"/>
        <v>62</v>
      </c>
    </row>
    <row r="940" ht="45" hidden="1" customHeight="1">
      <c r="A940" s="69"/>
      <c r="B940" s="3" t="s">
        <v>190</v>
      </c>
      <c r="C940" s="4" t="s">
        <v>2490</v>
      </c>
      <c r="D940" s="5" t="s">
        <v>2491</v>
      </c>
      <c r="E940" s="2" t="s">
        <v>63</v>
      </c>
      <c r="F940" s="6" t="s">
        <v>428</v>
      </c>
      <c r="G940" s="5" t="s">
        <v>2082</v>
      </c>
      <c r="H940" s="2" t="s">
        <v>68</v>
      </c>
      <c r="I940" s="3" t="s">
        <v>2492</v>
      </c>
      <c r="J940" s="7">
        <v>1</v>
      </c>
      <c r="K940" s="70"/>
      <c r="L940" s="9">
        <v>1</v>
      </c>
      <c r="M940" s="3">
        <v>691</v>
      </c>
      <c r="N940" s="6">
        <v>1963</v>
      </c>
      <c r="P940" s="71"/>
      <c r="R940" s="6">
        <v>1960</v>
      </c>
      <c r="S940" s="3" t="s">
        <v>283</v>
      </c>
      <c r="T940" s="72"/>
      <c r="U940" s="73"/>
      <c r="W940" s="74" t="s">
        <v>62</v>
      </c>
      <c r="X940" s="10" t="s">
        <v>56</v>
      </c>
      <c r="Y940" s="10"/>
      <c r="Z940" s="75"/>
      <c r="AA940" s="76"/>
      <c r="AB940" s="77"/>
      <c r="AC940" s="77"/>
      <c r="AD940" s="10"/>
      <c r="AI940" s="7"/>
      <c r="AJ940" s="73"/>
      <c r="AK940" s="7"/>
      <c r="AL940" s="16"/>
      <c r="AW940" s="6">
        <f t="shared" ca="1" si="16"/>
        <v>62</v>
      </c>
    </row>
    <row r="941" ht="45" hidden="1" customHeight="1">
      <c r="A941" s="69"/>
      <c r="B941" s="3" t="s">
        <v>47</v>
      </c>
      <c r="C941" s="4" t="s">
        <v>1345</v>
      </c>
      <c r="D941" s="5" t="s">
        <v>2493</v>
      </c>
      <c r="E941" s="2" t="s">
        <v>48</v>
      </c>
      <c r="F941" s="6" t="s">
        <v>49</v>
      </c>
      <c r="G941" s="5" t="s">
        <v>468</v>
      </c>
      <c r="H941" s="2" t="s">
        <v>57</v>
      </c>
      <c r="I941" s="96" t="s">
        <v>2494</v>
      </c>
      <c r="J941" s="7">
        <v>1</v>
      </c>
      <c r="K941" s="70"/>
      <c r="L941" s="9">
        <v>1</v>
      </c>
      <c r="M941" s="3">
        <v>692</v>
      </c>
      <c r="N941" s="6">
        <v>1963</v>
      </c>
      <c r="P941" s="71"/>
      <c r="R941" s="6">
        <v>1960</v>
      </c>
      <c r="S941" s="3" t="s">
        <v>236</v>
      </c>
      <c r="T941" s="72"/>
      <c r="U941" s="73"/>
      <c r="W941" s="2" t="s">
        <v>62</v>
      </c>
      <c r="X941" s="10" t="s">
        <v>56</v>
      </c>
      <c r="Y941" s="10" t="s">
        <v>57</v>
      </c>
      <c r="Z941" s="75"/>
      <c r="AA941" s="76"/>
      <c r="AB941" s="77"/>
      <c r="AC941" s="77"/>
      <c r="AD941" s="10"/>
      <c r="AI941" s="7"/>
      <c r="AJ941" s="95">
        <v>41878</v>
      </c>
      <c r="AK941" s="7">
        <v>2010</v>
      </c>
      <c r="AL941" s="16"/>
      <c r="AW941" s="6">
        <f t="shared" ca="1" si="16"/>
        <v>62</v>
      </c>
    </row>
    <row r="942" ht="45" customHeight="1">
      <c r="A942" s="69"/>
      <c r="B942" s="3" t="s">
        <v>47</v>
      </c>
      <c r="E942" s="2" t="s">
        <v>694</v>
      </c>
      <c r="F942" s="6" t="s">
        <v>2495</v>
      </c>
      <c r="G942" s="5" t="s">
        <v>2496</v>
      </c>
      <c r="H942" s="2" t="s">
        <v>57</v>
      </c>
      <c r="I942" s="3" t="s">
        <v>2497</v>
      </c>
      <c r="J942" s="7">
        <v>1</v>
      </c>
      <c r="K942" s="70" t="s">
        <v>53</v>
      </c>
      <c r="L942" s="9">
        <v>1</v>
      </c>
      <c r="M942" s="3">
        <v>693</v>
      </c>
      <c r="N942" s="6">
        <v>1963</v>
      </c>
      <c r="P942" s="71"/>
      <c r="R942" s="6">
        <v>1960</v>
      </c>
      <c r="S942" s="3" t="s">
        <v>54</v>
      </c>
      <c r="T942" s="72"/>
      <c r="U942" s="73"/>
      <c r="W942" s="2" t="s">
        <v>2498</v>
      </c>
      <c r="X942" s="10" t="s">
        <v>56</v>
      </c>
      <c r="Y942" s="10" t="s">
        <v>57</v>
      </c>
      <c r="Z942" s="75"/>
      <c r="AA942" s="76"/>
      <c r="AB942" s="77">
        <v>24461</v>
      </c>
      <c r="AC942" s="77"/>
      <c r="AD942" s="6"/>
      <c r="AG942" s="7">
        <v>1966</v>
      </c>
      <c r="AH942" s="7">
        <v>1960</v>
      </c>
      <c r="AI942" s="7"/>
      <c r="AJ942" s="73"/>
      <c r="AK942" s="7"/>
      <c r="AL942" s="16"/>
      <c r="AM942" s="2" t="s">
        <v>59</v>
      </c>
      <c r="AN942" s="6" t="s">
        <v>73</v>
      </c>
      <c r="AO942" s="6" t="s">
        <v>59</v>
      </c>
      <c r="AP942" s="6" t="s">
        <v>73</v>
      </c>
      <c r="AQ942" s="5" t="s">
        <v>73</v>
      </c>
      <c r="AW942" s="6">
        <f t="shared" ca="1" si="16"/>
        <v>62</v>
      </c>
    </row>
    <row r="943" ht="45" hidden="1" customHeight="1">
      <c r="A943" s="69"/>
      <c r="B943" s="3" t="s">
        <v>47</v>
      </c>
      <c r="C943" s="4" t="s">
        <v>2499</v>
      </c>
      <c r="E943" s="2" t="s">
        <v>63</v>
      </c>
      <c r="F943" s="6" t="s">
        <v>354</v>
      </c>
      <c r="G943" s="5" t="s">
        <v>971</v>
      </c>
      <c r="H943" s="2" t="s">
        <v>57</v>
      </c>
      <c r="I943" s="3" t="s">
        <v>2500</v>
      </c>
      <c r="J943" s="7">
        <v>1</v>
      </c>
      <c r="K943" s="104"/>
      <c r="L943" s="9">
        <v>1</v>
      </c>
      <c r="M943" s="3">
        <v>694</v>
      </c>
      <c r="N943" s="6">
        <v>1963</v>
      </c>
      <c r="P943" s="71"/>
      <c r="R943" s="6">
        <v>1960</v>
      </c>
      <c r="S943" s="3" t="s">
        <v>236</v>
      </c>
      <c r="T943" s="72"/>
      <c r="U943" s="73"/>
      <c r="W943" s="2" t="s">
        <v>62</v>
      </c>
      <c r="X943" s="10" t="s">
        <v>56</v>
      </c>
      <c r="Y943" s="10" t="s">
        <v>57</v>
      </c>
      <c r="Z943" s="75"/>
      <c r="AA943" s="76"/>
      <c r="AB943" s="77"/>
      <c r="AC943" s="77"/>
      <c r="AD943" s="6"/>
      <c r="AI943" s="7"/>
      <c r="AJ943" s="95">
        <v>35639</v>
      </c>
      <c r="AK943" s="7">
        <v>1990</v>
      </c>
      <c r="AL943" s="16" t="s">
        <v>2501</v>
      </c>
      <c r="AW943" s="6">
        <f t="shared" ca="1" si="16"/>
        <v>62</v>
      </c>
    </row>
    <row r="944" ht="45" hidden="1" customHeight="1">
      <c r="A944" s="69"/>
      <c r="B944" s="3" t="s">
        <v>47</v>
      </c>
      <c r="C944" s="4" t="s">
        <v>2502</v>
      </c>
      <c r="E944" s="2" t="s">
        <v>63</v>
      </c>
      <c r="F944" s="6" t="s">
        <v>898</v>
      </c>
      <c r="G944" s="5" t="s">
        <v>899</v>
      </c>
      <c r="H944" s="2" t="s">
        <v>57</v>
      </c>
      <c r="I944" s="3" t="s">
        <v>2503</v>
      </c>
      <c r="J944" s="7">
        <v>1</v>
      </c>
      <c r="K944" s="104"/>
      <c r="L944" s="9">
        <v>1</v>
      </c>
      <c r="M944" s="3">
        <v>695</v>
      </c>
      <c r="N944" s="6">
        <v>1963</v>
      </c>
      <c r="P944" s="71"/>
      <c r="R944" s="6">
        <v>1960</v>
      </c>
      <c r="S944" s="3" t="s">
        <v>236</v>
      </c>
      <c r="T944" s="72"/>
      <c r="U944" s="73"/>
      <c r="W944" s="2" t="s">
        <v>62</v>
      </c>
      <c r="X944" s="10" t="s">
        <v>56</v>
      </c>
      <c r="Y944" s="10" t="s">
        <v>57</v>
      </c>
      <c r="Z944" s="75"/>
      <c r="AA944" s="76"/>
      <c r="AB944" s="77"/>
      <c r="AC944" s="77"/>
      <c r="AD944" s="6"/>
      <c r="AI944" s="7"/>
      <c r="AJ944" s="95">
        <v>35639</v>
      </c>
      <c r="AK944" s="7">
        <v>1990</v>
      </c>
      <c r="AL944" s="16"/>
      <c r="AW944" s="6">
        <f t="shared" ca="1" si="16"/>
        <v>62</v>
      </c>
    </row>
    <row r="945" ht="45" hidden="1" customHeight="1">
      <c r="A945" s="69"/>
      <c r="B945" s="3" t="s">
        <v>47</v>
      </c>
      <c r="C945" s="4" t="s">
        <v>2504</v>
      </c>
      <c r="D945" s="5" t="s">
        <v>2505</v>
      </c>
      <c r="E945" s="2" t="s">
        <v>63</v>
      </c>
      <c r="F945" s="6" t="s">
        <v>1480</v>
      </c>
      <c r="G945" s="5" t="s">
        <v>1481</v>
      </c>
      <c r="H945" s="2" t="s">
        <v>57</v>
      </c>
      <c r="I945" s="3" t="s">
        <v>2506</v>
      </c>
      <c r="J945" s="7">
        <v>1</v>
      </c>
      <c r="K945" s="104"/>
      <c r="L945" s="9">
        <v>1</v>
      </c>
      <c r="M945" s="3">
        <v>696</v>
      </c>
      <c r="N945" s="6">
        <v>1963</v>
      </c>
      <c r="O945" s="10">
        <v>23807</v>
      </c>
      <c r="P945" s="71" t="s">
        <v>2507</v>
      </c>
      <c r="Q945" s="10" t="s">
        <v>1453</v>
      </c>
      <c r="R945" s="6">
        <v>1960</v>
      </c>
      <c r="S945" s="3" t="s">
        <v>236</v>
      </c>
      <c r="T945" s="72"/>
      <c r="U945" s="73"/>
      <c r="W945" s="2" t="s">
        <v>62</v>
      </c>
      <c r="X945" s="10" t="s">
        <v>56</v>
      </c>
      <c r="Y945" s="10" t="s">
        <v>57</v>
      </c>
      <c r="Z945" s="75"/>
      <c r="AA945" s="76"/>
      <c r="AB945" s="77"/>
      <c r="AC945" s="77"/>
      <c r="AD945" s="6"/>
      <c r="AI945" s="7"/>
      <c r="AJ945" s="10">
        <v>42192</v>
      </c>
      <c r="AK945" s="7">
        <v>2010</v>
      </c>
      <c r="AL945" s="16"/>
      <c r="AW945" s="6">
        <f t="shared" ca="1" si="16"/>
        <v>62</v>
      </c>
    </row>
    <row r="946" ht="45" hidden="1" customHeight="1" outlineLevel="1">
      <c r="A946" s="69"/>
      <c r="B946" s="3" t="s">
        <v>47</v>
      </c>
      <c r="C946" s="4" t="s">
        <v>2508</v>
      </c>
      <c r="D946" s="5" t="s">
        <v>2509</v>
      </c>
      <c r="E946" s="2" t="s">
        <v>63</v>
      </c>
      <c r="F946" s="6" t="s">
        <v>217</v>
      </c>
      <c r="G946" s="5" t="s">
        <v>221</v>
      </c>
      <c r="H946" s="2" t="s">
        <v>57</v>
      </c>
      <c r="I946" s="3" t="s">
        <v>2510</v>
      </c>
      <c r="J946" s="7">
        <v>1</v>
      </c>
      <c r="K946" s="104"/>
      <c r="L946" s="9">
        <v>1</v>
      </c>
      <c r="M946" s="3">
        <v>697</v>
      </c>
      <c r="N946" s="6">
        <v>1963</v>
      </c>
      <c r="P946" s="71"/>
      <c r="R946" s="6">
        <v>1960</v>
      </c>
      <c r="S946" s="3" t="s">
        <v>236</v>
      </c>
      <c r="T946" s="72" t="s">
        <v>1136</v>
      </c>
      <c r="W946" s="2" t="s">
        <v>62</v>
      </c>
      <c r="X946" s="10" t="s">
        <v>56</v>
      </c>
      <c r="Y946" s="10" t="s">
        <v>57</v>
      </c>
      <c r="Z946" s="75"/>
      <c r="AA946" s="76"/>
      <c r="AB946" s="77"/>
      <c r="AC946" s="77"/>
      <c r="AD946" s="6"/>
      <c r="AI946" s="7"/>
      <c r="AJ946" s="10">
        <v>44511</v>
      </c>
      <c r="AK946" s="7">
        <v>2020</v>
      </c>
      <c r="AL946" s="16"/>
      <c r="AW946" s="6">
        <f t="shared" ca="1" si="16"/>
        <v>62</v>
      </c>
    </row>
    <row r="947" ht="45" hidden="1" customHeight="1">
      <c r="A947" s="69"/>
      <c r="B947" s="3" t="s">
        <v>47</v>
      </c>
      <c r="C947" s="4" t="s">
        <v>2171</v>
      </c>
      <c r="E947" s="2" t="s">
        <v>63</v>
      </c>
      <c r="F947" s="6" t="s">
        <v>1230</v>
      </c>
      <c r="G947" s="5" t="s">
        <v>2511</v>
      </c>
      <c r="H947" s="2" t="s">
        <v>57</v>
      </c>
      <c r="I947" s="3" t="s">
        <v>2512</v>
      </c>
      <c r="J947" s="7">
        <v>1</v>
      </c>
      <c r="K947" s="104"/>
      <c r="L947" s="9">
        <v>1</v>
      </c>
      <c r="M947" s="3">
        <v>698</v>
      </c>
      <c r="N947" s="6">
        <v>1963</v>
      </c>
      <c r="P947" s="71"/>
      <c r="R947" s="6">
        <v>1960</v>
      </c>
      <c r="S947" s="3" t="s">
        <v>236</v>
      </c>
      <c r="T947" s="72"/>
      <c r="U947" s="73"/>
      <c r="W947" s="2" t="s">
        <v>62</v>
      </c>
      <c r="X947" s="10" t="s">
        <v>56</v>
      </c>
      <c r="Y947" s="10" t="s">
        <v>57</v>
      </c>
      <c r="Z947" s="75"/>
      <c r="AA947" s="76"/>
      <c r="AB947" s="77"/>
      <c r="AC947" s="77"/>
      <c r="AD947" s="6"/>
      <c r="AI947" s="7"/>
      <c r="AJ947" s="95">
        <v>41354</v>
      </c>
      <c r="AK947" s="7">
        <v>2010</v>
      </c>
      <c r="AL947" s="16"/>
      <c r="AW947" s="6">
        <f t="shared" ca="1" si="16"/>
        <v>62</v>
      </c>
    </row>
    <row r="948" ht="45" hidden="1" customHeight="1">
      <c r="A948" s="69"/>
      <c r="B948" s="3" t="s">
        <v>47</v>
      </c>
      <c r="C948" s="4" t="s">
        <v>2171</v>
      </c>
      <c r="E948" s="2" t="s">
        <v>63</v>
      </c>
      <c r="F948" s="6" t="s">
        <v>1230</v>
      </c>
      <c r="G948" s="5" t="s">
        <v>1231</v>
      </c>
      <c r="H948" s="2" t="s">
        <v>57</v>
      </c>
      <c r="I948" s="96" t="s">
        <v>2513</v>
      </c>
      <c r="J948" s="7">
        <v>1</v>
      </c>
      <c r="K948" s="104"/>
      <c r="L948" s="9">
        <v>1</v>
      </c>
      <c r="M948" s="3">
        <v>699</v>
      </c>
      <c r="N948" s="6">
        <v>1963</v>
      </c>
      <c r="P948" s="71"/>
      <c r="R948" s="6">
        <v>1960</v>
      </c>
      <c r="S948" s="3" t="s">
        <v>236</v>
      </c>
      <c r="T948" s="72"/>
      <c r="U948" s="73"/>
      <c r="W948" s="2" t="s">
        <v>62</v>
      </c>
      <c r="X948" s="10" t="s">
        <v>56</v>
      </c>
      <c r="Y948" s="10" t="s">
        <v>57</v>
      </c>
      <c r="Z948" s="75"/>
      <c r="AA948" s="76"/>
      <c r="AB948" s="77"/>
      <c r="AC948" s="77"/>
      <c r="AD948" s="6"/>
      <c r="AI948" s="7"/>
      <c r="AJ948" s="95">
        <v>37701</v>
      </c>
      <c r="AK948" s="7">
        <v>2010</v>
      </c>
      <c r="AL948" s="16"/>
      <c r="AW948" s="6">
        <f t="shared" ca="1" si="16"/>
        <v>62</v>
      </c>
    </row>
    <row r="949" ht="45" hidden="1" customHeight="1">
      <c r="A949" s="132">
        <v>43871</v>
      </c>
      <c r="B949" s="3" t="s">
        <v>190</v>
      </c>
      <c r="C949" s="144" t="s">
        <v>2514</v>
      </c>
      <c r="D949" s="117" t="s">
        <v>2515</v>
      </c>
      <c r="E949" s="2" t="s">
        <v>83</v>
      </c>
      <c r="F949" s="6" t="s">
        <v>179</v>
      </c>
      <c r="G949" s="5" t="s">
        <v>180</v>
      </c>
      <c r="H949" s="2" t="s">
        <v>57</v>
      </c>
      <c r="I949" s="3" t="s">
        <v>2516</v>
      </c>
      <c r="J949" s="7">
        <v>1</v>
      </c>
      <c r="K949" s="145"/>
      <c r="L949" s="9">
        <v>1</v>
      </c>
      <c r="M949" s="3">
        <v>700</v>
      </c>
      <c r="N949" s="6">
        <v>1963</v>
      </c>
      <c r="P949" s="71"/>
      <c r="R949" s="6">
        <v>1960</v>
      </c>
      <c r="S949" s="3" t="s">
        <v>283</v>
      </c>
      <c r="T949" s="72" t="s">
        <v>1136</v>
      </c>
      <c r="U949" s="73"/>
      <c r="W949" s="74" t="s">
        <v>62</v>
      </c>
      <c r="X949" s="10" t="s">
        <v>56</v>
      </c>
      <c r="Y949" s="10" t="s">
        <v>57</v>
      </c>
      <c r="Z949" s="75"/>
      <c r="AA949" s="137"/>
      <c r="AB949" s="138"/>
      <c r="AC949" s="138"/>
      <c r="AD949" s="141"/>
      <c r="AE949" s="139"/>
      <c r="AG949" s="139"/>
      <c r="AH949" s="139"/>
      <c r="AI949" s="139"/>
      <c r="AJ949" s="160"/>
      <c r="AK949" s="139"/>
      <c r="AL949" s="16"/>
      <c r="AO949" s="141"/>
      <c r="AP949" s="141"/>
      <c r="AQ949" s="117"/>
      <c r="AR949" s="142"/>
      <c r="AS949" s="141"/>
      <c r="AT949" s="141"/>
      <c r="AU949" s="140"/>
      <c r="AV949" s="143"/>
      <c r="AW949" s="6">
        <f t="shared" ca="1" si="16"/>
        <v>62</v>
      </c>
    </row>
    <row r="950" ht="45" hidden="1" customHeight="1">
      <c r="A950" s="69"/>
      <c r="B950" s="3" t="s">
        <v>47</v>
      </c>
      <c r="C950" s="4" t="s">
        <v>1263</v>
      </c>
      <c r="E950" s="2" t="s">
        <v>83</v>
      </c>
      <c r="F950" s="6" t="s">
        <v>84</v>
      </c>
      <c r="G950" s="5" t="s">
        <v>1707</v>
      </c>
      <c r="H950" s="2" t="s">
        <v>57</v>
      </c>
      <c r="I950" s="96" t="s">
        <v>2517</v>
      </c>
      <c r="J950" s="7">
        <v>1</v>
      </c>
      <c r="K950" s="104"/>
      <c r="L950" s="9">
        <v>1</v>
      </c>
      <c r="M950" s="3">
        <v>701</v>
      </c>
      <c r="N950" s="6">
        <v>1963</v>
      </c>
      <c r="P950" s="71"/>
      <c r="R950" s="6">
        <v>1960</v>
      </c>
      <c r="S950" s="3" t="s">
        <v>236</v>
      </c>
      <c r="T950" s="72"/>
      <c r="U950" s="73">
        <v>38044</v>
      </c>
      <c r="W950" s="2" t="s">
        <v>62</v>
      </c>
      <c r="X950" s="10" t="s">
        <v>56</v>
      </c>
      <c r="Y950" s="10" t="s">
        <v>57</v>
      </c>
      <c r="Z950" s="75"/>
      <c r="AA950" s="76"/>
      <c r="AB950" s="77"/>
      <c r="AC950" s="77"/>
      <c r="AD950" s="6"/>
      <c r="AI950" s="7"/>
      <c r="AJ950" s="95">
        <v>38044</v>
      </c>
      <c r="AK950" s="7">
        <v>2000</v>
      </c>
      <c r="AL950" s="16"/>
      <c r="AW950" s="6">
        <f t="shared" ca="1" si="16"/>
        <v>62</v>
      </c>
    </row>
    <row r="951" ht="45" hidden="1" customHeight="1">
      <c r="A951" s="69"/>
      <c r="B951" s="3" t="s">
        <v>47</v>
      </c>
      <c r="C951" s="4" t="s">
        <v>2518</v>
      </c>
      <c r="D951" s="5" t="s">
        <v>2519</v>
      </c>
      <c r="E951" s="2" t="s">
        <v>83</v>
      </c>
      <c r="F951" s="6" t="s">
        <v>84</v>
      </c>
      <c r="G951" s="5" t="s">
        <v>2275</v>
      </c>
      <c r="H951" s="2" t="s">
        <v>57</v>
      </c>
      <c r="I951" s="3" t="s">
        <v>2520</v>
      </c>
      <c r="J951" s="7">
        <v>1</v>
      </c>
      <c r="K951" s="104"/>
      <c r="L951" s="9">
        <v>1</v>
      </c>
      <c r="M951" s="3">
        <v>702</v>
      </c>
      <c r="N951" s="6">
        <v>1963</v>
      </c>
      <c r="P951" s="71"/>
      <c r="R951" s="6">
        <v>1960</v>
      </c>
      <c r="S951" s="3" t="s">
        <v>236</v>
      </c>
      <c r="T951" s="72"/>
      <c r="U951" s="73">
        <v>41540</v>
      </c>
      <c r="W951" s="2" t="s">
        <v>62</v>
      </c>
      <c r="X951" s="10" t="s">
        <v>56</v>
      </c>
      <c r="Y951" s="10" t="s">
        <v>57</v>
      </c>
      <c r="Z951" s="75"/>
      <c r="AA951" s="76"/>
      <c r="AB951" s="77"/>
      <c r="AC951" s="77"/>
      <c r="AD951" s="6"/>
      <c r="AI951" s="7"/>
      <c r="AJ951" s="95">
        <v>41540</v>
      </c>
      <c r="AK951" s="7">
        <v>2010</v>
      </c>
      <c r="AL951" s="16"/>
      <c r="AW951" s="6">
        <f t="shared" ca="1" si="16"/>
        <v>62</v>
      </c>
    </row>
    <row r="952" ht="45" customHeight="1">
      <c r="A952" s="69"/>
      <c r="B952" s="3" t="s">
        <v>47</v>
      </c>
      <c r="E952" s="2" t="s">
        <v>48</v>
      </c>
      <c r="F952" s="6" t="s">
        <v>49</v>
      </c>
      <c r="G952" s="5" t="s">
        <v>468</v>
      </c>
      <c r="H952" s="2" t="s">
        <v>57</v>
      </c>
      <c r="I952" s="3" t="s">
        <v>2521</v>
      </c>
      <c r="J952" s="7">
        <v>1</v>
      </c>
      <c r="K952" s="70" t="s">
        <v>53</v>
      </c>
      <c r="L952" s="9">
        <v>1</v>
      </c>
      <c r="M952" s="3">
        <v>703</v>
      </c>
      <c r="N952" s="6">
        <v>1963</v>
      </c>
      <c r="P952" s="71"/>
      <c r="R952" s="6">
        <v>1960</v>
      </c>
      <c r="S952" s="3" t="s">
        <v>54</v>
      </c>
      <c r="T952" s="72"/>
      <c r="U952" s="73"/>
      <c r="W952" s="2" t="s">
        <v>2522</v>
      </c>
      <c r="X952" s="10" t="s">
        <v>56</v>
      </c>
      <c r="Y952" s="10" t="s">
        <v>57</v>
      </c>
      <c r="Z952" s="75"/>
      <c r="AA952" s="76"/>
      <c r="AB952" s="77">
        <v>23243</v>
      </c>
      <c r="AC952" s="77"/>
      <c r="AD952" s="6"/>
      <c r="AE952" s="7">
        <v>1963</v>
      </c>
      <c r="AF952" s="7">
        <v>41</v>
      </c>
      <c r="AG952" s="7">
        <v>1963</v>
      </c>
      <c r="AH952" s="7">
        <v>1960</v>
      </c>
      <c r="AI952" s="7"/>
      <c r="AJ952" s="73"/>
      <c r="AK952" s="7"/>
      <c r="AL952" s="16"/>
      <c r="AM952" s="2" t="s">
        <v>59</v>
      </c>
      <c r="AO952" s="6" t="s">
        <v>100</v>
      </c>
      <c r="AP952" s="6" t="s">
        <v>73</v>
      </c>
      <c r="AQ952" s="5" t="s">
        <v>73</v>
      </c>
      <c r="AR952" s="2" t="s">
        <v>73</v>
      </c>
      <c r="AT952" s="6" t="s">
        <v>478</v>
      </c>
      <c r="AU952" s="16" t="s">
        <v>479</v>
      </c>
      <c r="AW952" s="6">
        <f t="shared" ca="1" si="16"/>
        <v>62</v>
      </c>
    </row>
    <row r="953" ht="45" hidden="1" customHeight="1">
      <c r="A953" s="69"/>
      <c r="B953" s="3" t="s">
        <v>47</v>
      </c>
      <c r="C953" s="4" t="s">
        <v>2523</v>
      </c>
      <c r="D953" s="5" t="s">
        <v>2524</v>
      </c>
      <c r="E953" s="2" t="s">
        <v>83</v>
      </c>
      <c r="F953" s="6" t="s">
        <v>704</v>
      </c>
      <c r="G953" s="5" t="s">
        <v>1697</v>
      </c>
      <c r="H953" s="2" t="s">
        <v>181</v>
      </c>
      <c r="I953" s="3" t="s">
        <v>2525</v>
      </c>
      <c r="J953" s="7">
        <v>1</v>
      </c>
      <c r="K953" s="104"/>
      <c r="L953" s="9">
        <v>1</v>
      </c>
      <c r="M953" s="3">
        <v>704</v>
      </c>
      <c r="N953" s="6">
        <v>1963</v>
      </c>
      <c r="P953" s="71"/>
      <c r="R953" s="6">
        <v>1960</v>
      </c>
      <c r="S953" s="3" t="s">
        <v>236</v>
      </c>
      <c r="T953" s="72"/>
      <c r="U953" s="73"/>
      <c r="W953" s="2" t="s">
        <v>62</v>
      </c>
      <c r="X953" s="10" t="s">
        <v>56</v>
      </c>
      <c r="Y953" s="10" t="s">
        <v>181</v>
      </c>
      <c r="Z953" s="75"/>
      <c r="AA953" s="76"/>
      <c r="AB953" s="77"/>
      <c r="AC953" s="77"/>
      <c r="AD953" s="6"/>
      <c r="AI953" s="7"/>
      <c r="AJ953" s="10">
        <v>42192</v>
      </c>
      <c r="AK953" s="7">
        <v>2010</v>
      </c>
      <c r="AL953" s="16"/>
      <c r="AW953" s="6">
        <f t="shared" ca="1" si="16"/>
        <v>62</v>
      </c>
    </row>
    <row r="954" ht="45" hidden="1" customHeight="1">
      <c r="A954" s="69"/>
      <c r="B954" s="3" t="s">
        <v>47</v>
      </c>
      <c r="C954" s="4" t="s">
        <v>2526</v>
      </c>
      <c r="D954" s="5" t="s">
        <v>2527</v>
      </c>
      <c r="E954" s="2" t="s">
        <v>694</v>
      </c>
      <c r="F954" s="6" t="s">
        <v>695</v>
      </c>
      <c r="G954" s="5" t="s">
        <v>2528</v>
      </c>
      <c r="H954" s="2" t="s">
        <v>57</v>
      </c>
      <c r="I954" s="3" t="s">
        <v>2529</v>
      </c>
      <c r="J954" s="7">
        <v>1</v>
      </c>
      <c r="K954" s="104"/>
      <c r="L954" s="9">
        <v>1</v>
      </c>
      <c r="M954" s="3">
        <v>705</v>
      </c>
      <c r="N954" s="6">
        <v>1963</v>
      </c>
      <c r="O954" s="10">
        <v>23103</v>
      </c>
      <c r="P954" s="71" t="s">
        <v>2530</v>
      </c>
      <c r="Q954" s="10" t="s">
        <v>1453</v>
      </c>
      <c r="R954" s="6">
        <v>1960</v>
      </c>
      <c r="S954" s="3" t="s">
        <v>236</v>
      </c>
      <c r="T954" s="72"/>
      <c r="U954" s="73"/>
      <c r="W954" s="2" t="s">
        <v>62</v>
      </c>
      <c r="X954" s="10" t="s">
        <v>56</v>
      </c>
      <c r="Y954" s="10" t="s">
        <v>57</v>
      </c>
      <c r="Z954" s="75"/>
      <c r="AA954" s="76"/>
      <c r="AB954" s="77"/>
      <c r="AC954" s="77"/>
      <c r="AD954" s="6"/>
      <c r="AI954" s="7"/>
      <c r="AJ954" s="10">
        <v>42835</v>
      </c>
      <c r="AK954" s="7">
        <v>2010</v>
      </c>
      <c r="AL954" s="16"/>
      <c r="AW954" s="6">
        <f t="shared" ca="1" si="16"/>
        <v>62</v>
      </c>
    </row>
    <row r="955" ht="45" hidden="1" customHeight="1" outlineLevel="1">
      <c r="A955" s="69"/>
      <c r="B955" s="3" t="s">
        <v>47</v>
      </c>
      <c r="C955" s="4" t="s">
        <v>2531</v>
      </c>
      <c r="E955" s="2" t="s">
        <v>694</v>
      </c>
      <c r="F955" s="6" t="s">
        <v>695</v>
      </c>
      <c r="G955" s="5" t="s">
        <v>696</v>
      </c>
      <c r="H955" s="2" t="s">
        <v>57</v>
      </c>
      <c r="I955" s="96" t="s">
        <v>2532</v>
      </c>
      <c r="J955" s="7">
        <v>1</v>
      </c>
      <c r="K955" s="104"/>
      <c r="L955" s="9">
        <v>1</v>
      </c>
      <c r="M955" s="3">
        <v>706</v>
      </c>
      <c r="N955" s="6">
        <v>1963</v>
      </c>
      <c r="P955" s="71"/>
      <c r="R955" s="6">
        <v>1960</v>
      </c>
      <c r="S955" s="3" t="s">
        <v>236</v>
      </c>
      <c r="T955" s="72"/>
      <c r="U955" s="73"/>
      <c r="W955" s="2" t="s">
        <v>62</v>
      </c>
      <c r="X955" s="10" t="s">
        <v>56</v>
      </c>
      <c r="Y955" s="10" t="s">
        <v>57</v>
      </c>
      <c r="Z955" s="75"/>
      <c r="AA955" s="76"/>
      <c r="AB955" s="77"/>
      <c r="AC955" s="77"/>
      <c r="AD955" s="6"/>
      <c r="AI955" s="7"/>
      <c r="AJ955" s="95">
        <v>36287</v>
      </c>
      <c r="AK955" s="7">
        <v>1990</v>
      </c>
      <c r="AL955" s="16"/>
      <c r="AW955" s="6">
        <f t="shared" ca="1" si="16"/>
        <v>62</v>
      </c>
    </row>
    <row r="956" ht="45" customHeight="1" outlineLevel="1">
      <c r="A956" s="69"/>
      <c r="B956" s="3" t="s">
        <v>47</v>
      </c>
      <c r="E956" s="2" t="s">
        <v>694</v>
      </c>
      <c r="F956" s="6" t="s">
        <v>695</v>
      </c>
      <c r="G956" s="5" t="s">
        <v>696</v>
      </c>
      <c r="H956" s="2" t="s">
        <v>57</v>
      </c>
      <c r="I956" s="3" t="s">
        <v>2533</v>
      </c>
      <c r="J956" s="7">
        <v>1</v>
      </c>
      <c r="K956" s="70" t="s">
        <v>53</v>
      </c>
      <c r="L956" s="9">
        <v>1</v>
      </c>
      <c r="M956" s="3">
        <v>707</v>
      </c>
      <c r="N956" s="6">
        <v>1963</v>
      </c>
      <c r="P956" s="71"/>
      <c r="R956" s="6">
        <v>1960</v>
      </c>
      <c r="S956" s="3" t="s">
        <v>54</v>
      </c>
      <c r="T956" s="72"/>
      <c r="U956" s="73"/>
      <c r="W956" s="2" t="s">
        <v>2534</v>
      </c>
      <c r="X956" s="10" t="s">
        <v>56</v>
      </c>
      <c r="Y956" s="10" t="s">
        <v>57</v>
      </c>
      <c r="Z956" s="75"/>
      <c r="AA956" s="76"/>
      <c r="AB956" s="77">
        <v>23728</v>
      </c>
      <c r="AC956" s="77"/>
      <c r="AD956" s="6"/>
      <c r="AG956" s="7">
        <v>1964</v>
      </c>
      <c r="AH956" s="7">
        <v>1960</v>
      </c>
      <c r="AI956" s="7"/>
      <c r="AJ956" s="73"/>
      <c r="AK956" s="7"/>
      <c r="AL956" s="16"/>
      <c r="AM956" s="2" t="s">
        <v>59</v>
      </c>
      <c r="AO956" s="6" t="s">
        <v>59</v>
      </c>
      <c r="AQ956" s="5" t="s">
        <v>73</v>
      </c>
      <c r="AW956" s="6">
        <f t="shared" ca="1" si="16"/>
        <v>62</v>
      </c>
    </row>
    <row r="957" ht="45" hidden="1" customHeight="1" outlineLevel="1">
      <c r="A957" s="69"/>
      <c r="B957" s="3" t="s">
        <v>47</v>
      </c>
      <c r="C957" s="4" t="s">
        <v>2535</v>
      </c>
      <c r="E957" s="2" t="s">
        <v>694</v>
      </c>
      <c r="F957" s="6" t="s">
        <v>695</v>
      </c>
      <c r="G957" s="5" t="s">
        <v>696</v>
      </c>
      <c r="H957" s="2" t="s">
        <v>57</v>
      </c>
      <c r="I957" s="96" t="s">
        <v>2536</v>
      </c>
      <c r="J957" s="7">
        <v>1</v>
      </c>
      <c r="K957" s="70"/>
      <c r="L957" s="9">
        <v>1</v>
      </c>
      <c r="M957" s="3">
        <v>708</v>
      </c>
      <c r="N957" s="6">
        <v>1963</v>
      </c>
      <c r="P957" s="71"/>
      <c r="R957" s="6">
        <v>1960</v>
      </c>
      <c r="S957" s="3" t="s">
        <v>236</v>
      </c>
      <c r="T957" s="72"/>
      <c r="U957" s="73"/>
      <c r="W957" s="2" t="s">
        <v>62</v>
      </c>
      <c r="X957" s="10" t="s">
        <v>56</v>
      </c>
      <c r="Y957" s="10" t="s">
        <v>57</v>
      </c>
      <c r="Z957" s="75"/>
      <c r="AA957" s="76"/>
      <c r="AB957" s="77"/>
      <c r="AC957" s="77"/>
      <c r="AD957" s="6"/>
      <c r="AE957" s="7" t="s">
        <v>2537</v>
      </c>
      <c r="AF957" s="7" t="s">
        <v>2538</v>
      </c>
      <c r="AI957" s="7"/>
      <c r="AJ957" s="95">
        <v>25590</v>
      </c>
      <c r="AK957" s="7">
        <v>1970</v>
      </c>
      <c r="AL957" s="16" t="s">
        <v>2539</v>
      </c>
      <c r="AW957" s="6">
        <f t="shared" ca="1" si="16"/>
        <v>62</v>
      </c>
    </row>
    <row r="958" ht="45" customHeight="1" outlineLevel="1">
      <c r="A958" s="69"/>
      <c r="B958" s="3" t="s">
        <v>47</v>
      </c>
      <c r="C958" s="97" t="s">
        <v>2540</v>
      </c>
      <c r="E958" s="2" t="s">
        <v>694</v>
      </c>
      <c r="F958" s="6" t="s">
        <v>695</v>
      </c>
      <c r="G958" s="5" t="s">
        <v>696</v>
      </c>
      <c r="H958" s="2" t="s">
        <v>57</v>
      </c>
      <c r="I958" s="3" t="s">
        <v>2541</v>
      </c>
      <c r="J958" s="7">
        <v>1</v>
      </c>
      <c r="K958" s="70" t="s">
        <v>53</v>
      </c>
      <c r="L958" s="9">
        <v>1</v>
      </c>
      <c r="M958" s="3">
        <v>709</v>
      </c>
      <c r="N958" s="6">
        <v>1963</v>
      </c>
      <c r="P958" s="71"/>
      <c r="R958" s="6">
        <v>1960</v>
      </c>
      <c r="S958" s="3" t="s">
        <v>54</v>
      </c>
      <c r="T958" s="72"/>
      <c r="U958" s="73"/>
      <c r="W958" s="2" t="s">
        <v>2542</v>
      </c>
      <c r="X958" s="10" t="s">
        <v>56</v>
      </c>
      <c r="Y958" s="10" t="s">
        <v>57</v>
      </c>
      <c r="Z958" s="75"/>
      <c r="AA958" s="76"/>
      <c r="AB958" s="77">
        <v>27261</v>
      </c>
      <c r="AC958" s="77">
        <v>27261</v>
      </c>
      <c r="AD958" s="10"/>
      <c r="AG958" s="7">
        <v>1974</v>
      </c>
      <c r="AH958" s="7">
        <v>1970</v>
      </c>
      <c r="AI958" s="7"/>
      <c r="AJ958" s="73"/>
      <c r="AK958" s="7"/>
      <c r="AL958" s="16"/>
      <c r="AM958" s="2" t="s">
        <v>59</v>
      </c>
      <c r="AO958" s="6" t="s">
        <v>59</v>
      </c>
      <c r="AQ958" s="5" t="s">
        <v>73</v>
      </c>
      <c r="AU958" s="16" t="s">
        <v>2543</v>
      </c>
      <c r="AW958" s="6">
        <f t="shared" ca="1" si="16"/>
        <v>62</v>
      </c>
    </row>
    <row r="959" ht="45" hidden="1" customHeight="1" outlineLevel="1">
      <c r="A959" s="69"/>
      <c r="B959" s="3" t="s">
        <v>47</v>
      </c>
      <c r="C959" s="4" t="s">
        <v>2544</v>
      </c>
      <c r="E959" s="2" t="s">
        <v>694</v>
      </c>
      <c r="F959" s="6" t="s">
        <v>695</v>
      </c>
      <c r="G959" s="5" t="s">
        <v>696</v>
      </c>
      <c r="H959" s="2" t="s">
        <v>57</v>
      </c>
      <c r="I959" s="3" t="s">
        <v>2545</v>
      </c>
      <c r="J959" s="7">
        <v>1</v>
      </c>
      <c r="K959" s="70"/>
      <c r="L959" s="9">
        <v>1</v>
      </c>
      <c r="M959" s="3">
        <v>710</v>
      </c>
      <c r="N959" s="6">
        <v>1963</v>
      </c>
      <c r="P959" s="71"/>
      <c r="R959" s="6">
        <v>1960</v>
      </c>
      <c r="S959" s="3" t="s">
        <v>939</v>
      </c>
      <c r="T959" s="72"/>
      <c r="U959" s="73"/>
      <c r="W959" s="2" t="s">
        <v>2546</v>
      </c>
      <c r="X959" s="10" t="s">
        <v>56</v>
      </c>
      <c r="Y959" s="10" t="s">
        <v>57</v>
      </c>
      <c r="Z959" s="75" t="s">
        <v>58</v>
      </c>
      <c r="AA959" s="76"/>
      <c r="AB959" s="77"/>
      <c r="AC959" s="77"/>
      <c r="AD959" s="10"/>
      <c r="AI959" s="7"/>
      <c r="AJ959" s="73"/>
      <c r="AK959" s="7"/>
      <c r="AL959" s="16"/>
      <c r="AW959" s="6">
        <f t="shared" ca="1" si="16"/>
        <v>62</v>
      </c>
    </row>
    <row r="960" ht="45" hidden="1" customHeight="1" outlineLevel="1">
      <c r="A960" s="69"/>
      <c r="B960" s="3" t="s">
        <v>47</v>
      </c>
      <c r="C960" s="4" t="s">
        <v>2547</v>
      </c>
      <c r="E960" s="2" t="s">
        <v>694</v>
      </c>
      <c r="F960" s="6" t="s">
        <v>695</v>
      </c>
      <c r="G960" s="5" t="s">
        <v>696</v>
      </c>
      <c r="H960" s="2" t="s">
        <v>57</v>
      </c>
      <c r="I960" s="3" t="s">
        <v>2548</v>
      </c>
      <c r="J960" s="7">
        <v>1</v>
      </c>
      <c r="K960" s="70"/>
      <c r="L960" s="9">
        <v>0</v>
      </c>
      <c r="M960" s="3">
        <v>711</v>
      </c>
      <c r="N960" s="6">
        <v>1963</v>
      </c>
      <c r="P960" s="71"/>
      <c r="R960" s="6">
        <v>1960</v>
      </c>
      <c r="S960" s="3" t="s">
        <v>939</v>
      </c>
      <c r="T960" s="72"/>
      <c r="U960" s="73"/>
      <c r="W960" s="2" t="s">
        <v>2549</v>
      </c>
      <c r="X960" s="10" t="s">
        <v>56</v>
      </c>
      <c r="Y960" s="10" t="s">
        <v>57</v>
      </c>
      <c r="Z960" s="75"/>
      <c r="AA960" s="76"/>
      <c r="AB960" s="77"/>
      <c r="AC960" s="77"/>
      <c r="AD960" s="10"/>
      <c r="AI960" s="7"/>
      <c r="AJ960" s="73"/>
      <c r="AK960" s="7"/>
      <c r="AL960" s="16" t="s">
        <v>2550</v>
      </c>
      <c r="AW960" s="6">
        <f t="shared" ca="1" si="16"/>
        <v>62</v>
      </c>
    </row>
    <row r="961" ht="45" hidden="1" customHeight="1" outlineLevel="1">
      <c r="A961" s="69"/>
      <c r="B961" s="3" t="s">
        <v>47</v>
      </c>
      <c r="C961" s="4" t="s">
        <v>2547</v>
      </c>
      <c r="E961" s="2" t="s">
        <v>694</v>
      </c>
      <c r="F961" s="6" t="s">
        <v>695</v>
      </c>
      <c r="G961" s="5" t="s">
        <v>696</v>
      </c>
      <c r="H961" s="2" t="s">
        <v>51</v>
      </c>
      <c r="I961" s="3" t="s">
        <v>2551</v>
      </c>
      <c r="J961" s="7">
        <v>1</v>
      </c>
      <c r="K961" s="70"/>
      <c r="L961" s="9">
        <v>1</v>
      </c>
      <c r="M961" s="3">
        <v>711</v>
      </c>
      <c r="N961" s="6">
        <v>1963</v>
      </c>
      <c r="P961" s="71"/>
      <c r="R961" s="6">
        <v>1960</v>
      </c>
      <c r="S961" s="3" t="s">
        <v>939</v>
      </c>
      <c r="T961" s="72"/>
      <c r="U961" s="73"/>
      <c r="W961" s="2" t="s">
        <v>2552</v>
      </c>
      <c r="X961" s="10" t="s">
        <v>56</v>
      </c>
      <c r="Y961" s="10" t="s">
        <v>57</v>
      </c>
      <c r="Z961" s="75" t="s">
        <v>58</v>
      </c>
      <c r="AA961" s="76"/>
      <c r="AB961" s="77"/>
      <c r="AC961" s="77"/>
      <c r="AD961" s="10"/>
      <c r="AI961" s="7"/>
      <c r="AJ961" s="73"/>
      <c r="AK961" s="7"/>
      <c r="AL961" s="16" t="s">
        <v>2550</v>
      </c>
      <c r="AW961" s="6">
        <f t="shared" ca="1" si="16"/>
        <v>62</v>
      </c>
    </row>
    <row r="962" ht="45" customHeight="1" outlineLevel="1">
      <c r="A962" s="69"/>
      <c r="B962" s="3" t="s">
        <v>47</v>
      </c>
      <c r="E962" s="2" t="s">
        <v>83</v>
      </c>
      <c r="F962" s="6" t="s">
        <v>179</v>
      </c>
      <c r="G962" s="5" t="s">
        <v>2553</v>
      </c>
      <c r="H962" s="2" t="s">
        <v>51</v>
      </c>
      <c r="I962" s="3" t="s">
        <v>2554</v>
      </c>
      <c r="J962" s="7">
        <v>1</v>
      </c>
      <c r="K962" s="70" t="s">
        <v>53</v>
      </c>
      <c r="L962" s="9">
        <v>1</v>
      </c>
      <c r="M962" s="3">
        <v>712</v>
      </c>
      <c r="N962" s="6">
        <v>1963</v>
      </c>
      <c r="P962" s="71"/>
      <c r="R962" s="6">
        <v>1960</v>
      </c>
      <c r="S962" s="3" t="s">
        <v>54</v>
      </c>
      <c r="T962" s="72"/>
      <c r="U962" s="73"/>
      <c r="W962" s="2" t="s">
        <v>2555</v>
      </c>
      <c r="X962" s="10" t="s">
        <v>56</v>
      </c>
      <c r="Y962" s="10" t="s">
        <v>57</v>
      </c>
      <c r="Z962" s="75" t="s">
        <v>58</v>
      </c>
      <c r="AA962" s="76"/>
      <c r="AB962" s="77">
        <v>32307</v>
      </c>
      <c r="AC962" s="77">
        <v>32307</v>
      </c>
      <c r="AD962" s="10"/>
      <c r="AE962" s="7" t="s">
        <v>2556</v>
      </c>
      <c r="AF962" s="7" t="s">
        <v>2557</v>
      </c>
      <c r="AG962" s="7">
        <v>1988</v>
      </c>
      <c r="AH962" s="7">
        <v>1980</v>
      </c>
      <c r="AI962" s="7"/>
      <c r="AJ962" s="73"/>
      <c r="AK962" s="7"/>
      <c r="AL962" s="16" t="s">
        <v>2558</v>
      </c>
      <c r="AM962" s="2" t="s">
        <v>59</v>
      </c>
      <c r="AU962" s="16" t="s">
        <v>2559</v>
      </c>
      <c r="AW962" s="6">
        <f t="shared" ca="1" si="16"/>
        <v>62</v>
      </c>
    </row>
    <row r="963" ht="45" customHeight="1" outlineLevel="1">
      <c r="A963" s="69"/>
      <c r="B963" s="3" t="s">
        <v>47</v>
      </c>
      <c r="E963" s="2" t="s">
        <v>63</v>
      </c>
      <c r="F963" s="6" t="s">
        <v>1230</v>
      </c>
      <c r="G963" s="5" t="s">
        <v>2560</v>
      </c>
      <c r="H963" s="2" t="s">
        <v>57</v>
      </c>
      <c r="I963" s="3" t="s">
        <v>2561</v>
      </c>
      <c r="J963" s="7">
        <v>1</v>
      </c>
      <c r="K963" s="70" t="s">
        <v>53</v>
      </c>
      <c r="L963" s="9">
        <v>1</v>
      </c>
      <c r="M963" s="3">
        <v>713</v>
      </c>
      <c r="N963" s="6">
        <v>1963</v>
      </c>
      <c r="P963" s="71"/>
      <c r="R963" s="6">
        <v>1960</v>
      </c>
      <c r="S963" s="3" t="s">
        <v>54</v>
      </c>
      <c r="T963" s="72"/>
      <c r="U963" s="73"/>
      <c r="W963" s="2" t="s">
        <v>2562</v>
      </c>
      <c r="X963" s="10" t="s">
        <v>56</v>
      </c>
      <c r="Y963" s="10" t="s">
        <v>57</v>
      </c>
      <c r="Z963" s="75"/>
      <c r="AB963" s="14">
        <v>23896</v>
      </c>
      <c r="AE963" s="7">
        <v>1965</v>
      </c>
      <c r="AF963" s="7">
        <v>44</v>
      </c>
      <c r="AG963" s="7">
        <v>1965</v>
      </c>
      <c r="AH963" s="7">
        <v>1960</v>
      </c>
      <c r="AI963" s="7"/>
      <c r="AJ963" s="73"/>
      <c r="AK963" s="7"/>
      <c r="AL963" s="16"/>
      <c r="AM963" s="2" t="s">
        <v>59</v>
      </c>
      <c r="AW963" s="6">
        <f t="shared" ca="1" si="16"/>
        <v>62</v>
      </c>
    </row>
    <row r="964" ht="45" customHeight="1" outlineLevel="1">
      <c r="A964" s="69"/>
      <c r="B964" s="3" t="s">
        <v>47</v>
      </c>
      <c r="E964" s="2" t="s">
        <v>83</v>
      </c>
      <c r="F964" s="6" t="s">
        <v>704</v>
      </c>
      <c r="G964" s="5" t="s">
        <v>2563</v>
      </c>
      <c r="H964" s="2" t="s">
        <v>51</v>
      </c>
      <c r="I964" s="3" t="s">
        <v>2564</v>
      </c>
      <c r="J964" s="7">
        <v>1</v>
      </c>
      <c r="K964" s="70" t="s">
        <v>53</v>
      </c>
      <c r="L964" s="9">
        <v>1</v>
      </c>
      <c r="M964" s="3">
        <v>714</v>
      </c>
      <c r="N964" s="6">
        <v>1963</v>
      </c>
      <c r="P964" s="71"/>
      <c r="R964" s="6">
        <v>1960</v>
      </c>
      <c r="S964" s="3" t="s">
        <v>54</v>
      </c>
      <c r="T964" s="72"/>
      <c r="U964" s="73"/>
      <c r="W964" s="2" t="s">
        <v>2565</v>
      </c>
      <c r="X964" s="10" t="s">
        <v>56</v>
      </c>
      <c r="Y964" s="10" t="s">
        <v>57</v>
      </c>
      <c r="Z964" s="75"/>
      <c r="AA964" s="76"/>
      <c r="AB964" s="77">
        <v>37736</v>
      </c>
      <c r="AC964" s="77"/>
      <c r="AD964" s="6"/>
      <c r="AE964" s="7" t="s">
        <v>2566</v>
      </c>
      <c r="AF964" s="7" t="s">
        <v>2567</v>
      </c>
      <c r="AG964" s="7">
        <v>2003</v>
      </c>
      <c r="AH964" s="7">
        <v>2000</v>
      </c>
      <c r="AI964" s="7"/>
      <c r="AJ964" s="73"/>
      <c r="AK964" s="7"/>
      <c r="AL964" s="115" t="s">
        <v>2568</v>
      </c>
      <c r="AM964" s="2" t="s">
        <v>59</v>
      </c>
      <c r="AO964" s="6" t="s">
        <v>53</v>
      </c>
      <c r="AP964" s="6" t="s">
        <v>104</v>
      </c>
      <c r="AQ964" s="5" t="s">
        <v>73</v>
      </c>
      <c r="AW964" s="6">
        <f t="shared" ca="1" si="16"/>
        <v>62</v>
      </c>
    </row>
    <row r="965" ht="45" hidden="1" customHeight="1" outlineLevel="1">
      <c r="A965" s="69"/>
      <c r="B965" s="3" t="s">
        <v>47</v>
      </c>
      <c r="C965" s="4" t="s">
        <v>2569</v>
      </c>
      <c r="D965" s="5" t="s">
        <v>2570</v>
      </c>
      <c r="E965" s="2" t="s">
        <v>83</v>
      </c>
      <c r="F965" s="6" t="s">
        <v>179</v>
      </c>
      <c r="G965" s="5" t="s">
        <v>2571</v>
      </c>
      <c r="H965" s="2" t="s">
        <v>51</v>
      </c>
      <c r="I965" s="3" t="s">
        <v>2572</v>
      </c>
      <c r="J965" s="7">
        <v>1</v>
      </c>
      <c r="K965" s="104"/>
      <c r="L965" s="9">
        <v>1</v>
      </c>
      <c r="M965" s="3">
        <v>715</v>
      </c>
      <c r="N965" s="6">
        <v>1963</v>
      </c>
      <c r="P965" s="71"/>
      <c r="R965" s="6">
        <v>1960</v>
      </c>
      <c r="S965" s="3" t="s">
        <v>236</v>
      </c>
      <c r="T965" s="72"/>
      <c r="W965" s="2" t="s">
        <v>62</v>
      </c>
      <c r="X965" s="10" t="s">
        <v>56</v>
      </c>
      <c r="Y965" s="10" t="s">
        <v>57</v>
      </c>
      <c r="Z965" s="75" t="s">
        <v>58</v>
      </c>
      <c r="AA965" s="76"/>
      <c r="AB965" s="77"/>
      <c r="AC965" s="77"/>
      <c r="AD965" s="6"/>
      <c r="AI965" s="7"/>
      <c r="AJ965" s="10">
        <v>44508</v>
      </c>
      <c r="AK965" s="7">
        <v>2020</v>
      </c>
      <c r="AL965" s="16"/>
      <c r="AW965" s="6">
        <f t="shared" ca="1" si="16"/>
        <v>62</v>
      </c>
    </row>
    <row r="966" ht="45" hidden="1" customHeight="1" outlineLevel="1">
      <c r="A966" s="69"/>
      <c r="B966" s="3" t="s">
        <v>47</v>
      </c>
      <c r="C966" s="4" t="s">
        <v>2573</v>
      </c>
      <c r="D966" s="5" t="s">
        <v>2574</v>
      </c>
      <c r="E966" s="2" t="s">
        <v>63</v>
      </c>
      <c r="F966" s="6" t="s">
        <v>172</v>
      </c>
      <c r="G966" s="5" t="s">
        <v>1123</v>
      </c>
      <c r="H966" s="2" t="s">
        <v>288</v>
      </c>
      <c r="I966" s="3" t="s">
        <v>2575</v>
      </c>
      <c r="J966" s="7">
        <v>1</v>
      </c>
      <c r="K966" s="104"/>
      <c r="L966" s="9">
        <v>1</v>
      </c>
      <c r="M966" s="3">
        <v>716</v>
      </c>
      <c r="N966" s="6">
        <v>1963</v>
      </c>
      <c r="P966" s="71"/>
      <c r="R966" s="6">
        <v>1960</v>
      </c>
      <c r="S966" s="3" t="s">
        <v>236</v>
      </c>
      <c r="T966" s="72" t="s">
        <v>1136</v>
      </c>
      <c r="U966" s="73"/>
      <c r="W966" s="2" t="s">
        <v>62</v>
      </c>
      <c r="X966" s="10" t="s">
        <v>56</v>
      </c>
      <c r="Y966" s="10" t="s">
        <v>288</v>
      </c>
      <c r="Z966" s="75"/>
      <c r="AA966" s="76"/>
      <c r="AB966" s="77"/>
      <c r="AC966" s="77"/>
      <c r="AD966" s="6"/>
      <c r="AI966" s="7"/>
      <c r="AK966" s="7"/>
      <c r="AL966" s="16"/>
      <c r="AW966" s="6">
        <f t="shared" ca="1" si="16"/>
        <v>62</v>
      </c>
    </row>
    <row r="967" ht="45" customHeight="1" outlineLevel="1">
      <c r="A967" s="69"/>
      <c r="B967" s="3" t="s">
        <v>47</v>
      </c>
      <c r="E967" s="2" t="s">
        <v>63</v>
      </c>
      <c r="F967" s="6" t="s">
        <v>172</v>
      </c>
      <c r="G967" s="5" t="s">
        <v>173</v>
      </c>
      <c r="H967" s="2" t="s">
        <v>57</v>
      </c>
      <c r="I967" s="3" t="s">
        <v>2576</v>
      </c>
      <c r="J967" s="7">
        <v>1</v>
      </c>
      <c r="K967" s="70" t="s">
        <v>53</v>
      </c>
      <c r="L967" s="9">
        <v>1</v>
      </c>
      <c r="M967" s="3">
        <v>717</v>
      </c>
      <c r="N967" s="6">
        <v>1963</v>
      </c>
      <c r="P967" s="71"/>
      <c r="R967" s="6">
        <v>1960</v>
      </c>
      <c r="S967" s="3" t="s">
        <v>54</v>
      </c>
      <c r="T967" s="72"/>
      <c r="U967" s="73"/>
      <c r="W967" s="2" t="s">
        <v>2577</v>
      </c>
      <c r="X967" s="10" t="s">
        <v>56</v>
      </c>
      <c r="Y967" s="10" t="s">
        <v>57</v>
      </c>
      <c r="Z967" s="75"/>
      <c r="AA967" s="76"/>
      <c r="AB967" s="77">
        <v>25414</v>
      </c>
      <c r="AC967" s="77"/>
      <c r="AD967" s="6"/>
      <c r="AG967" s="7">
        <v>1969</v>
      </c>
      <c r="AH967" s="7">
        <v>1960</v>
      </c>
      <c r="AI967" s="7"/>
      <c r="AJ967" s="73"/>
      <c r="AK967" s="7"/>
      <c r="AL967" s="16"/>
      <c r="AM967" s="2" t="s">
        <v>59</v>
      </c>
      <c r="AW967" s="6">
        <f t="shared" ca="1" si="16"/>
        <v>62</v>
      </c>
    </row>
    <row r="968" ht="45" customHeight="1" outlineLevel="1">
      <c r="A968" s="69"/>
      <c r="B968" s="3" t="s">
        <v>47</v>
      </c>
      <c r="E968" s="2" t="s">
        <v>83</v>
      </c>
      <c r="F968" s="6" t="s">
        <v>84</v>
      </c>
      <c r="G968" s="5" t="s">
        <v>85</v>
      </c>
      <c r="H968" s="2" t="s">
        <v>57</v>
      </c>
      <c r="I968" s="3" t="s">
        <v>2578</v>
      </c>
      <c r="J968" s="7">
        <v>1</v>
      </c>
      <c r="K968" s="70" t="s">
        <v>53</v>
      </c>
      <c r="L968" s="9">
        <v>1</v>
      </c>
      <c r="M968" s="3">
        <v>718</v>
      </c>
      <c r="N968" s="6">
        <v>1963</v>
      </c>
      <c r="P968" s="71"/>
      <c r="R968" s="6">
        <v>1960</v>
      </c>
      <c r="S968" s="3" t="s">
        <v>54</v>
      </c>
      <c r="T968" s="72"/>
      <c r="U968" s="73"/>
      <c r="W968" s="2" t="s">
        <v>2579</v>
      </c>
      <c r="X968" s="10" t="s">
        <v>56</v>
      </c>
      <c r="Y968" s="10" t="s">
        <v>57</v>
      </c>
      <c r="Z968" s="75"/>
      <c r="AA968" s="76"/>
      <c r="AB968" s="77">
        <v>24530</v>
      </c>
      <c r="AC968" s="77"/>
      <c r="AD968" s="6"/>
      <c r="AE968" s="7">
        <v>1964</v>
      </c>
      <c r="AF968" s="7">
        <v>43</v>
      </c>
      <c r="AG968" s="7">
        <v>1967</v>
      </c>
      <c r="AH968" s="7">
        <v>1960</v>
      </c>
      <c r="AI968" s="7"/>
      <c r="AJ968" s="73"/>
      <c r="AK968" s="7"/>
      <c r="AL968" s="16"/>
      <c r="AM968" s="2" t="s">
        <v>59</v>
      </c>
      <c r="AO968" s="6" t="s">
        <v>100</v>
      </c>
      <c r="AP968" s="6" t="s">
        <v>104</v>
      </c>
      <c r="AR968" s="2" t="s">
        <v>73</v>
      </c>
      <c r="AT968" s="6">
        <v>1980</v>
      </c>
      <c r="AU968" s="16" t="s">
        <v>2580</v>
      </c>
      <c r="AW968" s="6">
        <f t="shared" ca="1" si="16"/>
        <v>62</v>
      </c>
    </row>
    <row r="969" ht="45" customHeight="1" outlineLevel="1">
      <c r="A969" s="69"/>
      <c r="B969" s="3" t="s">
        <v>47</v>
      </c>
      <c r="E969" s="2" t="s">
        <v>83</v>
      </c>
      <c r="F969" s="6" t="s">
        <v>84</v>
      </c>
      <c r="G969" s="5" t="s">
        <v>2581</v>
      </c>
      <c r="H969" s="2" t="s">
        <v>57</v>
      </c>
      <c r="I969" s="3" t="s">
        <v>2582</v>
      </c>
      <c r="J969" s="7">
        <v>1</v>
      </c>
      <c r="K969" s="70" t="s">
        <v>53</v>
      </c>
      <c r="L969" s="9">
        <v>1</v>
      </c>
      <c r="M969" s="3">
        <v>719</v>
      </c>
      <c r="N969" s="6">
        <v>1963</v>
      </c>
      <c r="P969" s="71"/>
      <c r="R969" s="6">
        <v>1960</v>
      </c>
      <c r="S969" s="3" t="s">
        <v>54</v>
      </c>
      <c r="T969" s="72"/>
      <c r="U969" s="73"/>
      <c r="W969" s="2" t="s">
        <v>2583</v>
      </c>
      <c r="X969" s="10" t="s">
        <v>56</v>
      </c>
      <c r="Y969" s="10" t="s">
        <v>57</v>
      </c>
      <c r="Z969" s="75"/>
      <c r="AA969" s="76"/>
      <c r="AB969" s="77">
        <v>24644</v>
      </c>
      <c r="AC969" s="77"/>
      <c r="AD969" s="6"/>
      <c r="AG969" s="7">
        <v>1967</v>
      </c>
      <c r="AH969" s="7">
        <v>1960</v>
      </c>
      <c r="AI969" s="7"/>
      <c r="AJ969" s="73"/>
      <c r="AK969" s="7"/>
      <c r="AL969" s="16"/>
      <c r="AM969" s="2" t="s">
        <v>59</v>
      </c>
      <c r="AW969" s="6">
        <f t="shared" ca="1" si="16"/>
        <v>62</v>
      </c>
    </row>
    <row r="970" ht="45" customHeight="1" outlineLevel="1">
      <c r="A970" s="69"/>
      <c r="B970" s="3" t="s">
        <v>47</v>
      </c>
      <c r="E970" s="2" t="s">
        <v>83</v>
      </c>
      <c r="F970" s="6" t="s">
        <v>179</v>
      </c>
      <c r="G970" s="5" t="s">
        <v>2584</v>
      </c>
      <c r="H970" s="2" t="s">
        <v>51</v>
      </c>
      <c r="I970" s="3" t="s">
        <v>414</v>
      </c>
      <c r="J970" s="7">
        <v>1</v>
      </c>
      <c r="K970" s="70" t="s">
        <v>53</v>
      </c>
      <c r="L970" s="9">
        <v>1</v>
      </c>
      <c r="M970" s="3">
        <v>720</v>
      </c>
      <c r="N970" s="6">
        <v>1963</v>
      </c>
      <c r="P970" s="71"/>
      <c r="R970" s="6">
        <v>1960</v>
      </c>
      <c r="S970" s="3" t="s">
        <v>54</v>
      </c>
      <c r="T970" s="72"/>
      <c r="U970" s="73"/>
      <c r="W970" s="2" t="s">
        <v>2585</v>
      </c>
      <c r="X970" s="10" t="s">
        <v>56</v>
      </c>
      <c r="Y970" s="10" t="s">
        <v>57</v>
      </c>
      <c r="Z970" s="75" t="s">
        <v>58</v>
      </c>
      <c r="AA970" s="76"/>
      <c r="AB970" s="77"/>
      <c r="AC970" s="77">
        <v>27101</v>
      </c>
      <c r="AD970" s="10"/>
      <c r="AG970" s="7">
        <v>1974</v>
      </c>
      <c r="AH970" s="7">
        <v>1970</v>
      </c>
      <c r="AI970" s="7"/>
      <c r="AJ970" s="73"/>
      <c r="AK970" s="7"/>
      <c r="AL970" s="16" t="s">
        <v>176</v>
      </c>
      <c r="AM970" s="2" t="s">
        <v>59</v>
      </c>
      <c r="AU970" s="16" t="s">
        <v>2586</v>
      </c>
      <c r="AW970" s="6">
        <f t="shared" ca="1" si="16"/>
        <v>62</v>
      </c>
    </row>
    <row r="971" ht="45" customHeight="1" outlineLevel="1">
      <c r="A971" s="69"/>
      <c r="B971" s="3" t="s">
        <v>47</v>
      </c>
      <c r="E971" s="2" t="s">
        <v>83</v>
      </c>
      <c r="F971" s="6" t="s">
        <v>179</v>
      </c>
      <c r="G971" s="5" t="s">
        <v>2584</v>
      </c>
      <c r="H971" s="2" t="s">
        <v>51</v>
      </c>
      <c r="I971" s="3" t="s">
        <v>330</v>
      </c>
      <c r="J971" s="7">
        <v>1</v>
      </c>
      <c r="K971" s="70" t="s">
        <v>53</v>
      </c>
      <c r="L971" s="9">
        <v>0</v>
      </c>
      <c r="M971" s="3">
        <v>720</v>
      </c>
      <c r="N971" s="6">
        <v>1963</v>
      </c>
      <c r="P971" s="71"/>
      <c r="R971" s="6">
        <v>1960</v>
      </c>
      <c r="S971" s="3" t="s">
        <v>54</v>
      </c>
      <c r="T971" s="72"/>
      <c r="U971" s="73"/>
      <c r="W971" s="2" t="s">
        <v>2587</v>
      </c>
      <c r="X971" s="10" t="s">
        <v>56</v>
      </c>
      <c r="Y971" s="10" t="s">
        <v>57</v>
      </c>
      <c r="Z971" s="75" t="s">
        <v>58</v>
      </c>
      <c r="AA971" s="76"/>
      <c r="AB971" s="77"/>
      <c r="AC971" s="77">
        <v>27101</v>
      </c>
      <c r="AD971" s="10"/>
      <c r="AG971" s="7">
        <v>1974</v>
      </c>
      <c r="AH971" s="7">
        <v>1970</v>
      </c>
      <c r="AI971" s="7"/>
      <c r="AJ971" s="73"/>
      <c r="AK971" s="7"/>
      <c r="AL971" s="16" t="s">
        <v>176</v>
      </c>
      <c r="AM971" s="2" t="s">
        <v>59</v>
      </c>
      <c r="AU971" s="16" t="s">
        <v>2586</v>
      </c>
      <c r="AW971" s="6">
        <f t="shared" ca="1" si="16"/>
        <v>62</v>
      </c>
    </row>
    <row r="972" ht="45" customHeight="1" outlineLevel="1">
      <c r="A972" s="69"/>
      <c r="B972" s="3" t="s">
        <v>47</v>
      </c>
      <c r="E972" s="2" t="s">
        <v>83</v>
      </c>
      <c r="F972" s="6" t="s">
        <v>179</v>
      </c>
      <c r="G972" s="5" t="s">
        <v>2225</v>
      </c>
      <c r="H972" s="2" t="s">
        <v>51</v>
      </c>
      <c r="I972" s="3" t="s">
        <v>115</v>
      </c>
      <c r="J972" s="7">
        <v>1</v>
      </c>
      <c r="K972" s="70" t="s">
        <v>53</v>
      </c>
      <c r="L972" s="9">
        <v>0</v>
      </c>
      <c r="M972" s="3">
        <v>720</v>
      </c>
      <c r="N972" s="6">
        <v>1963</v>
      </c>
      <c r="P972" s="71"/>
      <c r="R972" s="6">
        <v>1960</v>
      </c>
      <c r="S972" s="3" t="s">
        <v>54</v>
      </c>
      <c r="T972" s="72"/>
      <c r="U972" s="73"/>
      <c r="W972" s="2" t="s">
        <v>2588</v>
      </c>
      <c r="X972" s="10" t="s">
        <v>56</v>
      </c>
      <c r="Y972" s="10" t="s">
        <v>57</v>
      </c>
      <c r="Z972" s="75" t="s">
        <v>58</v>
      </c>
      <c r="AA972" s="76"/>
      <c r="AB972" s="77">
        <v>24589</v>
      </c>
      <c r="AC972" s="77"/>
      <c r="AD972" s="6"/>
      <c r="AG972" s="7">
        <v>1967</v>
      </c>
      <c r="AH972" s="7">
        <v>1960</v>
      </c>
      <c r="AI972" s="7"/>
      <c r="AJ972" s="73"/>
      <c r="AK972" s="7"/>
      <c r="AL972" s="16"/>
      <c r="AM972" s="2" t="s">
        <v>59</v>
      </c>
      <c r="AW972" s="6">
        <f t="shared" ca="1" si="16"/>
        <v>62</v>
      </c>
    </row>
    <row r="973" ht="45" customHeight="1" outlineLevel="1">
      <c r="A973" s="69"/>
      <c r="B973" s="3" t="s">
        <v>47</v>
      </c>
      <c r="E973" s="2" t="s">
        <v>83</v>
      </c>
      <c r="F973" s="6" t="s">
        <v>84</v>
      </c>
      <c r="G973" s="5" t="s">
        <v>2589</v>
      </c>
      <c r="H973" s="2" t="s">
        <v>51</v>
      </c>
      <c r="I973" s="3" t="s">
        <v>1026</v>
      </c>
      <c r="J973" s="7">
        <v>1</v>
      </c>
      <c r="K973" s="70" t="s">
        <v>53</v>
      </c>
      <c r="L973" s="9">
        <v>1</v>
      </c>
      <c r="M973" s="3">
        <v>721</v>
      </c>
      <c r="N973" s="6">
        <v>1963</v>
      </c>
      <c r="P973" s="71"/>
      <c r="R973" s="6">
        <v>1960</v>
      </c>
      <c r="S973" s="3" t="s">
        <v>54</v>
      </c>
      <c r="T973" s="72"/>
      <c r="U973" s="73"/>
      <c r="W973" s="2" t="s">
        <v>2590</v>
      </c>
      <c r="X973" s="10" t="s">
        <v>56</v>
      </c>
      <c r="Y973" s="10" t="s">
        <v>57</v>
      </c>
      <c r="Z973" s="75" t="s">
        <v>58</v>
      </c>
      <c r="AA973" s="76"/>
      <c r="AB973" s="77"/>
      <c r="AC973" s="77">
        <v>23399</v>
      </c>
      <c r="AD973" s="10"/>
      <c r="AG973" s="7">
        <v>1964</v>
      </c>
      <c r="AH973" s="7">
        <v>1960</v>
      </c>
      <c r="AI973" s="7"/>
      <c r="AJ973" s="73"/>
      <c r="AK973" s="7"/>
      <c r="AL973" s="16"/>
      <c r="AM973" s="2" t="s">
        <v>59</v>
      </c>
      <c r="AW973" s="6">
        <f t="shared" ca="1" si="16"/>
        <v>62</v>
      </c>
    </row>
    <row r="974" ht="45" hidden="1" customHeight="1" outlineLevel="1">
      <c r="A974" s="69"/>
      <c r="B974" s="3" t="s">
        <v>47</v>
      </c>
      <c r="C974" s="4" t="s">
        <v>2591</v>
      </c>
      <c r="D974" s="5" t="s">
        <v>2592</v>
      </c>
      <c r="E974" s="2" t="s">
        <v>83</v>
      </c>
      <c r="F974" s="6" t="s">
        <v>84</v>
      </c>
      <c r="G974" s="5" t="s">
        <v>2593</v>
      </c>
      <c r="H974" s="2" t="s">
        <v>288</v>
      </c>
      <c r="I974" s="3" t="s">
        <v>2594</v>
      </c>
      <c r="J974" s="7">
        <v>1</v>
      </c>
      <c r="K974" s="70"/>
      <c r="L974" s="9">
        <v>1</v>
      </c>
      <c r="M974" s="3">
        <v>722</v>
      </c>
      <c r="N974" s="6">
        <v>1963</v>
      </c>
      <c r="P974" s="71"/>
      <c r="R974" s="6">
        <v>1960</v>
      </c>
      <c r="S974" s="3" t="s">
        <v>236</v>
      </c>
      <c r="T974" s="72"/>
      <c r="U974" s="73">
        <v>42240</v>
      </c>
      <c r="W974" s="2" t="s">
        <v>62</v>
      </c>
      <c r="X974" s="10" t="s">
        <v>56</v>
      </c>
      <c r="Y974" s="10" t="s">
        <v>288</v>
      </c>
      <c r="Z974" s="75"/>
      <c r="AA974" s="76"/>
      <c r="AB974" s="77"/>
      <c r="AC974" s="77"/>
      <c r="AD974" s="10"/>
      <c r="AI974" s="7"/>
      <c r="AJ974" s="10">
        <v>42192</v>
      </c>
      <c r="AK974" s="7">
        <v>2010</v>
      </c>
      <c r="AL974" s="16"/>
      <c r="AW974" s="6">
        <f t="shared" ca="1" si="16"/>
        <v>62</v>
      </c>
    </row>
    <row r="975" ht="45" hidden="1" customHeight="1" outlineLevel="1">
      <c r="A975" s="69"/>
      <c r="B975" s="3" t="s">
        <v>47</v>
      </c>
      <c r="C975" s="4" t="s">
        <v>1263</v>
      </c>
      <c r="E975" s="2" t="s">
        <v>83</v>
      </c>
      <c r="F975" s="6" t="s">
        <v>84</v>
      </c>
      <c r="G975" s="5" t="s">
        <v>85</v>
      </c>
      <c r="H975" s="2" t="s">
        <v>382</v>
      </c>
      <c r="I975" s="3" t="s">
        <v>2595</v>
      </c>
      <c r="J975" s="7">
        <v>1</v>
      </c>
      <c r="K975" s="104"/>
      <c r="L975" s="9">
        <v>1</v>
      </c>
      <c r="M975" s="3">
        <v>723</v>
      </c>
      <c r="N975" s="6">
        <v>1963</v>
      </c>
      <c r="P975" s="71"/>
      <c r="R975" s="6">
        <v>1960</v>
      </c>
      <c r="S975" s="3" t="s">
        <v>236</v>
      </c>
      <c r="T975" s="72"/>
      <c r="U975" s="73">
        <v>38044</v>
      </c>
      <c r="W975" s="2" t="s">
        <v>62</v>
      </c>
      <c r="X975" s="10" t="s">
        <v>91</v>
      </c>
      <c r="Y975" s="10" t="s">
        <v>385</v>
      </c>
      <c r="Z975" s="75"/>
      <c r="AA975" s="76"/>
      <c r="AB975" s="77"/>
      <c r="AC975" s="77"/>
      <c r="AD975" s="6"/>
      <c r="AI975" s="7"/>
      <c r="AJ975" s="95">
        <v>38044</v>
      </c>
      <c r="AK975" s="7">
        <v>2000</v>
      </c>
      <c r="AL975" s="16"/>
      <c r="AW975" s="6">
        <f t="shared" ca="1" si="16"/>
        <v>62</v>
      </c>
    </row>
    <row r="976" ht="45" hidden="1" customHeight="1" outlineLevel="1">
      <c r="A976" s="69"/>
      <c r="B976" s="3" t="s">
        <v>47</v>
      </c>
      <c r="C976" s="4" t="s">
        <v>2596</v>
      </c>
      <c r="D976" s="5" t="s">
        <v>2597</v>
      </c>
      <c r="E976" s="2" t="s">
        <v>63</v>
      </c>
      <c r="F976" s="6" t="s">
        <v>428</v>
      </c>
      <c r="G976" s="5" t="s">
        <v>429</v>
      </c>
      <c r="H976" s="2" t="s">
        <v>68</v>
      </c>
      <c r="I976" s="3" t="s">
        <v>2598</v>
      </c>
      <c r="J976" s="7">
        <v>1</v>
      </c>
      <c r="K976" s="104"/>
      <c r="L976" s="9">
        <v>1</v>
      </c>
      <c r="M976" s="3">
        <v>724</v>
      </c>
      <c r="N976" s="6">
        <v>1963</v>
      </c>
      <c r="O976" s="10">
        <v>23341</v>
      </c>
      <c r="P976" s="71" t="s">
        <v>2599</v>
      </c>
      <c r="Q976" s="10">
        <v>23341</v>
      </c>
      <c r="R976" s="6">
        <v>1960</v>
      </c>
      <c r="S976" s="3" t="s">
        <v>236</v>
      </c>
      <c r="T976" s="72"/>
      <c r="U976" s="73"/>
      <c r="W976" s="2" t="s">
        <v>62</v>
      </c>
      <c r="X976" s="10" t="s">
        <v>56</v>
      </c>
      <c r="Y976" s="10" t="s">
        <v>68</v>
      </c>
      <c r="Z976" s="75"/>
      <c r="AA976" s="76"/>
      <c r="AB976" s="77"/>
      <c r="AC976" s="77"/>
      <c r="AD976" s="6"/>
      <c r="AI976" s="7"/>
      <c r="AJ976" s="10">
        <v>43648</v>
      </c>
      <c r="AK976" s="7">
        <v>2010</v>
      </c>
      <c r="AL976" s="16"/>
      <c r="AW976" s="6">
        <f t="shared" ca="1" si="16"/>
        <v>62</v>
      </c>
    </row>
    <row r="977" ht="45" hidden="1" customHeight="1">
      <c r="A977" s="69"/>
      <c r="B977" s="3" t="s">
        <v>47</v>
      </c>
      <c r="C977" s="4" t="s">
        <v>2600</v>
      </c>
      <c r="E977" s="2" t="s">
        <v>1074</v>
      </c>
      <c r="F977" s="6" t="s">
        <v>2092</v>
      </c>
      <c r="G977" s="5" t="s">
        <v>2099</v>
      </c>
      <c r="H977" s="2" t="s">
        <v>57</v>
      </c>
      <c r="I977" s="96" t="s">
        <v>2601</v>
      </c>
      <c r="J977" s="7">
        <v>1</v>
      </c>
      <c r="K977" s="70"/>
      <c r="L977" s="9">
        <v>1</v>
      </c>
      <c r="M977" s="3">
        <v>725</v>
      </c>
      <c r="N977" s="6">
        <v>1964</v>
      </c>
      <c r="P977" s="71"/>
      <c r="R977" s="6">
        <v>1960</v>
      </c>
      <c r="S977" s="3" t="s">
        <v>236</v>
      </c>
      <c r="T977" s="72"/>
      <c r="U977" s="73"/>
      <c r="W977" s="2" t="s">
        <v>62</v>
      </c>
      <c r="X977" s="10" t="s">
        <v>56</v>
      </c>
      <c r="Y977" s="10" t="s">
        <v>57</v>
      </c>
      <c r="Z977" s="75"/>
      <c r="AA977" s="76"/>
      <c r="AB977" s="77"/>
      <c r="AC977" s="77"/>
      <c r="AD977" s="10"/>
      <c r="AI977" s="7"/>
      <c r="AJ977" s="95">
        <v>35643</v>
      </c>
      <c r="AK977" s="7">
        <v>1990</v>
      </c>
      <c r="AL977" s="16"/>
      <c r="AW977" s="6">
        <f t="shared" ca="1" si="16"/>
        <v>61</v>
      </c>
    </row>
    <row r="978" ht="45" customHeight="1">
      <c r="A978" s="69"/>
      <c r="B978" s="3" t="s">
        <v>47</v>
      </c>
      <c r="E978" s="2" t="s">
        <v>83</v>
      </c>
      <c r="F978" s="6" t="s">
        <v>179</v>
      </c>
      <c r="G978" s="5" t="s">
        <v>319</v>
      </c>
      <c r="H978" s="2" t="s">
        <v>57</v>
      </c>
      <c r="I978" s="3" t="s">
        <v>2602</v>
      </c>
      <c r="J978" s="7">
        <v>1</v>
      </c>
      <c r="K978" s="70" t="s">
        <v>53</v>
      </c>
      <c r="L978" s="9">
        <v>1</v>
      </c>
      <c r="M978" s="3">
        <v>726</v>
      </c>
      <c r="N978" s="6">
        <v>1964</v>
      </c>
      <c r="P978" s="71"/>
      <c r="R978" s="6">
        <v>1960</v>
      </c>
      <c r="S978" s="3" t="s">
        <v>54</v>
      </c>
      <c r="T978" s="72"/>
      <c r="U978" s="73"/>
      <c r="W978" s="2" t="s">
        <v>2603</v>
      </c>
      <c r="X978" s="10" t="s">
        <v>56</v>
      </c>
      <c r="Y978" s="10" t="s">
        <v>57</v>
      </c>
      <c r="Z978" s="75"/>
      <c r="AA978" s="76"/>
      <c r="AB978" s="77">
        <v>23811</v>
      </c>
      <c r="AC978" s="77"/>
      <c r="AD978" s="6"/>
      <c r="AG978" s="7">
        <v>1965</v>
      </c>
      <c r="AH978" s="7">
        <v>1960</v>
      </c>
      <c r="AI978" s="7"/>
      <c r="AJ978" s="73"/>
      <c r="AK978" s="7"/>
      <c r="AL978" s="16"/>
      <c r="AM978" s="2" t="s">
        <v>59</v>
      </c>
      <c r="AW978" s="6">
        <f t="shared" ca="1" si="16"/>
        <v>61</v>
      </c>
    </row>
    <row r="979" ht="45" customHeight="1">
      <c r="A979" s="69"/>
      <c r="B979" s="3" t="s">
        <v>47</v>
      </c>
      <c r="E979" s="110" t="s">
        <v>83</v>
      </c>
      <c r="F979" s="121" t="s">
        <v>704</v>
      </c>
      <c r="G979" s="120" t="s">
        <v>2604</v>
      </c>
      <c r="H979" s="110" t="s">
        <v>68</v>
      </c>
      <c r="I979" s="94" t="s">
        <v>2605</v>
      </c>
      <c r="J979" s="122">
        <v>1</v>
      </c>
      <c r="K979" s="123" t="s">
        <v>53</v>
      </c>
      <c r="L979" s="124">
        <v>1</v>
      </c>
      <c r="M979" s="94">
        <v>727</v>
      </c>
      <c r="N979" s="121">
        <v>1964</v>
      </c>
      <c r="O979" s="112"/>
      <c r="P979" s="125"/>
      <c r="Q979" s="112"/>
      <c r="R979" s="121">
        <v>1960</v>
      </c>
      <c r="S979" s="94" t="s">
        <v>54</v>
      </c>
      <c r="T979" s="72"/>
      <c r="U979" s="126"/>
      <c r="V979" s="127"/>
      <c r="W979" s="110" t="s">
        <v>2606</v>
      </c>
      <c r="X979" s="112" t="s">
        <v>56</v>
      </c>
      <c r="Y979" s="112" t="s">
        <v>68</v>
      </c>
      <c r="Z979" s="113" t="s">
        <v>237</v>
      </c>
      <c r="AA979" s="128"/>
      <c r="AB979" s="129">
        <v>23644</v>
      </c>
      <c r="AC979" s="129"/>
      <c r="AD979" s="121"/>
      <c r="AE979" s="122">
        <v>1964</v>
      </c>
      <c r="AF979" s="122">
        <v>43</v>
      </c>
      <c r="AG979" s="122">
        <v>1964</v>
      </c>
      <c r="AH979" s="122">
        <v>1960</v>
      </c>
      <c r="AI979" s="122"/>
      <c r="AJ979" s="126"/>
      <c r="AK979" s="122"/>
      <c r="AL979" s="115"/>
      <c r="AM979" s="110"/>
      <c r="AN979" s="121"/>
      <c r="AO979" s="121"/>
      <c r="AP979" s="121"/>
      <c r="AQ979" s="120"/>
      <c r="AR979" s="110"/>
      <c r="AS979" s="121"/>
      <c r="AT979" s="121"/>
      <c r="AU979" s="115"/>
      <c r="AV979" s="130"/>
      <c r="AW979" s="6">
        <f t="shared" ca="1" si="16"/>
        <v>61</v>
      </c>
    </row>
    <row r="980" ht="45" customHeight="1">
      <c r="A980" s="69"/>
      <c r="B980" s="3" t="s">
        <v>47</v>
      </c>
      <c r="E980" s="2" t="s">
        <v>83</v>
      </c>
      <c r="F980" s="6" t="s">
        <v>84</v>
      </c>
      <c r="G980" s="5" t="s">
        <v>797</v>
      </c>
      <c r="H980" s="2" t="s">
        <v>57</v>
      </c>
      <c r="I980" s="3" t="s">
        <v>2607</v>
      </c>
      <c r="J980" s="7">
        <v>1</v>
      </c>
      <c r="K980" s="70" t="s">
        <v>53</v>
      </c>
      <c r="L980" s="9">
        <v>1</v>
      </c>
      <c r="M980" s="3">
        <v>728</v>
      </c>
      <c r="N980" s="6">
        <v>1964</v>
      </c>
      <c r="P980" s="71"/>
      <c r="R980" s="6">
        <v>1960</v>
      </c>
      <c r="S980" s="3" t="s">
        <v>54</v>
      </c>
      <c r="T980" s="72"/>
      <c r="U980" s="73"/>
      <c r="W980" s="105"/>
      <c r="X980" s="10" t="s">
        <v>56</v>
      </c>
      <c r="Y980" s="10" t="s">
        <v>57</v>
      </c>
      <c r="Z980" s="75"/>
      <c r="AA980" s="76"/>
      <c r="AB980" s="77">
        <v>24589</v>
      </c>
      <c r="AC980" s="77"/>
      <c r="AD980" s="6"/>
      <c r="AE980" s="7">
        <v>1966</v>
      </c>
      <c r="AF980" s="7">
        <v>47</v>
      </c>
      <c r="AG980" s="7">
        <v>1967</v>
      </c>
      <c r="AH980" s="7">
        <v>1960</v>
      </c>
      <c r="AI980" s="7"/>
      <c r="AJ980" s="73"/>
      <c r="AK980" s="7"/>
      <c r="AL980" s="16"/>
      <c r="AM980" s="2" t="s">
        <v>59</v>
      </c>
      <c r="AW980" s="6">
        <f t="shared" ca="1" si="16"/>
        <v>61</v>
      </c>
    </row>
    <row r="981" ht="45" customHeight="1">
      <c r="A981" s="69"/>
      <c r="B981" s="3" t="s">
        <v>47</v>
      </c>
      <c r="E981" s="2" t="s">
        <v>63</v>
      </c>
      <c r="F981" s="6" t="s">
        <v>1480</v>
      </c>
      <c r="G981" s="5" t="s">
        <v>2608</v>
      </c>
      <c r="H981" s="2" t="s">
        <v>57</v>
      </c>
      <c r="I981" s="3" t="s">
        <v>582</v>
      </c>
      <c r="J981" s="7">
        <v>1</v>
      </c>
      <c r="K981" s="70" t="s">
        <v>53</v>
      </c>
      <c r="L981" s="9">
        <v>1</v>
      </c>
      <c r="M981" s="3">
        <v>729</v>
      </c>
      <c r="N981" s="6">
        <v>1964</v>
      </c>
      <c r="P981" s="71"/>
      <c r="R981" s="6">
        <v>1960</v>
      </c>
      <c r="S981" s="3" t="s">
        <v>54</v>
      </c>
      <c r="T981" s="72"/>
      <c r="U981" s="73"/>
      <c r="W981" s="2" t="s">
        <v>2609</v>
      </c>
      <c r="X981" s="10" t="s">
        <v>56</v>
      </c>
      <c r="Y981" s="10" t="s">
        <v>57</v>
      </c>
      <c r="Z981" s="75"/>
      <c r="AA981" s="76"/>
      <c r="AB981" s="77">
        <v>23544</v>
      </c>
      <c r="AC981" s="77"/>
      <c r="AD981" s="6"/>
      <c r="AG981" s="7">
        <v>1964</v>
      </c>
      <c r="AH981" s="7">
        <v>1960</v>
      </c>
      <c r="AI981" s="7"/>
      <c r="AJ981" s="73"/>
      <c r="AK981" s="7"/>
      <c r="AL981" s="16"/>
      <c r="AM981" s="2" t="s">
        <v>59</v>
      </c>
      <c r="AW981" s="6">
        <f t="shared" ca="1" si="16"/>
        <v>61</v>
      </c>
    </row>
    <row r="982" ht="45" customHeight="1">
      <c r="A982" s="69"/>
      <c r="B982" s="3" t="s">
        <v>47</v>
      </c>
      <c r="E982" s="2" t="s">
        <v>63</v>
      </c>
      <c r="F982" s="6" t="s">
        <v>1480</v>
      </c>
      <c r="G982" s="5" t="s">
        <v>2608</v>
      </c>
      <c r="H982" s="2" t="s">
        <v>51</v>
      </c>
      <c r="I982" s="3" t="s">
        <v>326</v>
      </c>
      <c r="J982" s="7">
        <v>1</v>
      </c>
      <c r="K982" s="70" t="s">
        <v>53</v>
      </c>
      <c r="L982" s="9">
        <v>1</v>
      </c>
      <c r="M982" s="3">
        <v>730</v>
      </c>
      <c r="N982" s="6">
        <v>1964</v>
      </c>
      <c r="P982" s="71"/>
      <c r="R982" s="6">
        <v>1960</v>
      </c>
      <c r="S982" s="3" t="s">
        <v>54</v>
      </c>
      <c r="T982" s="72"/>
      <c r="U982" s="73"/>
      <c r="W982" s="2" t="s">
        <v>2610</v>
      </c>
      <c r="X982" s="10" t="s">
        <v>56</v>
      </c>
      <c r="Y982" s="10" t="s">
        <v>57</v>
      </c>
      <c r="Z982" s="75" t="s">
        <v>58</v>
      </c>
      <c r="AA982" s="76"/>
      <c r="AB982" s="77">
        <v>23544</v>
      </c>
      <c r="AC982" s="77"/>
      <c r="AD982" s="6"/>
      <c r="AG982" s="7">
        <v>1964</v>
      </c>
      <c r="AH982" s="7">
        <v>1960</v>
      </c>
      <c r="AI982" s="7"/>
      <c r="AJ982" s="73"/>
      <c r="AK982" s="7"/>
      <c r="AL982" s="16"/>
      <c r="AM982" s="2" t="s">
        <v>59</v>
      </c>
      <c r="AW982" s="6">
        <f t="shared" ca="1" si="16"/>
        <v>61</v>
      </c>
    </row>
    <row r="983" ht="45" customHeight="1">
      <c r="A983" s="69"/>
      <c r="B983" s="3" t="s">
        <v>47</v>
      </c>
      <c r="E983" s="2" t="s">
        <v>63</v>
      </c>
      <c r="F983" s="6" t="s">
        <v>1480</v>
      </c>
      <c r="G983" s="5" t="s">
        <v>2611</v>
      </c>
      <c r="H983" s="2" t="s">
        <v>51</v>
      </c>
      <c r="I983" s="3" t="s">
        <v>702</v>
      </c>
      <c r="J983" s="7">
        <v>1</v>
      </c>
      <c r="K983" s="70" t="s">
        <v>53</v>
      </c>
      <c r="L983" s="9">
        <v>1</v>
      </c>
      <c r="M983" s="3">
        <v>731</v>
      </c>
      <c r="N983" s="6">
        <v>1964</v>
      </c>
      <c r="P983" s="71"/>
      <c r="R983" s="6">
        <v>1960</v>
      </c>
      <c r="S983" s="3" t="s">
        <v>54</v>
      </c>
      <c r="T983" s="72"/>
      <c r="U983" s="73"/>
      <c r="W983" s="2" t="s">
        <v>2612</v>
      </c>
      <c r="X983" s="10" t="s">
        <v>56</v>
      </c>
      <c r="Y983" s="10" t="s">
        <v>57</v>
      </c>
      <c r="Z983" s="75" t="s">
        <v>58</v>
      </c>
      <c r="AA983" s="76"/>
      <c r="AB983" s="77">
        <v>23544</v>
      </c>
      <c r="AC983" s="77"/>
      <c r="AD983" s="6"/>
      <c r="AG983" s="7">
        <v>1964</v>
      </c>
      <c r="AH983" s="7">
        <v>1960</v>
      </c>
      <c r="AI983" s="7"/>
      <c r="AJ983" s="73"/>
      <c r="AK983" s="7"/>
      <c r="AL983" s="16"/>
      <c r="AM983" s="2" t="s">
        <v>59</v>
      </c>
      <c r="AW983" s="6">
        <f t="shared" ca="1" si="16"/>
        <v>61</v>
      </c>
    </row>
    <row r="984" ht="45" customHeight="1">
      <c r="A984" s="69"/>
      <c r="B984" s="3" t="s">
        <v>47</v>
      </c>
      <c r="E984" s="2" t="s">
        <v>83</v>
      </c>
      <c r="F984" s="6" t="s">
        <v>84</v>
      </c>
      <c r="G984" s="5" t="s">
        <v>85</v>
      </c>
      <c r="H984" s="2" t="s">
        <v>51</v>
      </c>
      <c r="I984" s="3" t="s">
        <v>2613</v>
      </c>
      <c r="J984" s="7">
        <v>1</v>
      </c>
      <c r="K984" s="70" t="s">
        <v>53</v>
      </c>
      <c r="L984" s="9">
        <v>1</v>
      </c>
      <c r="M984" s="3">
        <v>732</v>
      </c>
      <c r="N984" s="6">
        <v>1964</v>
      </c>
      <c r="P984" s="71"/>
      <c r="R984" s="6">
        <v>1960</v>
      </c>
      <c r="S984" s="3" t="s">
        <v>54</v>
      </c>
      <c r="T984" s="72"/>
      <c r="U984" s="73"/>
      <c r="W984" s="2" t="s">
        <v>2614</v>
      </c>
      <c r="X984" s="10" t="s">
        <v>56</v>
      </c>
      <c r="Y984" s="10" t="s">
        <v>57</v>
      </c>
      <c r="Z984" s="75" t="s">
        <v>58</v>
      </c>
      <c r="AA984" s="76"/>
      <c r="AB984" s="77">
        <v>23561</v>
      </c>
      <c r="AC984" s="77"/>
      <c r="AD984" s="6"/>
      <c r="AG984" s="7">
        <v>1964</v>
      </c>
      <c r="AH984" s="7">
        <v>1960</v>
      </c>
      <c r="AI984" s="7"/>
      <c r="AJ984" s="73"/>
      <c r="AK984" s="7"/>
      <c r="AL984" s="16"/>
      <c r="AM984" s="2" t="s">
        <v>59</v>
      </c>
      <c r="AW984" s="6">
        <f t="shared" ca="1" si="16"/>
        <v>61</v>
      </c>
    </row>
    <row r="985" ht="45" hidden="1" customHeight="1">
      <c r="A985" s="169"/>
      <c r="B985" s="3" t="s">
        <v>190</v>
      </c>
      <c r="C985" s="4" t="s">
        <v>2615</v>
      </c>
      <c r="D985" s="5" t="s">
        <v>2616</v>
      </c>
      <c r="E985" s="2" t="s">
        <v>1074</v>
      </c>
      <c r="F985" s="6" t="s">
        <v>2154</v>
      </c>
      <c r="G985" s="5" t="s">
        <v>2155</v>
      </c>
      <c r="H985" s="2" t="s">
        <v>288</v>
      </c>
      <c r="I985" s="3" t="s">
        <v>2617</v>
      </c>
      <c r="J985" s="7">
        <v>1</v>
      </c>
      <c r="K985" s="170"/>
      <c r="L985" s="9">
        <v>1</v>
      </c>
      <c r="M985" s="3">
        <v>733</v>
      </c>
      <c r="N985" s="6">
        <v>1964</v>
      </c>
      <c r="P985" s="71"/>
      <c r="R985" s="6">
        <v>1960</v>
      </c>
      <c r="S985" s="3" t="s">
        <v>283</v>
      </c>
      <c r="T985" s="72"/>
      <c r="U985" s="73"/>
      <c r="W985" s="74" t="s">
        <v>62</v>
      </c>
      <c r="X985" s="10" t="s">
        <v>56</v>
      </c>
      <c r="Y985" s="10" t="s">
        <v>288</v>
      </c>
      <c r="Z985" s="75"/>
      <c r="AA985" s="91"/>
      <c r="AB985" s="171"/>
      <c r="AC985" s="171"/>
      <c r="AD985" s="172"/>
      <c r="AE985" s="93"/>
      <c r="AG985" s="93"/>
      <c r="AH985" s="93"/>
      <c r="AI985" s="93"/>
      <c r="AJ985" s="173"/>
      <c r="AK985" s="93"/>
      <c r="AL985" s="16"/>
      <c r="AO985" s="172"/>
      <c r="AP985" s="172"/>
      <c r="AQ985" s="174"/>
      <c r="AR985" s="175"/>
      <c r="AS985" s="172"/>
      <c r="AT985" s="172"/>
      <c r="AU985" s="99"/>
      <c r="AV985" s="157"/>
      <c r="AW985" s="6">
        <f t="shared" ca="1" si="16"/>
        <v>61</v>
      </c>
    </row>
    <row r="986" ht="45" hidden="1" customHeight="1">
      <c r="A986" s="69"/>
      <c r="B986" s="3" t="s">
        <v>47</v>
      </c>
      <c r="C986" s="4" t="s">
        <v>2618</v>
      </c>
      <c r="E986" s="2" t="s">
        <v>83</v>
      </c>
      <c r="F986" s="6" t="s">
        <v>704</v>
      </c>
      <c r="G986" s="5" t="s">
        <v>1996</v>
      </c>
      <c r="H986" s="2" t="s">
        <v>288</v>
      </c>
      <c r="I986" s="3" t="s">
        <v>2619</v>
      </c>
      <c r="J986" s="7">
        <v>1</v>
      </c>
      <c r="K986" s="104"/>
      <c r="L986" s="9">
        <v>1</v>
      </c>
      <c r="M986" s="3">
        <v>734</v>
      </c>
      <c r="N986" s="6">
        <v>1964</v>
      </c>
      <c r="P986" s="71"/>
      <c r="R986" s="6">
        <v>1960</v>
      </c>
      <c r="S986" s="3" t="s">
        <v>236</v>
      </c>
      <c r="T986" s="72"/>
      <c r="U986" s="73"/>
      <c r="W986" s="2" t="s">
        <v>62</v>
      </c>
      <c r="X986" s="10" t="s">
        <v>56</v>
      </c>
      <c r="Y986" s="10" t="s">
        <v>288</v>
      </c>
      <c r="Z986" s="75"/>
      <c r="AA986" s="76"/>
      <c r="AB986" s="77"/>
      <c r="AC986" s="77"/>
      <c r="AD986" s="6"/>
      <c r="AI986" s="7"/>
      <c r="AJ986" s="95">
        <v>25680</v>
      </c>
      <c r="AK986" s="7">
        <v>1970</v>
      </c>
      <c r="AL986" s="16" t="s">
        <v>2620</v>
      </c>
      <c r="AW986" s="6">
        <f t="shared" ca="1" si="16"/>
        <v>61</v>
      </c>
    </row>
    <row r="987" ht="45" hidden="1" customHeight="1" outlineLevel="1">
      <c r="A987" s="69"/>
      <c r="B987" s="3" t="s">
        <v>47</v>
      </c>
      <c r="C987" s="4" t="s">
        <v>2621</v>
      </c>
      <c r="E987" s="2" t="s">
        <v>83</v>
      </c>
      <c r="F987" s="6" t="s">
        <v>179</v>
      </c>
      <c r="G987" s="5" t="s">
        <v>2553</v>
      </c>
      <c r="H987" s="2" t="s">
        <v>257</v>
      </c>
      <c r="I987" s="3" t="s">
        <v>2622</v>
      </c>
      <c r="J987" s="7">
        <v>1</v>
      </c>
      <c r="K987" s="104"/>
      <c r="L987" s="9">
        <v>1</v>
      </c>
      <c r="M987" s="3">
        <v>735</v>
      </c>
      <c r="N987" s="6">
        <v>1964</v>
      </c>
      <c r="P987" s="71"/>
      <c r="R987" s="6">
        <v>1960</v>
      </c>
      <c r="S987" s="3" t="s">
        <v>236</v>
      </c>
      <c r="T987" s="72"/>
      <c r="U987" s="73"/>
      <c r="W987" s="2" t="s">
        <v>62</v>
      </c>
      <c r="X987" s="10" t="s">
        <v>56</v>
      </c>
      <c r="Y987" s="10" t="s">
        <v>68</v>
      </c>
      <c r="Z987" s="75" t="s">
        <v>260</v>
      </c>
      <c r="AA987" s="76"/>
      <c r="AB987" s="77"/>
      <c r="AC987" s="77"/>
      <c r="AD987" s="6"/>
      <c r="AI987" s="7"/>
      <c r="AJ987" s="95">
        <v>33014</v>
      </c>
      <c r="AK987" s="7">
        <v>1990</v>
      </c>
      <c r="AL987" s="16"/>
      <c r="AW987" s="6">
        <f t="shared" ca="1" si="16"/>
        <v>61</v>
      </c>
    </row>
    <row r="988" ht="45" customHeight="1">
      <c r="A988" s="69"/>
      <c r="B988" s="3" t="s">
        <v>47</v>
      </c>
      <c r="E988" s="2" t="s">
        <v>83</v>
      </c>
      <c r="F988" s="6" t="s">
        <v>704</v>
      </c>
      <c r="G988" s="5" t="s">
        <v>2623</v>
      </c>
      <c r="H988" s="2" t="s">
        <v>57</v>
      </c>
      <c r="I988" s="3" t="s">
        <v>2624</v>
      </c>
      <c r="J988" s="7">
        <v>1</v>
      </c>
      <c r="K988" s="70" t="s">
        <v>53</v>
      </c>
      <c r="L988" s="9">
        <v>1</v>
      </c>
      <c r="M988" s="3">
        <v>736</v>
      </c>
      <c r="N988" s="6">
        <v>1964</v>
      </c>
      <c r="P988" s="71"/>
      <c r="R988" s="6">
        <v>1960</v>
      </c>
      <c r="S988" s="3" t="s">
        <v>54</v>
      </c>
      <c r="T988" s="72"/>
      <c r="U988" s="73"/>
      <c r="W988" s="2" t="s">
        <v>2625</v>
      </c>
      <c r="X988" s="10" t="s">
        <v>56</v>
      </c>
      <c r="Y988" s="10" t="s">
        <v>57</v>
      </c>
      <c r="Z988" s="75"/>
      <c r="AA988" s="76"/>
      <c r="AB988" s="77">
        <v>24826</v>
      </c>
      <c r="AC988" s="77"/>
      <c r="AD988" s="6"/>
      <c r="AG988" s="7">
        <v>1967</v>
      </c>
      <c r="AH988" s="7">
        <v>1960</v>
      </c>
      <c r="AI988" s="7"/>
      <c r="AJ988" s="73"/>
      <c r="AK988" s="7"/>
      <c r="AL988" s="16"/>
      <c r="AM988" s="2" t="s">
        <v>59</v>
      </c>
      <c r="AW988" s="6">
        <f t="shared" ca="1" si="16"/>
        <v>61</v>
      </c>
    </row>
    <row r="989" ht="45" hidden="1" customHeight="1">
      <c r="A989" s="69"/>
      <c r="B989" s="3" t="s">
        <v>47</v>
      </c>
      <c r="C989" s="4" t="s">
        <v>2626</v>
      </c>
      <c r="E989" s="2" t="s">
        <v>83</v>
      </c>
      <c r="F989" s="6" t="s">
        <v>84</v>
      </c>
      <c r="G989" s="5" t="s">
        <v>2627</v>
      </c>
      <c r="H989" s="2" t="s">
        <v>51</v>
      </c>
      <c r="I989" s="3" t="s">
        <v>2628</v>
      </c>
      <c r="J989" s="7">
        <v>1</v>
      </c>
      <c r="K989" s="104"/>
      <c r="L989" s="9">
        <v>1</v>
      </c>
      <c r="M989" s="3">
        <v>737</v>
      </c>
      <c r="N989" s="6">
        <v>1964</v>
      </c>
      <c r="P989" s="71"/>
      <c r="R989" s="6">
        <v>1960</v>
      </c>
      <c r="S989" s="3" t="s">
        <v>236</v>
      </c>
      <c r="T989" s="72"/>
      <c r="U989" s="73">
        <v>23684</v>
      </c>
      <c r="W989" s="2" t="s">
        <v>62</v>
      </c>
      <c r="X989" s="10" t="s">
        <v>56</v>
      </c>
      <c r="Y989" s="10" t="s">
        <v>57</v>
      </c>
      <c r="Z989" s="75" t="s">
        <v>58</v>
      </c>
      <c r="AA989" s="76"/>
      <c r="AB989" s="77"/>
      <c r="AC989" s="77"/>
      <c r="AD989" s="6"/>
      <c r="AI989" s="7"/>
      <c r="AJ989" s="95">
        <v>23684</v>
      </c>
      <c r="AK989" s="7">
        <v>1960</v>
      </c>
      <c r="AL989" s="16"/>
      <c r="AW989" s="6">
        <f t="shared" ca="1" si="16"/>
        <v>61</v>
      </c>
    </row>
    <row r="990" ht="45" customHeight="1">
      <c r="A990" s="69"/>
      <c r="B990" s="3" t="s">
        <v>47</v>
      </c>
      <c r="E990" s="2" t="s">
        <v>83</v>
      </c>
      <c r="F990" s="6" t="s">
        <v>704</v>
      </c>
      <c r="G990" s="5" t="s">
        <v>2629</v>
      </c>
      <c r="H990" s="2" t="s">
        <v>57</v>
      </c>
      <c r="I990" s="3" t="s">
        <v>2630</v>
      </c>
      <c r="J990" s="7">
        <v>1</v>
      </c>
      <c r="K990" s="70" t="s">
        <v>53</v>
      </c>
      <c r="L990" s="9">
        <v>1</v>
      </c>
      <c r="M990" s="3">
        <v>738</v>
      </c>
      <c r="N990" s="6">
        <v>1964</v>
      </c>
      <c r="P990" s="71"/>
      <c r="R990" s="6">
        <v>1960</v>
      </c>
      <c r="S990" s="3" t="s">
        <v>54</v>
      </c>
      <c r="T990" s="72"/>
      <c r="U990" s="73"/>
      <c r="W990" s="2" t="s">
        <v>2631</v>
      </c>
      <c r="X990" s="10" t="s">
        <v>56</v>
      </c>
      <c r="Y990" s="10" t="s">
        <v>57</v>
      </c>
      <c r="Z990" s="75"/>
      <c r="AA990" s="76"/>
      <c r="AB990" s="77">
        <v>25539</v>
      </c>
      <c r="AC990" s="77"/>
      <c r="AD990" s="6"/>
      <c r="AE990" s="7">
        <v>1969</v>
      </c>
      <c r="AF990" s="7">
        <v>52</v>
      </c>
      <c r="AG990" s="7">
        <v>1969</v>
      </c>
      <c r="AH990" s="7">
        <v>1960</v>
      </c>
      <c r="AI990" s="7"/>
      <c r="AJ990" s="73"/>
      <c r="AK990" s="7"/>
      <c r="AL990" s="16"/>
      <c r="AM990" s="2" t="s">
        <v>59</v>
      </c>
      <c r="AW990" s="6">
        <f t="shared" ca="1" si="16"/>
        <v>61</v>
      </c>
    </row>
    <row r="991" ht="45" customHeight="1">
      <c r="A991" s="69"/>
      <c r="B991" s="3" t="s">
        <v>47</v>
      </c>
      <c r="E991" s="2" t="s">
        <v>694</v>
      </c>
      <c r="F991" s="6" t="s">
        <v>695</v>
      </c>
      <c r="G991" s="5" t="s">
        <v>696</v>
      </c>
      <c r="H991" s="2" t="s">
        <v>68</v>
      </c>
      <c r="I991" s="3" t="s">
        <v>2632</v>
      </c>
      <c r="J991" s="7">
        <v>1</v>
      </c>
      <c r="K991" s="70" t="s">
        <v>53</v>
      </c>
      <c r="L991" s="9">
        <v>1</v>
      </c>
      <c r="M991" s="3">
        <v>739</v>
      </c>
      <c r="N991" s="6">
        <v>1964</v>
      </c>
      <c r="P991" s="71"/>
      <c r="R991" s="6">
        <v>1960</v>
      </c>
      <c r="S991" s="3" t="s">
        <v>54</v>
      </c>
      <c r="T991" s="72"/>
      <c r="U991" s="73"/>
      <c r="W991" s="2" t="s">
        <v>2633</v>
      </c>
      <c r="X991" s="10" t="s">
        <v>56</v>
      </c>
      <c r="Y991" s="10" t="s">
        <v>68</v>
      </c>
      <c r="Z991" s="75"/>
      <c r="AA991" s="76">
        <v>23586</v>
      </c>
      <c r="AB991" s="77"/>
      <c r="AC991" s="77"/>
      <c r="AD991" s="6"/>
      <c r="AG991" s="7">
        <v>1964</v>
      </c>
      <c r="AH991" s="7">
        <v>1960</v>
      </c>
      <c r="AI991" s="7"/>
      <c r="AJ991" s="73"/>
      <c r="AK991" s="7"/>
      <c r="AL991" s="16"/>
      <c r="AM991" s="2" t="s">
        <v>59</v>
      </c>
      <c r="AO991" s="6" t="s">
        <v>59</v>
      </c>
      <c r="AQ991" s="5" t="s">
        <v>73</v>
      </c>
      <c r="AW991" s="6">
        <f t="shared" ca="1" si="16"/>
        <v>61</v>
      </c>
    </row>
    <row r="992" ht="45" customHeight="1" outlineLevel="1">
      <c r="A992" s="69"/>
      <c r="B992" s="3" t="s">
        <v>47</v>
      </c>
      <c r="E992" s="2" t="s">
        <v>63</v>
      </c>
      <c r="F992" s="6" t="s">
        <v>1230</v>
      </c>
      <c r="G992" s="5" t="s">
        <v>1231</v>
      </c>
      <c r="H992" s="2" t="s">
        <v>51</v>
      </c>
      <c r="I992" s="3" t="s">
        <v>2634</v>
      </c>
      <c r="J992" s="7">
        <v>1</v>
      </c>
      <c r="K992" s="70" t="s">
        <v>53</v>
      </c>
      <c r="L992" s="9">
        <v>1</v>
      </c>
      <c r="M992" s="3">
        <v>740</v>
      </c>
      <c r="N992" s="6">
        <v>1964</v>
      </c>
      <c r="P992" s="71"/>
      <c r="R992" s="6">
        <v>1960</v>
      </c>
      <c r="S992" s="3" t="s">
        <v>54</v>
      </c>
      <c r="T992" s="72"/>
      <c r="U992" s="73"/>
      <c r="W992" s="2" t="s">
        <v>2635</v>
      </c>
      <c r="X992" s="10" t="s">
        <v>56</v>
      </c>
      <c r="Y992" s="10" t="s">
        <v>57</v>
      </c>
      <c r="Z992" s="75" t="s">
        <v>58</v>
      </c>
      <c r="AA992" s="76"/>
      <c r="AB992" s="77">
        <v>23586</v>
      </c>
      <c r="AC992" s="77"/>
      <c r="AD992" s="6"/>
      <c r="AG992" s="7">
        <v>1964</v>
      </c>
      <c r="AH992" s="7">
        <v>1960</v>
      </c>
      <c r="AI992" s="7"/>
      <c r="AJ992" s="73"/>
      <c r="AK992" s="7"/>
      <c r="AL992" s="16" t="s">
        <v>176</v>
      </c>
      <c r="AM992" s="2" t="s">
        <v>59</v>
      </c>
      <c r="AU992" s="16" t="s">
        <v>447</v>
      </c>
      <c r="AW992" s="6">
        <f t="shared" ca="1" si="16"/>
        <v>61</v>
      </c>
    </row>
    <row r="993" ht="45" customHeight="1" outlineLevel="1">
      <c r="A993" s="69"/>
      <c r="B993" s="3" t="s">
        <v>47</v>
      </c>
      <c r="E993" s="2" t="s">
        <v>63</v>
      </c>
      <c r="F993" s="6" t="s">
        <v>1230</v>
      </c>
      <c r="G993" s="5" t="s">
        <v>1231</v>
      </c>
      <c r="H993" s="2" t="s">
        <v>51</v>
      </c>
      <c r="I993" s="3" t="s">
        <v>2636</v>
      </c>
      <c r="J993" s="7">
        <v>1</v>
      </c>
      <c r="K993" s="70" t="s">
        <v>53</v>
      </c>
      <c r="L993" s="9">
        <v>0</v>
      </c>
      <c r="M993" s="3">
        <v>740</v>
      </c>
      <c r="N993" s="6">
        <v>1964</v>
      </c>
      <c r="P993" s="71"/>
      <c r="R993" s="6">
        <v>1960</v>
      </c>
      <c r="S993" s="3" t="s">
        <v>54</v>
      </c>
      <c r="T993" s="72"/>
      <c r="U993" s="73"/>
      <c r="W993" s="2" t="s">
        <v>2637</v>
      </c>
      <c r="X993" s="10" t="s">
        <v>56</v>
      </c>
      <c r="Y993" s="10" t="s">
        <v>57</v>
      </c>
      <c r="Z993" s="75" t="s">
        <v>58</v>
      </c>
      <c r="AA993" s="76"/>
      <c r="AB993" s="77">
        <v>23586</v>
      </c>
      <c r="AC993" s="77"/>
      <c r="AD993" s="6"/>
      <c r="AG993" s="7">
        <v>1964</v>
      </c>
      <c r="AH993" s="7">
        <v>1960</v>
      </c>
      <c r="AI993" s="7"/>
      <c r="AJ993" s="73"/>
      <c r="AK993" s="7"/>
      <c r="AL993" s="16" t="s">
        <v>176</v>
      </c>
      <c r="AM993" s="2" t="s">
        <v>59</v>
      </c>
      <c r="AU993" s="16" t="s">
        <v>447</v>
      </c>
      <c r="AW993" s="6">
        <f t="shared" ca="1" si="16"/>
        <v>61</v>
      </c>
    </row>
    <row r="994" ht="45" customHeight="1" outlineLevel="1">
      <c r="A994" s="69"/>
      <c r="B994" s="3" t="s">
        <v>47</v>
      </c>
      <c r="E994" s="2" t="s">
        <v>63</v>
      </c>
      <c r="F994" s="6" t="s">
        <v>1230</v>
      </c>
      <c r="G994" s="5" t="s">
        <v>1606</v>
      </c>
      <c r="H994" s="2" t="s">
        <v>57</v>
      </c>
      <c r="I994" s="3" t="s">
        <v>2638</v>
      </c>
      <c r="J994" s="7">
        <v>1</v>
      </c>
      <c r="K994" s="70" t="s">
        <v>53</v>
      </c>
      <c r="L994" s="9">
        <v>1</v>
      </c>
      <c r="M994" s="3">
        <v>741</v>
      </c>
      <c r="N994" s="6">
        <v>1964</v>
      </c>
      <c r="P994" s="71"/>
      <c r="R994" s="6">
        <v>1960</v>
      </c>
      <c r="S994" s="3" t="s">
        <v>54</v>
      </c>
      <c r="T994" s="72"/>
      <c r="U994" s="73"/>
      <c r="W994" s="2" t="s">
        <v>2639</v>
      </c>
      <c r="X994" s="10" t="s">
        <v>56</v>
      </c>
      <c r="Y994" s="10" t="s">
        <v>57</v>
      </c>
      <c r="Z994" s="75"/>
      <c r="AA994" s="76"/>
      <c r="AB994" s="77">
        <v>23614</v>
      </c>
      <c r="AC994" s="77"/>
      <c r="AD994" s="6"/>
      <c r="AG994" s="7">
        <v>1964</v>
      </c>
      <c r="AH994" s="7">
        <v>1960</v>
      </c>
      <c r="AI994" s="7"/>
      <c r="AJ994" s="73"/>
      <c r="AK994" s="7"/>
      <c r="AL994" s="16"/>
      <c r="AM994" s="2" t="s">
        <v>59</v>
      </c>
      <c r="AW994" s="6">
        <f t="shared" ca="1" si="16"/>
        <v>61</v>
      </c>
    </row>
    <row r="995" ht="45" customHeight="1">
      <c r="A995" s="69"/>
      <c r="B995" s="3" t="s">
        <v>47</v>
      </c>
      <c r="E995" s="2" t="s">
        <v>83</v>
      </c>
      <c r="F995" s="6" t="s">
        <v>84</v>
      </c>
      <c r="G995" s="5" t="s">
        <v>85</v>
      </c>
      <c r="H995" s="2" t="s">
        <v>57</v>
      </c>
      <c r="I995" s="3" t="s">
        <v>2640</v>
      </c>
      <c r="J995" s="7">
        <v>1</v>
      </c>
      <c r="K995" s="70" t="s">
        <v>53</v>
      </c>
      <c r="L995" s="9">
        <v>1</v>
      </c>
      <c r="M995" s="3">
        <v>742</v>
      </c>
      <c r="N995" s="6">
        <v>1964</v>
      </c>
      <c r="P995" s="71"/>
      <c r="R995" s="6">
        <v>1960</v>
      </c>
      <c r="S995" s="3" t="s">
        <v>54</v>
      </c>
      <c r="T995" s="72"/>
      <c r="U995" s="73"/>
      <c r="W995" s="2" t="s">
        <v>2641</v>
      </c>
      <c r="X995" s="10" t="s">
        <v>56</v>
      </c>
      <c r="Y995" s="10" t="s">
        <v>57</v>
      </c>
      <c r="Z995" s="75"/>
      <c r="AA995" s="76"/>
      <c r="AB995" s="77">
        <v>24530</v>
      </c>
      <c r="AC995" s="77"/>
      <c r="AD995" s="6"/>
      <c r="AG995" s="7">
        <v>1967</v>
      </c>
      <c r="AH995" s="7">
        <v>1960</v>
      </c>
      <c r="AI995" s="7"/>
      <c r="AJ995" s="73"/>
      <c r="AK995" s="7"/>
      <c r="AL995" s="16"/>
      <c r="AM995" s="2" t="s">
        <v>59</v>
      </c>
      <c r="AO995" s="6" t="s">
        <v>100</v>
      </c>
      <c r="AP995" s="6" t="s">
        <v>104</v>
      </c>
      <c r="AR995" s="2" t="s">
        <v>73</v>
      </c>
      <c r="AT995" s="6">
        <v>1980</v>
      </c>
      <c r="AU995" s="16" t="s">
        <v>2642</v>
      </c>
      <c r="AW995" s="6">
        <f t="shared" ref="AW995:AW998" ca="1" si="17">IF(N995&lt;&gt;0,(YEAR(TODAY())-N995),(""))</f>
        <v>61</v>
      </c>
    </row>
    <row r="996" ht="45" hidden="1" customHeight="1">
      <c r="A996" s="69"/>
      <c r="B996" s="3" t="s">
        <v>47</v>
      </c>
      <c r="C996" s="4" t="s">
        <v>2531</v>
      </c>
      <c r="E996" s="2" t="s">
        <v>83</v>
      </c>
      <c r="F996" s="6" t="s">
        <v>704</v>
      </c>
      <c r="G996" s="5" t="s">
        <v>2643</v>
      </c>
      <c r="H996" s="2" t="s">
        <v>51</v>
      </c>
      <c r="I996" s="96" t="s">
        <v>2644</v>
      </c>
      <c r="J996" s="7">
        <v>1</v>
      </c>
      <c r="K996" s="104"/>
      <c r="L996" s="9">
        <v>1</v>
      </c>
      <c r="M996" s="3">
        <v>743</v>
      </c>
      <c r="N996" s="6">
        <v>1964</v>
      </c>
      <c r="P996" s="71"/>
      <c r="R996" s="6">
        <v>1960</v>
      </c>
      <c r="S996" s="3" t="s">
        <v>236</v>
      </c>
      <c r="T996" s="72"/>
      <c r="U996" s="73"/>
      <c r="W996" s="2" t="s">
        <v>62</v>
      </c>
      <c r="X996" s="10" t="s">
        <v>56</v>
      </c>
      <c r="Y996" s="10" t="s">
        <v>57</v>
      </c>
      <c r="Z996" s="75" t="s">
        <v>58</v>
      </c>
      <c r="AA996" s="76"/>
      <c r="AB996" s="77"/>
      <c r="AC996" s="77"/>
      <c r="AD996" s="6"/>
      <c r="AI996" s="7"/>
      <c r="AJ996" s="95">
        <v>36287</v>
      </c>
      <c r="AK996" s="7">
        <v>1990</v>
      </c>
      <c r="AL996" s="16"/>
      <c r="AW996" s="6">
        <f t="shared" ca="1" si="17"/>
        <v>61</v>
      </c>
    </row>
    <row r="997" ht="45" customHeight="1">
      <c r="A997" s="69"/>
      <c r="B997" s="3" t="s">
        <v>47</v>
      </c>
      <c r="E997" s="2" t="s">
        <v>63</v>
      </c>
      <c r="F997" s="6" t="s">
        <v>428</v>
      </c>
      <c r="G997" s="5" t="s">
        <v>429</v>
      </c>
      <c r="H997" s="2" t="s">
        <v>501</v>
      </c>
      <c r="I997" s="3" t="s">
        <v>2645</v>
      </c>
      <c r="J997" s="7">
        <v>1</v>
      </c>
      <c r="K997" s="70" t="s">
        <v>53</v>
      </c>
      <c r="L997" s="9">
        <v>1</v>
      </c>
      <c r="M997" s="3">
        <v>744</v>
      </c>
      <c r="N997" s="6">
        <v>1964</v>
      </c>
      <c r="P997" s="71"/>
      <c r="R997" s="6">
        <v>1960</v>
      </c>
      <c r="S997" s="3" t="s">
        <v>54</v>
      </c>
      <c r="T997" s="72"/>
      <c r="U997" s="73"/>
      <c r="W997" s="2" t="s">
        <v>2646</v>
      </c>
      <c r="X997" s="10" t="s">
        <v>504</v>
      </c>
      <c r="Y997" s="10" t="s">
        <v>501</v>
      </c>
      <c r="Z997" s="75"/>
      <c r="AA997" s="76">
        <v>23845</v>
      </c>
      <c r="AB997" s="77"/>
      <c r="AC997" s="77"/>
      <c r="AD997" s="6"/>
      <c r="AG997" s="7">
        <v>1965</v>
      </c>
      <c r="AH997" s="7">
        <v>1960</v>
      </c>
      <c r="AI997" s="7"/>
      <c r="AJ997" s="73"/>
      <c r="AK997" s="7"/>
      <c r="AL997" s="16"/>
      <c r="AM997" s="2" t="s">
        <v>82</v>
      </c>
      <c r="AO997" s="6" t="s">
        <v>59</v>
      </c>
      <c r="AQ997" s="5" t="s">
        <v>73</v>
      </c>
      <c r="AU997" s="16" t="s">
        <v>2647</v>
      </c>
      <c r="AW997" s="6">
        <f t="shared" ca="1" si="17"/>
        <v>61</v>
      </c>
    </row>
    <row r="998" ht="45" customHeight="1">
      <c r="A998" s="69"/>
      <c r="B998" s="3" t="s">
        <v>47</v>
      </c>
      <c r="E998" s="2" t="s">
        <v>63</v>
      </c>
      <c r="F998" s="6" t="s">
        <v>428</v>
      </c>
      <c r="G998" s="5" t="s">
        <v>2648</v>
      </c>
      <c r="H998" s="2" t="s">
        <v>57</v>
      </c>
      <c r="I998" s="3" t="s">
        <v>582</v>
      </c>
      <c r="J998" s="7">
        <v>1</v>
      </c>
      <c r="K998" s="70" t="s">
        <v>53</v>
      </c>
      <c r="L998" s="9">
        <v>1</v>
      </c>
      <c r="M998" s="3">
        <v>745</v>
      </c>
      <c r="N998" s="6">
        <v>1964</v>
      </c>
      <c r="P998" s="71"/>
      <c r="R998" s="6">
        <v>1960</v>
      </c>
      <c r="S998" s="3" t="s">
        <v>54</v>
      </c>
      <c r="T998" s="72"/>
      <c r="U998" s="73"/>
      <c r="W998" s="2" t="s">
        <v>2649</v>
      </c>
      <c r="X998" s="10" t="s">
        <v>56</v>
      </c>
      <c r="Y998" s="10" t="s">
        <v>57</v>
      </c>
      <c r="Z998" s="75"/>
      <c r="AA998" s="76"/>
      <c r="AB998" s="77"/>
      <c r="AC998" s="77">
        <v>26338</v>
      </c>
      <c r="AD998" s="10"/>
      <c r="AE998" s="7">
        <v>1971</v>
      </c>
      <c r="AF998" s="7">
        <v>56</v>
      </c>
      <c r="AG998" s="7">
        <v>1972</v>
      </c>
      <c r="AH998" s="7">
        <v>1970</v>
      </c>
      <c r="AI998" s="7"/>
      <c r="AJ998" s="73"/>
      <c r="AK998" s="7"/>
      <c r="AL998" s="16"/>
      <c r="AM998" s="2" t="s">
        <v>59</v>
      </c>
      <c r="AW998" s="6">
        <f t="shared" ca="1" si="17"/>
        <v>61</v>
      </c>
    </row>
    <row r="999" ht="45" hidden="1" customHeight="1">
      <c r="A999" s="69"/>
      <c r="B999" s="3" t="s">
        <v>47</v>
      </c>
      <c r="C999" s="4" t="s">
        <v>2650</v>
      </c>
      <c r="D999" s="5" t="s">
        <v>2651</v>
      </c>
      <c r="E999" s="2" t="s">
        <v>63</v>
      </c>
      <c r="F999" s="6" t="s">
        <v>172</v>
      </c>
      <c r="G999" s="5" t="s">
        <v>2652</v>
      </c>
      <c r="H999" s="2" t="s">
        <v>51</v>
      </c>
      <c r="I999" s="3" t="s">
        <v>2653</v>
      </c>
      <c r="J999" s="7">
        <v>1</v>
      </c>
      <c r="K999" s="70"/>
      <c r="L999" s="9">
        <v>1</v>
      </c>
      <c r="M999" s="3">
        <v>746</v>
      </c>
      <c r="N999" s="6">
        <v>1964</v>
      </c>
      <c r="P999" s="71"/>
      <c r="R999" s="6">
        <v>1960</v>
      </c>
      <c r="S999" s="3" t="s">
        <v>236</v>
      </c>
      <c r="T999" s="72"/>
      <c r="U999" s="10">
        <v>44019</v>
      </c>
      <c r="W999" s="2" t="s">
        <v>62</v>
      </c>
      <c r="X999" s="10" t="s">
        <v>56</v>
      </c>
      <c r="Y999" s="10" t="s">
        <v>57</v>
      </c>
      <c r="Z999" s="75" t="s">
        <v>58</v>
      </c>
      <c r="AA999" s="76"/>
      <c r="AB999" s="77"/>
      <c r="AC999" s="77"/>
      <c r="AD999" s="10"/>
      <c r="AI999" s="7"/>
      <c r="AJ999" s="10">
        <v>44019</v>
      </c>
      <c r="AK999" s="7">
        <v>2020</v>
      </c>
      <c r="AL999" s="16"/>
      <c r="AW999" s="6">
        <f t="shared" ref="AW999:AW1062" ca="1" si="18">IF(N999&lt;&gt;0,(YEAR(TODAY())-N999),(""))</f>
        <v>61</v>
      </c>
    </row>
    <row r="1000" ht="45" customHeight="1">
      <c r="A1000" s="69"/>
      <c r="B1000" s="3" t="s">
        <v>47</v>
      </c>
      <c r="E1000" s="2" t="s">
        <v>1074</v>
      </c>
      <c r="F1000" s="6" t="s">
        <v>1075</v>
      </c>
      <c r="G1000" s="5" t="s">
        <v>1076</v>
      </c>
      <c r="H1000" s="2" t="s">
        <v>257</v>
      </c>
      <c r="I1000" s="3" t="s">
        <v>2654</v>
      </c>
      <c r="J1000" s="7">
        <v>1</v>
      </c>
      <c r="K1000" s="70" t="s">
        <v>53</v>
      </c>
      <c r="L1000" s="9">
        <v>1</v>
      </c>
      <c r="M1000" s="3">
        <v>747</v>
      </c>
      <c r="N1000" s="6">
        <v>1964</v>
      </c>
      <c r="P1000" s="71"/>
      <c r="R1000" s="6">
        <v>1960</v>
      </c>
      <c r="S1000" s="3" t="s">
        <v>54</v>
      </c>
      <c r="T1000" s="72"/>
      <c r="U1000" s="73"/>
      <c r="W1000" s="2" t="s">
        <v>2655</v>
      </c>
      <c r="X1000" s="10" t="s">
        <v>56</v>
      </c>
      <c r="Y1000" s="10" t="s">
        <v>68</v>
      </c>
      <c r="Z1000" s="75" t="s">
        <v>260</v>
      </c>
      <c r="AA1000" s="76"/>
      <c r="AB1000" s="77"/>
      <c r="AC1000" s="77">
        <v>23858</v>
      </c>
      <c r="AD1000" s="10"/>
      <c r="AG1000" s="7">
        <v>1965</v>
      </c>
      <c r="AH1000" s="7">
        <v>1960</v>
      </c>
      <c r="AI1000" s="7"/>
      <c r="AJ1000" s="73"/>
      <c r="AK1000" s="7"/>
      <c r="AL1000" s="16"/>
      <c r="AM1000" s="2" t="s">
        <v>59</v>
      </c>
      <c r="AW1000" s="6">
        <f t="shared" ca="1" si="18"/>
        <v>61</v>
      </c>
    </row>
    <row r="1001" ht="45" customHeight="1">
      <c r="A1001" s="69"/>
      <c r="B1001" s="3" t="s">
        <v>47</v>
      </c>
      <c r="C1001" s="4" t="s">
        <v>2656</v>
      </c>
      <c r="D1001" s="5" t="s">
        <v>2657</v>
      </c>
      <c r="E1001" s="2" t="s">
        <v>83</v>
      </c>
      <c r="F1001" s="6" t="s">
        <v>84</v>
      </c>
      <c r="G1001" s="5" t="s">
        <v>85</v>
      </c>
      <c r="H1001" s="2" t="s">
        <v>501</v>
      </c>
      <c r="I1001" s="3" t="s">
        <v>2658</v>
      </c>
      <c r="J1001" s="7">
        <v>1</v>
      </c>
      <c r="K1001" s="70" t="s">
        <v>53</v>
      </c>
      <c r="L1001" s="9">
        <v>1</v>
      </c>
      <c r="M1001" s="3">
        <v>748</v>
      </c>
      <c r="N1001" s="6">
        <v>1964</v>
      </c>
      <c r="P1001" s="71"/>
      <c r="R1001" s="6">
        <v>1960</v>
      </c>
      <c r="S1001" s="3" t="s">
        <v>54</v>
      </c>
      <c r="T1001" s="72"/>
      <c r="U1001" s="73"/>
      <c r="W1001" s="2" t="s">
        <v>2659</v>
      </c>
      <c r="X1001" s="10" t="s">
        <v>504</v>
      </c>
      <c r="Y1001" s="10" t="s">
        <v>501</v>
      </c>
      <c r="Z1001" s="75"/>
      <c r="AA1001" s="76">
        <v>23951</v>
      </c>
      <c r="AB1001" s="77"/>
      <c r="AC1001" s="77"/>
      <c r="AD1001" s="6"/>
      <c r="AE1001" s="7">
        <v>1965</v>
      </c>
      <c r="AF1001" s="7">
        <v>44</v>
      </c>
      <c r="AG1001" s="7">
        <v>1965</v>
      </c>
      <c r="AH1001" s="7">
        <v>1960</v>
      </c>
      <c r="AI1001" s="7"/>
      <c r="AJ1001" s="73"/>
      <c r="AK1001" s="7"/>
      <c r="AL1001" s="16"/>
      <c r="AM1001" s="2" t="s">
        <v>82</v>
      </c>
      <c r="AW1001" s="6">
        <f t="shared" ca="1" si="18"/>
        <v>61</v>
      </c>
    </row>
    <row r="1002" ht="45" customHeight="1">
      <c r="A1002" s="69"/>
      <c r="B1002" s="3" t="s">
        <v>47</v>
      </c>
      <c r="C1002" s="106"/>
      <c r="E1002" s="2" t="s">
        <v>63</v>
      </c>
      <c r="F1002" s="6" t="s">
        <v>1480</v>
      </c>
      <c r="G1002" s="5" t="s">
        <v>2412</v>
      </c>
      <c r="H1002" s="2" t="s">
        <v>382</v>
      </c>
      <c r="I1002" s="3" t="s">
        <v>2660</v>
      </c>
      <c r="J1002" s="114">
        <v>1</v>
      </c>
      <c r="K1002" s="70" t="s">
        <v>53</v>
      </c>
      <c r="L1002" s="9">
        <v>1</v>
      </c>
      <c r="M1002" s="3">
        <v>749</v>
      </c>
      <c r="N1002" s="6">
        <v>1964</v>
      </c>
      <c r="P1002" s="71"/>
      <c r="R1002" s="6">
        <v>1960</v>
      </c>
      <c r="S1002" s="3" t="s">
        <v>54</v>
      </c>
      <c r="T1002" s="72"/>
      <c r="U1002" s="73"/>
      <c r="W1002" s="2" t="s">
        <v>2661</v>
      </c>
      <c r="X1002" s="10" t="s">
        <v>91</v>
      </c>
      <c r="Y1002" s="10" t="s">
        <v>385</v>
      </c>
      <c r="Z1002" s="75"/>
      <c r="AA1002" s="76"/>
      <c r="AB1002" s="77"/>
      <c r="AC1002" s="77"/>
      <c r="AD1002" s="77">
        <v>23728</v>
      </c>
      <c r="AG1002" s="7">
        <v>1964</v>
      </c>
      <c r="AH1002" s="7">
        <v>1960</v>
      </c>
      <c r="AI1002" s="7"/>
      <c r="AJ1002" s="73"/>
      <c r="AK1002" s="7"/>
      <c r="AL1002" s="99"/>
      <c r="AM1002" s="2" t="s">
        <v>59</v>
      </c>
      <c r="AO1002" s="6" t="s">
        <v>59</v>
      </c>
      <c r="AW1002" s="6">
        <f t="shared" ca="1" si="18"/>
        <v>61</v>
      </c>
    </row>
    <row r="1003" ht="45" customHeight="1" outlineLevel="1">
      <c r="A1003" s="69"/>
      <c r="B1003" s="3" t="s">
        <v>47</v>
      </c>
      <c r="C1003" s="106"/>
      <c r="E1003" s="2" t="s">
        <v>63</v>
      </c>
      <c r="F1003" s="6" t="s">
        <v>1480</v>
      </c>
      <c r="G1003" s="5" t="s">
        <v>2662</v>
      </c>
      <c r="H1003" s="2" t="s">
        <v>382</v>
      </c>
      <c r="I1003" s="3" t="s">
        <v>2663</v>
      </c>
      <c r="J1003" s="114">
        <v>1</v>
      </c>
      <c r="K1003" s="70" t="s">
        <v>53</v>
      </c>
      <c r="L1003" s="9">
        <v>0</v>
      </c>
      <c r="M1003" s="3">
        <v>749</v>
      </c>
      <c r="N1003" s="6">
        <v>1964</v>
      </c>
      <c r="P1003" s="71"/>
      <c r="R1003" s="6">
        <v>1960</v>
      </c>
      <c r="S1003" s="3" t="s">
        <v>54</v>
      </c>
      <c r="T1003" s="72"/>
      <c r="U1003" s="73"/>
      <c r="W1003" s="2" t="s">
        <v>2664</v>
      </c>
      <c r="X1003" s="10" t="s">
        <v>91</v>
      </c>
      <c r="Y1003" s="10" t="s">
        <v>385</v>
      </c>
      <c r="Z1003" s="75"/>
      <c r="AA1003" s="76"/>
      <c r="AB1003" s="77"/>
      <c r="AC1003" s="77"/>
      <c r="AD1003" s="77">
        <v>23728</v>
      </c>
      <c r="AG1003" s="7">
        <v>1964</v>
      </c>
      <c r="AH1003" s="7">
        <v>1960</v>
      </c>
      <c r="AI1003" s="7"/>
      <c r="AJ1003" s="73"/>
      <c r="AK1003" s="7"/>
      <c r="AL1003" s="16"/>
      <c r="AM1003" s="2" t="s">
        <v>59</v>
      </c>
      <c r="AO1003" s="6" t="s">
        <v>59</v>
      </c>
      <c r="AW1003" s="6">
        <f t="shared" ca="1" si="18"/>
        <v>61</v>
      </c>
    </row>
    <row r="1004" ht="45" hidden="1" customHeight="1" outlineLevel="1">
      <c r="A1004" s="69"/>
      <c r="B1004" s="3" t="s">
        <v>47</v>
      </c>
      <c r="C1004" s="4" t="s">
        <v>2665</v>
      </c>
      <c r="D1004" s="5" t="s">
        <v>2666</v>
      </c>
      <c r="E1004" s="2" t="s">
        <v>1074</v>
      </c>
      <c r="F1004" s="6" t="s">
        <v>2154</v>
      </c>
      <c r="G1004" s="5" t="s">
        <v>2155</v>
      </c>
      <c r="H1004" s="2" t="s">
        <v>57</v>
      </c>
      <c r="I1004" s="3" t="s">
        <v>2667</v>
      </c>
      <c r="J1004" s="7">
        <v>1</v>
      </c>
      <c r="K1004" s="176"/>
      <c r="L1004" s="9">
        <v>1</v>
      </c>
      <c r="M1004" s="3">
        <v>750</v>
      </c>
      <c r="N1004" s="6">
        <v>1964</v>
      </c>
      <c r="P1004" s="71"/>
      <c r="R1004" s="6">
        <v>1960</v>
      </c>
      <c r="S1004" s="3" t="s">
        <v>236</v>
      </c>
      <c r="T1004" s="72"/>
      <c r="U1004" s="73"/>
      <c r="W1004" s="2" t="s">
        <v>62</v>
      </c>
      <c r="X1004" s="10" t="s">
        <v>56</v>
      </c>
      <c r="Y1004" s="10" t="s">
        <v>57</v>
      </c>
      <c r="Z1004" s="75"/>
      <c r="AA1004" s="76"/>
      <c r="AB1004" s="77"/>
      <c r="AC1004" s="77"/>
      <c r="AD1004" s="77"/>
      <c r="AI1004" s="7"/>
      <c r="AJ1004" s="95">
        <v>41913</v>
      </c>
      <c r="AK1004" s="7">
        <v>2010</v>
      </c>
      <c r="AL1004" s="99"/>
      <c r="AW1004" s="6">
        <f t="shared" ca="1" si="18"/>
        <v>61</v>
      </c>
    </row>
    <row r="1005" ht="45" customHeight="1" outlineLevel="1">
      <c r="A1005" s="69"/>
      <c r="B1005" s="3" t="s">
        <v>47</v>
      </c>
      <c r="E1005" s="2" t="s">
        <v>83</v>
      </c>
      <c r="F1005" s="6" t="s">
        <v>704</v>
      </c>
      <c r="G1005" s="5" t="s">
        <v>996</v>
      </c>
      <c r="H1005" s="2" t="s">
        <v>57</v>
      </c>
      <c r="I1005" s="3" t="s">
        <v>2668</v>
      </c>
      <c r="J1005" s="7">
        <v>1</v>
      </c>
      <c r="K1005" s="70" t="s">
        <v>53</v>
      </c>
      <c r="L1005" s="9">
        <v>1</v>
      </c>
      <c r="M1005" s="3">
        <v>751</v>
      </c>
      <c r="N1005" s="6">
        <v>1965</v>
      </c>
      <c r="P1005" s="71"/>
      <c r="R1005" s="6">
        <v>1960</v>
      </c>
      <c r="S1005" s="3" t="s">
        <v>54</v>
      </c>
      <c r="T1005" s="72"/>
      <c r="U1005" s="73"/>
      <c r="W1005" s="2" t="s">
        <v>2669</v>
      </c>
      <c r="X1005" s="10" t="s">
        <v>56</v>
      </c>
      <c r="Y1005" s="10" t="s">
        <v>57</v>
      </c>
      <c r="Z1005" s="75"/>
      <c r="AA1005" s="76"/>
      <c r="AB1005" s="77">
        <v>26787</v>
      </c>
      <c r="AC1005" s="77"/>
      <c r="AD1005" s="6"/>
      <c r="AG1005" s="7">
        <v>1973</v>
      </c>
      <c r="AH1005" s="7">
        <v>1970</v>
      </c>
      <c r="AI1005" s="7"/>
      <c r="AJ1005" s="73"/>
      <c r="AK1005" s="7"/>
      <c r="AL1005" s="16"/>
      <c r="AM1005" s="2" t="s">
        <v>59</v>
      </c>
      <c r="AW1005" s="6">
        <f t="shared" ca="1" si="18"/>
        <v>60</v>
      </c>
    </row>
    <row r="1006" ht="45" customHeight="1" outlineLevel="1">
      <c r="A1006" s="69"/>
      <c r="B1006" s="3" t="s">
        <v>47</v>
      </c>
      <c r="E1006" s="2" t="s">
        <v>83</v>
      </c>
      <c r="F1006" s="6" t="s">
        <v>704</v>
      </c>
      <c r="G1006" s="5" t="s">
        <v>1697</v>
      </c>
      <c r="H1006" s="2" t="s">
        <v>57</v>
      </c>
      <c r="I1006" s="3" t="s">
        <v>2670</v>
      </c>
      <c r="J1006" s="7">
        <v>1</v>
      </c>
      <c r="K1006" s="70" t="s">
        <v>53</v>
      </c>
      <c r="L1006" s="9">
        <v>1</v>
      </c>
      <c r="M1006" s="3">
        <v>752</v>
      </c>
      <c r="N1006" s="6">
        <v>1964</v>
      </c>
      <c r="P1006" s="71"/>
      <c r="R1006" s="6">
        <v>1960</v>
      </c>
      <c r="S1006" s="3" t="s">
        <v>54</v>
      </c>
      <c r="T1006" s="72"/>
      <c r="U1006" s="73"/>
      <c r="W1006" s="2" t="s">
        <v>2671</v>
      </c>
      <c r="X1006" s="10" t="s">
        <v>56</v>
      </c>
      <c r="Y1006" s="10" t="s">
        <v>57</v>
      </c>
      <c r="Z1006" s="75"/>
      <c r="AA1006" s="76"/>
      <c r="AB1006" s="77">
        <v>23832</v>
      </c>
      <c r="AC1006" s="77"/>
      <c r="AD1006" s="6"/>
      <c r="AG1006" s="7">
        <v>1965</v>
      </c>
      <c r="AH1006" s="7">
        <v>1960</v>
      </c>
      <c r="AI1006" s="7"/>
      <c r="AJ1006" s="73"/>
      <c r="AK1006" s="7"/>
      <c r="AL1006" s="16"/>
      <c r="AM1006" s="2" t="s">
        <v>59</v>
      </c>
      <c r="AU1006" s="16" t="s">
        <v>2672</v>
      </c>
      <c r="AW1006" s="6">
        <f t="shared" ca="1" si="18"/>
        <v>61</v>
      </c>
    </row>
    <row r="1007" ht="45" hidden="1" customHeight="1" outlineLevel="1">
      <c r="A1007" s="69"/>
      <c r="B1007" s="3" t="s">
        <v>47</v>
      </c>
      <c r="C1007" s="4" t="s">
        <v>2673</v>
      </c>
      <c r="E1007" s="2" t="s">
        <v>63</v>
      </c>
      <c r="F1007" s="6" t="s">
        <v>172</v>
      </c>
      <c r="G1007" s="5" t="s">
        <v>173</v>
      </c>
      <c r="H1007" s="2" t="s">
        <v>51</v>
      </c>
      <c r="I1007" s="3" t="s">
        <v>2674</v>
      </c>
      <c r="J1007" s="7">
        <v>1</v>
      </c>
      <c r="K1007" s="104"/>
      <c r="L1007" s="9">
        <v>1</v>
      </c>
      <c r="M1007" s="3">
        <v>753</v>
      </c>
      <c r="N1007" s="6">
        <v>1965</v>
      </c>
      <c r="P1007" s="71"/>
      <c r="R1007" s="6">
        <v>1960</v>
      </c>
      <c r="S1007" s="3" t="s">
        <v>236</v>
      </c>
      <c r="T1007" s="72"/>
      <c r="U1007" s="73"/>
      <c r="W1007" s="2" t="s">
        <v>62</v>
      </c>
      <c r="X1007" s="10" t="s">
        <v>56</v>
      </c>
      <c r="Y1007" s="10" t="s">
        <v>57</v>
      </c>
      <c r="Z1007" s="75" t="s">
        <v>58</v>
      </c>
      <c r="AA1007" s="76"/>
      <c r="AB1007" s="77"/>
      <c r="AC1007" s="77"/>
      <c r="AD1007" s="6"/>
      <c r="AI1007" s="7"/>
      <c r="AJ1007" s="95">
        <v>34982</v>
      </c>
      <c r="AK1007" s="7">
        <v>1990</v>
      </c>
      <c r="AL1007" s="16"/>
      <c r="AW1007" s="6">
        <f t="shared" ca="1" si="18"/>
        <v>60</v>
      </c>
    </row>
    <row r="1008" ht="45" customHeight="1" outlineLevel="1">
      <c r="A1008" s="69">
        <v>43640</v>
      </c>
      <c r="B1008" s="3" t="s">
        <v>190</v>
      </c>
      <c r="C1008" s="4" t="s">
        <v>2675</v>
      </c>
      <c r="D1008" s="5" t="s">
        <v>2676</v>
      </c>
      <c r="E1008" s="2" t="s">
        <v>48</v>
      </c>
      <c r="F1008" s="6" t="s">
        <v>564</v>
      </c>
      <c r="G1008" s="5" t="s">
        <v>837</v>
      </c>
      <c r="H1008" s="2" t="s">
        <v>501</v>
      </c>
      <c r="I1008" s="3" t="s">
        <v>2677</v>
      </c>
      <c r="J1008" s="7">
        <v>1</v>
      </c>
      <c r="K1008" s="70" t="s">
        <v>53</v>
      </c>
      <c r="L1008" s="9">
        <v>1</v>
      </c>
      <c r="M1008" s="3">
        <v>754</v>
      </c>
      <c r="N1008" s="6">
        <v>1965</v>
      </c>
      <c r="P1008" s="71"/>
      <c r="R1008" s="6">
        <v>1960</v>
      </c>
      <c r="S1008" s="3" t="s">
        <v>54</v>
      </c>
      <c r="T1008" s="72"/>
      <c r="U1008" s="73"/>
      <c r="W1008" s="74" t="s">
        <v>2678</v>
      </c>
      <c r="X1008" s="10" t="s">
        <v>504</v>
      </c>
      <c r="Y1008" s="10" t="s">
        <v>501</v>
      </c>
      <c r="Z1008" s="75"/>
      <c r="AA1008" s="76">
        <v>23845</v>
      </c>
      <c r="AB1008" s="77"/>
      <c r="AC1008" s="77"/>
      <c r="AD1008" s="6"/>
      <c r="AG1008" s="7">
        <v>1965</v>
      </c>
      <c r="AH1008" s="7">
        <v>1960</v>
      </c>
      <c r="AI1008" s="7"/>
      <c r="AJ1008" s="73"/>
      <c r="AK1008" s="7"/>
      <c r="AL1008" s="16"/>
      <c r="AM1008" s="2" t="s">
        <v>82</v>
      </c>
      <c r="AP1008" s="6" t="s">
        <v>73</v>
      </c>
      <c r="AQ1008" s="5" t="s">
        <v>73</v>
      </c>
      <c r="AW1008" s="6">
        <f t="shared" ca="1" si="18"/>
        <v>60</v>
      </c>
    </row>
    <row r="1009" ht="45" customHeight="1" outlineLevel="1">
      <c r="A1009" s="69"/>
      <c r="B1009" s="3" t="s">
        <v>47</v>
      </c>
      <c r="E1009" s="2" t="s">
        <v>83</v>
      </c>
      <c r="F1009" s="6" t="s">
        <v>704</v>
      </c>
      <c r="G1009" s="5" t="s">
        <v>705</v>
      </c>
      <c r="H1009" s="2" t="s">
        <v>181</v>
      </c>
      <c r="I1009" s="3" t="s">
        <v>2679</v>
      </c>
      <c r="J1009" s="7">
        <v>1</v>
      </c>
      <c r="K1009" s="70" t="s">
        <v>53</v>
      </c>
      <c r="L1009" s="9">
        <v>1</v>
      </c>
      <c r="M1009" s="3">
        <v>755</v>
      </c>
      <c r="N1009" s="6">
        <v>1965</v>
      </c>
      <c r="P1009" s="71"/>
      <c r="R1009" s="6">
        <v>1960</v>
      </c>
      <c r="S1009" s="3" t="s">
        <v>54</v>
      </c>
      <c r="T1009" s="72"/>
      <c r="U1009" s="73"/>
      <c r="W1009" s="2" t="s">
        <v>2680</v>
      </c>
      <c r="X1009" s="10" t="s">
        <v>56</v>
      </c>
      <c r="Y1009" s="10" t="s">
        <v>57</v>
      </c>
      <c r="Z1009" s="75"/>
      <c r="AA1009" s="76"/>
      <c r="AB1009" s="77">
        <v>26729</v>
      </c>
      <c r="AC1009" s="77"/>
      <c r="AD1009" s="6"/>
      <c r="AG1009" s="7">
        <v>1973</v>
      </c>
      <c r="AH1009" s="7">
        <v>1970</v>
      </c>
      <c r="AI1009" s="7"/>
      <c r="AJ1009" s="73"/>
      <c r="AK1009" s="7"/>
      <c r="AL1009" s="16"/>
      <c r="AM1009" s="2" t="s">
        <v>59</v>
      </c>
      <c r="AW1009" s="6">
        <f t="shared" ca="1" si="18"/>
        <v>60</v>
      </c>
    </row>
    <row r="1010" ht="45" hidden="1" customHeight="1" outlineLevel="1">
      <c r="A1010" s="69"/>
      <c r="B1010" s="3" t="s">
        <v>47</v>
      </c>
      <c r="C1010" s="4" t="s">
        <v>2681</v>
      </c>
      <c r="D1010" s="5" t="s">
        <v>2682</v>
      </c>
      <c r="E1010" s="2" t="s">
        <v>83</v>
      </c>
      <c r="F1010" s="6" t="s">
        <v>179</v>
      </c>
      <c r="G1010" s="5" t="s">
        <v>2683</v>
      </c>
      <c r="H1010" s="2" t="s">
        <v>51</v>
      </c>
      <c r="I1010" s="3" t="s">
        <v>2684</v>
      </c>
      <c r="J1010" s="7">
        <v>1</v>
      </c>
      <c r="K1010" s="104"/>
      <c r="L1010" s="9">
        <v>1</v>
      </c>
      <c r="M1010" s="3">
        <v>756</v>
      </c>
      <c r="N1010" s="6">
        <v>1965</v>
      </c>
      <c r="P1010" s="71"/>
      <c r="R1010" s="6">
        <v>1960</v>
      </c>
      <c r="S1010" s="3" t="s">
        <v>236</v>
      </c>
      <c r="T1010" s="72"/>
      <c r="U1010" s="73"/>
      <c r="W1010" s="2" t="s">
        <v>62</v>
      </c>
      <c r="X1010" s="10" t="s">
        <v>56</v>
      </c>
      <c r="Y1010" s="10" t="s">
        <v>57</v>
      </c>
      <c r="Z1010" s="75" t="s">
        <v>58</v>
      </c>
      <c r="AA1010" s="76"/>
      <c r="AB1010" s="77"/>
      <c r="AC1010" s="77"/>
      <c r="AD1010" s="6"/>
      <c r="AI1010" s="7"/>
      <c r="AJ1010" s="10">
        <v>43812</v>
      </c>
      <c r="AK1010" s="7">
        <v>2010</v>
      </c>
      <c r="AL1010" s="16"/>
      <c r="AW1010" s="6">
        <f t="shared" ca="1" si="18"/>
        <v>60</v>
      </c>
    </row>
    <row r="1011" ht="45" customHeight="1" outlineLevel="1">
      <c r="A1011" s="69"/>
      <c r="B1011" s="3" t="s">
        <v>47</v>
      </c>
      <c r="D1011" s="5" t="s">
        <v>2685</v>
      </c>
      <c r="E1011" s="2" t="s">
        <v>83</v>
      </c>
      <c r="F1011" s="6" t="s">
        <v>84</v>
      </c>
      <c r="G1011" s="5" t="s">
        <v>1728</v>
      </c>
      <c r="H1011" s="2" t="s">
        <v>288</v>
      </c>
      <c r="I1011" s="3" t="s">
        <v>2686</v>
      </c>
      <c r="J1011" s="7">
        <v>1</v>
      </c>
      <c r="K1011" s="70" t="s">
        <v>53</v>
      </c>
      <c r="L1011" s="9">
        <v>1</v>
      </c>
      <c r="M1011" s="3">
        <v>757</v>
      </c>
      <c r="N1011" s="6">
        <v>1965</v>
      </c>
      <c r="P1011" s="71"/>
      <c r="R1011" s="6">
        <v>1960</v>
      </c>
      <c r="S1011" s="3" t="s">
        <v>54</v>
      </c>
      <c r="T1011" s="72"/>
      <c r="U1011" s="73"/>
      <c r="W1011" s="2" t="s">
        <v>2687</v>
      </c>
      <c r="X1011" s="10" t="s">
        <v>56</v>
      </c>
      <c r="Y1011" s="10" t="s">
        <v>288</v>
      </c>
      <c r="Z1011" s="75"/>
      <c r="AA1011" s="76">
        <v>24589</v>
      </c>
      <c r="AB1011" s="77"/>
      <c r="AC1011" s="77"/>
      <c r="AD1011" s="6"/>
      <c r="AE1011" s="7">
        <v>1966</v>
      </c>
      <c r="AF1011" s="7" t="s">
        <v>2688</v>
      </c>
      <c r="AG1011" s="7">
        <v>1967</v>
      </c>
      <c r="AH1011" s="7">
        <v>1960</v>
      </c>
      <c r="AI1011" s="7"/>
      <c r="AJ1011" s="73"/>
      <c r="AK1011" s="7"/>
      <c r="AL1011" s="16" t="s">
        <v>2689</v>
      </c>
      <c r="AM1011" s="2" t="s">
        <v>100</v>
      </c>
      <c r="AN1011" s="6" t="s">
        <v>73</v>
      </c>
      <c r="AO1011" s="6" t="s">
        <v>100</v>
      </c>
      <c r="AP1011" s="6" t="s">
        <v>73</v>
      </c>
      <c r="AQ1011" s="5" t="s">
        <v>73</v>
      </c>
      <c r="AR1011" s="2" t="s">
        <v>73</v>
      </c>
      <c r="AT1011" s="6">
        <v>2012</v>
      </c>
      <c r="AU1011" s="16" t="s">
        <v>2690</v>
      </c>
      <c r="AW1011" s="6">
        <f t="shared" ca="1" si="18"/>
        <v>60</v>
      </c>
    </row>
    <row r="1012" ht="45" customHeight="1" outlineLevel="1">
      <c r="A1012" s="69"/>
      <c r="B1012" s="3" t="s">
        <v>47</v>
      </c>
      <c r="E1012" s="2" t="s">
        <v>63</v>
      </c>
      <c r="F1012" s="6" t="s">
        <v>1480</v>
      </c>
      <c r="G1012" s="5" t="s">
        <v>1481</v>
      </c>
      <c r="H1012" s="2" t="s">
        <v>57</v>
      </c>
      <c r="I1012" s="3" t="s">
        <v>2691</v>
      </c>
      <c r="J1012" s="7">
        <v>1</v>
      </c>
      <c r="K1012" s="70" t="s">
        <v>53</v>
      </c>
      <c r="L1012" s="9">
        <v>1</v>
      </c>
      <c r="M1012" s="3">
        <v>758</v>
      </c>
      <c r="N1012" s="6">
        <v>1963</v>
      </c>
      <c r="P1012" s="71"/>
      <c r="R1012" s="6">
        <v>1960</v>
      </c>
      <c r="S1012" s="3" t="s">
        <v>54</v>
      </c>
      <c r="T1012" s="72"/>
      <c r="U1012" s="73"/>
      <c r="W1012" s="2" t="s">
        <v>2692</v>
      </c>
      <c r="X1012" s="10" t="s">
        <v>56</v>
      </c>
      <c r="Y1012" s="10" t="s">
        <v>57</v>
      </c>
      <c r="Z1012" s="75"/>
      <c r="AA1012" s="76"/>
      <c r="AB1012" s="77">
        <v>23904</v>
      </c>
      <c r="AC1012" s="77"/>
      <c r="AD1012" s="6"/>
      <c r="AG1012" s="7">
        <v>1965</v>
      </c>
      <c r="AH1012" s="7">
        <v>1960</v>
      </c>
      <c r="AI1012" s="7"/>
      <c r="AJ1012" s="73"/>
      <c r="AK1012" s="7"/>
      <c r="AL1012" s="16"/>
      <c r="AM1012" s="2" t="s">
        <v>59</v>
      </c>
      <c r="AW1012" s="6">
        <f t="shared" ca="1" si="18"/>
        <v>62</v>
      </c>
    </row>
    <row r="1013" ht="45" customHeight="1" outlineLevel="1">
      <c r="A1013" s="69"/>
      <c r="B1013" s="3" t="s">
        <v>47</v>
      </c>
      <c r="E1013" s="2" t="s">
        <v>63</v>
      </c>
      <c r="F1013" s="6" t="s">
        <v>64</v>
      </c>
      <c r="G1013" s="5" t="s">
        <v>69</v>
      </c>
      <c r="H1013" s="2" t="s">
        <v>51</v>
      </c>
      <c r="I1013" s="3" t="s">
        <v>372</v>
      </c>
      <c r="J1013" s="7">
        <v>1</v>
      </c>
      <c r="K1013" s="70" t="s">
        <v>53</v>
      </c>
      <c r="L1013" s="9">
        <v>1</v>
      </c>
      <c r="M1013" s="3">
        <v>759</v>
      </c>
      <c r="N1013" s="6">
        <v>1965</v>
      </c>
      <c r="P1013" s="71"/>
      <c r="R1013" s="6">
        <v>1960</v>
      </c>
      <c r="S1013" s="3" t="s">
        <v>54</v>
      </c>
      <c r="T1013" s="72"/>
      <c r="U1013" s="73"/>
      <c r="W1013" s="2" t="s">
        <v>2693</v>
      </c>
      <c r="X1013" s="10" t="s">
        <v>56</v>
      </c>
      <c r="Y1013" s="10" t="s">
        <v>57</v>
      </c>
      <c r="Z1013" s="75" t="s">
        <v>58</v>
      </c>
      <c r="AA1013" s="76"/>
      <c r="AB1013" s="77"/>
      <c r="AC1013" s="77">
        <v>23931</v>
      </c>
      <c r="AD1013" s="10"/>
      <c r="AF1013" s="7">
        <v>110</v>
      </c>
      <c r="AG1013" s="7">
        <v>1965</v>
      </c>
      <c r="AH1013" s="7">
        <v>1960</v>
      </c>
      <c r="AI1013" s="7">
        <v>1984</v>
      </c>
      <c r="AJ1013" s="73"/>
      <c r="AK1013" s="7"/>
      <c r="AL1013" s="16" t="s">
        <v>664</v>
      </c>
      <c r="AM1013" s="2" t="s">
        <v>59</v>
      </c>
      <c r="AO1013" s="6" t="s">
        <v>73</v>
      </c>
      <c r="AU1013" s="16" t="s">
        <v>74</v>
      </c>
      <c r="AW1013" s="6">
        <f t="shared" ca="1" si="18"/>
        <v>60</v>
      </c>
    </row>
    <row r="1014" ht="45" hidden="1" customHeight="1" outlineLevel="1">
      <c r="A1014" s="69">
        <v>42123</v>
      </c>
      <c r="B1014" s="3" t="s">
        <v>47</v>
      </c>
      <c r="C1014" s="4" t="s">
        <v>2694</v>
      </c>
      <c r="D1014" s="5" t="s">
        <v>2695</v>
      </c>
      <c r="E1014" s="2" t="s">
        <v>63</v>
      </c>
      <c r="F1014" s="6" t="s">
        <v>64</v>
      </c>
      <c r="G1014" s="5" t="s">
        <v>69</v>
      </c>
      <c r="H1014" s="2" t="s">
        <v>491</v>
      </c>
      <c r="I1014" s="3" t="s">
        <v>2696</v>
      </c>
      <c r="J1014" s="7">
        <v>1</v>
      </c>
      <c r="K1014" s="70"/>
      <c r="L1014" s="9">
        <v>1</v>
      </c>
      <c r="M1014" s="3">
        <v>760</v>
      </c>
      <c r="N1014" s="6">
        <v>1965</v>
      </c>
      <c r="P1014" s="71"/>
      <c r="R1014" s="6">
        <v>1960</v>
      </c>
      <c r="S1014" s="3" t="s">
        <v>236</v>
      </c>
      <c r="T1014" s="72"/>
      <c r="U1014" s="10">
        <v>43991</v>
      </c>
      <c r="W1014" s="2" t="s">
        <v>62</v>
      </c>
      <c r="X1014" s="10" t="s">
        <v>56</v>
      </c>
      <c r="Y1014" s="10" t="s">
        <v>523</v>
      </c>
      <c r="Z1014" s="75"/>
      <c r="AA1014" s="76"/>
      <c r="AB1014" s="77"/>
      <c r="AC1014" s="77"/>
      <c r="AD1014" s="10"/>
      <c r="AI1014" s="7"/>
      <c r="AJ1014" s="10">
        <v>43991</v>
      </c>
      <c r="AK1014" s="7">
        <v>2020</v>
      </c>
      <c r="AL1014" s="16"/>
      <c r="AW1014" s="6">
        <f t="shared" ca="1" si="18"/>
        <v>60</v>
      </c>
    </row>
    <row r="1015" ht="45" customHeight="1" outlineLevel="1">
      <c r="A1015" s="69"/>
      <c r="B1015" s="3" t="s">
        <v>47</v>
      </c>
      <c r="E1015" s="2" t="s">
        <v>63</v>
      </c>
      <c r="F1015" s="6" t="s">
        <v>64</v>
      </c>
      <c r="G1015" s="5" t="s">
        <v>69</v>
      </c>
      <c r="H1015" s="2" t="s">
        <v>51</v>
      </c>
      <c r="I1015" s="3" t="s">
        <v>2697</v>
      </c>
      <c r="J1015" s="7">
        <v>1</v>
      </c>
      <c r="K1015" s="70" t="s">
        <v>53</v>
      </c>
      <c r="L1015" s="9">
        <v>1</v>
      </c>
      <c r="M1015" s="3">
        <v>761</v>
      </c>
      <c r="N1015" s="6">
        <v>1965</v>
      </c>
      <c r="P1015" s="71"/>
      <c r="R1015" s="6">
        <v>1960</v>
      </c>
      <c r="S1015" s="3" t="s">
        <v>54</v>
      </c>
      <c r="T1015" s="72"/>
      <c r="U1015" s="73"/>
      <c r="W1015" s="2" t="s">
        <v>2698</v>
      </c>
      <c r="X1015" s="10" t="s">
        <v>56</v>
      </c>
      <c r="Y1015" s="10" t="s">
        <v>57</v>
      </c>
      <c r="Z1015" s="75" t="s">
        <v>58</v>
      </c>
      <c r="AA1015" s="76"/>
      <c r="AB1015" s="77">
        <v>23979</v>
      </c>
      <c r="AC1015" s="77">
        <v>23979</v>
      </c>
      <c r="AD1015" s="10"/>
      <c r="AF1015" s="7">
        <v>110</v>
      </c>
      <c r="AG1015" s="7">
        <v>1965</v>
      </c>
      <c r="AH1015" s="7">
        <v>1960</v>
      </c>
      <c r="AI1015" s="7">
        <v>1984</v>
      </c>
      <c r="AJ1015" s="73"/>
      <c r="AK1015" s="7"/>
      <c r="AL1015" s="16" t="s">
        <v>664</v>
      </c>
      <c r="AM1015" s="2" t="s">
        <v>59</v>
      </c>
      <c r="AW1015" s="6">
        <f t="shared" ca="1" si="18"/>
        <v>60</v>
      </c>
    </row>
    <row r="1016" ht="45" customHeight="1" outlineLevel="1">
      <c r="A1016" s="69">
        <v>42756</v>
      </c>
      <c r="B1016" s="3" t="s">
        <v>1926</v>
      </c>
      <c r="C1016" s="4" t="s">
        <v>2699</v>
      </c>
      <c r="D1016" s="5" t="s">
        <v>2700</v>
      </c>
      <c r="E1016" s="2" t="s">
        <v>83</v>
      </c>
      <c r="F1016" s="6" t="s">
        <v>84</v>
      </c>
      <c r="G1016" s="5" t="s">
        <v>85</v>
      </c>
      <c r="H1016" s="2" t="s">
        <v>508</v>
      </c>
      <c r="I1016" s="3" t="s">
        <v>2701</v>
      </c>
      <c r="J1016" s="7">
        <v>1</v>
      </c>
      <c r="K1016" s="70" t="s">
        <v>53</v>
      </c>
      <c r="L1016" s="9">
        <v>1</v>
      </c>
      <c r="M1016" s="3">
        <v>762</v>
      </c>
      <c r="N1016" s="6">
        <v>1962</v>
      </c>
      <c r="P1016" s="71"/>
      <c r="R1016" s="6">
        <v>1960</v>
      </c>
      <c r="S1016" s="3" t="s">
        <v>195</v>
      </c>
      <c r="T1016" s="72"/>
      <c r="U1016" s="73"/>
      <c r="W1016" s="74" t="s">
        <v>2702</v>
      </c>
      <c r="X1016" s="10" t="s">
        <v>504</v>
      </c>
      <c r="Y1016" s="10" t="s">
        <v>511</v>
      </c>
      <c r="Z1016" s="75"/>
      <c r="AA1016" s="76">
        <v>24589</v>
      </c>
      <c r="AB1016" s="77"/>
      <c r="AC1016" s="77"/>
      <c r="AD1016" s="6"/>
      <c r="AE1016" s="7" t="s">
        <v>2703</v>
      </c>
      <c r="AF1016" s="7" t="s">
        <v>2704</v>
      </c>
      <c r="AG1016" s="7">
        <v>1967</v>
      </c>
      <c r="AH1016" s="7">
        <v>1960</v>
      </c>
      <c r="AI1016" s="7">
        <v>1998</v>
      </c>
      <c r="AJ1016" s="73"/>
      <c r="AK1016" s="7"/>
      <c r="AL1016" s="16" t="s">
        <v>2705</v>
      </c>
      <c r="AM1016" s="2" t="s">
        <v>53</v>
      </c>
      <c r="AN1016" s="6" t="s">
        <v>73</v>
      </c>
      <c r="AR1016" s="2" t="s">
        <v>104</v>
      </c>
      <c r="AS1016" s="6" t="s">
        <v>73</v>
      </c>
      <c r="AT1016" s="6">
        <v>1997</v>
      </c>
      <c r="AU1016" s="16" t="s">
        <v>2706</v>
      </c>
      <c r="AW1016" s="6">
        <f t="shared" ca="1" si="18"/>
        <v>63</v>
      </c>
    </row>
    <row r="1017" ht="45" customHeight="1" outlineLevel="1">
      <c r="A1017" s="69"/>
      <c r="B1017" s="3" t="s">
        <v>47</v>
      </c>
      <c r="E1017" s="2" t="s">
        <v>83</v>
      </c>
      <c r="F1017" s="6" t="s">
        <v>84</v>
      </c>
      <c r="G1017" s="5" t="s">
        <v>2707</v>
      </c>
      <c r="H1017" s="2" t="s">
        <v>57</v>
      </c>
      <c r="I1017" s="3" t="s">
        <v>582</v>
      </c>
      <c r="J1017" s="7">
        <v>1</v>
      </c>
      <c r="K1017" s="70" t="s">
        <v>53</v>
      </c>
      <c r="L1017" s="9">
        <v>1</v>
      </c>
      <c r="M1017" s="3">
        <v>763</v>
      </c>
      <c r="N1017" s="6">
        <v>1965</v>
      </c>
      <c r="P1017" s="71"/>
      <c r="R1017" s="6">
        <v>1960</v>
      </c>
      <c r="S1017" s="3" t="s">
        <v>54</v>
      </c>
      <c r="T1017" s="72"/>
      <c r="U1017" s="73"/>
      <c r="W1017" s="2" t="s">
        <v>2708</v>
      </c>
      <c r="X1017" s="10" t="s">
        <v>56</v>
      </c>
      <c r="Y1017" s="10" t="s">
        <v>57</v>
      </c>
      <c r="Z1017" s="75"/>
      <c r="AA1017" s="76"/>
      <c r="AB1017" s="77">
        <v>24589</v>
      </c>
      <c r="AC1017" s="77"/>
      <c r="AD1017" s="6"/>
      <c r="AG1017" s="7">
        <v>1967</v>
      </c>
      <c r="AH1017" s="7">
        <v>1960</v>
      </c>
      <c r="AI1017" s="7"/>
      <c r="AJ1017" s="73"/>
      <c r="AK1017" s="7"/>
      <c r="AL1017" s="16"/>
      <c r="AM1017" s="2" t="s">
        <v>59</v>
      </c>
      <c r="AW1017" s="6">
        <f t="shared" ca="1" si="18"/>
        <v>60</v>
      </c>
    </row>
    <row r="1018" ht="45" hidden="1" customHeight="1" outlineLevel="1">
      <c r="A1018" s="69"/>
      <c r="B1018" s="3" t="s">
        <v>190</v>
      </c>
      <c r="C1018" s="4" t="s">
        <v>2709</v>
      </c>
      <c r="E1018" s="2" t="s">
        <v>83</v>
      </c>
      <c r="F1018" s="6" t="s">
        <v>704</v>
      </c>
      <c r="G1018" s="5" t="s">
        <v>2623</v>
      </c>
      <c r="H1018" s="2" t="s">
        <v>51</v>
      </c>
      <c r="I1018" s="3" t="s">
        <v>2710</v>
      </c>
      <c r="J1018" s="7">
        <v>1</v>
      </c>
      <c r="K1018" s="104"/>
      <c r="L1018" s="9">
        <v>1</v>
      </c>
      <c r="M1018" s="3">
        <v>764</v>
      </c>
      <c r="N1018" s="6">
        <v>1965</v>
      </c>
      <c r="P1018" s="71"/>
      <c r="R1018" s="6">
        <v>1960</v>
      </c>
      <c r="S1018" s="3" t="s">
        <v>939</v>
      </c>
      <c r="T1018" s="72"/>
      <c r="U1018" s="73"/>
      <c r="W1018" s="74" t="s">
        <v>62</v>
      </c>
      <c r="X1018" s="10" t="s">
        <v>56</v>
      </c>
      <c r="Y1018" s="10" t="s">
        <v>57</v>
      </c>
      <c r="Z1018" s="75" t="s">
        <v>58</v>
      </c>
      <c r="AA1018" s="76"/>
      <c r="AB1018" s="77"/>
      <c r="AC1018" s="77"/>
      <c r="AD1018" s="6"/>
      <c r="AI1018" s="7"/>
      <c r="AJ1018" s="73"/>
      <c r="AK1018" s="7"/>
      <c r="AL1018" s="16"/>
      <c r="AW1018" s="6">
        <f t="shared" ca="1" si="18"/>
        <v>60</v>
      </c>
    </row>
    <row r="1019" ht="45" customHeight="1" outlineLevel="1">
      <c r="A1019" s="69"/>
      <c r="B1019" s="3" t="s">
        <v>47</v>
      </c>
      <c r="E1019" s="2" t="s">
        <v>48</v>
      </c>
      <c r="F1019" s="6" t="s">
        <v>49</v>
      </c>
      <c r="G1019" s="5" t="s">
        <v>50</v>
      </c>
      <c r="H1019" s="2" t="s">
        <v>57</v>
      </c>
      <c r="I1019" s="3" t="s">
        <v>2711</v>
      </c>
      <c r="J1019" s="7">
        <v>1</v>
      </c>
      <c r="K1019" s="70" t="s">
        <v>53</v>
      </c>
      <c r="L1019" s="9">
        <v>1</v>
      </c>
      <c r="M1019" s="3">
        <v>765</v>
      </c>
      <c r="N1019" s="6">
        <v>1965</v>
      </c>
      <c r="P1019" s="71"/>
      <c r="R1019" s="6">
        <v>1960</v>
      </c>
      <c r="S1019" s="3" t="s">
        <v>54</v>
      </c>
      <c r="T1019" s="72"/>
      <c r="U1019" s="73"/>
      <c r="W1019" s="2" t="s">
        <v>2712</v>
      </c>
      <c r="X1019" s="10" t="s">
        <v>56</v>
      </c>
      <c r="Y1019" s="10" t="s">
        <v>57</v>
      </c>
      <c r="Z1019" s="75"/>
      <c r="AA1019" s="76"/>
      <c r="AB1019" s="77">
        <v>24719</v>
      </c>
      <c r="AC1019" s="77"/>
      <c r="AD1019" s="6"/>
      <c r="AG1019" s="7">
        <v>1967</v>
      </c>
      <c r="AH1019" s="7">
        <v>1960</v>
      </c>
      <c r="AI1019" s="7"/>
      <c r="AJ1019" s="73"/>
      <c r="AK1019" s="7"/>
      <c r="AL1019" s="16"/>
      <c r="AM1019" s="2" t="s">
        <v>59</v>
      </c>
      <c r="AW1019" s="6">
        <f t="shared" ca="1" si="18"/>
        <v>60</v>
      </c>
    </row>
    <row r="1020" ht="45" hidden="1" customHeight="1" outlineLevel="1">
      <c r="A1020" s="69"/>
      <c r="B1020" s="3" t="s">
        <v>47</v>
      </c>
      <c r="C1020" s="4" t="s">
        <v>2713</v>
      </c>
      <c r="E1020" s="2" t="s">
        <v>83</v>
      </c>
      <c r="F1020" s="6" t="s">
        <v>84</v>
      </c>
      <c r="G1020" s="5" t="s">
        <v>85</v>
      </c>
      <c r="H1020" s="2" t="s">
        <v>382</v>
      </c>
      <c r="I1020" s="3" t="s">
        <v>2714</v>
      </c>
      <c r="J1020" s="7">
        <v>1</v>
      </c>
      <c r="K1020" s="104"/>
      <c r="L1020" s="9">
        <v>1</v>
      </c>
      <c r="M1020" s="3">
        <v>766</v>
      </c>
      <c r="N1020" s="6">
        <v>1966</v>
      </c>
      <c r="P1020" s="71"/>
      <c r="R1020" s="6">
        <v>1960</v>
      </c>
      <c r="S1020" s="3" t="s">
        <v>236</v>
      </c>
      <c r="T1020" s="72"/>
      <c r="U1020" s="73">
        <v>26262</v>
      </c>
      <c r="W1020" s="2" t="s">
        <v>62</v>
      </c>
      <c r="X1020" s="10" t="s">
        <v>91</v>
      </c>
      <c r="Y1020" s="10" t="s">
        <v>385</v>
      </c>
      <c r="Z1020" s="75"/>
      <c r="AA1020" s="76"/>
      <c r="AB1020" s="77"/>
      <c r="AC1020" s="77"/>
      <c r="AD1020" s="6"/>
      <c r="AE1020" s="7" t="s">
        <v>2715</v>
      </c>
      <c r="AF1020" s="7" t="s">
        <v>2716</v>
      </c>
      <c r="AI1020" s="7"/>
      <c r="AJ1020" s="95">
        <v>26262</v>
      </c>
      <c r="AK1020" s="7">
        <v>1970</v>
      </c>
      <c r="AL1020" s="16" t="s">
        <v>2717</v>
      </c>
      <c r="AW1020" s="6">
        <f t="shared" ca="1" si="18"/>
        <v>59</v>
      </c>
    </row>
    <row r="1021" ht="45" customHeight="1" outlineLevel="1">
      <c r="A1021" s="69"/>
      <c r="B1021" s="3" t="s">
        <v>47</v>
      </c>
      <c r="E1021" s="2" t="s">
        <v>83</v>
      </c>
      <c r="F1021" s="6" t="s">
        <v>704</v>
      </c>
      <c r="G1021" s="5" t="s">
        <v>915</v>
      </c>
      <c r="H1021" s="2" t="s">
        <v>57</v>
      </c>
      <c r="I1021" s="3" t="s">
        <v>2718</v>
      </c>
      <c r="J1021" s="7">
        <v>1</v>
      </c>
      <c r="K1021" s="70" t="s">
        <v>53</v>
      </c>
      <c r="L1021" s="9">
        <v>1</v>
      </c>
      <c r="M1021" s="3">
        <v>767</v>
      </c>
      <c r="N1021" s="6">
        <v>1966</v>
      </c>
      <c r="P1021" s="71"/>
      <c r="R1021" s="6">
        <v>1960</v>
      </c>
      <c r="S1021" s="3" t="s">
        <v>54</v>
      </c>
      <c r="T1021" s="72"/>
      <c r="U1021" s="73"/>
      <c r="W1021" s="2" t="s">
        <v>2719</v>
      </c>
      <c r="X1021" s="10" t="s">
        <v>56</v>
      </c>
      <c r="Y1021" s="10" t="s">
        <v>57</v>
      </c>
      <c r="Z1021" s="75"/>
      <c r="AA1021" s="76"/>
      <c r="AB1021" s="77">
        <v>24589</v>
      </c>
      <c r="AC1021" s="77"/>
      <c r="AD1021" s="6"/>
      <c r="AE1021" s="7">
        <v>1966</v>
      </c>
      <c r="AF1021" s="7">
        <v>48</v>
      </c>
      <c r="AG1021" s="7">
        <v>1967</v>
      </c>
      <c r="AH1021" s="7">
        <v>1960</v>
      </c>
      <c r="AI1021" s="7"/>
      <c r="AJ1021" s="73"/>
      <c r="AK1021" s="7"/>
      <c r="AL1021" s="16"/>
      <c r="AM1021" s="2" t="s">
        <v>59</v>
      </c>
      <c r="AO1021" s="6" t="s">
        <v>136</v>
      </c>
      <c r="AQ1021" s="5" t="s">
        <v>104</v>
      </c>
      <c r="AW1021" s="6">
        <f t="shared" ca="1" si="18"/>
        <v>59</v>
      </c>
    </row>
    <row r="1022" ht="45" hidden="1" customHeight="1" outlineLevel="1">
      <c r="A1022" s="69">
        <v>43812</v>
      </c>
      <c r="B1022" s="3" t="s">
        <v>47</v>
      </c>
      <c r="C1022" s="4" t="s">
        <v>2720</v>
      </c>
      <c r="D1022" s="5" t="s">
        <v>2721</v>
      </c>
      <c r="E1022" s="2" t="s">
        <v>83</v>
      </c>
      <c r="F1022" s="6" t="s">
        <v>84</v>
      </c>
      <c r="G1022" s="5" t="s">
        <v>2722</v>
      </c>
      <c r="H1022" s="2" t="s">
        <v>257</v>
      </c>
      <c r="I1022" s="3" t="s">
        <v>2723</v>
      </c>
      <c r="J1022" s="7">
        <v>1</v>
      </c>
      <c r="K1022" s="104"/>
      <c r="L1022" s="9">
        <v>1</v>
      </c>
      <c r="M1022" s="3">
        <v>768</v>
      </c>
      <c r="N1022" s="6">
        <v>1966</v>
      </c>
      <c r="P1022" s="71"/>
      <c r="R1022" s="6">
        <v>1960</v>
      </c>
      <c r="S1022" s="3" t="s">
        <v>236</v>
      </c>
      <c r="T1022" s="72" t="s">
        <v>1136</v>
      </c>
      <c r="U1022" s="10">
        <v>44272</v>
      </c>
      <c r="W1022" s="2" t="s">
        <v>62</v>
      </c>
      <c r="X1022" s="10" t="s">
        <v>56</v>
      </c>
      <c r="Y1022" s="10" t="s">
        <v>288</v>
      </c>
      <c r="Z1022" s="75"/>
      <c r="AA1022" s="76"/>
      <c r="AB1022" s="77"/>
      <c r="AC1022" s="77"/>
      <c r="AD1022" s="10"/>
      <c r="AI1022" s="7"/>
      <c r="AJ1022" s="10">
        <v>44272</v>
      </c>
      <c r="AK1022" s="7">
        <v>2020</v>
      </c>
      <c r="AL1022" s="16"/>
      <c r="AW1022" s="6">
        <f t="shared" ca="1" si="18"/>
        <v>59</v>
      </c>
    </row>
    <row r="1023" ht="45" hidden="1" customHeight="1" outlineLevel="1">
      <c r="A1023" s="69">
        <v>43836</v>
      </c>
      <c r="B1023" s="3" t="s">
        <v>47</v>
      </c>
      <c r="C1023" s="4" t="s">
        <v>2724</v>
      </c>
      <c r="D1023" s="5" t="s">
        <v>2725</v>
      </c>
      <c r="E1023" s="2" t="s">
        <v>83</v>
      </c>
      <c r="F1023" s="6" t="s">
        <v>179</v>
      </c>
      <c r="G1023" s="5" t="s">
        <v>2726</v>
      </c>
      <c r="H1023" s="2" t="s">
        <v>57</v>
      </c>
      <c r="I1023" s="3" t="s">
        <v>2727</v>
      </c>
      <c r="J1023" s="7">
        <v>1</v>
      </c>
      <c r="K1023" s="104"/>
      <c r="L1023" s="9">
        <v>1</v>
      </c>
      <c r="M1023" s="3">
        <v>769</v>
      </c>
      <c r="N1023" s="6">
        <v>1966</v>
      </c>
      <c r="P1023" s="71"/>
      <c r="R1023" s="6">
        <v>1960</v>
      </c>
      <c r="S1023" s="3" t="s">
        <v>236</v>
      </c>
      <c r="T1023" s="72" t="s">
        <v>1136</v>
      </c>
      <c r="U1023" s="73"/>
      <c r="W1023" s="2" t="s">
        <v>62</v>
      </c>
      <c r="X1023" s="10" t="s">
        <v>56</v>
      </c>
      <c r="Y1023" s="10" t="s">
        <v>57</v>
      </c>
      <c r="Z1023" s="75"/>
      <c r="AA1023" s="76"/>
      <c r="AB1023" s="77"/>
      <c r="AC1023" s="77"/>
      <c r="AD1023" s="6"/>
      <c r="AI1023" s="7"/>
      <c r="AJ1023" s="10">
        <v>44720</v>
      </c>
      <c r="AK1023" s="7">
        <v>2022</v>
      </c>
      <c r="AL1023" s="16"/>
      <c r="AW1023" s="6">
        <f t="shared" ca="1" si="18"/>
        <v>59</v>
      </c>
    </row>
    <row r="1024" ht="45" hidden="1" customHeight="1" outlineLevel="1">
      <c r="A1024" s="69">
        <v>43962</v>
      </c>
      <c r="B1024" s="3" t="s">
        <v>47</v>
      </c>
      <c r="C1024" s="4" t="s">
        <v>2728</v>
      </c>
      <c r="D1024" s="5" t="s">
        <v>2729</v>
      </c>
      <c r="E1024" s="2" t="s">
        <v>83</v>
      </c>
      <c r="F1024" s="6" t="s">
        <v>84</v>
      </c>
      <c r="G1024" s="5" t="s">
        <v>85</v>
      </c>
      <c r="H1024" s="2" t="s">
        <v>57</v>
      </c>
      <c r="I1024" s="3" t="s">
        <v>2730</v>
      </c>
      <c r="J1024" s="7">
        <v>1</v>
      </c>
      <c r="K1024" s="104"/>
      <c r="L1024" s="9">
        <v>1</v>
      </c>
      <c r="M1024" s="3">
        <v>770</v>
      </c>
      <c r="N1024" s="6">
        <v>1966</v>
      </c>
      <c r="P1024" s="71"/>
      <c r="R1024" s="6">
        <v>1960</v>
      </c>
      <c r="S1024" s="3" t="s">
        <v>236</v>
      </c>
      <c r="T1024" s="72" t="s">
        <v>1136</v>
      </c>
      <c r="U1024" s="10">
        <v>44333</v>
      </c>
      <c r="W1024" s="2" t="s">
        <v>62</v>
      </c>
      <c r="X1024" s="10" t="s">
        <v>56</v>
      </c>
      <c r="Y1024" s="10" t="s">
        <v>57</v>
      </c>
      <c r="Z1024" s="75"/>
      <c r="AA1024" s="76"/>
      <c r="AB1024" s="77"/>
      <c r="AC1024" s="77"/>
      <c r="AD1024" s="6"/>
      <c r="AI1024" s="7"/>
      <c r="AJ1024" s="10">
        <v>44333</v>
      </c>
      <c r="AK1024" s="7">
        <v>2020</v>
      </c>
      <c r="AL1024" s="16"/>
      <c r="AW1024" s="6">
        <f t="shared" ca="1" si="18"/>
        <v>59</v>
      </c>
    </row>
    <row r="1025" ht="45" hidden="1" customHeight="1">
      <c r="A1025" s="69"/>
      <c r="B1025" s="3" t="s">
        <v>47</v>
      </c>
      <c r="C1025" s="4" t="s">
        <v>2731</v>
      </c>
      <c r="D1025" s="5" t="s">
        <v>2732</v>
      </c>
      <c r="E1025" s="2" t="s">
        <v>63</v>
      </c>
      <c r="F1025" s="6" t="s">
        <v>1230</v>
      </c>
      <c r="G1025" s="5" t="s">
        <v>2511</v>
      </c>
      <c r="H1025" s="2" t="s">
        <v>68</v>
      </c>
      <c r="I1025" s="3" t="s">
        <v>2733</v>
      </c>
      <c r="J1025" s="7">
        <v>1</v>
      </c>
      <c r="K1025" s="104"/>
      <c r="L1025" s="9">
        <v>1</v>
      </c>
      <c r="M1025" s="3">
        <v>771</v>
      </c>
      <c r="N1025" s="6">
        <v>1966</v>
      </c>
      <c r="P1025" s="71"/>
      <c r="R1025" s="6">
        <v>1960</v>
      </c>
      <c r="S1025" s="3" t="s">
        <v>236</v>
      </c>
      <c r="T1025" s="72"/>
      <c r="U1025" s="73"/>
      <c r="W1025" s="2" t="s">
        <v>62</v>
      </c>
      <c r="X1025" s="10" t="s">
        <v>56</v>
      </c>
      <c r="Y1025" s="10" t="s">
        <v>68</v>
      </c>
      <c r="Z1025" s="75"/>
      <c r="AA1025" s="76"/>
      <c r="AB1025" s="77"/>
      <c r="AC1025" s="77"/>
      <c r="AD1025" s="6"/>
      <c r="AI1025" s="7"/>
      <c r="AJ1025" s="10">
        <v>42193</v>
      </c>
      <c r="AK1025" s="7">
        <v>2010</v>
      </c>
      <c r="AL1025" s="16" t="s">
        <v>2734</v>
      </c>
      <c r="AW1025" s="6">
        <f t="shared" ca="1" si="18"/>
        <v>59</v>
      </c>
    </row>
    <row r="1026" ht="45" customHeight="1">
      <c r="A1026" s="69"/>
      <c r="B1026" s="3" t="s">
        <v>47</v>
      </c>
      <c r="E1026" s="2" t="s">
        <v>83</v>
      </c>
      <c r="F1026" s="6" t="s">
        <v>84</v>
      </c>
      <c r="G1026" s="5" t="s">
        <v>85</v>
      </c>
      <c r="H1026" s="2" t="s">
        <v>382</v>
      </c>
      <c r="I1026" s="3" t="s">
        <v>2735</v>
      </c>
      <c r="J1026" s="114">
        <v>1</v>
      </c>
      <c r="K1026" s="70" t="s">
        <v>53</v>
      </c>
      <c r="L1026" s="9">
        <v>1</v>
      </c>
      <c r="M1026" s="3">
        <v>772</v>
      </c>
      <c r="N1026" s="6">
        <v>1966</v>
      </c>
      <c r="P1026" s="71"/>
      <c r="R1026" s="6">
        <v>1960</v>
      </c>
      <c r="S1026" s="3" t="s">
        <v>54</v>
      </c>
      <c r="T1026" s="72"/>
      <c r="U1026" s="73"/>
      <c r="W1026" s="2" t="s">
        <v>2736</v>
      </c>
      <c r="X1026" s="10" t="s">
        <v>91</v>
      </c>
      <c r="Y1026" s="10" t="s">
        <v>385</v>
      </c>
      <c r="Z1026" s="75"/>
      <c r="AA1026" s="76"/>
      <c r="AB1026" s="77"/>
      <c r="AC1026" s="77">
        <v>26340</v>
      </c>
      <c r="AD1026" s="10"/>
      <c r="AG1026" s="7">
        <v>1972</v>
      </c>
      <c r="AH1026" s="7">
        <v>1970</v>
      </c>
      <c r="AI1026" s="7"/>
      <c r="AJ1026" s="73"/>
      <c r="AK1026" s="7"/>
      <c r="AL1026" s="16"/>
      <c r="AM1026" s="2" t="s">
        <v>59</v>
      </c>
      <c r="AO1026" s="6" t="s">
        <v>59</v>
      </c>
      <c r="AW1026" s="6">
        <f t="shared" ca="1" si="18"/>
        <v>59</v>
      </c>
    </row>
    <row r="1027" ht="45" customHeight="1">
      <c r="A1027" s="69"/>
      <c r="B1027" s="3" t="s">
        <v>47</v>
      </c>
      <c r="E1027" s="2" t="s">
        <v>83</v>
      </c>
      <c r="F1027" s="6" t="s">
        <v>84</v>
      </c>
      <c r="G1027" s="5" t="s">
        <v>2737</v>
      </c>
      <c r="H1027" s="2" t="s">
        <v>51</v>
      </c>
      <c r="I1027" s="3" t="s">
        <v>2738</v>
      </c>
      <c r="J1027" s="7">
        <v>1</v>
      </c>
      <c r="K1027" s="70" t="s">
        <v>53</v>
      </c>
      <c r="L1027" s="9">
        <v>1</v>
      </c>
      <c r="M1027" s="3">
        <v>773</v>
      </c>
      <c r="N1027" s="6">
        <v>1966</v>
      </c>
      <c r="P1027" s="71"/>
      <c r="R1027" s="6">
        <v>1960</v>
      </c>
      <c r="S1027" s="3" t="s">
        <v>54</v>
      </c>
      <c r="T1027" s="72"/>
      <c r="U1027" s="73"/>
      <c r="W1027" s="2" t="s">
        <v>2739</v>
      </c>
      <c r="X1027" s="10" t="s">
        <v>56</v>
      </c>
      <c r="Y1027" s="10" t="s">
        <v>57</v>
      </c>
      <c r="Z1027" s="75" t="s">
        <v>58</v>
      </c>
      <c r="AA1027" s="76"/>
      <c r="AB1027" s="77">
        <v>24687</v>
      </c>
      <c r="AC1027" s="77"/>
      <c r="AD1027" s="6"/>
      <c r="AG1027" s="7">
        <v>1967</v>
      </c>
      <c r="AH1027" s="7">
        <v>1960</v>
      </c>
      <c r="AI1027" s="7"/>
      <c r="AJ1027" s="73"/>
      <c r="AK1027" s="7"/>
      <c r="AL1027" s="16"/>
      <c r="AM1027" s="2" t="s">
        <v>59</v>
      </c>
      <c r="AW1027" s="6">
        <f t="shared" ca="1" si="18"/>
        <v>59</v>
      </c>
    </row>
    <row r="1028" ht="45" customHeight="1">
      <c r="A1028" s="69"/>
      <c r="B1028" s="3" t="s">
        <v>47</v>
      </c>
      <c r="D1028" s="5" t="s">
        <v>2740</v>
      </c>
      <c r="E1028" s="2" t="s">
        <v>63</v>
      </c>
      <c r="F1028" s="6" t="s">
        <v>64</v>
      </c>
      <c r="G1028" s="5" t="s">
        <v>2741</v>
      </c>
      <c r="H1028" s="2" t="s">
        <v>57</v>
      </c>
      <c r="I1028" s="3" t="s">
        <v>2742</v>
      </c>
      <c r="J1028" s="7">
        <v>1</v>
      </c>
      <c r="K1028" s="70" t="s">
        <v>53</v>
      </c>
      <c r="L1028" s="9">
        <v>1</v>
      </c>
      <c r="M1028" s="3">
        <v>774</v>
      </c>
      <c r="N1028" s="6">
        <v>1966</v>
      </c>
      <c r="P1028" s="71"/>
      <c r="R1028" s="6">
        <v>1960</v>
      </c>
      <c r="S1028" s="3" t="s">
        <v>54</v>
      </c>
      <c r="T1028" s="72"/>
      <c r="U1028" s="73"/>
      <c r="W1028" s="2" t="s">
        <v>2743</v>
      </c>
      <c r="X1028" s="10" t="s">
        <v>56</v>
      </c>
      <c r="Y1028" s="10" t="s">
        <v>57</v>
      </c>
      <c r="Z1028" s="75"/>
      <c r="AA1028" s="76"/>
      <c r="AB1028" s="77"/>
      <c r="AC1028" s="77">
        <v>24358</v>
      </c>
      <c r="AD1028" s="10"/>
      <c r="AG1028" s="7">
        <v>1966</v>
      </c>
      <c r="AH1028" s="7">
        <v>1960</v>
      </c>
      <c r="AI1028" s="7"/>
      <c r="AJ1028" s="73"/>
      <c r="AK1028" s="7"/>
      <c r="AL1028" s="16"/>
      <c r="AM1028" s="2" t="s">
        <v>59</v>
      </c>
      <c r="AW1028" s="6">
        <f t="shared" ca="1" si="18"/>
        <v>59</v>
      </c>
    </row>
    <row r="1029" ht="45" hidden="1" customHeight="1">
      <c r="A1029" s="69"/>
      <c r="B1029" s="3" t="s">
        <v>47</v>
      </c>
      <c r="C1029" s="4" t="s">
        <v>2744</v>
      </c>
      <c r="E1029" s="2" t="s">
        <v>83</v>
      </c>
      <c r="F1029" s="6" t="s">
        <v>84</v>
      </c>
      <c r="G1029" s="5" t="s">
        <v>1938</v>
      </c>
      <c r="H1029" s="2" t="s">
        <v>257</v>
      </c>
      <c r="I1029" s="3" t="s">
        <v>2745</v>
      </c>
      <c r="J1029" s="7">
        <v>0</v>
      </c>
      <c r="K1029" s="70"/>
      <c r="L1029" s="9">
        <v>1</v>
      </c>
      <c r="M1029" s="3">
        <v>775</v>
      </c>
      <c r="N1029" s="6">
        <v>1966</v>
      </c>
      <c r="P1029" s="71"/>
      <c r="R1029" s="6">
        <v>1960</v>
      </c>
      <c r="S1029" s="3" t="s">
        <v>236</v>
      </c>
      <c r="T1029" s="72"/>
      <c r="U1029" s="173">
        <v>35431</v>
      </c>
      <c r="W1029" s="2" t="s">
        <v>62</v>
      </c>
      <c r="X1029" s="10" t="s">
        <v>56</v>
      </c>
      <c r="Y1029" s="10" t="s">
        <v>68</v>
      </c>
      <c r="Z1029" s="75" t="s">
        <v>260</v>
      </c>
      <c r="AA1029" s="76"/>
      <c r="AB1029" s="77"/>
      <c r="AC1029" s="77"/>
      <c r="AD1029" s="10"/>
      <c r="AI1029" s="7"/>
      <c r="AJ1029" s="10">
        <v>42174</v>
      </c>
      <c r="AK1029" s="7">
        <v>1990</v>
      </c>
      <c r="AL1029" s="16" t="s">
        <v>2746</v>
      </c>
      <c r="AW1029" s="6">
        <f t="shared" ca="1" si="18"/>
        <v>59</v>
      </c>
    </row>
    <row r="1030" ht="45" hidden="1" customHeight="1">
      <c r="A1030" s="69"/>
      <c r="B1030" s="3" t="s">
        <v>47</v>
      </c>
      <c r="C1030" s="4" t="s">
        <v>2747</v>
      </c>
      <c r="E1030" s="2" t="s">
        <v>63</v>
      </c>
      <c r="F1030" s="6" t="s">
        <v>172</v>
      </c>
      <c r="G1030" s="5" t="s">
        <v>173</v>
      </c>
      <c r="H1030" s="2" t="s">
        <v>257</v>
      </c>
      <c r="I1030" s="3" t="s">
        <v>2748</v>
      </c>
      <c r="J1030" s="7">
        <v>1</v>
      </c>
      <c r="K1030" s="70"/>
      <c r="L1030" s="9">
        <v>1</v>
      </c>
      <c r="M1030" s="3">
        <v>776</v>
      </c>
      <c r="N1030" s="6">
        <v>1966</v>
      </c>
      <c r="P1030" s="71"/>
      <c r="R1030" s="6">
        <v>1960</v>
      </c>
      <c r="S1030" s="3" t="s">
        <v>236</v>
      </c>
      <c r="T1030" s="72"/>
      <c r="U1030" s="73"/>
      <c r="W1030" s="2" t="s">
        <v>62</v>
      </c>
      <c r="X1030" s="10" t="s">
        <v>56</v>
      </c>
      <c r="Y1030" s="10" t="s">
        <v>68</v>
      </c>
      <c r="Z1030" s="75" t="s">
        <v>260</v>
      </c>
      <c r="AA1030" s="76"/>
      <c r="AB1030" s="77"/>
      <c r="AC1030" s="77"/>
      <c r="AD1030" s="10"/>
      <c r="AI1030" s="7"/>
      <c r="AJ1030" s="95">
        <v>24387</v>
      </c>
      <c r="AK1030" s="7">
        <v>1960</v>
      </c>
      <c r="AL1030" s="16"/>
      <c r="AW1030" s="6">
        <f t="shared" ca="1" si="18"/>
        <v>59</v>
      </c>
    </row>
    <row r="1031" ht="45" hidden="1" customHeight="1">
      <c r="A1031" s="69"/>
      <c r="B1031" s="3" t="s">
        <v>47</v>
      </c>
      <c r="C1031" s="4" t="s">
        <v>2749</v>
      </c>
      <c r="E1031" s="2" t="s">
        <v>83</v>
      </c>
      <c r="F1031" s="6" t="s">
        <v>84</v>
      </c>
      <c r="G1031" s="5" t="s">
        <v>85</v>
      </c>
      <c r="H1031" s="2" t="s">
        <v>57</v>
      </c>
      <c r="I1031" s="3" t="s">
        <v>2750</v>
      </c>
      <c r="J1031" s="7">
        <v>1</v>
      </c>
      <c r="K1031" s="70"/>
      <c r="L1031" s="9">
        <v>1</v>
      </c>
      <c r="M1031" s="3">
        <v>777</v>
      </c>
      <c r="N1031" s="6">
        <v>1966</v>
      </c>
      <c r="P1031" s="71"/>
      <c r="R1031" s="6">
        <v>1960</v>
      </c>
      <c r="S1031" s="3" t="s">
        <v>236</v>
      </c>
      <c r="T1031" s="72"/>
      <c r="U1031" s="73">
        <v>26122</v>
      </c>
      <c r="W1031" s="2" t="s">
        <v>62</v>
      </c>
      <c r="X1031" s="10" t="s">
        <v>56</v>
      </c>
      <c r="Y1031" s="10" t="s">
        <v>57</v>
      </c>
      <c r="Z1031" s="75"/>
      <c r="AA1031" s="76"/>
      <c r="AB1031" s="77"/>
      <c r="AC1031" s="77"/>
      <c r="AD1031" s="10"/>
      <c r="AE1031" s="7" t="s">
        <v>2751</v>
      </c>
      <c r="AF1031" s="7" t="s">
        <v>2752</v>
      </c>
      <c r="AI1031" s="7"/>
      <c r="AJ1031" s="95">
        <v>26122</v>
      </c>
      <c r="AK1031" s="7">
        <v>1970</v>
      </c>
      <c r="AL1031" s="16" t="s">
        <v>2753</v>
      </c>
      <c r="AW1031" s="6">
        <f t="shared" ca="1" si="18"/>
        <v>59</v>
      </c>
    </row>
    <row r="1032" ht="45" customHeight="1">
      <c r="A1032" s="69"/>
      <c r="B1032" s="3" t="s">
        <v>47</v>
      </c>
      <c r="E1032" s="2" t="s">
        <v>63</v>
      </c>
      <c r="F1032" s="6" t="s">
        <v>172</v>
      </c>
      <c r="G1032" s="5" t="s">
        <v>173</v>
      </c>
      <c r="H1032" s="2" t="s">
        <v>57</v>
      </c>
      <c r="I1032" s="3" t="s">
        <v>2754</v>
      </c>
      <c r="J1032" s="7">
        <v>1</v>
      </c>
      <c r="K1032" s="70" t="s">
        <v>53</v>
      </c>
      <c r="L1032" s="9">
        <v>1</v>
      </c>
      <c r="M1032" s="3">
        <v>778</v>
      </c>
      <c r="N1032" s="6">
        <v>1966</v>
      </c>
      <c r="P1032" s="71"/>
      <c r="R1032" s="6">
        <v>1960</v>
      </c>
      <c r="S1032" s="3" t="s">
        <v>54</v>
      </c>
      <c r="T1032" s="72"/>
      <c r="U1032" s="73"/>
      <c r="W1032" s="2" t="s">
        <v>2755</v>
      </c>
      <c r="X1032" s="10" t="s">
        <v>56</v>
      </c>
      <c r="Y1032" s="10" t="s">
        <v>57</v>
      </c>
      <c r="Z1032" s="75"/>
      <c r="AA1032" s="76"/>
      <c r="AB1032" s="77"/>
      <c r="AC1032" s="77">
        <v>24435</v>
      </c>
      <c r="AD1032" s="10"/>
      <c r="AG1032" s="7">
        <v>1966</v>
      </c>
      <c r="AH1032" s="7">
        <v>1960</v>
      </c>
      <c r="AI1032" s="7"/>
      <c r="AJ1032" s="73"/>
      <c r="AK1032" s="7"/>
      <c r="AL1032" s="16"/>
      <c r="AM1032" s="2" t="s">
        <v>59</v>
      </c>
      <c r="AW1032" s="6">
        <f t="shared" ca="1" si="18"/>
        <v>59</v>
      </c>
    </row>
    <row r="1033" ht="45" hidden="1" customHeight="1">
      <c r="A1033" s="69"/>
      <c r="B1033" s="3" t="s">
        <v>47</v>
      </c>
      <c r="C1033" s="4" t="s">
        <v>2756</v>
      </c>
      <c r="E1033" s="2" t="s">
        <v>83</v>
      </c>
      <c r="F1033" s="6" t="s">
        <v>84</v>
      </c>
      <c r="G1033" s="5" t="s">
        <v>85</v>
      </c>
      <c r="H1033" s="2" t="s">
        <v>501</v>
      </c>
      <c r="I1033" s="3" t="s">
        <v>2757</v>
      </c>
      <c r="J1033" s="7">
        <v>1</v>
      </c>
      <c r="K1033" s="70"/>
      <c r="L1033" s="9">
        <v>1</v>
      </c>
      <c r="M1033" s="3">
        <v>779</v>
      </c>
      <c r="N1033" s="6">
        <v>1966</v>
      </c>
      <c r="P1033" s="71"/>
      <c r="R1033" s="6">
        <v>1960</v>
      </c>
      <c r="S1033" s="3" t="s">
        <v>236</v>
      </c>
      <c r="T1033" s="72"/>
      <c r="U1033" s="73">
        <v>24421</v>
      </c>
      <c r="W1033" s="2" t="s">
        <v>62</v>
      </c>
      <c r="X1033" s="10" t="s">
        <v>504</v>
      </c>
      <c r="Y1033" s="10" t="s">
        <v>501</v>
      </c>
      <c r="Z1033" s="75"/>
      <c r="AA1033" s="76"/>
      <c r="AB1033" s="77"/>
      <c r="AC1033" s="77"/>
      <c r="AD1033" s="10"/>
      <c r="AI1033" s="7"/>
      <c r="AJ1033" s="95">
        <v>24421</v>
      </c>
      <c r="AK1033" s="7">
        <v>1960</v>
      </c>
      <c r="AL1033" s="16" t="s">
        <v>2758</v>
      </c>
      <c r="AW1033" s="6">
        <f t="shared" ca="1" si="18"/>
        <v>59</v>
      </c>
    </row>
    <row r="1034" ht="45" customHeight="1">
      <c r="A1034" s="69"/>
      <c r="B1034" s="3" t="s">
        <v>47</v>
      </c>
      <c r="E1034" s="2" t="s">
        <v>63</v>
      </c>
      <c r="F1034" s="6" t="s">
        <v>64</v>
      </c>
      <c r="G1034" s="5" t="s">
        <v>69</v>
      </c>
      <c r="H1034" s="2" t="s">
        <v>57</v>
      </c>
      <c r="I1034" s="3" t="s">
        <v>2759</v>
      </c>
      <c r="J1034" s="7">
        <v>1</v>
      </c>
      <c r="K1034" s="70" t="s">
        <v>53</v>
      </c>
      <c r="L1034" s="9">
        <v>1</v>
      </c>
      <c r="M1034" s="3">
        <v>780</v>
      </c>
      <c r="N1034" s="6">
        <v>1966</v>
      </c>
      <c r="P1034" s="71"/>
      <c r="R1034" s="6">
        <v>1960</v>
      </c>
      <c r="S1034" s="3" t="s">
        <v>54</v>
      </c>
      <c r="T1034" s="72"/>
      <c r="U1034" s="73"/>
      <c r="W1034" s="2" t="s">
        <v>2760</v>
      </c>
      <c r="X1034" s="10" t="s">
        <v>56</v>
      </c>
      <c r="Y1034" s="10" t="s">
        <v>57</v>
      </c>
      <c r="Z1034" s="75"/>
      <c r="AA1034" s="76"/>
      <c r="AB1034" s="77">
        <v>24438</v>
      </c>
      <c r="AC1034" s="77"/>
      <c r="AD1034" s="6"/>
      <c r="AF1034" s="7">
        <v>110</v>
      </c>
      <c r="AG1034" s="7">
        <v>1966</v>
      </c>
      <c r="AH1034" s="7">
        <v>1960</v>
      </c>
      <c r="AI1034" s="7">
        <v>1984</v>
      </c>
      <c r="AJ1034" s="73"/>
      <c r="AK1034" s="7"/>
      <c r="AL1034" s="16" t="s">
        <v>664</v>
      </c>
      <c r="AM1034" s="2" t="s">
        <v>59</v>
      </c>
      <c r="AS1034" s="6" t="s">
        <v>73</v>
      </c>
      <c r="AT1034" s="6">
        <v>2011</v>
      </c>
      <c r="AU1034" s="16" t="s">
        <v>2761</v>
      </c>
      <c r="AW1034" s="6">
        <f t="shared" ca="1" si="18"/>
        <v>59</v>
      </c>
    </row>
    <row r="1035" ht="45" hidden="1" customHeight="1">
      <c r="A1035" s="69">
        <v>45169</v>
      </c>
      <c r="B1035" s="3" t="s">
        <v>1743</v>
      </c>
      <c r="C1035" s="4" t="s">
        <v>2762</v>
      </c>
      <c r="D1035" s="5" t="s">
        <v>2763</v>
      </c>
      <c r="E1035" s="2" t="s">
        <v>83</v>
      </c>
      <c r="F1035" s="6" t="s">
        <v>704</v>
      </c>
      <c r="G1035" s="5" t="s">
        <v>2764</v>
      </c>
      <c r="H1035" s="2" t="s">
        <v>57</v>
      </c>
      <c r="I1035" s="3" t="s">
        <v>2765</v>
      </c>
      <c r="J1035" s="7">
        <v>1</v>
      </c>
      <c r="K1035" s="104"/>
      <c r="L1035" s="9">
        <v>1</v>
      </c>
      <c r="M1035" s="3">
        <v>781</v>
      </c>
      <c r="N1035" s="6">
        <v>1966</v>
      </c>
      <c r="O1035" s="10">
        <v>24279</v>
      </c>
      <c r="P1035" s="71" t="s">
        <v>2766</v>
      </c>
      <c r="R1035" s="6">
        <v>1960</v>
      </c>
      <c r="S1035" s="3" t="s">
        <v>283</v>
      </c>
      <c r="T1035" s="72" t="s">
        <v>998</v>
      </c>
      <c r="U1035" s="73"/>
      <c r="V1035" s="12">
        <v>45427</v>
      </c>
      <c r="W1035" s="74" t="s">
        <v>62</v>
      </c>
      <c r="X1035" s="10" t="s">
        <v>56</v>
      </c>
      <c r="Y1035" s="10" t="s">
        <v>57</v>
      </c>
      <c r="Z1035" s="75"/>
      <c r="AA1035" s="76"/>
      <c r="AB1035" s="77"/>
      <c r="AC1035" s="77"/>
      <c r="AD1035" s="6"/>
      <c r="AI1035" s="7"/>
      <c r="AJ1035" s="73"/>
      <c r="AK1035" s="7"/>
      <c r="AL1035" s="16"/>
      <c r="AW1035" s="6">
        <f t="shared" ca="1" si="18"/>
        <v>59</v>
      </c>
    </row>
    <row r="1036" ht="45" hidden="1" customHeight="1">
      <c r="A1036" s="69"/>
      <c r="B1036" s="3" t="s">
        <v>47</v>
      </c>
      <c r="C1036" s="4" t="s">
        <v>2767</v>
      </c>
      <c r="D1036" s="5" t="s">
        <v>2768</v>
      </c>
      <c r="E1036" s="2" t="s">
        <v>63</v>
      </c>
      <c r="F1036" s="6" t="s">
        <v>64</v>
      </c>
      <c r="G1036" s="5" t="s">
        <v>69</v>
      </c>
      <c r="H1036" s="2" t="s">
        <v>51</v>
      </c>
      <c r="I1036" s="3" t="s">
        <v>2769</v>
      </c>
      <c r="J1036" s="7">
        <v>1</v>
      </c>
      <c r="K1036" s="104"/>
      <c r="L1036" s="9">
        <v>1</v>
      </c>
      <c r="M1036" s="3">
        <v>782</v>
      </c>
      <c r="N1036" s="6">
        <v>1966</v>
      </c>
      <c r="P1036" s="71"/>
      <c r="R1036" s="6">
        <v>1960</v>
      </c>
      <c r="S1036" s="3" t="s">
        <v>236</v>
      </c>
      <c r="T1036" s="72"/>
      <c r="U1036" s="10">
        <v>43846</v>
      </c>
      <c r="W1036" s="2" t="s">
        <v>62</v>
      </c>
      <c r="X1036" s="10" t="s">
        <v>56</v>
      </c>
      <c r="Y1036" s="10" t="s">
        <v>57</v>
      </c>
      <c r="Z1036" s="75" t="s">
        <v>58</v>
      </c>
      <c r="AA1036" s="76"/>
      <c r="AB1036" s="77"/>
      <c r="AC1036" s="77"/>
      <c r="AD1036" s="6"/>
      <c r="AI1036" s="7"/>
      <c r="AJ1036" s="10">
        <v>43846</v>
      </c>
      <c r="AK1036" s="7">
        <v>2020</v>
      </c>
      <c r="AL1036" s="16"/>
      <c r="AW1036" s="6">
        <f t="shared" ca="1" si="18"/>
        <v>59</v>
      </c>
    </row>
    <row r="1037" ht="45" hidden="1" customHeight="1">
      <c r="A1037" s="69"/>
      <c r="B1037" s="3" t="s">
        <v>47</v>
      </c>
      <c r="C1037" s="4" t="s">
        <v>2770</v>
      </c>
      <c r="D1037" s="5" t="s">
        <v>2771</v>
      </c>
      <c r="E1037" s="2" t="s">
        <v>83</v>
      </c>
      <c r="F1037" s="6" t="s">
        <v>84</v>
      </c>
      <c r="G1037" s="5" t="s">
        <v>2021</v>
      </c>
      <c r="H1037" s="2" t="s">
        <v>57</v>
      </c>
      <c r="I1037" s="3" t="s">
        <v>2772</v>
      </c>
      <c r="J1037" s="7">
        <v>1</v>
      </c>
      <c r="K1037" s="70" t="s">
        <v>127</v>
      </c>
      <c r="L1037" s="9">
        <v>1</v>
      </c>
      <c r="M1037" s="3">
        <v>783</v>
      </c>
      <c r="N1037" s="6">
        <v>1966</v>
      </c>
      <c r="P1037" s="71"/>
      <c r="R1037" s="6">
        <v>1960</v>
      </c>
      <c r="S1037" s="3" t="s">
        <v>128</v>
      </c>
      <c r="T1037" s="72"/>
      <c r="U1037" s="73"/>
      <c r="W1037" s="2" t="s">
        <v>2773</v>
      </c>
      <c r="X1037" s="10" t="s">
        <v>56</v>
      </c>
      <c r="Y1037" s="10" t="s">
        <v>57</v>
      </c>
      <c r="Z1037" s="75"/>
      <c r="AA1037" s="76"/>
      <c r="AB1037" s="77">
        <v>24765</v>
      </c>
      <c r="AC1037" s="77"/>
      <c r="AD1037" s="6"/>
      <c r="AG1037" s="7">
        <v>1967</v>
      </c>
      <c r="AH1037" s="7">
        <v>1960</v>
      </c>
      <c r="AI1037" s="7"/>
      <c r="AJ1037" s="73"/>
      <c r="AK1037" s="7"/>
      <c r="AL1037" s="16" t="s">
        <v>2774</v>
      </c>
      <c r="AM1037" s="2" t="s">
        <v>59</v>
      </c>
      <c r="AO1037" s="6" t="s">
        <v>59</v>
      </c>
      <c r="AQ1037" s="5" t="s">
        <v>73</v>
      </c>
      <c r="AU1037" s="16" t="s">
        <v>2024</v>
      </c>
      <c r="AW1037" s="6">
        <f t="shared" ca="1" si="18"/>
        <v>59</v>
      </c>
    </row>
    <row r="1038" ht="45" hidden="1" customHeight="1" outlineLevel="1">
      <c r="A1038" s="69"/>
      <c r="B1038" s="3" t="s">
        <v>47</v>
      </c>
      <c r="C1038" s="4" t="s">
        <v>1345</v>
      </c>
      <c r="D1038" s="5" t="s">
        <v>2775</v>
      </c>
      <c r="E1038" s="2" t="s">
        <v>48</v>
      </c>
      <c r="F1038" s="6" t="s">
        <v>49</v>
      </c>
      <c r="G1038" s="5" t="s">
        <v>468</v>
      </c>
      <c r="H1038" s="2" t="s">
        <v>57</v>
      </c>
      <c r="I1038" s="3" t="s">
        <v>2776</v>
      </c>
      <c r="J1038" s="7">
        <v>1</v>
      </c>
      <c r="K1038" s="104"/>
      <c r="L1038" s="9">
        <v>1</v>
      </c>
      <c r="M1038" s="3">
        <v>784</v>
      </c>
      <c r="N1038" s="6">
        <v>1966</v>
      </c>
      <c r="P1038" s="71"/>
      <c r="R1038" s="6">
        <v>1960</v>
      </c>
      <c r="S1038" s="3" t="s">
        <v>236</v>
      </c>
      <c r="T1038" s="72"/>
      <c r="U1038" s="73"/>
      <c r="W1038" s="2" t="s">
        <v>62</v>
      </c>
      <c r="X1038" s="10" t="s">
        <v>56</v>
      </c>
      <c r="Y1038" s="10" t="s">
        <v>57</v>
      </c>
      <c r="Z1038" s="75"/>
      <c r="AA1038" s="76"/>
      <c r="AB1038" s="77"/>
      <c r="AC1038" s="77"/>
      <c r="AD1038" s="6"/>
      <c r="AI1038" s="7"/>
      <c r="AJ1038" s="95">
        <v>41878</v>
      </c>
      <c r="AK1038" s="7">
        <v>2010</v>
      </c>
      <c r="AL1038" s="16"/>
      <c r="AW1038" s="6">
        <f t="shared" ca="1" si="18"/>
        <v>59</v>
      </c>
    </row>
    <row r="1039" ht="45" customHeight="1" outlineLevel="1">
      <c r="A1039" s="69"/>
      <c r="B1039" s="3" t="s">
        <v>47</v>
      </c>
      <c r="C1039" s="4" t="s">
        <v>2777</v>
      </c>
      <c r="D1039" s="5" t="s">
        <v>2778</v>
      </c>
      <c r="E1039" s="2" t="s">
        <v>63</v>
      </c>
      <c r="F1039" s="6" t="s">
        <v>83</v>
      </c>
      <c r="G1039" s="5" t="s">
        <v>1185</v>
      </c>
      <c r="H1039" s="2" t="s">
        <v>288</v>
      </c>
      <c r="I1039" s="3" t="s">
        <v>2779</v>
      </c>
      <c r="J1039" s="7">
        <v>1</v>
      </c>
      <c r="K1039" s="70" t="s">
        <v>53</v>
      </c>
      <c r="L1039" s="9">
        <v>1</v>
      </c>
      <c r="M1039" s="3">
        <v>785</v>
      </c>
      <c r="N1039" s="6">
        <v>1967</v>
      </c>
      <c r="P1039" s="71"/>
      <c r="R1039" s="6">
        <v>1960</v>
      </c>
      <c r="S1039" s="3" t="s">
        <v>54</v>
      </c>
      <c r="T1039" s="72"/>
      <c r="U1039" s="73"/>
      <c r="W1039" s="2" t="s">
        <v>2780</v>
      </c>
      <c r="X1039" s="10" t="s">
        <v>56</v>
      </c>
      <c r="Y1039" s="10" t="s">
        <v>288</v>
      </c>
      <c r="Z1039" s="75"/>
      <c r="AA1039" s="76" t="s">
        <v>2781</v>
      </c>
      <c r="AB1039" s="77">
        <v>41837</v>
      </c>
      <c r="AC1039" s="77"/>
      <c r="AD1039" s="6"/>
      <c r="AF1039" s="7">
        <v>70</v>
      </c>
      <c r="AG1039" s="7">
        <v>1967</v>
      </c>
      <c r="AH1039" s="7">
        <v>1960</v>
      </c>
      <c r="AI1039" s="7">
        <v>2012</v>
      </c>
      <c r="AJ1039" s="73"/>
      <c r="AK1039" s="7"/>
      <c r="AL1039" s="16" t="s">
        <v>2782</v>
      </c>
      <c r="AM1039" s="2" t="s">
        <v>53</v>
      </c>
      <c r="AN1039" s="6" t="s">
        <v>73</v>
      </c>
      <c r="AO1039" s="6" t="s">
        <v>53</v>
      </c>
      <c r="AP1039" s="6" t="s">
        <v>73</v>
      </c>
      <c r="AQ1039" s="5" t="s">
        <v>73</v>
      </c>
      <c r="AR1039" s="2" t="s">
        <v>104</v>
      </c>
      <c r="AS1039" s="6" t="s">
        <v>73</v>
      </c>
      <c r="AT1039" s="6">
        <v>2009</v>
      </c>
      <c r="AU1039" s="16" t="s">
        <v>2783</v>
      </c>
      <c r="AW1039" s="6">
        <f t="shared" ca="1" si="18"/>
        <v>58</v>
      </c>
    </row>
    <row r="1040" ht="45" hidden="1" customHeight="1">
      <c r="A1040" s="69"/>
      <c r="B1040" s="3" t="s">
        <v>47</v>
      </c>
      <c r="C1040" s="4" t="s">
        <v>1263</v>
      </c>
      <c r="E1040" s="2" t="s">
        <v>83</v>
      </c>
      <c r="F1040" s="6" t="s">
        <v>84</v>
      </c>
      <c r="G1040" s="5" t="s">
        <v>85</v>
      </c>
      <c r="H1040" s="2" t="s">
        <v>501</v>
      </c>
      <c r="I1040" s="3" t="s">
        <v>2784</v>
      </c>
      <c r="J1040" s="7">
        <v>1</v>
      </c>
      <c r="K1040" s="104"/>
      <c r="L1040" s="9">
        <v>1</v>
      </c>
      <c r="M1040" s="3">
        <v>786</v>
      </c>
      <c r="N1040" s="6">
        <v>1967</v>
      </c>
      <c r="P1040" s="71"/>
      <c r="R1040" s="6">
        <v>1960</v>
      </c>
      <c r="S1040" s="3" t="s">
        <v>236</v>
      </c>
      <c r="T1040" s="72"/>
      <c r="U1040" s="73">
        <v>38044</v>
      </c>
      <c r="W1040" s="2" t="s">
        <v>62</v>
      </c>
      <c r="X1040" s="10" t="s">
        <v>504</v>
      </c>
      <c r="Y1040" s="10" t="s">
        <v>501</v>
      </c>
      <c r="Z1040" s="75"/>
      <c r="AA1040" s="76"/>
      <c r="AB1040" s="77"/>
      <c r="AC1040" s="77"/>
      <c r="AD1040" s="6"/>
      <c r="AI1040" s="7"/>
      <c r="AJ1040" s="95">
        <v>38044</v>
      </c>
      <c r="AK1040" s="7">
        <v>2000</v>
      </c>
      <c r="AL1040" s="16" t="s">
        <v>2785</v>
      </c>
      <c r="AW1040" s="6">
        <f t="shared" ca="1" si="18"/>
        <v>58</v>
      </c>
    </row>
    <row r="1041" ht="45" customHeight="1">
      <c r="A1041" s="69"/>
      <c r="B1041" s="3" t="s">
        <v>47</v>
      </c>
      <c r="E1041" s="2" t="s">
        <v>83</v>
      </c>
      <c r="F1041" s="6" t="s">
        <v>931</v>
      </c>
      <c r="G1041" s="5" t="s">
        <v>932</v>
      </c>
      <c r="H1041" s="2" t="s">
        <v>57</v>
      </c>
      <c r="I1041" s="3" t="s">
        <v>2786</v>
      </c>
      <c r="J1041" s="7">
        <v>1</v>
      </c>
      <c r="K1041" s="70" t="s">
        <v>53</v>
      </c>
      <c r="L1041" s="9">
        <v>0</v>
      </c>
      <c r="M1041" s="3">
        <v>787</v>
      </c>
      <c r="N1041" s="6">
        <v>1967</v>
      </c>
      <c r="P1041" s="71"/>
      <c r="R1041" s="6">
        <v>1960</v>
      </c>
      <c r="S1041" s="3" t="s">
        <v>54</v>
      </c>
      <c r="T1041" s="72"/>
      <c r="U1041" s="73"/>
      <c r="W1041" s="2" t="s">
        <v>2787</v>
      </c>
      <c r="X1041" s="10" t="s">
        <v>56</v>
      </c>
      <c r="Y1041" s="10" t="s">
        <v>57</v>
      </c>
      <c r="Z1041" s="75"/>
      <c r="AA1041" s="76"/>
      <c r="AB1041" s="77">
        <v>24789</v>
      </c>
      <c r="AC1041" s="77"/>
      <c r="AD1041" s="6"/>
      <c r="AG1041" s="7">
        <v>1967</v>
      </c>
      <c r="AH1041" s="7">
        <v>1960</v>
      </c>
      <c r="AI1041" s="7"/>
      <c r="AJ1041" s="73"/>
      <c r="AK1041" s="7"/>
      <c r="AL1041" s="16"/>
      <c r="AM1041" s="2" t="s">
        <v>59</v>
      </c>
      <c r="AO1041" s="6" t="s">
        <v>136</v>
      </c>
      <c r="AW1041" s="6">
        <f t="shared" ca="1" si="18"/>
        <v>58</v>
      </c>
    </row>
    <row r="1042" ht="45" customHeight="1">
      <c r="A1042" s="69"/>
      <c r="B1042" s="3" t="s">
        <v>47</v>
      </c>
      <c r="E1042" s="2" t="s">
        <v>83</v>
      </c>
      <c r="F1042" s="6" t="s">
        <v>931</v>
      </c>
      <c r="G1042" s="5" t="s">
        <v>932</v>
      </c>
      <c r="H1042" s="2" t="s">
        <v>57</v>
      </c>
      <c r="I1042" s="3" t="s">
        <v>2788</v>
      </c>
      <c r="J1042" s="7">
        <v>1</v>
      </c>
      <c r="K1042" s="70" t="s">
        <v>53</v>
      </c>
      <c r="L1042" s="9">
        <v>1</v>
      </c>
      <c r="M1042" s="3">
        <v>787</v>
      </c>
      <c r="N1042" s="6">
        <v>1967</v>
      </c>
      <c r="P1042" s="71"/>
      <c r="R1042" s="6">
        <v>1960</v>
      </c>
      <c r="S1042" s="3" t="s">
        <v>54</v>
      </c>
      <c r="T1042" s="72"/>
      <c r="U1042" s="73"/>
      <c r="W1042" s="2" t="s">
        <v>2789</v>
      </c>
      <c r="X1042" s="10" t="s">
        <v>56</v>
      </c>
      <c r="Y1042" s="10" t="s">
        <v>57</v>
      </c>
      <c r="Z1042" s="75"/>
      <c r="AA1042" s="76"/>
      <c r="AB1042" s="77">
        <v>24750</v>
      </c>
      <c r="AC1042" s="77"/>
      <c r="AD1042" s="6"/>
      <c r="AG1042" s="7">
        <v>1967</v>
      </c>
      <c r="AH1042" s="7">
        <v>1960</v>
      </c>
      <c r="AI1042" s="7"/>
      <c r="AJ1042" s="73"/>
      <c r="AK1042" s="7"/>
      <c r="AL1042" s="16"/>
      <c r="AM1042" s="2" t="s">
        <v>59</v>
      </c>
      <c r="AO1042" s="6" t="s">
        <v>136</v>
      </c>
      <c r="AW1042" s="6">
        <f t="shared" ca="1" si="18"/>
        <v>58</v>
      </c>
    </row>
    <row r="1043" ht="45" hidden="1" customHeight="1">
      <c r="A1043" s="69"/>
      <c r="B1043" s="3" t="s">
        <v>47</v>
      </c>
      <c r="C1043" s="4" t="s">
        <v>2790</v>
      </c>
      <c r="D1043" s="5" t="s">
        <v>2791</v>
      </c>
      <c r="E1043" s="2" t="s">
        <v>1074</v>
      </c>
      <c r="F1043" s="6" t="s">
        <v>1075</v>
      </c>
      <c r="G1043" s="5" t="s">
        <v>2792</v>
      </c>
      <c r="H1043" s="2" t="s">
        <v>57</v>
      </c>
      <c r="I1043" s="3" t="s">
        <v>2793</v>
      </c>
      <c r="J1043" s="7">
        <v>1</v>
      </c>
      <c r="K1043" s="104"/>
      <c r="L1043" s="9">
        <v>1</v>
      </c>
      <c r="M1043" s="3">
        <v>788</v>
      </c>
      <c r="N1043" s="6">
        <v>1967</v>
      </c>
      <c r="P1043" s="71"/>
      <c r="R1043" s="6">
        <v>1960</v>
      </c>
      <c r="S1043" s="3" t="s">
        <v>236</v>
      </c>
      <c r="T1043" s="72"/>
      <c r="U1043" s="73"/>
      <c r="W1043" s="2" t="s">
        <v>62</v>
      </c>
      <c r="X1043" s="10" t="s">
        <v>56</v>
      </c>
      <c r="Y1043" s="10" t="s">
        <v>57</v>
      </c>
      <c r="Z1043" s="75"/>
      <c r="AA1043" s="76"/>
      <c r="AB1043" s="77"/>
      <c r="AC1043" s="77"/>
      <c r="AD1043" s="6"/>
      <c r="AI1043" s="7"/>
      <c r="AJ1043" s="95">
        <v>41551</v>
      </c>
      <c r="AK1043" s="7">
        <v>2010</v>
      </c>
      <c r="AL1043" s="16"/>
      <c r="AW1043" s="6">
        <f t="shared" ca="1" si="18"/>
        <v>58</v>
      </c>
    </row>
    <row r="1044" ht="45" customHeight="1">
      <c r="A1044" s="69">
        <v>37161</v>
      </c>
      <c r="B1044" s="3" t="s">
        <v>190</v>
      </c>
      <c r="C1044" s="177" t="s">
        <v>2794</v>
      </c>
      <c r="D1044" s="5" t="s">
        <v>2795</v>
      </c>
      <c r="E1044" s="2" t="s">
        <v>83</v>
      </c>
      <c r="F1044" s="6" t="s">
        <v>84</v>
      </c>
      <c r="G1044" s="5" t="s">
        <v>1783</v>
      </c>
      <c r="H1044" s="2" t="s">
        <v>257</v>
      </c>
      <c r="I1044" s="3" t="s">
        <v>2796</v>
      </c>
      <c r="J1044" s="7">
        <v>1</v>
      </c>
      <c r="K1044" s="70" t="s">
        <v>53</v>
      </c>
      <c r="L1044" s="9">
        <v>1</v>
      </c>
      <c r="M1044" s="3">
        <v>789</v>
      </c>
      <c r="N1044" s="6">
        <v>1967</v>
      </c>
      <c r="P1044" s="71"/>
      <c r="R1044" s="6">
        <v>1960</v>
      </c>
      <c r="S1044" s="3" t="s">
        <v>195</v>
      </c>
      <c r="T1044" s="72"/>
      <c r="U1044" s="73"/>
      <c r="W1044" s="74" t="s">
        <v>2797</v>
      </c>
      <c r="X1044" s="10" t="s">
        <v>56</v>
      </c>
      <c r="Y1044" s="10" t="s">
        <v>68</v>
      </c>
      <c r="Z1044" s="75" t="s">
        <v>260</v>
      </c>
      <c r="AA1044" s="76">
        <v>25591</v>
      </c>
      <c r="AB1044" s="77">
        <v>25590</v>
      </c>
      <c r="AC1044" s="77"/>
      <c r="AD1044" s="6"/>
      <c r="AE1044" s="7">
        <v>1969</v>
      </c>
      <c r="AF1044" s="7">
        <v>52</v>
      </c>
      <c r="AG1044" s="7">
        <v>1970</v>
      </c>
      <c r="AH1044" s="7">
        <v>1970</v>
      </c>
      <c r="AI1044" s="7"/>
      <c r="AJ1044" s="73"/>
      <c r="AK1044" s="7"/>
      <c r="AL1044" s="16"/>
      <c r="AM1044" s="2" t="s">
        <v>59</v>
      </c>
      <c r="AO1044" s="6" t="s">
        <v>136</v>
      </c>
      <c r="AW1044" s="6">
        <f t="shared" ca="1" si="18"/>
        <v>58</v>
      </c>
    </row>
    <row r="1045" ht="45" customHeight="1">
      <c r="A1045" s="69"/>
      <c r="B1045" s="3" t="s">
        <v>47</v>
      </c>
      <c r="E1045" s="2" t="s">
        <v>83</v>
      </c>
      <c r="F1045" s="6" t="s">
        <v>704</v>
      </c>
      <c r="G1045" s="5" t="s">
        <v>2798</v>
      </c>
      <c r="H1045" s="2" t="s">
        <v>68</v>
      </c>
      <c r="I1045" s="3" t="s">
        <v>2799</v>
      </c>
      <c r="J1045" s="7">
        <v>1</v>
      </c>
      <c r="K1045" s="70" t="s">
        <v>53</v>
      </c>
      <c r="L1045" s="9">
        <v>1</v>
      </c>
      <c r="M1045" s="3">
        <v>790</v>
      </c>
      <c r="N1045" s="6">
        <v>1967</v>
      </c>
      <c r="P1045" s="71"/>
      <c r="R1045" s="6">
        <v>1960</v>
      </c>
      <c r="S1045" s="3" t="s">
        <v>54</v>
      </c>
      <c r="T1045" s="72"/>
      <c r="U1045" s="73"/>
      <c r="W1045" s="2" t="s">
        <v>2800</v>
      </c>
      <c r="X1045" s="10" t="s">
        <v>56</v>
      </c>
      <c r="Y1045" s="10" t="s">
        <v>68</v>
      </c>
      <c r="Z1045" s="75" t="s">
        <v>58</v>
      </c>
      <c r="AA1045" s="76"/>
      <c r="AB1045" s="77">
        <v>24719</v>
      </c>
      <c r="AC1045" s="77"/>
      <c r="AD1045" s="6"/>
      <c r="AE1045" s="7">
        <v>1967</v>
      </c>
      <c r="AF1045" s="7">
        <v>49</v>
      </c>
      <c r="AG1045" s="7">
        <v>1967</v>
      </c>
      <c r="AH1045" s="7">
        <v>1960</v>
      </c>
      <c r="AI1045" s="7"/>
      <c r="AJ1045" s="73"/>
      <c r="AK1045" s="7"/>
      <c r="AL1045" s="16"/>
      <c r="AM1045" s="2" t="s">
        <v>82</v>
      </c>
      <c r="AW1045" s="6">
        <f t="shared" ca="1" si="18"/>
        <v>58</v>
      </c>
    </row>
    <row r="1046" ht="45" hidden="1" customHeight="1">
      <c r="A1046" s="69"/>
      <c r="B1046" s="3" t="s">
        <v>47</v>
      </c>
      <c r="C1046" s="4" t="s">
        <v>2801</v>
      </c>
      <c r="D1046" s="5" t="s">
        <v>2802</v>
      </c>
      <c r="E1046" s="2" t="s">
        <v>83</v>
      </c>
      <c r="F1046" s="6" t="s">
        <v>704</v>
      </c>
      <c r="G1046" s="5" t="s">
        <v>915</v>
      </c>
      <c r="H1046" s="2" t="s">
        <v>57</v>
      </c>
      <c r="I1046" s="3" t="s">
        <v>2803</v>
      </c>
      <c r="J1046" s="7">
        <v>1</v>
      </c>
      <c r="K1046" s="104"/>
      <c r="L1046" s="9">
        <v>1</v>
      </c>
      <c r="M1046" s="3">
        <v>791</v>
      </c>
      <c r="N1046" s="6">
        <v>1967</v>
      </c>
      <c r="P1046" s="71"/>
      <c r="R1046" s="6">
        <v>1960</v>
      </c>
      <c r="S1046" s="3" t="s">
        <v>236</v>
      </c>
      <c r="T1046" s="72"/>
      <c r="U1046" s="73">
        <v>43794</v>
      </c>
      <c r="W1046" s="2" t="s">
        <v>62</v>
      </c>
      <c r="X1046" s="10" t="s">
        <v>56</v>
      </c>
      <c r="Y1046" s="10" t="s">
        <v>57</v>
      </c>
      <c r="Z1046" s="75"/>
      <c r="AA1046" s="76"/>
      <c r="AB1046" s="77"/>
      <c r="AC1046" s="77"/>
      <c r="AD1046" s="6"/>
      <c r="AI1046" s="7"/>
      <c r="AJ1046" s="10">
        <v>43794</v>
      </c>
      <c r="AK1046" s="7">
        <v>2010</v>
      </c>
      <c r="AL1046" s="16"/>
      <c r="AW1046" s="6">
        <f t="shared" ca="1" si="18"/>
        <v>58</v>
      </c>
    </row>
    <row r="1047" ht="45" hidden="1" customHeight="1">
      <c r="A1047" s="69"/>
      <c r="B1047" s="3" t="s">
        <v>47</v>
      </c>
      <c r="C1047" s="4" t="s">
        <v>2804</v>
      </c>
      <c r="E1047" s="2" t="s">
        <v>83</v>
      </c>
      <c r="F1047" s="6" t="s">
        <v>84</v>
      </c>
      <c r="G1047" s="5" t="s">
        <v>85</v>
      </c>
      <c r="H1047" s="2" t="s">
        <v>57</v>
      </c>
      <c r="I1047" s="96" t="s">
        <v>2805</v>
      </c>
      <c r="J1047" s="7">
        <v>1</v>
      </c>
      <c r="K1047" s="104"/>
      <c r="L1047" s="9">
        <v>1</v>
      </c>
      <c r="M1047" s="3">
        <v>792</v>
      </c>
      <c r="N1047" s="6">
        <v>1967</v>
      </c>
      <c r="P1047" s="71"/>
      <c r="R1047" s="6">
        <v>1960</v>
      </c>
      <c r="S1047" s="3" t="s">
        <v>236</v>
      </c>
      <c r="T1047" s="72"/>
      <c r="U1047" s="73">
        <v>24909</v>
      </c>
      <c r="W1047" s="2" t="s">
        <v>62</v>
      </c>
      <c r="X1047" s="10" t="s">
        <v>56</v>
      </c>
      <c r="Y1047" s="10" t="s">
        <v>57</v>
      </c>
      <c r="Z1047" s="75"/>
      <c r="AA1047" s="76"/>
      <c r="AB1047" s="77"/>
      <c r="AC1047" s="77"/>
      <c r="AD1047" s="6"/>
      <c r="AE1047" s="7" t="s">
        <v>2806</v>
      </c>
      <c r="AF1047" s="7" t="s">
        <v>2807</v>
      </c>
      <c r="AI1047" s="7"/>
      <c r="AJ1047" s="95">
        <v>24909</v>
      </c>
      <c r="AK1047" s="7">
        <v>1960</v>
      </c>
      <c r="AL1047" s="16" t="s">
        <v>2808</v>
      </c>
      <c r="AW1047" s="6">
        <f t="shared" ca="1" si="18"/>
        <v>58</v>
      </c>
    </row>
    <row r="1048" ht="45" customHeight="1" outlineLevel="1">
      <c r="A1048" s="69"/>
      <c r="B1048" s="3" t="s">
        <v>47</v>
      </c>
      <c r="E1048" s="2" t="s">
        <v>63</v>
      </c>
      <c r="F1048" s="6" t="s">
        <v>64</v>
      </c>
      <c r="G1048" s="5" t="s">
        <v>69</v>
      </c>
      <c r="H1048" s="2" t="s">
        <v>57</v>
      </c>
      <c r="I1048" s="3" t="s">
        <v>2809</v>
      </c>
      <c r="J1048" s="7">
        <v>1</v>
      </c>
      <c r="K1048" s="70" t="s">
        <v>53</v>
      </c>
      <c r="L1048" s="9">
        <v>1</v>
      </c>
      <c r="M1048" s="3">
        <v>793</v>
      </c>
      <c r="N1048" s="6">
        <v>1967</v>
      </c>
      <c r="P1048" s="71"/>
      <c r="R1048" s="6">
        <v>1960</v>
      </c>
      <c r="S1048" s="3" t="s">
        <v>54</v>
      </c>
      <c r="T1048" s="72"/>
      <c r="U1048" s="73"/>
      <c r="W1048" s="2" t="s">
        <v>2810</v>
      </c>
      <c r="X1048" s="10" t="s">
        <v>56</v>
      </c>
      <c r="Y1048" s="10" t="s">
        <v>57</v>
      </c>
      <c r="Z1048" s="75"/>
      <c r="AA1048" s="76"/>
      <c r="AB1048" s="77">
        <v>24860</v>
      </c>
      <c r="AC1048" s="77"/>
      <c r="AD1048" s="6"/>
      <c r="AF1048" s="7">
        <v>110</v>
      </c>
      <c r="AG1048" s="7">
        <v>1968</v>
      </c>
      <c r="AH1048" s="7">
        <v>1960</v>
      </c>
      <c r="AI1048" s="7">
        <v>1984</v>
      </c>
      <c r="AJ1048" s="73"/>
      <c r="AK1048" s="7"/>
      <c r="AL1048" s="16" t="s">
        <v>664</v>
      </c>
      <c r="AM1048" s="2" t="s">
        <v>59</v>
      </c>
      <c r="AW1048" s="6">
        <f t="shared" ca="1" si="18"/>
        <v>58</v>
      </c>
    </row>
    <row r="1049" ht="45" customHeight="1" outlineLevel="1">
      <c r="A1049" s="69"/>
      <c r="B1049" s="3" t="s">
        <v>47</v>
      </c>
      <c r="E1049" s="2" t="s">
        <v>83</v>
      </c>
      <c r="F1049" s="6" t="s">
        <v>84</v>
      </c>
      <c r="G1049" s="5" t="s">
        <v>1068</v>
      </c>
      <c r="H1049" s="2" t="s">
        <v>57</v>
      </c>
      <c r="I1049" s="3" t="s">
        <v>2811</v>
      </c>
      <c r="J1049" s="7">
        <v>1</v>
      </c>
      <c r="K1049" s="70" t="s">
        <v>53</v>
      </c>
      <c r="L1049" s="9">
        <v>0</v>
      </c>
      <c r="M1049" s="3">
        <v>794</v>
      </c>
      <c r="N1049" s="6">
        <v>1967</v>
      </c>
      <c r="P1049" s="71"/>
      <c r="R1049" s="6">
        <v>1960</v>
      </c>
      <c r="S1049" s="3" t="s">
        <v>54</v>
      </c>
      <c r="T1049" s="72"/>
      <c r="U1049" s="73"/>
      <c r="W1049" s="2" t="s">
        <v>2812</v>
      </c>
      <c r="X1049" s="10" t="s">
        <v>56</v>
      </c>
      <c r="Y1049" s="10" t="s">
        <v>57</v>
      </c>
      <c r="Z1049" s="75"/>
      <c r="AA1049" s="76"/>
      <c r="AB1049" s="77">
        <v>25875</v>
      </c>
      <c r="AC1049" s="77"/>
      <c r="AD1049" s="6"/>
      <c r="AG1049" s="7">
        <v>1970</v>
      </c>
      <c r="AH1049" s="7">
        <v>1970</v>
      </c>
      <c r="AI1049" s="7"/>
      <c r="AJ1049" s="73"/>
      <c r="AK1049" s="7"/>
      <c r="AL1049" s="16"/>
      <c r="AM1049" s="2" t="s">
        <v>59</v>
      </c>
      <c r="AO1049" s="6" t="s">
        <v>136</v>
      </c>
      <c r="AQ1049" s="5" t="s">
        <v>104</v>
      </c>
      <c r="AW1049" s="6">
        <f t="shared" ca="1" si="18"/>
        <v>58</v>
      </c>
    </row>
    <row r="1050" ht="45" customHeight="1" outlineLevel="1">
      <c r="A1050" s="69"/>
      <c r="B1050" s="3" t="s">
        <v>47</v>
      </c>
      <c r="E1050" s="2" t="s">
        <v>83</v>
      </c>
      <c r="F1050" s="6" t="s">
        <v>84</v>
      </c>
      <c r="G1050" s="5" t="s">
        <v>1068</v>
      </c>
      <c r="H1050" s="2" t="s">
        <v>57</v>
      </c>
      <c r="I1050" s="3" t="s">
        <v>2813</v>
      </c>
      <c r="J1050" s="7">
        <v>1</v>
      </c>
      <c r="K1050" s="70" t="s">
        <v>53</v>
      </c>
      <c r="L1050" s="9">
        <v>0</v>
      </c>
      <c r="M1050" s="3">
        <v>794</v>
      </c>
      <c r="N1050" s="6">
        <v>1967</v>
      </c>
      <c r="P1050" s="71"/>
      <c r="R1050" s="6">
        <v>1960</v>
      </c>
      <c r="S1050" s="3" t="s">
        <v>54</v>
      </c>
      <c r="T1050" s="72"/>
      <c r="U1050" s="73"/>
      <c r="W1050" s="2" t="s">
        <v>2814</v>
      </c>
      <c r="X1050" s="10" t="s">
        <v>56</v>
      </c>
      <c r="Y1050" s="10" t="s">
        <v>57</v>
      </c>
      <c r="Z1050" s="75"/>
      <c r="AA1050" s="76"/>
      <c r="AB1050" s="77">
        <v>25554</v>
      </c>
      <c r="AC1050" s="77"/>
      <c r="AD1050" s="6"/>
      <c r="AG1050" s="7">
        <v>1969</v>
      </c>
      <c r="AH1050" s="7">
        <v>1960</v>
      </c>
      <c r="AI1050" s="7"/>
      <c r="AJ1050" s="73"/>
      <c r="AK1050" s="7"/>
      <c r="AL1050" s="16"/>
      <c r="AM1050" s="2" t="s">
        <v>59</v>
      </c>
      <c r="AO1050" s="6" t="s">
        <v>136</v>
      </c>
      <c r="AQ1050" s="5" t="s">
        <v>104</v>
      </c>
      <c r="AW1050" s="6">
        <f t="shared" ca="1" si="18"/>
        <v>58</v>
      </c>
    </row>
    <row r="1051" ht="45" customHeight="1" outlineLevel="1">
      <c r="A1051" s="69"/>
      <c r="B1051" s="3" t="s">
        <v>47</v>
      </c>
      <c r="E1051" s="2" t="s">
        <v>83</v>
      </c>
      <c r="F1051" s="6" t="s">
        <v>84</v>
      </c>
      <c r="G1051" s="5" t="s">
        <v>1068</v>
      </c>
      <c r="H1051" s="2" t="s">
        <v>57</v>
      </c>
      <c r="I1051" s="3" t="s">
        <v>2815</v>
      </c>
      <c r="J1051" s="7">
        <v>1</v>
      </c>
      <c r="K1051" s="70" t="s">
        <v>53</v>
      </c>
      <c r="L1051" s="9">
        <v>0</v>
      </c>
      <c r="M1051" s="3">
        <v>794</v>
      </c>
      <c r="N1051" s="6">
        <v>1967</v>
      </c>
      <c r="P1051" s="71"/>
      <c r="R1051" s="6">
        <v>1960</v>
      </c>
      <c r="S1051" s="3" t="s">
        <v>54</v>
      </c>
      <c r="T1051" s="72"/>
      <c r="U1051" s="73"/>
      <c r="W1051" s="2" t="s">
        <v>2816</v>
      </c>
      <c r="X1051" s="10" t="s">
        <v>56</v>
      </c>
      <c r="Y1051" s="10" t="s">
        <v>57</v>
      </c>
      <c r="Z1051" s="75"/>
      <c r="AA1051" s="76"/>
      <c r="AB1051" s="77">
        <v>25554</v>
      </c>
      <c r="AC1051" s="77"/>
      <c r="AD1051" s="6"/>
      <c r="AG1051" s="7">
        <v>1969</v>
      </c>
      <c r="AH1051" s="7">
        <v>1960</v>
      </c>
      <c r="AI1051" s="7"/>
      <c r="AJ1051" s="73"/>
      <c r="AK1051" s="7"/>
      <c r="AL1051" s="16"/>
      <c r="AM1051" s="2" t="s">
        <v>59</v>
      </c>
      <c r="AO1051" s="6" t="s">
        <v>136</v>
      </c>
      <c r="AQ1051" s="5" t="s">
        <v>104</v>
      </c>
      <c r="AW1051" s="6">
        <f t="shared" ca="1" si="18"/>
        <v>58</v>
      </c>
    </row>
    <row r="1052" ht="45" customHeight="1">
      <c r="A1052" s="69"/>
      <c r="B1052" s="3" t="s">
        <v>47</v>
      </c>
      <c r="E1052" s="2" t="s">
        <v>83</v>
      </c>
      <c r="F1052" s="6" t="s">
        <v>84</v>
      </c>
      <c r="G1052" s="5" t="s">
        <v>1068</v>
      </c>
      <c r="H1052" s="2" t="s">
        <v>57</v>
      </c>
      <c r="I1052" s="3" t="s">
        <v>2817</v>
      </c>
      <c r="J1052" s="7">
        <v>1</v>
      </c>
      <c r="K1052" s="70" t="s">
        <v>53</v>
      </c>
      <c r="L1052" s="9">
        <v>1</v>
      </c>
      <c r="M1052" s="3">
        <v>794</v>
      </c>
      <c r="N1052" s="6">
        <v>1967</v>
      </c>
      <c r="P1052" s="71"/>
      <c r="R1052" s="6">
        <v>1960</v>
      </c>
      <c r="S1052" s="3" t="s">
        <v>54</v>
      </c>
      <c r="T1052" s="72"/>
      <c r="U1052" s="73"/>
      <c r="W1052" s="2" t="s">
        <v>2818</v>
      </c>
      <c r="X1052" s="10" t="s">
        <v>56</v>
      </c>
      <c r="Y1052" s="10" t="s">
        <v>57</v>
      </c>
      <c r="Z1052" s="75"/>
      <c r="AA1052" s="76"/>
      <c r="AB1052" s="77">
        <v>25554</v>
      </c>
      <c r="AC1052" s="77"/>
      <c r="AD1052" s="6"/>
      <c r="AG1052" s="7">
        <v>1969</v>
      </c>
      <c r="AH1052" s="7">
        <v>1960</v>
      </c>
      <c r="AI1052" s="7"/>
      <c r="AJ1052" s="73"/>
      <c r="AK1052" s="7"/>
      <c r="AL1052" s="16"/>
      <c r="AM1052" s="2" t="s">
        <v>59</v>
      </c>
      <c r="AO1052" s="6" t="s">
        <v>136</v>
      </c>
      <c r="AQ1052" s="5" t="s">
        <v>104</v>
      </c>
      <c r="AW1052" s="6">
        <f t="shared" ca="1" si="18"/>
        <v>58</v>
      </c>
    </row>
    <row r="1053" ht="45" hidden="1" customHeight="1">
      <c r="A1053" s="69"/>
      <c r="B1053" s="3" t="s">
        <v>47</v>
      </c>
      <c r="C1053" s="4" t="s">
        <v>2819</v>
      </c>
      <c r="D1053" s="5" t="s">
        <v>2820</v>
      </c>
      <c r="E1053" s="2" t="s">
        <v>83</v>
      </c>
      <c r="F1053" s="6" t="s">
        <v>84</v>
      </c>
      <c r="G1053" s="5" t="s">
        <v>1728</v>
      </c>
      <c r="H1053" s="2" t="s">
        <v>57</v>
      </c>
      <c r="I1053" s="3" t="s">
        <v>2821</v>
      </c>
      <c r="J1053" s="7">
        <v>1</v>
      </c>
      <c r="K1053" s="104"/>
      <c r="L1053" s="9">
        <v>1</v>
      </c>
      <c r="M1053" s="3">
        <v>795</v>
      </c>
      <c r="N1053" s="6">
        <v>1967</v>
      </c>
      <c r="P1053" s="71"/>
      <c r="R1053" s="6">
        <v>1960</v>
      </c>
      <c r="S1053" s="3" t="s">
        <v>236</v>
      </c>
      <c r="T1053" s="72"/>
      <c r="U1053" s="73">
        <v>41435</v>
      </c>
      <c r="W1053" s="2" t="s">
        <v>62</v>
      </c>
      <c r="X1053" s="10" t="s">
        <v>56</v>
      </c>
      <c r="Y1053" s="10" t="s">
        <v>57</v>
      </c>
      <c r="Z1053" s="75"/>
      <c r="AA1053" s="76"/>
      <c r="AB1053" s="77"/>
      <c r="AC1053" s="77"/>
      <c r="AD1053" s="6"/>
      <c r="AI1053" s="7"/>
      <c r="AJ1053" s="95">
        <v>41435</v>
      </c>
      <c r="AK1053" s="7">
        <v>2010</v>
      </c>
      <c r="AL1053" s="16"/>
      <c r="AW1053" s="6">
        <f t="shared" ca="1" si="18"/>
        <v>58</v>
      </c>
    </row>
    <row r="1054" ht="45" hidden="1" customHeight="1" outlineLevel="1">
      <c r="A1054" s="69"/>
      <c r="B1054" s="3" t="s">
        <v>47</v>
      </c>
      <c r="C1054" s="4" t="s">
        <v>2822</v>
      </c>
      <c r="D1054" s="5" t="s">
        <v>2823</v>
      </c>
      <c r="E1054" s="2" t="s">
        <v>83</v>
      </c>
      <c r="F1054" s="6" t="s">
        <v>179</v>
      </c>
      <c r="G1054" s="5" t="s">
        <v>2824</v>
      </c>
      <c r="H1054" s="2" t="s">
        <v>51</v>
      </c>
      <c r="I1054" s="3" t="s">
        <v>2825</v>
      </c>
      <c r="J1054" s="7">
        <v>1</v>
      </c>
      <c r="K1054" s="104"/>
      <c r="L1054" s="9">
        <v>1</v>
      </c>
      <c r="M1054" s="3">
        <v>796</v>
      </c>
      <c r="N1054" s="6">
        <v>1967</v>
      </c>
      <c r="P1054" s="71"/>
      <c r="Q1054" s="10">
        <v>24744</v>
      </c>
      <c r="R1054" s="6">
        <v>1960</v>
      </c>
      <c r="S1054" s="3" t="s">
        <v>236</v>
      </c>
      <c r="T1054" s="72"/>
      <c r="U1054" s="10">
        <v>45551</v>
      </c>
      <c r="W1054" s="74" t="s">
        <v>62</v>
      </c>
      <c r="X1054" s="10" t="s">
        <v>56</v>
      </c>
      <c r="Y1054" s="10" t="s">
        <v>57</v>
      </c>
      <c r="Z1054" s="75" t="s">
        <v>58</v>
      </c>
      <c r="AA1054" s="76"/>
      <c r="AB1054" s="77"/>
      <c r="AC1054" s="77"/>
      <c r="AD1054" s="6"/>
      <c r="AI1054" s="7"/>
      <c r="AJ1054" s="10">
        <v>45551</v>
      </c>
      <c r="AK1054" s="7">
        <v>2020</v>
      </c>
      <c r="AL1054" s="16" t="s">
        <v>2826</v>
      </c>
      <c r="AW1054" s="6">
        <f t="shared" ca="1" si="18"/>
        <v>58</v>
      </c>
    </row>
    <row r="1055" ht="45" customHeight="1">
      <c r="A1055" s="69"/>
      <c r="B1055" s="3" t="s">
        <v>47</v>
      </c>
      <c r="E1055" s="2" t="s">
        <v>63</v>
      </c>
      <c r="F1055" s="6" t="s">
        <v>64</v>
      </c>
      <c r="G1055" s="5" t="s">
        <v>69</v>
      </c>
      <c r="H1055" s="2" t="s">
        <v>57</v>
      </c>
      <c r="I1055" s="3" t="s">
        <v>2827</v>
      </c>
      <c r="J1055" s="7">
        <v>1</v>
      </c>
      <c r="K1055" s="70" t="s">
        <v>53</v>
      </c>
      <c r="L1055" s="9">
        <v>1</v>
      </c>
      <c r="M1055" s="3">
        <v>797</v>
      </c>
      <c r="N1055" s="6">
        <v>1967</v>
      </c>
      <c r="P1055" s="71"/>
      <c r="R1055" s="6">
        <v>1960</v>
      </c>
      <c r="S1055" s="3" t="s">
        <v>54</v>
      </c>
      <c r="T1055" s="72"/>
      <c r="U1055" s="73"/>
      <c r="W1055" s="2" t="s">
        <v>2828</v>
      </c>
      <c r="X1055" s="10" t="s">
        <v>56</v>
      </c>
      <c r="Y1055" s="10" t="s">
        <v>57</v>
      </c>
      <c r="Z1055" s="75"/>
      <c r="AA1055" s="76"/>
      <c r="AB1055" s="77">
        <v>24967</v>
      </c>
      <c r="AC1055" s="77"/>
      <c r="AD1055" s="6"/>
      <c r="AE1055" s="7">
        <v>1968</v>
      </c>
      <c r="AF1055" s="7" t="s">
        <v>2829</v>
      </c>
      <c r="AG1055" s="7">
        <v>1968</v>
      </c>
      <c r="AH1055" s="7">
        <v>1960</v>
      </c>
      <c r="AI1055" s="7">
        <v>1984</v>
      </c>
      <c r="AJ1055" s="73"/>
      <c r="AK1055" s="7"/>
      <c r="AL1055" s="16" t="s">
        <v>664</v>
      </c>
      <c r="AM1055" s="2" t="s">
        <v>59</v>
      </c>
      <c r="AU1055" s="16" t="s">
        <v>2830</v>
      </c>
      <c r="AW1055" s="6">
        <f t="shared" ca="1" si="18"/>
        <v>58</v>
      </c>
    </row>
    <row r="1056" ht="45" hidden="1" customHeight="1">
      <c r="A1056" s="69">
        <v>43746</v>
      </c>
      <c r="B1056" s="3" t="s">
        <v>190</v>
      </c>
      <c r="C1056" s="4" t="s">
        <v>2831</v>
      </c>
      <c r="D1056" s="5" t="s">
        <v>2832</v>
      </c>
      <c r="E1056" s="2" t="s">
        <v>83</v>
      </c>
      <c r="F1056" s="6" t="s">
        <v>84</v>
      </c>
      <c r="G1056" s="5" t="s">
        <v>85</v>
      </c>
      <c r="H1056" s="2" t="s">
        <v>51</v>
      </c>
      <c r="I1056" s="3" t="s">
        <v>2833</v>
      </c>
      <c r="J1056" s="7">
        <v>1</v>
      </c>
      <c r="L1056" s="9">
        <v>1</v>
      </c>
      <c r="M1056" s="3">
        <v>798</v>
      </c>
      <c r="N1056" s="6">
        <v>1967</v>
      </c>
      <c r="P1056" s="71"/>
      <c r="R1056" s="6">
        <v>1960</v>
      </c>
      <c r="S1056" s="3" t="s">
        <v>283</v>
      </c>
      <c r="T1056" s="72" t="s">
        <v>998</v>
      </c>
      <c r="U1056" s="73"/>
      <c r="W1056" s="74" t="s">
        <v>62</v>
      </c>
      <c r="X1056" s="10" t="s">
        <v>56</v>
      </c>
      <c r="Y1056" s="10" t="s">
        <v>57</v>
      </c>
      <c r="Z1056" s="75" t="s">
        <v>58</v>
      </c>
      <c r="AI1056" s="7"/>
      <c r="AJ1056" s="73"/>
      <c r="AK1056" s="7"/>
      <c r="AL1056" s="16"/>
      <c r="AW1056" s="6">
        <f t="shared" ca="1" si="18"/>
        <v>58</v>
      </c>
    </row>
    <row r="1057" ht="45" hidden="1" customHeight="1">
      <c r="A1057" s="69"/>
      <c r="B1057" s="3" t="s">
        <v>47</v>
      </c>
      <c r="C1057" s="4" t="s">
        <v>2834</v>
      </c>
      <c r="D1057" s="5" t="s">
        <v>2835</v>
      </c>
      <c r="E1057" s="2" t="s">
        <v>83</v>
      </c>
      <c r="F1057" s="6" t="s">
        <v>179</v>
      </c>
      <c r="G1057" s="5" t="s">
        <v>1837</v>
      </c>
      <c r="H1057" s="2" t="s">
        <v>51</v>
      </c>
      <c r="I1057" s="3" t="s">
        <v>2836</v>
      </c>
      <c r="J1057" s="7">
        <v>1</v>
      </c>
      <c r="L1057" s="9">
        <v>1</v>
      </c>
      <c r="M1057" s="3">
        <v>799</v>
      </c>
      <c r="N1057" s="6">
        <v>1967</v>
      </c>
      <c r="P1057" s="71"/>
      <c r="R1057" s="6">
        <v>1960</v>
      </c>
      <c r="S1057" s="3" t="s">
        <v>236</v>
      </c>
      <c r="T1057" s="72"/>
      <c r="U1057" s="73">
        <v>43815</v>
      </c>
      <c r="W1057" s="2" t="s">
        <v>62</v>
      </c>
      <c r="X1057" s="10" t="s">
        <v>56</v>
      </c>
      <c r="Y1057" s="10" t="s">
        <v>68</v>
      </c>
      <c r="Z1057" s="75" t="s">
        <v>58</v>
      </c>
      <c r="AI1057" s="7"/>
      <c r="AJ1057" s="10">
        <v>43815</v>
      </c>
      <c r="AK1057" s="7">
        <v>2010</v>
      </c>
      <c r="AL1057" s="16"/>
      <c r="AW1057" s="6">
        <f t="shared" ca="1" si="18"/>
        <v>58</v>
      </c>
    </row>
    <row r="1058" ht="45" customHeight="1" outlineLevel="1">
      <c r="A1058" s="69"/>
      <c r="B1058" s="3" t="s">
        <v>47</v>
      </c>
      <c r="D1058" s="5" t="s">
        <v>2837</v>
      </c>
      <c r="E1058" s="2" t="s">
        <v>63</v>
      </c>
      <c r="F1058" s="6" t="s">
        <v>172</v>
      </c>
      <c r="G1058" s="5" t="s">
        <v>2838</v>
      </c>
      <c r="H1058" s="2" t="s">
        <v>288</v>
      </c>
      <c r="I1058" s="3" t="s">
        <v>2839</v>
      </c>
      <c r="J1058" s="7">
        <v>1</v>
      </c>
      <c r="K1058" s="70" t="s">
        <v>53</v>
      </c>
      <c r="L1058" s="9">
        <v>1</v>
      </c>
      <c r="M1058" s="3">
        <v>800</v>
      </c>
      <c r="N1058" s="6">
        <v>1968</v>
      </c>
      <c r="P1058" s="71"/>
      <c r="R1058" s="6">
        <v>1960</v>
      </c>
      <c r="S1058" s="3" t="s">
        <v>54</v>
      </c>
      <c r="T1058" s="72"/>
      <c r="U1058" s="73"/>
      <c r="W1058" s="2" t="s">
        <v>2840</v>
      </c>
      <c r="X1058" s="10" t="s">
        <v>56</v>
      </c>
      <c r="Y1058" s="10" t="s">
        <v>288</v>
      </c>
      <c r="Z1058" s="75"/>
      <c r="AA1058" s="76" t="s">
        <v>2841</v>
      </c>
      <c r="AB1058" s="77" t="s">
        <v>2841</v>
      </c>
      <c r="AC1058" s="77"/>
      <c r="AD1058" s="6"/>
      <c r="AF1058" s="7">
        <v>19</v>
      </c>
      <c r="AG1058" s="7">
        <v>1968</v>
      </c>
      <c r="AH1058" s="7">
        <v>1960</v>
      </c>
      <c r="AI1058" s="7" t="s">
        <v>2842</v>
      </c>
      <c r="AJ1058" s="73"/>
      <c r="AK1058" s="7"/>
      <c r="AL1058" s="16"/>
      <c r="AW1058" s="6">
        <f t="shared" ca="1" si="18"/>
        <v>57</v>
      </c>
    </row>
    <row r="1059" ht="45" customHeight="1" outlineLevel="1">
      <c r="A1059" s="69"/>
      <c r="B1059" s="3" t="s">
        <v>47</v>
      </c>
      <c r="E1059" s="2" t="s">
        <v>83</v>
      </c>
      <c r="F1059" s="6" t="s">
        <v>704</v>
      </c>
      <c r="G1059" s="5" t="s">
        <v>2843</v>
      </c>
      <c r="H1059" s="2" t="s">
        <v>57</v>
      </c>
      <c r="I1059" s="3" t="s">
        <v>2844</v>
      </c>
      <c r="J1059" s="7">
        <v>1</v>
      </c>
      <c r="K1059" s="70" t="s">
        <v>53</v>
      </c>
      <c r="L1059" s="9">
        <v>1</v>
      </c>
      <c r="M1059" s="3">
        <v>801</v>
      </c>
      <c r="N1059" s="6">
        <v>1968</v>
      </c>
      <c r="P1059" s="71"/>
      <c r="R1059" s="6">
        <v>1960</v>
      </c>
      <c r="S1059" s="3" t="s">
        <v>54</v>
      </c>
      <c r="T1059" s="72"/>
      <c r="U1059" s="73"/>
      <c r="W1059" s="2" t="s">
        <v>2845</v>
      </c>
      <c r="X1059" s="10" t="s">
        <v>56</v>
      </c>
      <c r="Y1059" s="10" t="s">
        <v>57</v>
      </c>
      <c r="Z1059" s="75"/>
      <c r="AA1059" s="76"/>
      <c r="AB1059" s="77">
        <v>25181</v>
      </c>
      <c r="AC1059" s="77">
        <v>25181</v>
      </c>
      <c r="AD1059" s="10"/>
      <c r="AG1059" s="7">
        <v>1968</v>
      </c>
      <c r="AH1059" s="7">
        <v>1960</v>
      </c>
      <c r="AI1059" s="7"/>
      <c r="AJ1059" s="73"/>
      <c r="AK1059" s="7"/>
      <c r="AL1059" s="16"/>
      <c r="AM1059" s="2" t="s">
        <v>59</v>
      </c>
      <c r="AW1059" s="6">
        <f t="shared" ca="1" si="18"/>
        <v>57</v>
      </c>
    </row>
    <row r="1060" ht="45" hidden="1" customHeight="1" outlineLevel="1">
      <c r="A1060" s="69"/>
      <c r="B1060" s="3" t="s">
        <v>60</v>
      </c>
      <c r="I1060" s="3" t="s">
        <v>61</v>
      </c>
      <c r="J1060" s="7">
        <v>0</v>
      </c>
      <c r="K1060" s="70"/>
      <c r="L1060" s="9">
        <v>1</v>
      </c>
      <c r="M1060" s="3">
        <v>802</v>
      </c>
      <c r="P1060" s="71"/>
      <c r="R1060" s="6" t="s">
        <v>60</v>
      </c>
      <c r="S1060" s="3" t="s">
        <v>60</v>
      </c>
      <c r="T1060" s="72"/>
      <c r="U1060" s="73"/>
      <c r="W1060" s="74" t="s">
        <v>62</v>
      </c>
      <c r="X1060" s="10"/>
      <c r="Y1060" s="10"/>
      <c r="Z1060" s="75"/>
      <c r="AA1060" s="76"/>
      <c r="AB1060" s="77"/>
      <c r="AC1060" s="77"/>
      <c r="AD1060" s="10"/>
      <c r="AI1060" s="7"/>
      <c r="AJ1060" s="73"/>
      <c r="AK1060" s="7"/>
      <c r="AL1060" s="16"/>
      <c r="AW1060" s="6" t="str">
        <f t="shared" ca="1" si="18"/>
        <v/>
      </c>
    </row>
    <row r="1061" ht="45" hidden="1" customHeight="1">
      <c r="A1061" s="69"/>
      <c r="B1061" s="3" t="s">
        <v>47</v>
      </c>
      <c r="C1061" s="4" t="s">
        <v>2846</v>
      </c>
      <c r="D1061" s="5" t="s">
        <v>2847</v>
      </c>
      <c r="E1061" s="2" t="s">
        <v>83</v>
      </c>
      <c r="F1061" s="6" t="s">
        <v>179</v>
      </c>
      <c r="G1061" s="5" t="s">
        <v>1343</v>
      </c>
      <c r="H1061" s="2" t="s">
        <v>57</v>
      </c>
      <c r="I1061" s="3" t="s">
        <v>2848</v>
      </c>
      <c r="J1061" s="7">
        <v>1</v>
      </c>
      <c r="K1061" s="70"/>
      <c r="L1061" s="9">
        <v>1</v>
      </c>
      <c r="M1061" s="3">
        <v>803</v>
      </c>
      <c r="N1061" s="6">
        <v>1968</v>
      </c>
      <c r="O1061" s="10">
        <v>1960</v>
      </c>
      <c r="P1061" s="3"/>
      <c r="Q1061" s="10">
        <v>1968</v>
      </c>
      <c r="R1061" s="6">
        <v>1960</v>
      </c>
      <c r="S1061" s="3" t="s">
        <v>236</v>
      </c>
      <c r="T1061" s="72"/>
      <c r="U1061" s="73"/>
      <c r="W1061" s="2" t="s">
        <v>62</v>
      </c>
      <c r="X1061" s="10" t="s">
        <v>56</v>
      </c>
      <c r="Y1061" s="10" t="s">
        <v>57</v>
      </c>
      <c r="Z1061" s="75"/>
      <c r="AA1061" s="76"/>
      <c r="AB1061" s="77"/>
      <c r="AC1061" s="77"/>
      <c r="AD1061" s="10"/>
      <c r="AI1061" s="7"/>
      <c r="AJ1061" s="10">
        <v>42193</v>
      </c>
      <c r="AK1061" s="7">
        <v>2010</v>
      </c>
      <c r="AL1061" s="16"/>
      <c r="AW1061" s="6">
        <f t="shared" ca="1" si="18"/>
        <v>57</v>
      </c>
    </row>
    <row r="1062" ht="45" hidden="1" customHeight="1" outlineLevel="1">
      <c r="A1062" s="69"/>
      <c r="B1062" s="3" t="s">
        <v>47</v>
      </c>
      <c r="C1062" s="4" t="s">
        <v>2849</v>
      </c>
      <c r="D1062" s="5" t="s">
        <v>2850</v>
      </c>
      <c r="E1062" s="2" t="s">
        <v>48</v>
      </c>
      <c r="F1062" s="6" t="s">
        <v>140</v>
      </c>
      <c r="G1062" s="5" t="s">
        <v>2851</v>
      </c>
      <c r="H1062" s="2" t="s">
        <v>57</v>
      </c>
      <c r="I1062" s="3" t="s">
        <v>2852</v>
      </c>
      <c r="J1062" s="7">
        <v>1</v>
      </c>
      <c r="K1062" s="104"/>
      <c r="L1062" s="9">
        <v>1</v>
      </c>
      <c r="M1062" s="3">
        <v>804</v>
      </c>
      <c r="N1062" s="6">
        <v>1968</v>
      </c>
      <c r="P1062" s="71"/>
      <c r="R1062" s="6">
        <v>1960</v>
      </c>
      <c r="S1062" s="3" t="s">
        <v>236</v>
      </c>
      <c r="T1062" s="72"/>
      <c r="U1062" s="73"/>
      <c r="W1062" s="2" t="s">
        <v>62</v>
      </c>
      <c r="X1062" s="10" t="s">
        <v>56</v>
      </c>
      <c r="Y1062" s="10" t="s">
        <v>57</v>
      </c>
      <c r="Z1062" s="75"/>
      <c r="AA1062" s="76"/>
      <c r="AB1062" s="77"/>
      <c r="AC1062" s="77"/>
      <c r="AD1062" s="6"/>
      <c r="AI1062" s="7"/>
      <c r="AJ1062" s="10">
        <v>42192</v>
      </c>
      <c r="AK1062" s="7">
        <v>2010</v>
      </c>
      <c r="AL1062" s="16"/>
      <c r="AW1062" s="6">
        <f t="shared" ca="1" si="18"/>
        <v>57</v>
      </c>
    </row>
    <row r="1063" ht="45" hidden="1" customHeight="1" outlineLevel="1">
      <c r="A1063" s="69"/>
      <c r="B1063" s="3" t="s">
        <v>47</v>
      </c>
      <c r="C1063" s="4" t="s">
        <v>2853</v>
      </c>
      <c r="E1063" s="2" t="s">
        <v>83</v>
      </c>
      <c r="F1063" s="6" t="s">
        <v>179</v>
      </c>
      <c r="G1063" s="5" t="s">
        <v>1343</v>
      </c>
      <c r="H1063" s="2" t="s">
        <v>57</v>
      </c>
      <c r="I1063" s="96" t="s">
        <v>2854</v>
      </c>
      <c r="J1063" s="7">
        <v>1</v>
      </c>
      <c r="K1063" s="70"/>
      <c r="L1063" s="9">
        <v>1</v>
      </c>
      <c r="M1063" s="3">
        <v>805</v>
      </c>
      <c r="N1063" s="6">
        <v>1968</v>
      </c>
      <c r="P1063" s="71"/>
      <c r="R1063" s="6">
        <v>1960</v>
      </c>
      <c r="S1063" s="3" t="s">
        <v>236</v>
      </c>
      <c r="T1063" s="72"/>
      <c r="U1063" s="73"/>
      <c r="W1063" s="2" t="s">
        <v>62</v>
      </c>
      <c r="X1063" s="10" t="s">
        <v>56</v>
      </c>
      <c r="Y1063" s="10" t="s">
        <v>57</v>
      </c>
      <c r="Z1063" s="75"/>
      <c r="AA1063" s="76"/>
      <c r="AB1063" s="77"/>
      <c r="AC1063" s="77"/>
      <c r="AD1063" s="10"/>
      <c r="AI1063" s="7"/>
      <c r="AJ1063" s="95">
        <v>25042</v>
      </c>
      <c r="AK1063" s="7">
        <v>1960</v>
      </c>
      <c r="AL1063" s="16"/>
      <c r="AW1063" s="6">
        <f t="shared" ref="AW1063:AW1126" ca="1" si="19">IF(N1063&lt;&gt;0,(YEAR(TODAY())-N1063),(""))</f>
        <v>57</v>
      </c>
    </row>
    <row r="1064" ht="45" hidden="1" customHeight="1">
      <c r="A1064" s="69"/>
      <c r="B1064" s="3" t="s">
        <v>47</v>
      </c>
      <c r="C1064" s="4" t="s">
        <v>2855</v>
      </c>
      <c r="D1064" s="5" t="s">
        <v>2856</v>
      </c>
      <c r="E1064" s="2" t="s">
        <v>48</v>
      </c>
      <c r="F1064" s="6" t="s">
        <v>49</v>
      </c>
      <c r="G1064" s="5" t="s">
        <v>2857</v>
      </c>
      <c r="H1064" s="2" t="s">
        <v>57</v>
      </c>
      <c r="I1064" s="3" t="s">
        <v>2858</v>
      </c>
      <c r="J1064" s="7">
        <v>1</v>
      </c>
      <c r="K1064" s="70"/>
      <c r="L1064" s="9">
        <v>1</v>
      </c>
      <c r="M1064" s="3">
        <v>806</v>
      </c>
      <c r="N1064" s="6">
        <v>1968</v>
      </c>
      <c r="P1064" s="71"/>
      <c r="R1064" s="6">
        <v>1960</v>
      </c>
      <c r="S1064" s="3" t="s">
        <v>236</v>
      </c>
      <c r="T1064" s="72"/>
      <c r="U1064" s="73"/>
      <c r="W1064" s="2" t="s">
        <v>62</v>
      </c>
      <c r="X1064" s="10" t="s">
        <v>56</v>
      </c>
      <c r="Y1064" s="10" t="s">
        <v>57</v>
      </c>
      <c r="Z1064" s="75"/>
      <c r="AA1064" s="76"/>
      <c r="AB1064" s="77"/>
      <c r="AC1064" s="77"/>
      <c r="AD1064" s="10"/>
      <c r="AI1064" s="7"/>
      <c r="AJ1064" s="10">
        <v>42193</v>
      </c>
      <c r="AK1064" s="7">
        <v>2010</v>
      </c>
      <c r="AL1064" s="16"/>
      <c r="AW1064" s="6">
        <f t="shared" ca="1" si="19"/>
        <v>57</v>
      </c>
    </row>
    <row r="1065" ht="45" hidden="1" customHeight="1" outlineLevel="1">
      <c r="A1065" s="69"/>
      <c r="B1065" s="3" t="s">
        <v>47</v>
      </c>
      <c r="C1065" s="4" t="s">
        <v>2859</v>
      </c>
      <c r="E1065" s="2" t="s">
        <v>48</v>
      </c>
      <c r="F1065" s="6" t="s">
        <v>564</v>
      </c>
      <c r="G1065" s="5" t="s">
        <v>565</v>
      </c>
      <c r="H1065" s="2" t="s">
        <v>51</v>
      </c>
      <c r="I1065" s="3" t="s">
        <v>2860</v>
      </c>
      <c r="J1065" s="7">
        <v>1</v>
      </c>
      <c r="K1065" s="70"/>
      <c r="L1065" s="9">
        <v>1</v>
      </c>
      <c r="M1065" s="3">
        <v>807</v>
      </c>
      <c r="N1065" s="6">
        <v>1968</v>
      </c>
      <c r="P1065" s="71"/>
      <c r="R1065" s="6">
        <v>1960</v>
      </c>
      <c r="S1065" s="3" t="s">
        <v>236</v>
      </c>
      <c r="T1065" s="72"/>
      <c r="U1065" s="73"/>
      <c r="W1065" s="2" t="s">
        <v>62</v>
      </c>
      <c r="X1065" s="10" t="s">
        <v>56</v>
      </c>
      <c r="Y1065" s="10" t="s">
        <v>57</v>
      </c>
      <c r="Z1065" s="75" t="s">
        <v>58</v>
      </c>
      <c r="AA1065" s="76"/>
      <c r="AB1065" s="77"/>
      <c r="AC1065" s="77"/>
      <c r="AD1065" s="10"/>
      <c r="AE1065" s="7">
        <v>1969</v>
      </c>
      <c r="AF1065" s="7">
        <v>52</v>
      </c>
      <c r="AI1065" s="7"/>
      <c r="AJ1065" s="95">
        <v>25475</v>
      </c>
      <c r="AK1065" s="7">
        <v>1960</v>
      </c>
      <c r="AL1065" s="16" t="s">
        <v>2717</v>
      </c>
      <c r="AU1065" s="16" t="s">
        <v>2861</v>
      </c>
      <c r="AW1065" s="6">
        <f t="shared" ca="1" si="19"/>
        <v>57</v>
      </c>
    </row>
    <row r="1066" ht="45" customHeight="1">
      <c r="A1066" s="69"/>
      <c r="B1066" s="3" t="s">
        <v>47</v>
      </c>
      <c r="E1066" s="2" t="s">
        <v>83</v>
      </c>
      <c r="F1066" s="6" t="s">
        <v>84</v>
      </c>
      <c r="G1066" s="5" t="s">
        <v>850</v>
      </c>
      <c r="H1066" s="2" t="s">
        <v>382</v>
      </c>
      <c r="I1066" s="3" t="s">
        <v>2862</v>
      </c>
      <c r="J1066" s="114">
        <v>1</v>
      </c>
      <c r="K1066" s="70" t="s">
        <v>53</v>
      </c>
      <c r="L1066" s="9">
        <v>1</v>
      </c>
      <c r="M1066" s="3">
        <v>808</v>
      </c>
      <c r="N1066" s="6">
        <v>1968</v>
      </c>
      <c r="P1066" s="71"/>
      <c r="R1066" s="6">
        <v>1960</v>
      </c>
      <c r="S1066" s="3" t="s">
        <v>54</v>
      </c>
      <c r="T1066" s="72"/>
      <c r="U1066" s="73"/>
      <c r="W1066" s="2" t="s">
        <v>2863</v>
      </c>
      <c r="X1066" s="10" t="s">
        <v>91</v>
      </c>
      <c r="Y1066" s="10" t="s">
        <v>385</v>
      </c>
      <c r="Z1066" s="75"/>
      <c r="AA1066" s="76"/>
      <c r="AB1066" s="77"/>
      <c r="AC1066" s="77">
        <v>25756</v>
      </c>
      <c r="AD1066" s="10"/>
      <c r="AE1066" s="7">
        <v>1970</v>
      </c>
      <c r="AF1066" s="7">
        <v>53</v>
      </c>
      <c r="AG1066" s="7">
        <v>1970</v>
      </c>
      <c r="AH1066" s="7">
        <v>1970</v>
      </c>
      <c r="AJ1066" s="73"/>
      <c r="AL1066" s="16"/>
      <c r="AM1066" s="2" t="s">
        <v>59</v>
      </c>
      <c r="AO1066" s="6" t="s">
        <v>59</v>
      </c>
      <c r="AW1066" s="6">
        <f t="shared" ca="1" si="19"/>
        <v>57</v>
      </c>
    </row>
    <row r="1067" ht="45" customHeight="1">
      <c r="A1067" s="69"/>
      <c r="B1067" s="3" t="s">
        <v>190</v>
      </c>
      <c r="C1067" s="4" t="s">
        <v>2864</v>
      </c>
      <c r="D1067" s="5" t="s">
        <v>2865</v>
      </c>
      <c r="E1067" s="2" t="s">
        <v>83</v>
      </c>
      <c r="F1067" s="6" t="s">
        <v>704</v>
      </c>
      <c r="G1067" s="5" t="s">
        <v>705</v>
      </c>
      <c r="H1067" s="2" t="s">
        <v>88</v>
      </c>
      <c r="I1067" s="3" t="s">
        <v>2866</v>
      </c>
      <c r="J1067" s="7">
        <v>1</v>
      </c>
      <c r="K1067" s="70" t="s">
        <v>53</v>
      </c>
      <c r="L1067" s="9">
        <v>1</v>
      </c>
      <c r="M1067" s="3">
        <v>809</v>
      </c>
      <c r="N1067" s="6">
        <v>1968</v>
      </c>
      <c r="P1067" s="71"/>
      <c r="R1067" s="6">
        <v>1960</v>
      </c>
      <c r="S1067" s="3" t="s">
        <v>195</v>
      </c>
      <c r="T1067" s="72"/>
      <c r="U1067" s="73"/>
      <c r="W1067" s="74" t="s">
        <v>2867</v>
      </c>
      <c r="X1067" s="10" t="s">
        <v>91</v>
      </c>
      <c r="Y1067" s="10" t="s">
        <v>92</v>
      </c>
      <c r="Z1067" s="75"/>
      <c r="AA1067" s="76"/>
      <c r="AB1067" s="77"/>
      <c r="AC1067" s="77">
        <v>25541</v>
      </c>
      <c r="AD1067" s="10"/>
      <c r="AE1067" s="7">
        <v>1969</v>
      </c>
      <c r="AF1067" s="7">
        <v>52</v>
      </c>
      <c r="AG1067" s="7">
        <v>1969</v>
      </c>
      <c r="AH1067" s="7">
        <v>1960</v>
      </c>
      <c r="AI1067" s="7"/>
      <c r="AJ1067" s="73"/>
      <c r="AK1067" s="7"/>
      <c r="AM1067" s="2" t="s">
        <v>59</v>
      </c>
      <c r="AO1067" s="6" t="s">
        <v>59</v>
      </c>
      <c r="AW1067" s="6">
        <f t="shared" ca="1" si="19"/>
        <v>57</v>
      </c>
    </row>
    <row r="1068" ht="45" customHeight="1">
      <c r="A1068" s="69"/>
      <c r="B1068" s="3" t="s">
        <v>47</v>
      </c>
      <c r="E1068" s="2" t="s">
        <v>48</v>
      </c>
      <c r="F1068" s="6" t="s">
        <v>564</v>
      </c>
      <c r="G1068" s="5" t="s">
        <v>2868</v>
      </c>
      <c r="H1068" s="2" t="s">
        <v>68</v>
      </c>
      <c r="I1068" s="3" t="s">
        <v>2869</v>
      </c>
      <c r="J1068" s="7">
        <v>1</v>
      </c>
      <c r="K1068" s="70" t="s">
        <v>53</v>
      </c>
      <c r="L1068" s="9">
        <v>1</v>
      </c>
      <c r="M1068" s="3">
        <v>810</v>
      </c>
      <c r="N1068" s="6">
        <v>1968</v>
      </c>
      <c r="P1068" s="71"/>
      <c r="R1068" s="6">
        <v>1960</v>
      </c>
      <c r="S1068" s="3" t="s">
        <v>54</v>
      </c>
      <c r="T1068" s="72"/>
      <c r="U1068" s="73"/>
      <c r="W1068" s="2" t="s">
        <v>2870</v>
      </c>
      <c r="X1068" s="10" t="s">
        <v>56</v>
      </c>
      <c r="Y1068" s="10" t="s">
        <v>68</v>
      </c>
      <c r="Z1068" s="75" t="s">
        <v>260</v>
      </c>
      <c r="AA1068" s="76">
        <v>25521</v>
      </c>
      <c r="AB1068" s="77"/>
      <c r="AC1068" s="77"/>
      <c r="AD1068" s="6"/>
      <c r="AG1068" s="7">
        <v>1969</v>
      </c>
      <c r="AH1068" s="7">
        <v>1960</v>
      </c>
      <c r="AI1068" s="7"/>
      <c r="AJ1068" s="73"/>
      <c r="AK1068" s="7"/>
      <c r="AL1068" s="16"/>
      <c r="AM1068" s="2" t="s">
        <v>136</v>
      </c>
      <c r="AO1068" s="6" t="s">
        <v>136</v>
      </c>
      <c r="AW1068" s="6">
        <f t="shared" ca="1" si="19"/>
        <v>57</v>
      </c>
    </row>
    <row r="1069" ht="45" customHeight="1">
      <c r="A1069" s="69"/>
      <c r="B1069" s="3" t="s">
        <v>47</v>
      </c>
      <c r="E1069" s="2" t="s">
        <v>48</v>
      </c>
      <c r="F1069" s="6" t="s">
        <v>564</v>
      </c>
      <c r="G1069" s="5" t="s">
        <v>2868</v>
      </c>
      <c r="H1069" s="2" t="s">
        <v>57</v>
      </c>
      <c r="I1069" s="3" t="s">
        <v>2871</v>
      </c>
      <c r="J1069" s="7">
        <v>1</v>
      </c>
      <c r="K1069" s="70" t="s">
        <v>53</v>
      </c>
      <c r="L1069" s="9">
        <v>0</v>
      </c>
      <c r="M1069" s="3">
        <v>810</v>
      </c>
      <c r="N1069" s="6">
        <v>1968</v>
      </c>
      <c r="P1069" s="71"/>
      <c r="R1069" s="6">
        <v>1960</v>
      </c>
      <c r="S1069" s="3" t="s">
        <v>54</v>
      </c>
      <c r="T1069" s="72"/>
      <c r="U1069" s="73"/>
      <c r="W1069" s="105" t="s">
        <v>2872</v>
      </c>
      <c r="X1069" s="10" t="s">
        <v>56</v>
      </c>
      <c r="Y1069" s="10" t="s">
        <v>57</v>
      </c>
      <c r="Z1069" s="75"/>
      <c r="AA1069" s="76"/>
      <c r="AB1069" s="77">
        <v>25554</v>
      </c>
      <c r="AC1069" s="77"/>
      <c r="AD1069" s="6"/>
      <c r="AG1069" s="7">
        <v>1969</v>
      </c>
      <c r="AH1069" s="7">
        <v>1960</v>
      </c>
      <c r="AI1069" s="7"/>
      <c r="AJ1069" s="73"/>
      <c r="AK1069" s="7"/>
      <c r="AL1069" s="16"/>
      <c r="AM1069" s="2" t="s">
        <v>59</v>
      </c>
      <c r="AO1069" s="6" t="s">
        <v>136</v>
      </c>
      <c r="AW1069" s="6">
        <f t="shared" ca="1" si="19"/>
        <v>57</v>
      </c>
    </row>
    <row r="1070" ht="45" hidden="1" customHeight="1">
      <c r="A1070" s="69">
        <v>43112</v>
      </c>
      <c r="B1070" s="3" t="s">
        <v>47</v>
      </c>
      <c r="C1070" s="4" t="s">
        <v>2681</v>
      </c>
      <c r="D1070" s="5" t="s">
        <v>2873</v>
      </c>
      <c r="E1070" s="2" t="s">
        <v>83</v>
      </c>
      <c r="F1070" s="6" t="s">
        <v>704</v>
      </c>
      <c r="G1070" s="5" t="s">
        <v>705</v>
      </c>
      <c r="H1070" s="2" t="s">
        <v>57</v>
      </c>
      <c r="I1070" s="3" t="s">
        <v>2874</v>
      </c>
      <c r="J1070" s="7">
        <v>1</v>
      </c>
      <c r="K1070" s="104"/>
      <c r="L1070" s="9">
        <v>1</v>
      </c>
      <c r="M1070" s="3">
        <v>811</v>
      </c>
      <c r="N1070" s="6">
        <v>1969</v>
      </c>
      <c r="P1070" s="71"/>
      <c r="R1070" s="6">
        <v>1960</v>
      </c>
      <c r="S1070" s="3" t="s">
        <v>236</v>
      </c>
      <c r="T1070" s="72" t="s">
        <v>1136</v>
      </c>
      <c r="U1070" s="73"/>
      <c r="W1070" s="2" t="s">
        <v>62</v>
      </c>
      <c r="X1070" s="10" t="s">
        <v>56</v>
      </c>
      <c r="Y1070" s="10" t="s">
        <v>57</v>
      </c>
      <c r="Z1070" s="75"/>
      <c r="AA1070" s="76"/>
      <c r="AB1070" s="77"/>
      <c r="AC1070" s="77"/>
      <c r="AD1070" s="6"/>
      <c r="AI1070" s="7"/>
      <c r="AJ1070" s="10">
        <v>43812</v>
      </c>
      <c r="AK1070" s="7">
        <v>2010</v>
      </c>
      <c r="AL1070" s="16"/>
      <c r="AW1070" s="6">
        <f t="shared" ca="1" si="19"/>
        <v>56</v>
      </c>
    </row>
    <row r="1071" ht="45" customHeight="1">
      <c r="A1071" s="69"/>
      <c r="B1071" s="3" t="s">
        <v>47</v>
      </c>
      <c r="E1071" s="2" t="s">
        <v>694</v>
      </c>
      <c r="F1071" s="6" t="s">
        <v>695</v>
      </c>
      <c r="G1071" s="5" t="s">
        <v>696</v>
      </c>
      <c r="H1071" s="2" t="s">
        <v>68</v>
      </c>
      <c r="I1071" s="3" t="s">
        <v>2875</v>
      </c>
      <c r="J1071" s="7">
        <v>1</v>
      </c>
      <c r="K1071" s="70" t="s">
        <v>53</v>
      </c>
      <c r="L1071" s="9">
        <v>1</v>
      </c>
      <c r="M1071" s="3">
        <v>812</v>
      </c>
      <c r="N1071" s="6">
        <v>1969</v>
      </c>
      <c r="P1071" s="71"/>
      <c r="R1071" s="6">
        <v>1960</v>
      </c>
      <c r="S1071" s="3" t="s">
        <v>54</v>
      </c>
      <c r="T1071" s="72"/>
      <c r="U1071" s="73"/>
      <c r="W1071" s="2" t="s">
        <v>2876</v>
      </c>
      <c r="X1071" s="10" t="s">
        <v>56</v>
      </c>
      <c r="Y1071" s="10" t="s">
        <v>68</v>
      </c>
      <c r="Z1071" s="75"/>
      <c r="AA1071" s="76">
        <v>28438</v>
      </c>
      <c r="AB1071" s="77">
        <v>28438</v>
      </c>
      <c r="AC1071" s="77">
        <v>28438</v>
      </c>
      <c r="AD1071" s="10"/>
      <c r="AE1071" s="7">
        <v>1977</v>
      </c>
      <c r="AF1071" s="7">
        <v>77</v>
      </c>
      <c r="AG1071" s="7">
        <v>1977</v>
      </c>
      <c r="AH1071" s="7">
        <v>1970</v>
      </c>
      <c r="AI1071" s="7"/>
      <c r="AJ1071" s="73"/>
      <c r="AK1071" s="7"/>
      <c r="AL1071" s="16"/>
      <c r="AM1071" s="2" t="s">
        <v>59</v>
      </c>
      <c r="AO1071" s="6" t="s">
        <v>59</v>
      </c>
      <c r="AQ1071" s="5" t="s">
        <v>73</v>
      </c>
      <c r="AW1071" s="6">
        <f t="shared" ca="1" si="19"/>
        <v>56</v>
      </c>
    </row>
    <row r="1072" ht="45" customHeight="1">
      <c r="A1072" s="69"/>
      <c r="B1072" s="3" t="s">
        <v>47</v>
      </c>
      <c r="E1072" s="2" t="s">
        <v>48</v>
      </c>
      <c r="F1072" s="6" t="s">
        <v>49</v>
      </c>
      <c r="G1072" s="5" t="s">
        <v>575</v>
      </c>
      <c r="H1072" s="2" t="s">
        <v>181</v>
      </c>
      <c r="I1072" s="3" t="s">
        <v>2877</v>
      </c>
      <c r="J1072" s="7">
        <v>1</v>
      </c>
      <c r="K1072" s="70" t="s">
        <v>53</v>
      </c>
      <c r="L1072" s="9">
        <v>1</v>
      </c>
      <c r="M1072" s="3">
        <v>813</v>
      </c>
      <c r="N1072" s="6">
        <v>1969</v>
      </c>
      <c r="P1072" s="71"/>
      <c r="R1072" s="6">
        <v>1960</v>
      </c>
      <c r="S1072" s="3" t="s">
        <v>54</v>
      </c>
      <c r="T1072" s="72"/>
      <c r="U1072" s="73"/>
      <c r="W1072" s="2" t="s">
        <v>2878</v>
      </c>
      <c r="X1072" s="10" t="s">
        <v>56</v>
      </c>
      <c r="Y1072" s="10" t="s">
        <v>181</v>
      </c>
      <c r="Z1072" s="75"/>
      <c r="AA1072" s="76"/>
      <c r="AB1072" s="77">
        <v>25590</v>
      </c>
      <c r="AC1072" s="77"/>
      <c r="AD1072" s="6"/>
      <c r="AG1072" s="7">
        <v>1970</v>
      </c>
      <c r="AH1072" s="7">
        <v>1970</v>
      </c>
      <c r="AI1072" s="7"/>
      <c r="AJ1072" s="73"/>
      <c r="AK1072" s="7"/>
      <c r="AL1072" s="16"/>
      <c r="AW1072" s="6">
        <f t="shared" ca="1" si="19"/>
        <v>56</v>
      </c>
    </row>
    <row r="1073" ht="45" customHeight="1">
      <c r="A1073" s="69"/>
      <c r="B1073" s="3" t="s">
        <v>47</v>
      </c>
      <c r="E1073" s="2" t="s">
        <v>48</v>
      </c>
      <c r="F1073" s="6" t="s">
        <v>49</v>
      </c>
      <c r="G1073" s="5" t="s">
        <v>2879</v>
      </c>
      <c r="H1073" s="2" t="s">
        <v>181</v>
      </c>
      <c r="I1073" s="3" t="s">
        <v>2880</v>
      </c>
      <c r="J1073" s="7">
        <v>1</v>
      </c>
      <c r="K1073" s="70" t="s">
        <v>53</v>
      </c>
      <c r="L1073" s="9">
        <v>0</v>
      </c>
      <c r="M1073" s="3">
        <v>813</v>
      </c>
      <c r="N1073" s="6">
        <v>1969</v>
      </c>
      <c r="P1073" s="71"/>
      <c r="R1073" s="6">
        <v>1960</v>
      </c>
      <c r="S1073" s="3" t="s">
        <v>54</v>
      </c>
      <c r="T1073" s="72"/>
      <c r="U1073" s="73"/>
      <c r="W1073" s="2" t="s">
        <v>2881</v>
      </c>
      <c r="X1073" s="10" t="s">
        <v>56</v>
      </c>
      <c r="Y1073" s="10" t="s">
        <v>181</v>
      </c>
      <c r="Z1073" s="75"/>
      <c r="AA1073" s="76">
        <v>25645</v>
      </c>
      <c r="AB1073" s="77"/>
      <c r="AC1073" s="77"/>
      <c r="AD1073" s="6"/>
      <c r="AG1073" s="7">
        <v>1970</v>
      </c>
      <c r="AH1073" s="7">
        <v>1970</v>
      </c>
      <c r="AI1073" s="7"/>
      <c r="AJ1073" s="73"/>
      <c r="AK1073" s="7"/>
      <c r="AL1073" s="16"/>
      <c r="AW1073" s="6">
        <f t="shared" ca="1" si="19"/>
        <v>56</v>
      </c>
    </row>
    <row r="1074" ht="45" customHeight="1" outlineLevel="1">
      <c r="A1074" s="69"/>
      <c r="B1074" s="3" t="s">
        <v>47</v>
      </c>
      <c r="E1074" s="2" t="s">
        <v>48</v>
      </c>
      <c r="F1074" s="6" t="s">
        <v>49</v>
      </c>
      <c r="G1074" s="5" t="s">
        <v>2882</v>
      </c>
      <c r="H1074" s="2" t="s">
        <v>181</v>
      </c>
      <c r="I1074" s="3" t="s">
        <v>2883</v>
      </c>
      <c r="J1074" s="7">
        <v>1</v>
      </c>
      <c r="K1074" s="70" t="s">
        <v>53</v>
      </c>
      <c r="L1074" s="9">
        <v>0</v>
      </c>
      <c r="M1074" s="3">
        <v>813</v>
      </c>
      <c r="N1074" s="6">
        <v>1969</v>
      </c>
      <c r="P1074" s="71"/>
      <c r="R1074" s="6">
        <v>1960</v>
      </c>
      <c r="S1074" s="3" t="s">
        <v>54</v>
      </c>
      <c r="T1074" s="72"/>
      <c r="U1074" s="73"/>
      <c r="W1074" s="2" t="s">
        <v>2884</v>
      </c>
      <c r="X1074" s="10" t="s">
        <v>56</v>
      </c>
      <c r="Y1074" s="10" t="s">
        <v>181</v>
      </c>
      <c r="Z1074" s="75"/>
      <c r="AA1074" s="76">
        <v>25590</v>
      </c>
      <c r="AB1074" s="77"/>
      <c r="AC1074" s="77"/>
      <c r="AD1074" s="6"/>
      <c r="AG1074" s="7">
        <v>1970</v>
      </c>
      <c r="AH1074" s="7">
        <v>1970</v>
      </c>
      <c r="AI1074" s="7"/>
      <c r="AJ1074" s="73"/>
      <c r="AK1074" s="7"/>
      <c r="AL1074" s="16"/>
      <c r="AM1074" s="2" t="s">
        <v>73</v>
      </c>
      <c r="AO1074" s="6" t="s">
        <v>73</v>
      </c>
      <c r="AU1074" s="16" t="s">
        <v>718</v>
      </c>
      <c r="AW1074" s="6">
        <f t="shared" ca="1" si="19"/>
        <v>56</v>
      </c>
    </row>
    <row r="1075" ht="45" hidden="1" customHeight="1">
      <c r="A1075" s="69"/>
      <c r="B1075" s="3" t="s">
        <v>47</v>
      </c>
      <c r="C1075" s="4" t="s">
        <v>1345</v>
      </c>
      <c r="D1075" s="5" t="s">
        <v>2885</v>
      </c>
      <c r="E1075" s="2" t="s">
        <v>48</v>
      </c>
      <c r="F1075" s="6" t="s">
        <v>49</v>
      </c>
      <c r="G1075" s="5" t="s">
        <v>470</v>
      </c>
      <c r="H1075" s="2" t="s">
        <v>51</v>
      </c>
      <c r="I1075" s="3" t="s">
        <v>2886</v>
      </c>
      <c r="J1075" s="7">
        <v>1</v>
      </c>
      <c r="K1075" s="104"/>
      <c r="L1075" s="9">
        <v>1</v>
      </c>
      <c r="M1075" s="3">
        <v>814</v>
      </c>
      <c r="N1075" s="6">
        <v>1969</v>
      </c>
      <c r="P1075" s="71"/>
      <c r="R1075" s="6">
        <v>1960</v>
      </c>
      <c r="S1075" s="3" t="s">
        <v>236</v>
      </c>
      <c r="T1075" s="72"/>
      <c r="U1075" s="73"/>
      <c r="W1075" s="2" t="s">
        <v>62</v>
      </c>
      <c r="X1075" s="10" t="s">
        <v>56</v>
      </c>
      <c r="Y1075" s="10" t="s">
        <v>57</v>
      </c>
      <c r="Z1075" s="75" t="s">
        <v>58</v>
      </c>
      <c r="AA1075" s="76"/>
      <c r="AB1075" s="77"/>
      <c r="AC1075" s="77"/>
      <c r="AD1075" s="6"/>
      <c r="AI1075" s="7"/>
      <c r="AJ1075" s="95">
        <v>41878</v>
      </c>
      <c r="AK1075" s="7">
        <v>2010</v>
      </c>
      <c r="AL1075" s="16"/>
      <c r="AW1075" s="6">
        <f t="shared" ca="1" si="19"/>
        <v>56</v>
      </c>
    </row>
    <row r="1076" ht="45" customHeight="1">
      <c r="A1076" s="69"/>
      <c r="B1076" s="3" t="s">
        <v>47</v>
      </c>
      <c r="E1076" s="2" t="s">
        <v>83</v>
      </c>
      <c r="F1076" s="6" t="s">
        <v>179</v>
      </c>
      <c r="G1076" s="5" t="s">
        <v>2887</v>
      </c>
      <c r="H1076" s="2" t="s">
        <v>51</v>
      </c>
      <c r="I1076" s="3" t="s">
        <v>2888</v>
      </c>
      <c r="J1076" s="7">
        <v>1</v>
      </c>
      <c r="K1076" s="70" t="s">
        <v>53</v>
      </c>
      <c r="L1076" s="9">
        <v>1</v>
      </c>
      <c r="M1076" s="3">
        <v>815</v>
      </c>
      <c r="N1076" s="6">
        <v>1969</v>
      </c>
      <c r="P1076" s="71"/>
      <c r="R1076" s="6">
        <v>1960</v>
      </c>
      <c r="S1076" s="3" t="s">
        <v>54</v>
      </c>
      <c r="T1076" s="72"/>
      <c r="U1076" s="73"/>
      <c r="W1076" s="2" t="s">
        <v>2889</v>
      </c>
      <c r="X1076" s="10" t="s">
        <v>56</v>
      </c>
      <c r="Y1076" s="10" t="s">
        <v>57</v>
      </c>
      <c r="Z1076" s="75" t="s">
        <v>58</v>
      </c>
      <c r="AA1076" s="76"/>
      <c r="AB1076" s="77">
        <v>25527</v>
      </c>
      <c r="AC1076" s="77"/>
      <c r="AD1076" s="6"/>
      <c r="AG1076" s="7">
        <v>1969</v>
      </c>
      <c r="AH1076" s="7">
        <v>1960</v>
      </c>
      <c r="AI1076" s="7"/>
      <c r="AJ1076" s="73"/>
      <c r="AK1076" s="7"/>
      <c r="AL1076" s="16"/>
      <c r="AM1076" s="2" t="s">
        <v>59</v>
      </c>
      <c r="AW1076" s="6">
        <f t="shared" ca="1" si="19"/>
        <v>56</v>
      </c>
    </row>
    <row r="1077" ht="45" customHeight="1">
      <c r="A1077" s="69"/>
      <c r="B1077" s="3" t="s">
        <v>47</v>
      </c>
      <c r="E1077" s="2" t="s">
        <v>83</v>
      </c>
      <c r="F1077" s="6" t="s">
        <v>84</v>
      </c>
      <c r="G1077" s="5" t="s">
        <v>1068</v>
      </c>
      <c r="H1077" s="2" t="s">
        <v>382</v>
      </c>
      <c r="I1077" s="3" t="s">
        <v>1327</v>
      </c>
      <c r="J1077" s="7">
        <v>1</v>
      </c>
      <c r="K1077" s="70" t="s">
        <v>53</v>
      </c>
      <c r="L1077" s="9">
        <v>1</v>
      </c>
      <c r="M1077" s="3">
        <v>816</v>
      </c>
      <c r="N1077" s="6">
        <v>1969</v>
      </c>
      <c r="P1077" s="71"/>
      <c r="R1077" s="6">
        <v>1960</v>
      </c>
      <c r="S1077" s="3" t="s">
        <v>54</v>
      </c>
      <c r="T1077" s="72"/>
      <c r="U1077" s="73"/>
      <c r="W1077" s="2" t="s">
        <v>2890</v>
      </c>
      <c r="X1077" s="10" t="s">
        <v>91</v>
      </c>
      <c r="Y1077" s="10" t="s">
        <v>385</v>
      </c>
      <c r="Z1077" s="75"/>
      <c r="AA1077" s="76"/>
      <c r="AB1077" s="77"/>
      <c r="AC1077" s="77">
        <v>25548</v>
      </c>
      <c r="AD1077" s="10"/>
      <c r="AG1077" s="7">
        <v>1969</v>
      </c>
      <c r="AH1077" s="7">
        <v>1960</v>
      </c>
      <c r="AI1077" s="7"/>
      <c r="AJ1077" s="73"/>
      <c r="AK1077" s="7"/>
      <c r="AL1077" s="16"/>
      <c r="AM1077" s="2" t="s">
        <v>59</v>
      </c>
      <c r="AO1077" s="6" t="s">
        <v>59</v>
      </c>
      <c r="AW1077" s="6">
        <f t="shared" ca="1" si="19"/>
        <v>56</v>
      </c>
    </row>
    <row r="1078" ht="45" customHeight="1" outlineLevel="1">
      <c r="A1078" s="69"/>
      <c r="B1078" s="3" t="s">
        <v>47</v>
      </c>
      <c r="E1078" s="78" t="s">
        <v>83</v>
      </c>
      <c r="F1078" s="79" t="s">
        <v>84</v>
      </c>
      <c r="G1078" s="80" t="s">
        <v>1068</v>
      </c>
      <c r="H1078" s="78" t="s">
        <v>68</v>
      </c>
      <c r="I1078" s="81" t="s">
        <v>2891</v>
      </c>
      <c r="J1078" s="7">
        <v>1</v>
      </c>
      <c r="K1078" s="70" t="s">
        <v>53</v>
      </c>
      <c r="L1078" s="9">
        <v>0</v>
      </c>
      <c r="M1078" s="3">
        <v>816</v>
      </c>
      <c r="N1078" s="6">
        <v>1969</v>
      </c>
      <c r="P1078" s="71"/>
      <c r="R1078" s="6">
        <v>1960</v>
      </c>
      <c r="S1078" s="3" t="s">
        <v>54</v>
      </c>
      <c r="T1078" s="72"/>
      <c r="U1078" s="73"/>
      <c r="W1078" s="78" t="s">
        <v>2892</v>
      </c>
      <c r="X1078" s="82" t="s">
        <v>56</v>
      </c>
      <c r="Y1078" s="82" t="s">
        <v>288</v>
      </c>
      <c r="Z1078" s="83"/>
      <c r="AA1078" s="76">
        <v>25548</v>
      </c>
      <c r="AB1078" s="77"/>
      <c r="AC1078" s="77"/>
      <c r="AD1078" s="6"/>
      <c r="AG1078" s="7">
        <v>1969</v>
      </c>
      <c r="AH1078" s="7">
        <v>1960</v>
      </c>
      <c r="AI1078" s="7"/>
      <c r="AJ1078" s="73"/>
      <c r="AK1078" s="7"/>
      <c r="AL1078" s="16"/>
      <c r="AM1078" s="2" t="s">
        <v>53</v>
      </c>
      <c r="AN1078" s="6" t="s">
        <v>73</v>
      </c>
      <c r="AO1078" s="6" t="s">
        <v>136</v>
      </c>
      <c r="AP1078" s="6" t="s">
        <v>104</v>
      </c>
      <c r="AQ1078" s="5" t="s">
        <v>73</v>
      </c>
      <c r="AU1078" s="16" t="s">
        <v>718</v>
      </c>
      <c r="AW1078" s="6">
        <f t="shared" ca="1" si="19"/>
        <v>56</v>
      </c>
    </row>
    <row r="1079" ht="45" hidden="1" customHeight="1">
      <c r="A1079" s="69"/>
      <c r="B1079" s="3" t="s">
        <v>47</v>
      </c>
      <c r="C1079" s="4" t="s">
        <v>2893</v>
      </c>
      <c r="D1079" s="5" t="s">
        <v>2894</v>
      </c>
      <c r="E1079" s="2" t="s">
        <v>83</v>
      </c>
      <c r="F1079" s="6" t="s">
        <v>179</v>
      </c>
      <c r="G1079" s="5" t="s">
        <v>921</v>
      </c>
      <c r="H1079" s="2" t="s">
        <v>57</v>
      </c>
      <c r="I1079" s="3" t="s">
        <v>2895</v>
      </c>
      <c r="J1079" s="7">
        <v>1</v>
      </c>
      <c r="K1079" s="104"/>
      <c r="L1079" s="9">
        <v>1</v>
      </c>
      <c r="M1079" s="3">
        <v>817</v>
      </c>
      <c r="N1079" s="6">
        <v>1969</v>
      </c>
      <c r="P1079" s="71"/>
      <c r="R1079" s="6">
        <v>1960</v>
      </c>
      <c r="S1079" s="3" t="s">
        <v>236</v>
      </c>
      <c r="T1079" s="178"/>
      <c r="U1079" s="10">
        <v>44360</v>
      </c>
      <c r="W1079" s="2" t="s">
        <v>62</v>
      </c>
      <c r="X1079" s="10"/>
      <c r="Y1079" s="10"/>
      <c r="Z1079" s="75"/>
      <c r="AJ1079" s="10">
        <v>44385</v>
      </c>
      <c r="AK1079" s="6">
        <v>2020</v>
      </c>
      <c r="AL1079" s="16"/>
      <c r="AW1079" s="6">
        <f t="shared" ca="1" si="19"/>
        <v>56</v>
      </c>
    </row>
    <row r="1080" ht="45" customHeight="1">
      <c r="A1080" s="69">
        <v>43460</v>
      </c>
      <c r="B1080" s="3" t="s">
        <v>190</v>
      </c>
      <c r="C1080" s="4" t="s">
        <v>2896</v>
      </c>
      <c r="D1080" s="5" t="s">
        <v>2897</v>
      </c>
      <c r="E1080" s="2" t="s">
        <v>83</v>
      </c>
      <c r="F1080" s="6" t="s">
        <v>704</v>
      </c>
      <c r="G1080" s="5" t="s">
        <v>705</v>
      </c>
      <c r="H1080" s="2" t="s">
        <v>88</v>
      </c>
      <c r="I1080" s="3" t="s">
        <v>2898</v>
      </c>
      <c r="J1080" s="7">
        <v>1</v>
      </c>
      <c r="K1080" s="70" t="s">
        <v>53</v>
      </c>
      <c r="L1080" s="9">
        <v>1</v>
      </c>
      <c r="M1080" s="3">
        <v>818</v>
      </c>
      <c r="N1080" s="6">
        <v>1969</v>
      </c>
      <c r="P1080" s="71"/>
      <c r="R1080" s="6">
        <v>1960</v>
      </c>
      <c r="S1080" s="3" t="s">
        <v>54</v>
      </c>
      <c r="T1080" s="72"/>
      <c r="U1080" s="73"/>
      <c r="W1080" s="74" t="s">
        <v>2899</v>
      </c>
      <c r="X1080" s="10" t="s">
        <v>91</v>
      </c>
      <c r="Y1080" s="95" t="s">
        <v>92</v>
      </c>
      <c r="Z1080" s="75"/>
      <c r="AA1080" s="76"/>
      <c r="AB1080" s="77"/>
      <c r="AC1080" s="77">
        <v>25548</v>
      </c>
      <c r="AD1080" s="10"/>
      <c r="AG1080" s="7">
        <v>1969</v>
      </c>
      <c r="AH1080" s="7">
        <v>1960</v>
      </c>
      <c r="AI1080" s="7"/>
      <c r="AJ1080" s="73"/>
      <c r="AK1080" s="7"/>
      <c r="AM1080" s="2" t="s">
        <v>59</v>
      </c>
      <c r="AO1080" s="6" t="s">
        <v>59</v>
      </c>
      <c r="AW1080" s="6">
        <f t="shared" ca="1" si="19"/>
        <v>56</v>
      </c>
    </row>
    <row r="1081" ht="45" hidden="1" customHeight="1">
      <c r="A1081" s="69"/>
      <c r="B1081" s="3" t="s">
        <v>47</v>
      </c>
      <c r="C1081" s="4" t="s">
        <v>2900</v>
      </c>
      <c r="D1081" s="5" t="s">
        <v>2901</v>
      </c>
      <c r="E1081" s="2" t="s">
        <v>83</v>
      </c>
      <c r="F1081" s="6" t="s">
        <v>84</v>
      </c>
      <c r="G1081" s="5" t="s">
        <v>2707</v>
      </c>
      <c r="H1081" s="2" t="s">
        <v>68</v>
      </c>
      <c r="I1081" s="3" t="s">
        <v>2902</v>
      </c>
      <c r="J1081" s="7">
        <v>1</v>
      </c>
      <c r="K1081" s="70"/>
      <c r="L1081" s="9">
        <v>1</v>
      </c>
      <c r="M1081" s="3">
        <v>819</v>
      </c>
      <c r="N1081" s="6">
        <v>1969</v>
      </c>
      <c r="P1081" s="71"/>
      <c r="R1081" s="6">
        <v>1960</v>
      </c>
      <c r="S1081" s="3" t="s">
        <v>236</v>
      </c>
      <c r="T1081" s="72"/>
      <c r="W1081" s="2" t="s">
        <v>62</v>
      </c>
      <c r="X1081" s="10" t="s">
        <v>56</v>
      </c>
      <c r="Y1081" s="10" t="s">
        <v>68</v>
      </c>
      <c r="Z1081" s="75" t="s">
        <v>905</v>
      </c>
      <c r="AA1081" s="76"/>
      <c r="AB1081" s="77"/>
      <c r="AC1081" s="77"/>
      <c r="AD1081" s="10"/>
      <c r="AI1081" s="7"/>
      <c r="AJ1081" s="10">
        <v>44460</v>
      </c>
      <c r="AK1081" s="7">
        <v>2020</v>
      </c>
      <c r="AL1081" s="16"/>
      <c r="AW1081" s="6">
        <f t="shared" ca="1" si="19"/>
        <v>56</v>
      </c>
    </row>
    <row r="1082" ht="45" customHeight="1">
      <c r="A1082" s="69"/>
      <c r="B1082" s="3" t="s">
        <v>47</v>
      </c>
      <c r="E1082" s="2" t="s">
        <v>83</v>
      </c>
      <c r="F1082" s="6" t="s">
        <v>84</v>
      </c>
      <c r="G1082" s="5" t="s">
        <v>2903</v>
      </c>
      <c r="H1082" s="2" t="s">
        <v>51</v>
      </c>
      <c r="I1082" s="3" t="s">
        <v>2904</v>
      </c>
      <c r="J1082" s="7">
        <v>1</v>
      </c>
      <c r="K1082" s="70" t="s">
        <v>53</v>
      </c>
      <c r="L1082" s="9">
        <v>1</v>
      </c>
      <c r="M1082" s="3">
        <v>820</v>
      </c>
      <c r="N1082" s="6">
        <v>1969</v>
      </c>
      <c r="P1082" s="71"/>
      <c r="R1082" s="6">
        <v>1960</v>
      </c>
      <c r="S1082" s="3" t="s">
        <v>54</v>
      </c>
      <c r="T1082" s="72"/>
      <c r="U1082" s="73"/>
      <c r="W1082" s="2" t="s">
        <v>2905</v>
      </c>
      <c r="X1082" s="10" t="s">
        <v>56</v>
      </c>
      <c r="Y1082" s="10" t="s">
        <v>57</v>
      </c>
      <c r="Z1082" s="75" t="s">
        <v>58</v>
      </c>
      <c r="AA1082" s="76"/>
      <c r="AB1082" s="77">
        <v>25645</v>
      </c>
      <c r="AC1082" s="77"/>
      <c r="AD1082" s="6"/>
      <c r="AG1082" s="7">
        <v>1970</v>
      </c>
      <c r="AH1082" s="7">
        <v>1970</v>
      </c>
      <c r="AI1082" s="7"/>
      <c r="AJ1082" s="73"/>
      <c r="AK1082" s="7"/>
      <c r="AL1082" s="16"/>
      <c r="AM1082" s="2" t="s">
        <v>59</v>
      </c>
      <c r="AW1082" s="6">
        <f t="shared" ca="1" si="19"/>
        <v>56</v>
      </c>
    </row>
    <row r="1083" ht="45" hidden="1" customHeight="1" outlineLevel="1">
      <c r="A1083" s="69"/>
      <c r="B1083" s="3" t="s">
        <v>47</v>
      </c>
      <c r="C1083" s="4" t="s">
        <v>2906</v>
      </c>
      <c r="E1083" s="2" t="s">
        <v>83</v>
      </c>
      <c r="F1083" s="6" t="s">
        <v>704</v>
      </c>
      <c r="G1083" s="5" t="s">
        <v>915</v>
      </c>
      <c r="H1083" s="2" t="s">
        <v>508</v>
      </c>
      <c r="I1083" s="3" t="s">
        <v>2907</v>
      </c>
      <c r="J1083" s="7">
        <v>1</v>
      </c>
      <c r="K1083" s="104"/>
      <c r="L1083" s="9">
        <v>1</v>
      </c>
      <c r="M1083" s="3">
        <v>821</v>
      </c>
      <c r="N1083" s="6">
        <v>1969</v>
      </c>
      <c r="P1083" s="71"/>
      <c r="R1083" s="6">
        <v>1960</v>
      </c>
      <c r="S1083" s="3" t="s">
        <v>236</v>
      </c>
      <c r="T1083" s="72"/>
      <c r="U1083" s="73"/>
      <c r="W1083" s="2" t="s">
        <v>62</v>
      </c>
      <c r="X1083" s="10" t="s">
        <v>504</v>
      </c>
      <c r="Y1083" s="10" t="s">
        <v>511</v>
      </c>
      <c r="Z1083" s="75"/>
      <c r="AA1083" s="76"/>
      <c r="AB1083" s="77"/>
      <c r="AC1083" s="77"/>
      <c r="AD1083" s="6"/>
      <c r="AI1083" s="7"/>
      <c r="AJ1083" s="95">
        <v>38174</v>
      </c>
      <c r="AK1083" s="7">
        <v>2000</v>
      </c>
      <c r="AL1083" s="16"/>
      <c r="AW1083" s="6">
        <f t="shared" ca="1" si="19"/>
        <v>56</v>
      </c>
    </row>
    <row r="1084" ht="45" customHeight="1" outlineLevel="1">
      <c r="A1084" s="69"/>
      <c r="B1084" s="3" t="s">
        <v>47</v>
      </c>
      <c r="E1084" s="2" t="s">
        <v>83</v>
      </c>
      <c r="F1084" s="6" t="s">
        <v>704</v>
      </c>
      <c r="G1084" s="5" t="s">
        <v>705</v>
      </c>
      <c r="H1084" s="2" t="s">
        <v>382</v>
      </c>
      <c r="I1084" s="3" t="s">
        <v>2908</v>
      </c>
      <c r="J1084" s="114">
        <v>1</v>
      </c>
      <c r="K1084" s="70" t="s">
        <v>53</v>
      </c>
      <c r="L1084" s="9">
        <v>1</v>
      </c>
      <c r="M1084" s="3">
        <v>822</v>
      </c>
      <c r="N1084" s="6">
        <v>1969</v>
      </c>
      <c r="P1084" s="71"/>
      <c r="R1084" s="6">
        <v>1960</v>
      </c>
      <c r="S1084" s="3" t="s">
        <v>54</v>
      </c>
      <c r="T1084" s="72"/>
      <c r="U1084" s="73"/>
      <c r="W1084" s="2" t="s">
        <v>2909</v>
      </c>
      <c r="X1084" s="10" t="s">
        <v>91</v>
      </c>
      <c r="Y1084" s="10" t="s">
        <v>385</v>
      </c>
      <c r="Z1084" s="75"/>
      <c r="AA1084" s="76"/>
      <c r="AB1084" s="77"/>
      <c r="AC1084" s="77">
        <v>25521</v>
      </c>
      <c r="AD1084" s="10"/>
      <c r="AG1084" s="7">
        <v>1969</v>
      </c>
      <c r="AH1084" s="7">
        <v>1960</v>
      </c>
      <c r="AI1084" s="7"/>
      <c r="AJ1084" s="73"/>
      <c r="AK1084" s="7"/>
      <c r="AL1084" s="16"/>
      <c r="AM1084" s="2" t="s">
        <v>59</v>
      </c>
      <c r="AO1084" s="6" t="s">
        <v>59</v>
      </c>
      <c r="AW1084" s="6">
        <f t="shared" ca="1" si="19"/>
        <v>56</v>
      </c>
    </row>
    <row r="1085" ht="45" customHeight="1" outlineLevel="1">
      <c r="A1085" s="69"/>
      <c r="B1085" s="3" t="s">
        <v>47</v>
      </c>
      <c r="E1085" s="2" t="s">
        <v>83</v>
      </c>
      <c r="F1085" s="6" t="s">
        <v>84</v>
      </c>
      <c r="G1085" s="5" t="s">
        <v>85</v>
      </c>
      <c r="H1085" s="2" t="s">
        <v>382</v>
      </c>
      <c r="I1085" s="3" t="s">
        <v>2910</v>
      </c>
      <c r="J1085" s="7">
        <v>1</v>
      </c>
      <c r="K1085" s="70" t="s">
        <v>53</v>
      </c>
      <c r="L1085" s="9">
        <v>1</v>
      </c>
      <c r="M1085" s="3">
        <v>823</v>
      </c>
      <c r="N1085" s="6">
        <v>1969</v>
      </c>
      <c r="P1085" s="71"/>
      <c r="R1085" s="6">
        <v>1960</v>
      </c>
      <c r="S1085" s="3" t="s">
        <v>54</v>
      </c>
      <c r="T1085" s="72"/>
      <c r="U1085" s="73"/>
      <c r="W1085" s="2" t="s">
        <v>2911</v>
      </c>
      <c r="X1085" s="10" t="s">
        <v>91</v>
      </c>
      <c r="Y1085" s="10" t="s">
        <v>385</v>
      </c>
      <c r="Z1085" s="75"/>
      <c r="AA1085" s="76"/>
      <c r="AB1085" s="77"/>
      <c r="AC1085" s="77">
        <v>25553</v>
      </c>
      <c r="AD1085" s="10"/>
      <c r="AG1085" s="7">
        <v>1969</v>
      </c>
      <c r="AH1085" s="7">
        <v>1960</v>
      </c>
      <c r="AI1085" s="7"/>
      <c r="AJ1085" s="73"/>
      <c r="AK1085" s="7"/>
      <c r="AL1085" s="16"/>
      <c r="AM1085" s="2" t="s">
        <v>59</v>
      </c>
      <c r="AO1085" s="6" t="s">
        <v>59</v>
      </c>
      <c r="AU1085" s="16" t="s">
        <v>2912</v>
      </c>
      <c r="AW1085" s="6">
        <f t="shared" ca="1" si="19"/>
        <v>56</v>
      </c>
    </row>
    <row r="1086" ht="45" customHeight="1" outlineLevel="1">
      <c r="A1086" s="69"/>
      <c r="B1086" s="3" t="s">
        <v>47</v>
      </c>
      <c r="E1086" s="2" t="s">
        <v>83</v>
      </c>
      <c r="F1086" s="6" t="s">
        <v>704</v>
      </c>
      <c r="G1086" s="5" t="s">
        <v>705</v>
      </c>
      <c r="H1086" s="2" t="s">
        <v>382</v>
      </c>
      <c r="I1086" s="3" t="s">
        <v>2913</v>
      </c>
      <c r="J1086" s="7">
        <v>1</v>
      </c>
      <c r="K1086" s="70" t="s">
        <v>53</v>
      </c>
      <c r="L1086" s="9">
        <v>1</v>
      </c>
      <c r="M1086" s="3">
        <v>824</v>
      </c>
      <c r="N1086" s="6">
        <v>1969</v>
      </c>
      <c r="P1086" s="71"/>
      <c r="R1086" s="6">
        <v>1960</v>
      </c>
      <c r="S1086" s="3" t="s">
        <v>54</v>
      </c>
      <c r="T1086" s="72"/>
      <c r="U1086" s="73"/>
      <c r="W1086" s="2" t="s">
        <v>2914</v>
      </c>
      <c r="X1086" s="10" t="s">
        <v>91</v>
      </c>
      <c r="Y1086" s="10" t="s">
        <v>385</v>
      </c>
      <c r="Z1086" s="75"/>
      <c r="AA1086" s="76"/>
      <c r="AB1086" s="77"/>
      <c r="AC1086" s="77">
        <v>25559</v>
      </c>
      <c r="AD1086" s="10"/>
      <c r="AG1086" s="7">
        <v>1969</v>
      </c>
      <c r="AH1086" s="7">
        <v>1960</v>
      </c>
      <c r="AI1086" s="7"/>
      <c r="AJ1086" s="73"/>
      <c r="AK1086" s="7"/>
      <c r="AL1086" s="16"/>
      <c r="AM1086" s="2" t="s">
        <v>59</v>
      </c>
      <c r="AO1086" s="6" t="s">
        <v>59</v>
      </c>
      <c r="AU1086" s="16" t="s">
        <v>2915</v>
      </c>
      <c r="AW1086" s="6">
        <f t="shared" ca="1" si="19"/>
        <v>56</v>
      </c>
    </row>
    <row r="1087" ht="45" customHeight="1" outlineLevel="1">
      <c r="A1087" s="69"/>
      <c r="B1087" s="3" t="s">
        <v>47</v>
      </c>
      <c r="E1087" s="2" t="s">
        <v>83</v>
      </c>
      <c r="F1087" s="6" t="s">
        <v>84</v>
      </c>
      <c r="G1087" s="5" t="s">
        <v>85</v>
      </c>
      <c r="H1087" s="2" t="s">
        <v>57</v>
      </c>
      <c r="I1087" s="3" t="s">
        <v>2916</v>
      </c>
      <c r="J1087" s="7">
        <v>1</v>
      </c>
      <c r="K1087" s="70" t="s">
        <v>53</v>
      </c>
      <c r="L1087" s="9">
        <v>1</v>
      </c>
      <c r="M1087" s="3">
        <v>825</v>
      </c>
      <c r="N1087" s="6">
        <v>1970</v>
      </c>
      <c r="P1087" s="71"/>
      <c r="R1087" s="6">
        <v>1970</v>
      </c>
      <c r="S1087" s="3" t="s">
        <v>54</v>
      </c>
      <c r="T1087" s="72"/>
      <c r="U1087" s="73"/>
      <c r="W1087" s="2" t="s">
        <v>2917</v>
      </c>
      <c r="X1087" s="10" t="s">
        <v>56</v>
      </c>
      <c r="Y1087" s="10" t="s">
        <v>57</v>
      </c>
      <c r="Z1087" s="75"/>
      <c r="AA1087" s="76"/>
      <c r="AB1087" s="77">
        <v>25728</v>
      </c>
      <c r="AC1087" s="77">
        <v>25723</v>
      </c>
      <c r="AD1087" s="10"/>
      <c r="AG1087" s="7">
        <v>1970</v>
      </c>
      <c r="AH1087" s="7">
        <v>1970</v>
      </c>
      <c r="AI1087" s="7"/>
      <c r="AJ1087" s="73"/>
      <c r="AK1087" s="7"/>
      <c r="AL1087" s="16"/>
      <c r="AM1087" s="2" t="s">
        <v>59</v>
      </c>
      <c r="AW1087" s="6">
        <f t="shared" ca="1" si="19"/>
        <v>55</v>
      </c>
    </row>
    <row r="1088" ht="45" hidden="1" customHeight="1" outlineLevel="1">
      <c r="A1088" s="69"/>
      <c r="B1088" s="3" t="s">
        <v>47</v>
      </c>
      <c r="C1088" s="4" t="s">
        <v>2918</v>
      </c>
      <c r="D1088" s="5" t="s">
        <v>2919</v>
      </c>
      <c r="E1088" s="2" t="s">
        <v>63</v>
      </c>
      <c r="F1088" s="6" t="s">
        <v>428</v>
      </c>
      <c r="G1088" s="5" t="s">
        <v>2920</v>
      </c>
      <c r="H1088" s="2" t="s">
        <v>57</v>
      </c>
      <c r="I1088" s="3" t="s">
        <v>2921</v>
      </c>
      <c r="J1088" s="7">
        <v>1</v>
      </c>
      <c r="K1088" s="70"/>
      <c r="L1088" s="9">
        <v>1</v>
      </c>
      <c r="M1088" s="3">
        <v>826</v>
      </c>
      <c r="N1088" s="6">
        <v>1970</v>
      </c>
      <c r="P1088" s="71"/>
      <c r="R1088" s="6">
        <v>1970</v>
      </c>
      <c r="S1088" s="3" t="s">
        <v>236</v>
      </c>
      <c r="T1088" s="72"/>
      <c r="U1088" s="73"/>
      <c r="W1088" s="2" t="s">
        <v>62</v>
      </c>
      <c r="X1088" s="10" t="s">
        <v>56</v>
      </c>
      <c r="Y1088" s="10" t="s">
        <v>57</v>
      </c>
      <c r="Z1088" s="75"/>
      <c r="AA1088" s="76"/>
      <c r="AB1088" s="77"/>
      <c r="AC1088" s="77"/>
      <c r="AD1088" s="10"/>
      <c r="AI1088" s="7"/>
      <c r="AJ1088" s="10">
        <v>42422</v>
      </c>
      <c r="AK1088" s="7">
        <v>2010</v>
      </c>
      <c r="AL1088" s="16"/>
      <c r="AU1088" s="16" t="s">
        <v>2922</v>
      </c>
      <c r="AW1088" s="6">
        <f t="shared" ca="1" si="19"/>
        <v>55</v>
      </c>
    </row>
    <row r="1089" ht="45" customHeight="1" outlineLevel="1">
      <c r="A1089" s="69">
        <v>44714</v>
      </c>
      <c r="B1089" s="3" t="s">
        <v>1743</v>
      </c>
      <c r="C1089" s="4" t="s">
        <v>2923</v>
      </c>
      <c r="D1089" s="5" t="s">
        <v>2924</v>
      </c>
      <c r="E1089" s="2" t="s">
        <v>83</v>
      </c>
      <c r="F1089" s="6" t="s">
        <v>84</v>
      </c>
      <c r="G1089" s="5" t="s">
        <v>85</v>
      </c>
      <c r="H1089" s="2" t="s">
        <v>68</v>
      </c>
      <c r="I1089" s="3" t="s">
        <v>2925</v>
      </c>
      <c r="J1089" s="7">
        <v>1</v>
      </c>
      <c r="K1089" s="70" t="s">
        <v>1748</v>
      </c>
      <c r="L1089" s="9">
        <v>1</v>
      </c>
      <c r="M1089" s="3">
        <v>827</v>
      </c>
      <c r="N1089" s="6">
        <v>1970</v>
      </c>
      <c r="P1089" s="71"/>
      <c r="R1089" s="6">
        <v>1970</v>
      </c>
      <c r="S1089" s="3" t="s">
        <v>1749</v>
      </c>
      <c r="T1089" s="72" t="s">
        <v>998</v>
      </c>
      <c r="U1089" s="73"/>
      <c r="V1089" s="12">
        <v>44875</v>
      </c>
      <c r="W1089" s="74" t="s">
        <v>62</v>
      </c>
      <c r="X1089" s="10" t="s">
        <v>56</v>
      </c>
      <c r="Y1089" s="10" t="s">
        <v>57</v>
      </c>
      <c r="Z1089" s="75"/>
      <c r="AA1089" s="76"/>
      <c r="AB1089" s="77"/>
      <c r="AC1089" s="77"/>
      <c r="AD1089" s="10"/>
      <c r="AI1089" s="7"/>
      <c r="AJ1089" s="73"/>
      <c r="AK1089" s="7"/>
      <c r="AL1089" s="16"/>
      <c r="AW1089" s="6">
        <f t="shared" ca="1" si="19"/>
        <v>55</v>
      </c>
    </row>
    <row r="1090" ht="45" customHeight="1" outlineLevel="1">
      <c r="A1090" s="69"/>
      <c r="B1090" s="3" t="s">
        <v>47</v>
      </c>
      <c r="E1090" s="2" t="s">
        <v>63</v>
      </c>
      <c r="F1090" s="6" t="s">
        <v>217</v>
      </c>
      <c r="G1090" s="5" t="s">
        <v>221</v>
      </c>
      <c r="H1090" s="2" t="s">
        <v>57</v>
      </c>
      <c r="I1090" s="3" t="s">
        <v>2926</v>
      </c>
      <c r="J1090" s="7">
        <v>1</v>
      </c>
      <c r="K1090" s="70" t="s">
        <v>53</v>
      </c>
      <c r="L1090" s="9">
        <v>1</v>
      </c>
      <c r="M1090" s="3">
        <v>828</v>
      </c>
      <c r="N1090" s="6">
        <v>1970</v>
      </c>
      <c r="P1090" s="71"/>
      <c r="R1090" s="6">
        <v>1970</v>
      </c>
      <c r="S1090" s="3" t="s">
        <v>54</v>
      </c>
      <c r="T1090" s="72"/>
      <c r="U1090" s="73"/>
      <c r="W1090" s="2" t="s">
        <v>2927</v>
      </c>
      <c r="X1090" s="10" t="s">
        <v>56</v>
      </c>
      <c r="Y1090" s="10" t="s">
        <v>57</v>
      </c>
      <c r="Z1090" s="75"/>
      <c r="AA1090" s="76"/>
      <c r="AB1090" s="77">
        <v>26049</v>
      </c>
      <c r="AC1090" s="77"/>
      <c r="AD1090" s="6"/>
      <c r="AG1090" s="7">
        <v>1971</v>
      </c>
      <c r="AH1090" s="7">
        <v>1970</v>
      </c>
      <c r="AI1090" s="7"/>
      <c r="AJ1090" s="73"/>
      <c r="AK1090" s="7"/>
      <c r="AL1090" s="16" t="s">
        <v>224</v>
      </c>
      <c r="AM1090" s="2" t="s">
        <v>59</v>
      </c>
      <c r="AO1090" s="6" t="s">
        <v>59</v>
      </c>
      <c r="AP1090" s="6" t="s">
        <v>104</v>
      </c>
      <c r="AQ1090" s="5" t="s">
        <v>104</v>
      </c>
      <c r="AW1090" s="6">
        <f t="shared" ca="1" si="19"/>
        <v>55</v>
      </c>
    </row>
    <row r="1091" ht="45" customHeight="1" outlineLevel="1">
      <c r="A1091" s="69"/>
      <c r="B1091" s="3" t="s">
        <v>47</v>
      </c>
      <c r="E1091" s="2" t="s">
        <v>83</v>
      </c>
      <c r="F1091" s="6" t="s">
        <v>704</v>
      </c>
      <c r="G1091" s="5" t="s">
        <v>705</v>
      </c>
      <c r="H1091" s="2" t="s">
        <v>88</v>
      </c>
      <c r="I1091" s="3" t="s">
        <v>2928</v>
      </c>
      <c r="J1091" s="7">
        <v>1</v>
      </c>
      <c r="K1091" s="70" t="s">
        <v>53</v>
      </c>
      <c r="L1091" s="9">
        <v>1</v>
      </c>
      <c r="M1091" s="3">
        <v>829</v>
      </c>
      <c r="N1091" s="6">
        <v>1970</v>
      </c>
      <c r="P1091" s="71"/>
      <c r="R1091" s="6">
        <v>1970</v>
      </c>
      <c r="S1091" s="3" t="s">
        <v>54</v>
      </c>
      <c r="T1091" s="72"/>
      <c r="U1091" s="73"/>
      <c r="W1091" s="2" t="s">
        <v>2929</v>
      </c>
      <c r="X1091" s="10" t="s">
        <v>91</v>
      </c>
      <c r="Y1091" s="95" t="s">
        <v>92</v>
      </c>
      <c r="Z1091" s="75"/>
      <c r="AA1091" s="76"/>
      <c r="AB1091" s="77">
        <v>29410</v>
      </c>
      <c r="AC1091" s="77">
        <v>29410</v>
      </c>
      <c r="AD1091" s="10"/>
      <c r="AE1091" s="7">
        <v>1980</v>
      </c>
      <c r="AF1091" s="7">
        <v>90</v>
      </c>
      <c r="AG1091" s="7">
        <v>1980</v>
      </c>
      <c r="AH1091" s="7">
        <v>1980</v>
      </c>
      <c r="AI1091" s="7"/>
      <c r="AJ1091" s="73"/>
      <c r="AK1091" s="7"/>
      <c r="AM1091" s="2" t="s">
        <v>59</v>
      </c>
      <c r="AO1091" s="6" t="s">
        <v>59</v>
      </c>
      <c r="AU1091" s="16" t="s">
        <v>2930</v>
      </c>
      <c r="AW1091" s="6">
        <f t="shared" ca="1" si="19"/>
        <v>55</v>
      </c>
    </row>
    <row r="1092" ht="45" hidden="1" customHeight="1" outlineLevel="1">
      <c r="A1092" s="69"/>
      <c r="B1092" s="3" t="s">
        <v>190</v>
      </c>
      <c r="C1092" s="4" t="s">
        <v>2931</v>
      </c>
      <c r="D1092" s="5" t="s">
        <v>2932</v>
      </c>
      <c r="E1092" s="2" t="s">
        <v>48</v>
      </c>
      <c r="F1092" s="6" t="s">
        <v>49</v>
      </c>
      <c r="G1092" s="5" t="s">
        <v>1889</v>
      </c>
      <c r="H1092" s="2" t="s">
        <v>57</v>
      </c>
      <c r="I1092" s="3" t="s">
        <v>2933</v>
      </c>
      <c r="J1092" s="7">
        <v>1</v>
      </c>
      <c r="K1092" s="70"/>
      <c r="L1092" s="9">
        <v>1</v>
      </c>
      <c r="M1092" s="3">
        <v>830</v>
      </c>
      <c r="N1092" s="6">
        <v>1972</v>
      </c>
      <c r="O1092" s="10">
        <v>25898</v>
      </c>
      <c r="P1092" s="71" t="s">
        <v>2934</v>
      </c>
      <c r="Q1092" s="10" t="s">
        <v>1453</v>
      </c>
      <c r="R1092" s="6">
        <v>1970</v>
      </c>
      <c r="S1092" s="3" t="s">
        <v>939</v>
      </c>
      <c r="T1092" s="72"/>
      <c r="U1092" s="73"/>
      <c r="W1092" s="74" t="s">
        <v>62</v>
      </c>
      <c r="X1092" s="10" t="s">
        <v>56</v>
      </c>
      <c r="Y1092" s="10" t="s">
        <v>57</v>
      </c>
      <c r="Z1092" s="75"/>
      <c r="AA1092" s="76"/>
      <c r="AB1092" s="77"/>
      <c r="AC1092" s="77"/>
      <c r="AD1092" s="10"/>
      <c r="AI1092" s="7"/>
      <c r="AJ1092" s="73"/>
      <c r="AK1092" s="7"/>
      <c r="AL1092" s="16"/>
      <c r="AW1092" s="6">
        <f t="shared" ca="1" si="19"/>
        <v>53</v>
      </c>
    </row>
    <row r="1093" ht="45" hidden="1" customHeight="1" outlineLevel="1">
      <c r="A1093" s="69"/>
      <c r="B1093" s="3" t="s">
        <v>190</v>
      </c>
      <c r="C1093" s="4" t="s">
        <v>2935</v>
      </c>
      <c r="D1093" s="5" t="s">
        <v>2936</v>
      </c>
      <c r="E1093" s="2" t="s">
        <v>63</v>
      </c>
      <c r="F1093" s="6" t="s">
        <v>64</v>
      </c>
      <c r="G1093" s="5" t="s">
        <v>2937</v>
      </c>
      <c r="H1093" s="2" t="s">
        <v>51</v>
      </c>
      <c r="I1093" s="3" t="s">
        <v>2938</v>
      </c>
      <c r="J1093" s="7">
        <v>1</v>
      </c>
      <c r="K1093" s="70"/>
      <c r="L1093" s="9">
        <v>1</v>
      </c>
      <c r="M1093" s="3">
        <v>831</v>
      </c>
      <c r="N1093" s="6">
        <v>1970</v>
      </c>
      <c r="O1093" s="10" t="s">
        <v>2939</v>
      </c>
      <c r="P1093" s="71" t="s">
        <v>2940</v>
      </c>
      <c r="Q1093" s="10" t="s">
        <v>1453</v>
      </c>
      <c r="R1093" s="6">
        <v>1970</v>
      </c>
      <c r="S1093" s="3" t="s">
        <v>283</v>
      </c>
      <c r="T1093" s="72"/>
      <c r="U1093" s="73"/>
      <c r="W1093" s="74" t="s">
        <v>62</v>
      </c>
      <c r="X1093" s="10" t="s">
        <v>56</v>
      </c>
      <c r="Y1093" s="10" t="s">
        <v>57</v>
      </c>
      <c r="Z1093" s="75" t="s">
        <v>58</v>
      </c>
      <c r="AA1093" s="76"/>
      <c r="AB1093" s="77"/>
      <c r="AC1093" s="77"/>
      <c r="AD1093" s="10"/>
      <c r="AI1093" s="7"/>
      <c r="AJ1093" s="73"/>
      <c r="AK1093" s="7"/>
      <c r="AL1093" s="16"/>
      <c r="AW1093" s="6">
        <f t="shared" ca="1" si="19"/>
        <v>55</v>
      </c>
    </row>
    <row r="1094" ht="45" customHeight="1" outlineLevel="1">
      <c r="A1094" s="69"/>
      <c r="B1094" s="3" t="s">
        <v>47</v>
      </c>
      <c r="E1094" s="2" t="s">
        <v>83</v>
      </c>
      <c r="F1094" s="6" t="s">
        <v>179</v>
      </c>
      <c r="G1094" s="5" t="s">
        <v>2941</v>
      </c>
      <c r="H1094" s="2" t="s">
        <v>181</v>
      </c>
      <c r="I1094" s="3" t="s">
        <v>2942</v>
      </c>
      <c r="J1094" s="7">
        <v>1</v>
      </c>
      <c r="K1094" s="70" t="s">
        <v>53</v>
      </c>
      <c r="L1094" s="9">
        <v>1</v>
      </c>
      <c r="M1094" s="3">
        <v>832</v>
      </c>
      <c r="N1094" s="6">
        <v>1970</v>
      </c>
      <c r="P1094" s="71"/>
      <c r="R1094" s="6">
        <v>1970</v>
      </c>
      <c r="S1094" s="3" t="s">
        <v>54</v>
      </c>
      <c r="T1094" s="72"/>
      <c r="U1094" s="73"/>
      <c r="W1094" s="2" t="s">
        <v>2943</v>
      </c>
      <c r="X1094" s="10" t="s">
        <v>56</v>
      </c>
      <c r="Y1094" s="10" t="s">
        <v>181</v>
      </c>
      <c r="Z1094" s="75"/>
      <c r="AA1094" s="76"/>
      <c r="AB1094" s="77">
        <v>26197</v>
      </c>
      <c r="AC1094" s="77"/>
      <c r="AD1094" s="6"/>
      <c r="AE1094" s="7">
        <v>1971</v>
      </c>
      <c r="AF1094" s="7">
        <v>55</v>
      </c>
      <c r="AG1094" s="7">
        <v>1971</v>
      </c>
      <c r="AH1094" s="7">
        <v>1970</v>
      </c>
      <c r="AI1094" s="7"/>
      <c r="AJ1094" s="73"/>
      <c r="AK1094" s="7"/>
      <c r="AL1094" s="16"/>
      <c r="AM1094" s="2" t="s">
        <v>59</v>
      </c>
      <c r="AW1094" s="6">
        <f t="shared" ca="1" si="19"/>
        <v>55</v>
      </c>
    </row>
    <row r="1095" ht="45" customHeight="1">
      <c r="A1095" s="69"/>
      <c r="B1095" s="3" t="s">
        <v>47</v>
      </c>
      <c r="E1095" s="2" t="s">
        <v>83</v>
      </c>
      <c r="F1095" s="6" t="s">
        <v>84</v>
      </c>
      <c r="G1095" s="5" t="s">
        <v>1707</v>
      </c>
      <c r="H1095" s="2" t="s">
        <v>501</v>
      </c>
      <c r="I1095" s="3" t="s">
        <v>2944</v>
      </c>
      <c r="J1095" s="7">
        <v>1</v>
      </c>
      <c r="K1095" s="70" t="s">
        <v>53</v>
      </c>
      <c r="L1095" s="9">
        <v>1</v>
      </c>
      <c r="M1095" s="3">
        <v>833</v>
      </c>
      <c r="N1095" s="6">
        <v>1971</v>
      </c>
      <c r="P1095" s="71"/>
      <c r="R1095" s="6">
        <v>1970</v>
      </c>
      <c r="S1095" s="3" t="s">
        <v>54</v>
      </c>
      <c r="T1095" s="72"/>
      <c r="U1095" s="73"/>
      <c r="W1095" s="2" t="s">
        <v>2945</v>
      </c>
      <c r="X1095" s="10" t="s">
        <v>56</v>
      </c>
      <c r="Y1095" s="10" t="s">
        <v>288</v>
      </c>
      <c r="Z1095" s="75"/>
      <c r="AA1095" s="76">
        <v>26484</v>
      </c>
      <c r="AB1095" s="77"/>
      <c r="AC1095" s="77"/>
      <c r="AD1095" s="6"/>
      <c r="AE1095" s="7">
        <v>1971</v>
      </c>
      <c r="AF1095" s="7">
        <v>56</v>
      </c>
      <c r="AG1095" s="7">
        <v>1972</v>
      </c>
      <c r="AH1095" s="7">
        <v>1970</v>
      </c>
      <c r="AI1095" s="7"/>
      <c r="AJ1095" s="73"/>
      <c r="AK1095" s="7"/>
      <c r="AL1095" s="16"/>
      <c r="AM1095" s="2" t="s">
        <v>53</v>
      </c>
      <c r="AO1095" s="6" t="s">
        <v>136</v>
      </c>
      <c r="AQ1095" s="5" t="s">
        <v>104</v>
      </c>
      <c r="AS1095" s="6" t="s">
        <v>73</v>
      </c>
      <c r="AT1095" s="6" t="s">
        <v>2946</v>
      </c>
      <c r="AU1095" s="16" t="s">
        <v>2947</v>
      </c>
      <c r="AW1095" s="6">
        <f t="shared" ca="1" si="19"/>
        <v>54</v>
      </c>
    </row>
    <row r="1096" ht="45" hidden="1" customHeight="1">
      <c r="A1096" s="69"/>
      <c r="B1096" s="3" t="s">
        <v>190</v>
      </c>
      <c r="C1096" s="4" t="s">
        <v>2948</v>
      </c>
      <c r="D1096" s="5" t="s">
        <v>2949</v>
      </c>
      <c r="E1096" s="2" t="s">
        <v>83</v>
      </c>
      <c r="F1096" s="6" t="s">
        <v>179</v>
      </c>
      <c r="G1096" s="5" t="s">
        <v>2950</v>
      </c>
      <c r="H1096" s="2" t="s">
        <v>51</v>
      </c>
      <c r="I1096" s="3" t="s">
        <v>2951</v>
      </c>
      <c r="J1096" s="7">
        <v>1</v>
      </c>
      <c r="K1096" s="104"/>
      <c r="L1096" s="9">
        <v>1</v>
      </c>
      <c r="M1096" s="3">
        <v>834</v>
      </c>
      <c r="N1096" s="6">
        <v>1971</v>
      </c>
      <c r="P1096" s="71"/>
      <c r="R1096" s="6">
        <v>1970</v>
      </c>
      <c r="S1096" s="3" t="s">
        <v>283</v>
      </c>
      <c r="T1096" s="72"/>
      <c r="U1096" s="73"/>
      <c r="W1096" s="74" t="s">
        <v>62</v>
      </c>
      <c r="X1096" s="10" t="s">
        <v>56</v>
      </c>
      <c r="Y1096" s="10" t="s">
        <v>57</v>
      </c>
      <c r="Z1096" s="75" t="s">
        <v>58</v>
      </c>
      <c r="AA1096" s="76"/>
      <c r="AB1096" s="77"/>
      <c r="AC1096" s="77"/>
      <c r="AD1096" s="6"/>
      <c r="AI1096" s="7"/>
      <c r="AJ1096" s="73"/>
      <c r="AK1096" s="7"/>
      <c r="AL1096" s="16"/>
      <c r="AW1096" s="6">
        <f t="shared" ca="1" si="19"/>
        <v>54</v>
      </c>
    </row>
    <row r="1097" ht="45" hidden="1" customHeight="1">
      <c r="A1097" s="69">
        <v>43181</v>
      </c>
      <c r="B1097" s="3" t="s">
        <v>47</v>
      </c>
      <c r="C1097" s="4" t="s">
        <v>2952</v>
      </c>
      <c r="D1097" s="5" t="s">
        <v>2953</v>
      </c>
      <c r="E1097" s="2" t="s">
        <v>63</v>
      </c>
      <c r="F1097" s="6" t="s">
        <v>64</v>
      </c>
      <c r="G1097" s="5" t="s">
        <v>2954</v>
      </c>
      <c r="H1097" s="2" t="s">
        <v>51</v>
      </c>
      <c r="I1097" s="3" t="s">
        <v>2955</v>
      </c>
      <c r="J1097" s="7">
        <v>1</v>
      </c>
      <c r="K1097" s="104"/>
      <c r="L1097" s="9">
        <v>1</v>
      </c>
      <c r="M1097" s="3">
        <v>835</v>
      </c>
      <c r="N1097" s="6">
        <v>1971</v>
      </c>
      <c r="O1097" s="10">
        <v>26056</v>
      </c>
      <c r="P1097" s="71" t="s">
        <v>2956</v>
      </c>
      <c r="Q1097" s="10" t="s">
        <v>1453</v>
      </c>
      <c r="R1097" s="6">
        <v>1970</v>
      </c>
      <c r="S1097" s="3" t="s">
        <v>236</v>
      </c>
      <c r="T1097" s="72"/>
      <c r="W1097" s="2" t="s">
        <v>62</v>
      </c>
      <c r="X1097" s="10" t="s">
        <v>56</v>
      </c>
      <c r="Y1097" s="10" t="s">
        <v>57</v>
      </c>
      <c r="Z1097" s="75" t="s">
        <v>58</v>
      </c>
      <c r="AA1097" s="76"/>
      <c r="AB1097" s="77"/>
      <c r="AC1097" s="77"/>
      <c r="AD1097" s="6"/>
      <c r="AI1097" s="7"/>
      <c r="AJ1097" s="10">
        <v>44645</v>
      </c>
      <c r="AK1097" s="7">
        <v>2020</v>
      </c>
      <c r="AL1097" s="16"/>
      <c r="AW1097" s="6">
        <f t="shared" ca="1" si="19"/>
        <v>54</v>
      </c>
    </row>
    <row r="1098" ht="45" hidden="1" customHeight="1">
      <c r="A1098" s="69"/>
      <c r="B1098" s="3" t="s">
        <v>47</v>
      </c>
      <c r="E1098" s="2" t="s">
        <v>63</v>
      </c>
      <c r="F1098" s="6" t="s">
        <v>64</v>
      </c>
      <c r="G1098" s="5" t="s">
        <v>69</v>
      </c>
      <c r="H1098" s="2" t="s">
        <v>51</v>
      </c>
      <c r="I1098" s="3" t="s">
        <v>2957</v>
      </c>
      <c r="J1098" s="7">
        <v>1</v>
      </c>
      <c r="K1098" s="70" t="s">
        <v>127</v>
      </c>
      <c r="L1098" s="9">
        <v>1</v>
      </c>
      <c r="M1098" s="3">
        <v>836</v>
      </c>
      <c r="N1098" s="6">
        <v>1971</v>
      </c>
      <c r="P1098" s="71"/>
      <c r="R1098" s="6">
        <v>1970</v>
      </c>
      <c r="S1098" s="3" t="s">
        <v>128</v>
      </c>
      <c r="T1098" s="72"/>
      <c r="U1098" s="73"/>
      <c r="W1098" s="2" t="s">
        <v>62</v>
      </c>
      <c r="X1098" s="10" t="s">
        <v>56</v>
      </c>
      <c r="Y1098" s="10" t="s">
        <v>57</v>
      </c>
      <c r="Z1098" s="75" t="s">
        <v>58</v>
      </c>
      <c r="AA1098" s="76"/>
      <c r="AB1098" s="77" t="s">
        <v>129</v>
      </c>
      <c r="AC1098" s="77"/>
      <c r="AD1098" s="6"/>
      <c r="AG1098" s="7">
        <v>1971</v>
      </c>
      <c r="AH1098" s="7">
        <v>1970</v>
      </c>
      <c r="AI1098" s="7"/>
      <c r="AJ1098" s="73"/>
      <c r="AK1098" s="7"/>
      <c r="AL1098" s="102" t="s">
        <v>2958</v>
      </c>
      <c r="AM1098" s="2" t="s">
        <v>59</v>
      </c>
      <c r="AW1098" s="6">
        <f t="shared" ca="1" si="19"/>
        <v>54</v>
      </c>
    </row>
    <row r="1099" ht="45" hidden="1" customHeight="1">
      <c r="A1099" s="69"/>
      <c r="B1099" s="3" t="s">
        <v>47</v>
      </c>
      <c r="C1099" s="4" t="s">
        <v>2959</v>
      </c>
      <c r="D1099" s="5" t="s">
        <v>2960</v>
      </c>
      <c r="E1099" s="2" t="s">
        <v>83</v>
      </c>
      <c r="F1099" s="6" t="s">
        <v>179</v>
      </c>
      <c r="G1099" s="5" t="s">
        <v>2961</v>
      </c>
      <c r="H1099" s="2" t="s">
        <v>57</v>
      </c>
      <c r="I1099" s="3" t="s">
        <v>2962</v>
      </c>
      <c r="J1099" s="7">
        <v>1</v>
      </c>
      <c r="K1099" s="104"/>
      <c r="L1099" s="9">
        <v>1</v>
      </c>
      <c r="M1099" s="3">
        <v>837</v>
      </c>
      <c r="N1099" s="6">
        <v>1971</v>
      </c>
      <c r="O1099" s="10">
        <v>26079</v>
      </c>
      <c r="P1099" s="71"/>
      <c r="R1099" s="6">
        <v>1970</v>
      </c>
      <c r="S1099" s="3" t="s">
        <v>236</v>
      </c>
      <c r="T1099" s="72"/>
      <c r="U1099" s="10">
        <v>43839</v>
      </c>
      <c r="W1099" s="2" t="s">
        <v>62</v>
      </c>
      <c r="X1099" s="10" t="s">
        <v>56</v>
      </c>
      <c r="Y1099" s="10" t="s">
        <v>57</v>
      </c>
      <c r="Z1099" s="75"/>
      <c r="AA1099" s="76"/>
      <c r="AB1099" s="77"/>
      <c r="AC1099" s="77"/>
      <c r="AD1099" s="6"/>
      <c r="AI1099" s="7"/>
      <c r="AJ1099" s="10">
        <v>43839</v>
      </c>
      <c r="AK1099" s="7">
        <v>2020</v>
      </c>
      <c r="AL1099" s="16" t="s">
        <v>2963</v>
      </c>
      <c r="AW1099" s="6">
        <f t="shared" ca="1" si="19"/>
        <v>54</v>
      </c>
    </row>
    <row r="1100" ht="45" hidden="1" customHeight="1">
      <c r="A1100" s="69"/>
      <c r="B1100" s="3" t="s">
        <v>47</v>
      </c>
      <c r="C1100" s="4" t="s">
        <v>2964</v>
      </c>
      <c r="D1100" s="5" t="s">
        <v>2965</v>
      </c>
      <c r="E1100" s="2" t="s">
        <v>83</v>
      </c>
      <c r="F1100" s="6" t="s">
        <v>84</v>
      </c>
      <c r="G1100" s="5" t="s">
        <v>1783</v>
      </c>
      <c r="H1100" s="2" t="s">
        <v>57</v>
      </c>
      <c r="I1100" s="3" t="s">
        <v>2966</v>
      </c>
      <c r="J1100" s="7">
        <v>1</v>
      </c>
      <c r="K1100" s="104"/>
      <c r="L1100" s="9">
        <v>1</v>
      </c>
      <c r="M1100" s="3">
        <v>838</v>
      </c>
      <c r="N1100" s="6">
        <v>1971</v>
      </c>
      <c r="P1100" s="71"/>
      <c r="R1100" s="6">
        <v>1970</v>
      </c>
      <c r="S1100" s="3" t="s">
        <v>236</v>
      </c>
      <c r="T1100" s="72"/>
      <c r="U1100" s="73">
        <v>41050</v>
      </c>
      <c r="W1100" s="2" t="s">
        <v>62</v>
      </c>
      <c r="X1100" s="10" t="s">
        <v>56</v>
      </c>
      <c r="Y1100" s="10" t="s">
        <v>57</v>
      </c>
      <c r="Z1100" s="75"/>
      <c r="AA1100" s="76"/>
      <c r="AB1100" s="77"/>
      <c r="AC1100" s="77"/>
      <c r="AD1100" s="6"/>
      <c r="AI1100" s="7"/>
      <c r="AJ1100" s="10">
        <v>41050</v>
      </c>
      <c r="AK1100" s="7">
        <v>2010</v>
      </c>
      <c r="AL1100" s="16"/>
      <c r="AW1100" s="6">
        <f t="shared" ca="1" si="19"/>
        <v>54</v>
      </c>
    </row>
    <row r="1101" ht="45" customHeight="1">
      <c r="A1101" s="69"/>
      <c r="B1101" s="3" t="s">
        <v>47</v>
      </c>
      <c r="E1101" s="2" t="s">
        <v>83</v>
      </c>
      <c r="F1101" s="6" t="s">
        <v>179</v>
      </c>
      <c r="G1101" s="5" t="s">
        <v>2967</v>
      </c>
      <c r="H1101" s="2" t="s">
        <v>51</v>
      </c>
      <c r="I1101" s="3" t="s">
        <v>2968</v>
      </c>
      <c r="J1101" s="7">
        <v>1</v>
      </c>
      <c r="K1101" s="70" t="s">
        <v>53</v>
      </c>
      <c r="L1101" s="9">
        <v>1</v>
      </c>
      <c r="M1101" s="3">
        <v>839</v>
      </c>
      <c r="N1101" s="6">
        <v>1971</v>
      </c>
      <c r="P1101" s="71"/>
      <c r="R1101" s="6">
        <v>1970</v>
      </c>
      <c r="S1101" s="3" t="s">
        <v>54</v>
      </c>
      <c r="T1101" s="72"/>
      <c r="U1101" s="73"/>
      <c r="W1101" s="2" t="s">
        <v>2969</v>
      </c>
      <c r="X1101" s="10" t="s">
        <v>56</v>
      </c>
      <c r="Y1101" s="10" t="s">
        <v>57</v>
      </c>
      <c r="Z1101" s="75" t="s">
        <v>58</v>
      </c>
      <c r="AA1101" s="76"/>
      <c r="AB1101" s="77"/>
      <c r="AC1101" s="77">
        <v>26204</v>
      </c>
      <c r="AD1101" s="10"/>
      <c r="AG1101" s="7">
        <v>1971</v>
      </c>
      <c r="AH1101" s="7">
        <v>1970</v>
      </c>
      <c r="AI1101" s="7"/>
      <c r="AJ1101" s="73"/>
      <c r="AK1101" s="7"/>
      <c r="AL1101" s="16"/>
      <c r="AM1101" s="2" t="s">
        <v>59</v>
      </c>
      <c r="AW1101" s="6">
        <f t="shared" ca="1" si="19"/>
        <v>54</v>
      </c>
    </row>
    <row r="1102" ht="45" hidden="1" customHeight="1" outlineLevel="1">
      <c r="A1102" s="69"/>
      <c r="B1102" s="3" t="s">
        <v>47</v>
      </c>
      <c r="C1102" s="4" t="s">
        <v>2970</v>
      </c>
      <c r="D1102" s="5" t="s">
        <v>2971</v>
      </c>
      <c r="E1102" s="2" t="s">
        <v>83</v>
      </c>
      <c r="F1102" s="6" t="s">
        <v>84</v>
      </c>
      <c r="G1102" s="5" t="s">
        <v>1053</v>
      </c>
      <c r="H1102" s="2" t="s">
        <v>57</v>
      </c>
      <c r="I1102" s="3" t="s">
        <v>2972</v>
      </c>
      <c r="J1102" s="7">
        <v>1</v>
      </c>
      <c r="K1102" s="70"/>
      <c r="L1102" s="9">
        <v>1</v>
      </c>
      <c r="M1102" s="3">
        <v>840</v>
      </c>
      <c r="N1102" s="6">
        <v>1971</v>
      </c>
      <c r="O1102" s="10">
        <v>25972</v>
      </c>
      <c r="P1102" s="71" t="s">
        <v>2973</v>
      </c>
      <c r="R1102" s="6">
        <v>1970</v>
      </c>
      <c r="S1102" s="3" t="s">
        <v>236</v>
      </c>
      <c r="T1102" s="72"/>
      <c r="U1102" s="73">
        <v>43508</v>
      </c>
      <c r="W1102" s="2" t="s">
        <v>62</v>
      </c>
      <c r="X1102" s="10" t="s">
        <v>56</v>
      </c>
      <c r="Y1102" s="10" t="s">
        <v>57</v>
      </c>
      <c r="Z1102" s="75"/>
      <c r="AA1102" s="76"/>
      <c r="AB1102" s="77"/>
      <c r="AC1102" s="77"/>
      <c r="AD1102" s="10"/>
      <c r="AI1102" s="7"/>
      <c r="AJ1102" s="10">
        <v>43508</v>
      </c>
      <c r="AK1102" s="7">
        <v>2010</v>
      </c>
      <c r="AL1102" s="16"/>
      <c r="AU1102" s="16" t="s">
        <v>2974</v>
      </c>
      <c r="AW1102" s="6">
        <f t="shared" ca="1" si="19"/>
        <v>54</v>
      </c>
    </row>
    <row r="1103" ht="45" hidden="1" customHeight="1" outlineLevel="1">
      <c r="A1103" s="69"/>
      <c r="B1103" s="3" t="s">
        <v>47</v>
      </c>
      <c r="C1103" s="4" t="s">
        <v>2975</v>
      </c>
      <c r="E1103" s="2" t="s">
        <v>694</v>
      </c>
      <c r="F1103" s="6" t="s">
        <v>695</v>
      </c>
      <c r="G1103" s="5" t="s">
        <v>696</v>
      </c>
      <c r="H1103" s="2" t="s">
        <v>57</v>
      </c>
      <c r="I1103" s="3" t="s">
        <v>2976</v>
      </c>
      <c r="J1103" s="7">
        <v>1</v>
      </c>
      <c r="K1103" s="70"/>
      <c r="L1103" s="9">
        <v>1</v>
      </c>
      <c r="M1103" s="3">
        <v>841</v>
      </c>
      <c r="P1103" s="71"/>
      <c r="R1103" s="6">
        <v>1970</v>
      </c>
      <c r="S1103" s="3" t="s">
        <v>939</v>
      </c>
      <c r="T1103" s="72"/>
      <c r="U1103" s="73"/>
      <c r="W1103" s="2" t="s">
        <v>2542</v>
      </c>
      <c r="X1103" s="10"/>
      <c r="Y1103" s="10"/>
      <c r="Z1103" s="75"/>
      <c r="AA1103" s="76"/>
      <c r="AB1103" s="77"/>
      <c r="AC1103" s="77"/>
      <c r="AD1103" s="10"/>
      <c r="AI1103" s="7"/>
      <c r="AJ1103" s="73"/>
      <c r="AK1103" s="7"/>
      <c r="AL1103" s="16"/>
      <c r="AU1103" s="16" t="s">
        <v>2977</v>
      </c>
      <c r="AW1103" s="6" t="str">
        <f t="shared" ca="1" si="19"/>
        <v/>
      </c>
    </row>
    <row r="1104" ht="45" hidden="1" customHeight="1" outlineLevel="1">
      <c r="A1104" s="69"/>
      <c r="B1104" s="3" t="s">
        <v>47</v>
      </c>
      <c r="C1104" s="4" t="s">
        <v>2978</v>
      </c>
      <c r="E1104" s="2" t="s">
        <v>83</v>
      </c>
      <c r="F1104" s="6" t="s">
        <v>704</v>
      </c>
      <c r="G1104" s="5" t="s">
        <v>2013</v>
      </c>
      <c r="H1104" s="2" t="s">
        <v>508</v>
      </c>
      <c r="I1104" s="3" t="s">
        <v>2979</v>
      </c>
      <c r="J1104" s="7">
        <v>1</v>
      </c>
      <c r="K1104" s="70"/>
      <c r="L1104" s="9">
        <v>1</v>
      </c>
      <c r="M1104" s="3">
        <v>842</v>
      </c>
      <c r="N1104" s="6">
        <v>1971</v>
      </c>
      <c r="P1104" s="71"/>
      <c r="R1104" s="6">
        <v>1970</v>
      </c>
      <c r="S1104" s="3" t="s">
        <v>236</v>
      </c>
      <c r="T1104" s="72"/>
      <c r="U1104" s="73"/>
      <c r="W1104" s="2" t="s">
        <v>62</v>
      </c>
      <c r="X1104" s="10" t="s">
        <v>504</v>
      </c>
      <c r="Y1104" s="10" t="s">
        <v>511</v>
      </c>
      <c r="Z1104" s="75"/>
      <c r="AA1104" s="76"/>
      <c r="AB1104" s="77"/>
      <c r="AC1104" s="77"/>
      <c r="AD1104" s="10"/>
      <c r="AE1104" s="7">
        <v>1981</v>
      </c>
      <c r="AF1104" s="7">
        <v>95</v>
      </c>
      <c r="AI1104" s="7"/>
      <c r="AJ1104" s="95">
        <v>29808</v>
      </c>
      <c r="AK1104" s="7">
        <v>1980</v>
      </c>
      <c r="AL1104" s="16"/>
      <c r="AW1104" s="6">
        <f t="shared" ca="1" si="19"/>
        <v>54</v>
      </c>
    </row>
    <row r="1105" ht="45" customHeight="1" outlineLevel="1">
      <c r="A1105" s="69"/>
      <c r="B1105" s="3" t="s">
        <v>47</v>
      </c>
      <c r="E1105" s="2" t="s">
        <v>63</v>
      </c>
      <c r="F1105" s="6" t="s">
        <v>172</v>
      </c>
      <c r="G1105" s="5" t="s">
        <v>618</v>
      </c>
      <c r="H1105" s="2" t="s">
        <v>288</v>
      </c>
      <c r="I1105" s="3" t="s">
        <v>2980</v>
      </c>
      <c r="J1105" s="7">
        <v>1</v>
      </c>
      <c r="K1105" s="70" t="s">
        <v>53</v>
      </c>
      <c r="L1105" s="9">
        <v>1</v>
      </c>
      <c r="M1105" s="3">
        <v>843</v>
      </c>
      <c r="N1105" s="6">
        <v>1971</v>
      </c>
      <c r="P1105" s="71"/>
      <c r="R1105" s="6">
        <v>1970</v>
      </c>
      <c r="S1105" s="3" t="s">
        <v>54</v>
      </c>
      <c r="T1105" s="72"/>
      <c r="U1105" s="73"/>
      <c r="W1105" s="2" t="s">
        <v>2981</v>
      </c>
      <c r="X1105" s="10" t="s">
        <v>56</v>
      </c>
      <c r="Y1105" s="10" t="s">
        <v>288</v>
      </c>
      <c r="Z1105" s="75"/>
      <c r="AA1105" s="76">
        <v>26197</v>
      </c>
      <c r="AB1105" s="77"/>
      <c r="AC1105" s="77"/>
      <c r="AD1105" s="6"/>
      <c r="AG1105" s="7">
        <v>1971</v>
      </c>
      <c r="AH1105" s="7">
        <v>1970</v>
      </c>
      <c r="AI1105" s="7"/>
      <c r="AJ1105" s="73"/>
      <c r="AK1105" s="7"/>
      <c r="AL1105" s="16"/>
      <c r="AM1105" s="2" t="s">
        <v>136</v>
      </c>
      <c r="AO1105" s="6" t="s">
        <v>136</v>
      </c>
      <c r="AR1105" s="87" t="s">
        <v>104</v>
      </c>
      <c r="AS1105" s="88" t="s">
        <v>73</v>
      </c>
      <c r="AT1105" s="88">
        <v>2008</v>
      </c>
      <c r="AU1105" s="89" t="s">
        <v>2982</v>
      </c>
      <c r="AV1105" s="90"/>
      <c r="AW1105" s="6">
        <f t="shared" ca="1" si="19"/>
        <v>54</v>
      </c>
    </row>
    <row r="1106" ht="45" hidden="1">
      <c r="A1106" s="69">
        <v>44631</v>
      </c>
      <c r="B1106" s="3" t="s">
        <v>190</v>
      </c>
      <c r="C1106" s="4" t="s">
        <v>2983</v>
      </c>
      <c r="D1106" s="85" t="s">
        <v>2984</v>
      </c>
      <c r="E1106" s="2" t="s">
        <v>83</v>
      </c>
      <c r="F1106" s="6" t="s">
        <v>84</v>
      </c>
      <c r="G1106" s="5" t="s">
        <v>1783</v>
      </c>
      <c r="H1106" s="2" t="s">
        <v>57</v>
      </c>
      <c r="I1106" s="3" t="s">
        <v>2985</v>
      </c>
      <c r="J1106" s="7">
        <v>1</v>
      </c>
      <c r="K1106" s="104"/>
      <c r="L1106" s="9">
        <v>1</v>
      </c>
      <c r="M1106" s="3">
        <v>844</v>
      </c>
      <c r="N1106" s="6">
        <v>1971</v>
      </c>
      <c r="P1106" s="71"/>
      <c r="R1106" s="6">
        <v>1970</v>
      </c>
      <c r="S1106" s="3" t="s">
        <v>283</v>
      </c>
      <c r="T1106" s="72" t="s">
        <v>998</v>
      </c>
      <c r="U1106" s="73"/>
      <c r="W1106" s="74" t="s">
        <v>62</v>
      </c>
      <c r="X1106" s="10" t="s">
        <v>56</v>
      </c>
      <c r="Y1106" s="10" t="s">
        <v>57</v>
      </c>
      <c r="Z1106" s="75"/>
      <c r="AA1106" s="76"/>
      <c r="AB1106" s="77"/>
      <c r="AC1106" s="77"/>
      <c r="AD1106" s="6"/>
      <c r="AI1106" s="7"/>
      <c r="AJ1106" s="73"/>
      <c r="AK1106" s="7"/>
      <c r="AL1106" s="16"/>
      <c r="AW1106" s="6">
        <f t="shared" ca="1" si="19"/>
        <v>54</v>
      </c>
    </row>
    <row r="1107" ht="45" customHeight="1" outlineLevel="1">
      <c r="A1107" s="69"/>
      <c r="B1107" s="3" t="s">
        <v>47</v>
      </c>
      <c r="E1107" s="2" t="s">
        <v>83</v>
      </c>
      <c r="F1107" s="6" t="s">
        <v>179</v>
      </c>
      <c r="G1107" s="5" t="s">
        <v>2986</v>
      </c>
      <c r="H1107" s="2" t="s">
        <v>382</v>
      </c>
      <c r="I1107" s="3" t="s">
        <v>2987</v>
      </c>
      <c r="J1107" s="7">
        <v>1</v>
      </c>
      <c r="K1107" s="70" t="s">
        <v>53</v>
      </c>
      <c r="L1107" s="9">
        <v>1</v>
      </c>
      <c r="M1107" s="3">
        <v>845</v>
      </c>
      <c r="N1107" s="6">
        <v>1974</v>
      </c>
      <c r="P1107" s="71"/>
      <c r="R1107" s="6">
        <v>1970</v>
      </c>
      <c r="S1107" s="3" t="s">
        <v>54</v>
      </c>
      <c r="T1107" s="72"/>
      <c r="U1107" s="73"/>
      <c r="W1107" s="2" t="s">
        <v>2988</v>
      </c>
      <c r="X1107" s="10" t="s">
        <v>91</v>
      </c>
      <c r="Y1107" s="10" t="s">
        <v>385</v>
      </c>
      <c r="Z1107" s="75"/>
      <c r="AA1107" s="76"/>
      <c r="AB1107" s="77"/>
      <c r="AC1107" s="77">
        <v>26212</v>
      </c>
      <c r="AD1107" s="10"/>
      <c r="AG1107" s="7">
        <v>1971</v>
      </c>
      <c r="AH1107" s="7">
        <v>1970</v>
      </c>
      <c r="AI1107" s="7"/>
      <c r="AJ1107" s="73"/>
      <c r="AK1107" s="7"/>
      <c r="AL1107" s="16"/>
      <c r="AM1107" s="2" t="s">
        <v>59</v>
      </c>
      <c r="AO1107" s="6" t="s">
        <v>59</v>
      </c>
      <c r="AW1107" s="6">
        <f t="shared" ca="1" si="19"/>
        <v>51</v>
      </c>
    </row>
    <row r="1108" ht="45" customHeight="1">
      <c r="A1108" s="69"/>
      <c r="B1108" s="3" t="s">
        <v>47</v>
      </c>
      <c r="E1108" s="2" t="s">
        <v>83</v>
      </c>
      <c r="F1108" s="6" t="s">
        <v>179</v>
      </c>
      <c r="G1108" s="5" t="s">
        <v>2989</v>
      </c>
      <c r="H1108" s="2" t="s">
        <v>57</v>
      </c>
      <c r="I1108" s="3" t="s">
        <v>2990</v>
      </c>
      <c r="J1108" s="7">
        <v>1</v>
      </c>
      <c r="K1108" s="70" t="s">
        <v>53</v>
      </c>
      <c r="L1108" s="9">
        <v>1</v>
      </c>
      <c r="M1108" s="3">
        <v>846</v>
      </c>
      <c r="N1108" s="6">
        <v>1971</v>
      </c>
      <c r="P1108" s="71"/>
      <c r="R1108" s="6">
        <v>1970</v>
      </c>
      <c r="S1108" s="3" t="s">
        <v>54</v>
      </c>
      <c r="T1108" s="72"/>
      <c r="U1108" s="73"/>
      <c r="W1108" s="2" t="s">
        <v>2991</v>
      </c>
      <c r="X1108" s="10" t="s">
        <v>56</v>
      </c>
      <c r="Y1108" s="10" t="s">
        <v>57</v>
      </c>
      <c r="Z1108" s="75"/>
      <c r="AA1108" s="76"/>
      <c r="AB1108" s="77"/>
      <c r="AC1108" s="77">
        <v>26925</v>
      </c>
      <c r="AD1108" s="10"/>
      <c r="AG1108" s="7">
        <v>1973</v>
      </c>
      <c r="AH1108" s="7">
        <v>1970</v>
      </c>
      <c r="AI1108" s="7"/>
      <c r="AJ1108" s="73"/>
      <c r="AK1108" s="7"/>
      <c r="AL1108" s="16"/>
      <c r="AM1108" s="2" t="s">
        <v>59</v>
      </c>
      <c r="AW1108" s="6">
        <f t="shared" ca="1" si="19"/>
        <v>54</v>
      </c>
    </row>
    <row r="1109" ht="45" customHeight="1">
      <c r="A1109" s="69"/>
      <c r="B1109" s="3" t="s">
        <v>190</v>
      </c>
      <c r="C1109" s="4" t="s">
        <v>2992</v>
      </c>
      <c r="D1109" s="5" t="s">
        <v>2993</v>
      </c>
      <c r="E1109" s="2" t="s">
        <v>63</v>
      </c>
      <c r="F1109" s="6" t="s">
        <v>172</v>
      </c>
      <c r="G1109" s="5" t="s">
        <v>2994</v>
      </c>
      <c r="H1109" s="2" t="s">
        <v>288</v>
      </c>
      <c r="I1109" s="3" t="s">
        <v>2995</v>
      </c>
      <c r="J1109" s="7">
        <v>1</v>
      </c>
      <c r="K1109" s="70" t="s">
        <v>53</v>
      </c>
      <c r="L1109" s="9">
        <v>1</v>
      </c>
      <c r="M1109" s="3">
        <v>847</v>
      </c>
      <c r="N1109" s="6">
        <v>1971</v>
      </c>
      <c r="P1109" s="71"/>
      <c r="R1109" s="6">
        <v>1970</v>
      </c>
      <c r="S1109" s="3" t="s">
        <v>54</v>
      </c>
      <c r="T1109" s="72"/>
      <c r="U1109" s="73"/>
      <c r="W1109" s="74" t="s">
        <v>2996</v>
      </c>
      <c r="X1109" s="10" t="s">
        <v>56</v>
      </c>
      <c r="Y1109" s="10" t="s">
        <v>288</v>
      </c>
      <c r="Z1109" s="75"/>
      <c r="AA1109" s="76">
        <v>27015</v>
      </c>
      <c r="AB1109" s="77"/>
      <c r="AC1109" s="77"/>
      <c r="AD1109" s="6"/>
      <c r="AE1109" s="7">
        <v>1973</v>
      </c>
      <c r="AF1109" s="7">
        <v>62</v>
      </c>
      <c r="AG1109" s="7">
        <v>1973</v>
      </c>
      <c r="AH1109" s="7">
        <v>1970</v>
      </c>
      <c r="AI1109" s="7"/>
      <c r="AJ1109" s="73"/>
      <c r="AK1109" s="7"/>
      <c r="AL1109" s="16"/>
      <c r="AU1109" s="16" t="s">
        <v>718</v>
      </c>
      <c r="AW1109" s="6">
        <f t="shared" ca="1" si="19"/>
        <v>54</v>
      </c>
    </row>
    <row r="1110" ht="45" hidden="1" customHeight="1">
      <c r="A1110" s="69">
        <v>43696</v>
      </c>
      <c r="B1110" s="3" t="s">
        <v>47</v>
      </c>
      <c r="C1110" s="4" t="s">
        <v>2997</v>
      </c>
      <c r="D1110" s="5" t="s">
        <v>2998</v>
      </c>
      <c r="E1110" s="2" t="s">
        <v>83</v>
      </c>
      <c r="F1110" s="6" t="s">
        <v>704</v>
      </c>
      <c r="G1110" s="5" t="s">
        <v>1873</v>
      </c>
      <c r="H1110" s="2" t="s">
        <v>288</v>
      </c>
      <c r="I1110" s="3" t="s">
        <v>2999</v>
      </c>
      <c r="J1110" s="7">
        <v>1</v>
      </c>
      <c r="K1110" s="104"/>
      <c r="L1110" s="9">
        <v>1</v>
      </c>
      <c r="M1110" s="3">
        <v>848</v>
      </c>
      <c r="N1110" s="6">
        <v>1971</v>
      </c>
      <c r="O1110" s="10">
        <v>26144</v>
      </c>
      <c r="P1110" s="71" t="s">
        <v>3000</v>
      </c>
      <c r="Q1110" s="10" t="s">
        <v>1453</v>
      </c>
      <c r="R1110" s="6">
        <v>1970</v>
      </c>
      <c r="S1110" s="3" t="s">
        <v>236</v>
      </c>
      <c r="T1110" s="72" t="s">
        <v>1136</v>
      </c>
      <c r="W1110" s="2" t="s">
        <v>62</v>
      </c>
      <c r="X1110" s="10" t="s">
        <v>56</v>
      </c>
      <c r="Y1110" s="10" t="s">
        <v>288</v>
      </c>
      <c r="Z1110" s="75"/>
      <c r="AA1110" s="76"/>
      <c r="AB1110" s="77"/>
      <c r="AC1110" s="77"/>
      <c r="AD1110" s="6"/>
      <c r="AI1110" s="7"/>
      <c r="AJ1110" s="10">
        <v>44508</v>
      </c>
      <c r="AK1110" s="7">
        <v>2020</v>
      </c>
      <c r="AL1110" s="16"/>
      <c r="AW1110" s="6">
        <f t="shared" ca="1" si="19"/>
        <v>54</v>
      </c>
    </row>
    <row r="1111" ht="45" hidden="1" customHeight="1" outlineLevel="1">
      <c r="A1111" s="69"/>
      <c r="B1111" s="3" t="s">
        <v>47</v>
      </c>
      <c r="C1111" s="4" t="s">
        <v>3001</v>
      </c>
      <c r="D1111" s="5" t="s">
        <v>3002</v>
      </c>
      <c r="E1111" s="2" t="s">
        <v>83</v>
      </c>
      <c r="F1111" s="6" t="s">
        <v>179</v>
      </c>
      <c r="G1111" s="5" t="s">
        <v>3003</v>
      </c>
      <c r="H1111" s="2" t="s">
        <v>57</v>
      </c>
      <c r="I1111" s="3" t="s">
        <v>3004</v>
      </c>
      <c r="J1111" s="7">
        <v>1</v>
      </c>
      <c r="K1111" s="104"/>
      <c r="L1111" s="9">
        <v>1</v>
      </c>
      <c r="M1111" s="3">
        <v>849</v>
      </c>
      <c r="N1111" s="6">
        <v>1971</v>
      </c>
      <c r="P1111" s="71"/>
      <c r="R1111" s="6">
        <v>1970</v>
      </c>
      <c r="S1111" s="3" t="s">
        <v>236</v>
      </c>
      <c r="T1111" s="72"/>
      <c r="U1111" s="73"/>
      <c r="W1111" s="2" t="s">
        <v>62</v>
      </c>
      <c r="X1111" s="10" t="s">
        <v>56</v>
      </c>
      <c r="Y1111" s="10" t="s">
        <v>57</v>
      </c>
      <c r="Z1111" s="75"/>
      <c r="AA1111" s="76"/>
      <c r="AB1111" s="77"/>
      <c r="AC1111" s="77"/>
      <c r="AD1111" s="6"/>
      <c r="AI1111" s="7"/>
      <c r="AJ1111" s="95">
        <v>41163</v>
      </c>
      <c r="AK1111" s="7">
        <v>2010</v>
      </c>
      <c r="AL1111" s="16" t="s">
        <v>3005</v>
      </c>
      <c r="AW1111" s="6">
        <f t="shared" ca="1" si="19"/>
        <v>54</v>
      </c>
    </row>
    <row r="1112" ht="45" customHeight="1">
      <c r="A1112" s="69"/>
      <c r="B1112" s="3" t="s">
        <v>47</v>
      </c>
      <c r="E1112" s="2" t="s">
        <v>63</v>
      </c>
      <c r="F1112" s="6" t="s">
        <v>428</v>
      </c>
      <c r="G1112" s="5" t="s">
        <v>3006</v>
      </c>
      <c r="H1112" s="2" t="s">
        <v>51</v>
      </c>
      <c r="I1112" s="3" t="s">
        <v>3007</v>
      </c>
      <c r="J1112" s="7">
        <v>1</v>
      </c>
      <c r="K1112" s="70" t="s">
        <v>53</v>
      </c>
      <c r="L1112" s="9">
        <v>1</v>
      </c>
      <c r="M1112" s="3">
        <v>850</v>
      </c>
      <c r="N1112" s="6">
        <v>1971</v>
      </c>
      <c r="P1112" s="71"/>
      <c r="R1112" s="6">
        <v>1970</v>
      </c>
      <c r="S1112" s="3" t="s">
        <v>54</v>
      </c>
      <c r="T1112" s="72"/>
      <c r="U1112" s="73"/>
      <c r="W1112" s="2" t="s">
        <v>3008</v>
      </c>
      <c r="X1112" s="10" t="s">
        <v>56</v>
      </c>
      <c r="Y1112" s="10" t="s">
        <v>57</v>
      </c>
      <c r="Z1112" s="75" t="s">
        <v>58</v>
      </c>
      <c r="AA1112" s="76"/>
      <c r="AB1112" s="77"/>
      <c r="AC1112" s="77">
        <v>27101</v>
      </c>
      <c r="AD1112" s="10"/>
      <c r="AE1112" s="7">
        <v>1973</v>
      </c>
      <c r="AF1112" s="7">
        <v>61</v>
      </c>
      <c r="AG1112" s="7">
        <v>1974</v>
      </c>
      <c r="AH1112" s="7">
        <v>1970</v>
      </c>
      <c r="AI1112" s="7"/>
      <c r="AJ1112" s="73"/>
      <c r="AK1112" s="7"/>
      <c r="AL1112" s="16"/>
      <c r="AM1112" s="2" t="s">
        <v>59</v>
      </c>
      <c r="AW1112" s="6">
        <f t="shared" ca="1" si="19"/>
        <v>54</v>
      </c>
    </row>
    <row r="1113" ht="45" hidden="1" customHeight="1">
      <c r="A1113" s="69"/>
      <c r="B1113" s="3" t="s">
        <v>47</v>
      </c>
      <c r="C1113" s="4" t="s">
        <v>3009</v>
      </c>
      <c r="D1113" s="5" t="s">
        <v>3010</v>
      </c>
      <c r="E1113" s="2" t="s">
        <v>1074</v>
      </c>
      <c r="F1113" s="6" t="s">
        <v>1075</v>
      </c>
      <c r="G1113" s="5" t="s">
        <v>1076</v>
      </c>
      <c r="H1113" s="2" t="s">
        <v>57</v>
      </c>
      <c r="I1113" s="3" t="s">
        <v>3011</v>
      </c>
      <c r="J1113" s="7">
        <v>1</v>
      </c>
      <c r="K1113" s="104"/>
      <c r="L1113" s="9">
        <v>1</v>
      </c>
      <c r="M1113" s="3">
        <v>851</v>
      </c>
      <c r="N1113" s="6">
        <v>1971</v>
      </c>
      <c r="P1113" s="71"/>
      <c r="R1113" s="6">
        <v>1970</v>
      </c>
      <c r="S1113" s="3" t="s">
        <v>236</v>
      </c>
      <c r="T1113" s="72"/>
      <c r="U1113" s="73"/>
      <c r="W1113" s="2" t="s">
        <v>62</v>
      </c>
      <c r="X1113" s="10" t="s">
        <v>56</v>
      </c>
      <c r="Y1113" s="10" t="s">
        <v>57</v>
      </c>
      <c r="Z1113" s="75"/>
      <c r="AA1113" s="2"/>
      <c r="AB1113" s="6"/>
      <c r="AC1113" s="6"/>
      <c r="AD1113" s="6"/>
      <c r="AI1113" s="7"/>
      <c r="AJ1113" s="10">
        <v>43644</v>
      </c>
      <c r="AK1113" s="7">
        <v>2010</v>
      </c>
      <c r="AL1113" s="16"/>
      <c r="AU1113" s="16" t="s">
        <v>3012</v>
      </c>
      <c r="AW1113" s="6">
        <f t="shared" ca="1" si="19"/>
        <v>54</v>
      </c>
    </row>
    <row r="1114" ht="45" customHeight="1">
      <c r="A1114" s="69"/>
      <c r="B1114" s="3" t="s">
        <v>47</v>
      </c>
      <c r="E1114" s="2" t="s">
        <v>83</v>
      </c>
      <c r="F1114" s="6" t="s">
        <v>84</v>
      </c>
      <c r="G1114" s="5" t="s">
        <v>3013</v>
      </c>
      <c r="H1114" s="2" t="s">
        <v>51</v>
      </c>
      <c r="I1114" s="3" t="s">
        <v>330</v>
      </c>
      <c r="J1114" s="7">
        <v>1</v>
      </c>
      <c r="K1114" s="70" t="s">
        <v>53</v>
      </c>
      <c r="L1114" s="9">
        <v>1</v>
      </c>
      <c r="M1114" s="3">
        <v>852</v>
      </c>
      <c r="N1114" s="6">
        <v>1972</v>
      </c>
      <c r="P1114" s="71"/>
      <c r="R1114" s="6">
        <v>1970</v>
      </c>
      <c r="S1114" s="3" t="s">
        <v>54</v>
      </c>
      <c r="T1114" s="72"/>
      <c r="U1114" s="73"/>
      <c r="W1114" s="2" t="s">
        <v>3014</v>
      </c>
      <c r="X1114" s="10" t="s">
        <v>56</v>
      </c>
      <c r="Y1114" s="10" t="s">
        <v>57</v>
      </c>
      <c r="Z1114" s="75" t="s">
        <v>58</v>
      </c>
      <c r="AA1114" s="76"/>
      <c r="AB1114" s="77">
        <v>26954</v>
      </c>
      <c r="AC1114" s="77"/>
      <c r="AD1114" s="6"/>
      <c r="AE1114" s="7">
        <v>1973</v>
      </c>
      <c r="AF1114" s="7">
        <v>61</v>
      </c>
      <c r="AG1114" s="7">
        <v>1973</v>
      </c>
      <c r="AH1114" s="7">
        <v>1970</v>
      </c>
      <c r="AI1114" s="7"/>
      <c r="AJ1114" s="73"/>
      <c r="AK1114" s="7"/>
      <c r="AL1114" s="16"/>
      <c r="AM1114" s="2" t="s">
        <v>59</v>
      </c>
      <c r="AW1114" s="6">
        <f t="shared" ca="1" si="19"/>
        <v>53</v>
      </c>
    </row>
    <row r="1115" ht="45" customHeight="1">
      <c r="A1115" s="69"/>
      <c r="B1115" s="3" t="s">
        <v>47</v>
      </c>
      <c r="E1115" s="2" t="s">
        <v>83</v>
      </c>
      <c r="F1115" s="6" t="s">
        <v>84</v>
      </c>
      <c r="G1115" s="5" t="s">
        <v>85</v>
      </c>
      <c r="H1115" s="2" t="s">
        <v>57</v>
      </c>
      <c r="I1115" s="3" t="s">
        <v>3015</v>
      </c>
      <c r="J1115" s="7">
        <v>1</v>
      </c>
      <c r="K1115" s="70" t="s">
        <v>53</v>
      </c>
      <c r="L1115" s="9">
        <v>1</v>
      </c>
      <c r="M1115" s="3">
        <v>853</v>
      </c>
      <c r="N1115" s="6">
        <v>1972</v>
      </c>
      <c r="P1115" s="71"/>
      <c r="R1115" s="6">
        <v>1970</v>
      </c>
      <c r="S1115" s="3" t="s">
        <v>54</v>
      </c>
      <c r="T1115" s="72"/>
      <c r="U1115" s="73"/>
      <c r="W1115" s="2" t="s">
        <v>3016</v>
      </c>
      <c r="X1115" s="10" t="s">
        <v>56</v>
      </c>
      <c r="Y1115" s="10" t="s">
        <v>57</v>
      </c>
      <c r="Z1115" s="75"/>
      <c r="AA1115" s="76"/>
      <c r="AB1115" s="77">
        <v>26479</v>
      </c>
      <c r="AC1115" s="77"/>
      <c r="AD1115" s="6"/>
      <c r="AE1115" s="7">
        <v>1972</v>
      </c>
      <c r="AF1115" s="7">
        <v>57</v>
      </c>
      <c r="AG1115" s="7">
        <v>1972</v>
      </c>
      <c r="AH1115" s="7">
        <v>1970</v>
      </c>
      <c r="AI1115" s="7"/>
      <c r="AJ1115" s="73"/>
      <c r="AK1115" s="7"/>
      <c r="AL1115" s="16"/>
      <c r="AM1115" s="2" t="s">
        <v>59</v>
      </c>
      <c r="AO1115" s="6" t="s">
        <v>100</v>
      </c>
      <c r="AP1115" s="6" t="s">
        <v>73</v>
      </c>
      <c r="AQ1115" s="5" t="s">
        <v>73</v>
      </c>
      <c r="AR1115" s="2" t="s">
        <v>73</v>
      </c>
      <c r="AT1115" s="6">
        <v>2013</v>
      </c>
      <c r="AU1115" s="16" t="s">
        <v>101</v>
      </c>
      <c r="AW1115" s="6">
        <f t="shared" ca="1" si="19"/>
        <v>53</v>
      </c>
    </row>
    <row r="1116" ht="45" customHeight="1">
      <c r="A1116" s="69"/>
      <c r="B1116" s="3" t="s">
        <v>47</v>
      </c>
      <c r="E1116" s="2" t="s">
        <v>83</v>
      </c>
      <c r="F1116" s="6" t="s">
        <v>84</v>
      </c>
      <c r="G1116" s="5" t="s">
        <v>85</v>
      </c>
      <c r="H1116" s="2" t="s">
        <v>57</v>
      </c>
      <c r="I1116" s="3" t="s">
        <v>3017</v>
      </c>
      <c r="J1116" s="7">
        <v>1</v>
      </c>
      <c r="K1116" s="70" t="s">
        <v>53</v>
      </c>
      <c r="L1116" s="9">
        <v>1</v>
      </c>
      <c r="M1116" s="3">
        <v>854</v>
      </c>
      <c r="N1116" s="6">
        <v>1972</v>
      </c>
      <c r="P1116" s="71"/>
      <c r="R1116" s="6">
        <v>1970</v>
      </c>
      <c r="S1116" s="3" t="s">
        <v>54</v>
      </c>
      <c r="T1116" s="72"/>
      <c r="U1116" s="73"/>
      <c r="W1116" s="2" t="s">
        <v>3018</v>
      </c>
      <c r="X1116" s="10" t="s">
        <v>56</v>
      </c>
      <c r="Y1116" s="10" t="s">
        <v>57</v>
      </c>
      <c r="Z1116" s="75"/>
      <c r="AA1116" s="76"/>
      <c r="AB1116" s="77">
        <v>26479</v>
      </c>
      <c r="AC1116" s="77"/>
      <c r="AD1116" s="6"/>
      <c r="AE1116" s="7">
        <v>1972</v>
      </c>
      <c r="AF1116" s="7">
        <v>57</v>
      </c>
      <c r="AG1116" s="7">
        <v>1972</v>
      </c>
      <c r="AH1116" s="7">
        <v>1970</v>
      </c>
      <c r="AI1116" s="7"/>
      <c r="AJ1116" s="73"/>
      <c r="AK1116" s="7"/>
      <c r="AL1116" s="16"/>
      <c r="AM1116" s="2" t="s">
        <v>59</v>
      </c>
      <c r="AW1116" s="6">
        <f t="shared" ca="1" si="19"/>
        <v>53</v>
      </c>
    </row>
    <row r="1117" ht="45" hidden="1" customHeight="1">
      <c r="A1117" s="69"/>
      <c r="B1117" s="3" t="s">
        <v>47</v>
      </c>
      <c r="C1117" s="4" t="s">
        <v>3019</v>
      </c>
      <c r="E1117" s="2" t="s">
        <v>83</v>
      </c>
      <c r="F1117" s="6" t="s">
        <v>84</v>
      </c>
      <c r="G1117" s="5" t="s">
        <v>797</v>
      </c>
      <c r="H1117" s="2" t="s">
        <v>51</v>
      </c>
      <c r="I1117" s="3" t="s">
        <v>3020</v>
      </c>
      <c r="J1117" s="7">
        <v>1</v>
      </c>
      <c r="K1117" s="104"/>
      <c r="L1117" s="9">
        <v>1</v>
      </c>
      <c r="M1117" s="3">
        <v>855</v>
      </c>
      <c r="N1117" s="6">
        <v>1972</v>
      </c>
      <c r="P1117" s="71"/>
      <c r="R1117" s="6">
        <v>1970</v>
      </c>
      <c r="S1117" s="3" t="s">
        <v>236</v>
      </c>
      <c r="T1117" s="72"/>
      <c r="U1117" s="73">
        <v>28999</v>
      </c>
      <c r="W1117" s="2" t="s">
        <v>62</v>
      </c>
      <c r="X1117" s="10" t="s">
        <v>56</v>
      </c>
      <c r="Y1117" s="10" t="s">
        <v>57</v>
      </c>
      <c r="Z1117" s="75" t="s">
        <v>58</v>
      </c>
      <c r="AA1117" s="76"/>
      <c r="AB1117" s="77"/>
      <c r="AC1117" s="77"/>
      <c r="AD1117" s="6"/>
      <c r="AI1117" s="7"/>
      <c r="AJ1117" s="10">
        <v>28999</v>
      </c>
      <c r="AK1117" s="7">
        <v>1970</v>
      </c>
      <c r="AL1117" s="16" t="s">
        <v>3021</v>
      </c>
      <c r="AW1117" s="6">
        <f t="shared" ca="1" si="19"/>
        <v>53</v>
      </c>
    </row>
    <row r="1118" ht="45" hidden="1" customHeight="1">
      <c r="A1118" s="69"/>
      <c r="B1118" s="3" t="s">
        <v>47</v>
      </c>
      <c r="C1118" s="4" t="s">
        <v>3022</v>
      </c>
      <c r="E1118" s="2" t="s">
        <v>48</v>
      </c>
      <c r="F1118" s="6" t="s">
        <v>564</v>
      </c>
      <c r="G1118" s="5" t="s">
        <v>3023</v>
      </c>
      <c r="H1118" s="2" t="s">
        <v>57</v>
      </c>
      <c r="I1118" s="3" t="s">
        <v>3024</v>
      </c>
      <c r="J1118" s="7">
        <v>1</v>
      </c>
      <c r="K1118" s="104"/>
      <c r="L1118" s="9">
        <v>1</v>
      </c>
      <c r="M1118" s="3">
        <v>856</v>
      </c>
      <c r="N1118" s="6">
        <v>1972</v>
      </c>
      <c r="P1118" s="71"/>
      <c r="R1118" s="6">
        <v>1970</v>
      </c>
      <c r="S1118" s="3" t="s">
        <v>236</v>
      </c>
      <c r="T1118" s="72"/>
      <c r="U1118" s="73"/>
      <c r="W1118" s="2" t="s">
        <v>62</v>
      </c>
      <c r="X1118" s="10" t="s">
        <v>56</v>
      </c>
      <c r="Y1118" s="10" t="s">
        <v>57</v>
      </c>
      <c r="Z1118" s="75"/>
      <c r="AA1118" s="76"/>
      <c r="AB1118" s="77"/>
      <c r="AC1118" s="77"/>
      <c r="AD1118" s="6"/>
      <c r="AI1118" s="7"/>
      <c r="AJ1118" s="10">
        <v>28881</v>
      </c>
      <c r="AK1118" s="7">
        <v>1970</v>
      </c>
      <c r="AL1118" s="16"/>
      <c r="AW1118" s="6">
        <f t="shared" ca="1" si="19"/>
        <v>53</v>
      </c>
    </row>
    <row r="1119" ht="45" hidden="1" customHeight="1">
      <c r="A1119" s="69"/>
      <c r="B1119" s="3" t="s">
        <v>47</v>
      </c>
      <c r="C1119" s="4" t="s">
        <v>2731</v>
      </c>
      <c r="D1119" s="5" t="s">
        <v>3025</v>
      </c>
      <c r="E1119" s="2" t="s">
        <v>48</v>
      </c>
      <c r="F1119" s="6" t="s">
        <v>49</v>
      </c>
      <c r="G1119" s="5" t="s">
        <v>3026</v>
      </c>
      <c r="H1119" s="2" t="s">
        <v>57</v>
      </c>
      <c r="I1119" s="3" t="s">
        <v>3027</v>
      </c>
      <c r="J1119" s="7">
        <v>1</v>
      </c>
      <c r="K1119" s="104"/>
      <c r="L1119" s="9">
        <v>1</v>
      </c>
      <c r="M1119" s="3">
        <v>857</v>
      </c>
      <c r="N1119" s="6">
        <v>1972</v>
      </c>
      <c r="O1119" s="10" t="s">
        <v>2064</v>
      </c>
      <c r="P1119" s="71" t="s">
        <v>1452</v>
      </c>
      <c r="Q1119" s="10" t="s">
        <v>1453</v>
      </c>
      <c r="R1119" s="6">
        <v>1970</v>
      </c>
      <c r="S1119" s="3" t="s">
        <v>236</v>
      </c>
      <c r="T1119" s="72"/>
      <c r="U1119" s="73"/>
      <c r="W1119" s="2" t="s">
        <v>62</v>
      </c>
      <c r="X1119" s="10" t="s">
        <v>56</v>
      </c>
      <c r="Y1119" s="10" t="s">
        <v>57</v>
      </c>
      <c r="Z1119" s="75"/>
      <c r="AA1119" s="76"/>
      <c r="AB1119" s="77"/>
      <c r="AC1119" s="77"/>
      <c r="AD1119" s="6"/>
      <c r="AI1119" s="7"/>
      <c r="AJ1119" s="10">
        <v>42508</v>
      </c>
      <c r="AK1119" s="7">
        <v>2010</v>
      </c>
      <c r="AL1119" s="16" t="s">
        <v>3028</v>
      </c>
      <c r="AW1119" s="6">
        <f t="shared" ca="1" si="19"/>
        <v>53</v>
      </c>
    </row>
    <row r="1120" ht="45" hidden="1" customHeight="1">
      <c r="A1120" s="69">
        <v>42888</v>
      </c>
      <c r="B1120" s="3" t="s">
        <v>47</v>
      </c>
      <c r="C1120" s="4" t="s">
        <v>3029</v>
      </c>
      <c r="D1120" s="5" t="s">
        <v>3030</v>
      </c>
      <c r="E1120" s="2" t="s">
        <v>63</v>
      </c>
      <c r="F1120" s="6" t="s">
        <v>217</v>
      </c>
      <c r="G1120" s="5" t="s">
        <v>3031</v>
      </c>
      <c r="H1120" s="2" t="s">
        <v>57</v>
      </c>
      <c r="I1120" s="3" t="s">
        <v>3032</v>
      </c>
      <c r="J1120" s="7">
        <v>1</v>
      </c>
      <c r="K1120" s="104"/>
      <c r="L1120" s="9">
        <v>1</v>
      </c>
      <c r="M1120" s="3">
        <v>858</v>
      </c>
      <c r="N1120" s="6">
        <v>1972</v>
      </c>
      <c r="P1120" s="71"/>
      <c r="R1120" s="6">
        <v>1970</v>
      </c>
      <c r="S1120" s="3" t="s">
        <v>236</v>
      </c>
      <c r="T1120" s="72" t="s">
        <v>1136</v>
      </c>
      <c r="U1120" s="10">
        <v>44068</v>
      </c>
      <c r="W1120" s="2" t="s">
        <v>62</v>
      </c>
      <c r="X1120" s="10" t="s">
        <v>56</v>
      </c>
      <c r="Y1120" s="10" t="s">
        <v>57</v>
      </c>
      <c r="Z1120" s="75"/>
      <c r="AA1120" s="76"/>
      <c r="AB1120" s="77"/>
      <c r="AC1120" s="77"/>
      <c r="AD1120" s="6"/>
      <c r="AI1120" s="7"/>
      <c r="AJ1120" s="10">
        <v>44068</v>
      </c>
      <c r="AK1120" s="7">
        <v>2020</v>
      </c>
      <c r="AL1120" s="16"/>
      <c r="AW1120" s="6">
        <f t="shared" ca="1" si="19"/>
        <v>53</v>
      </c>
    </row>
    <row r="1121" ht="45" hidden="1" customHeight="1">
      <c r="A1121" s="69"/>
      <c r="B1121" s="3" t="s">
        <v>47</v>
      </c>
      <c r="C1121" s="4" t="s">
        <v>3033</v>
      </c>
      <c r="D1121" s="5" t="s">
        <v>3034</v>
      </c>
      <c r="E1121" s="2" t="s">
        <v>83</v>
      </c>
      <c r="F1121" s="6" t="s">
        <v>179</v>
      </c>
      <c r="G1121" s="5" t="s">
        <v>2967</v>
      </c>
      <c r="H1121" s="2" t="s">
        <v>51</v>
      </c>
      <c r="I1121" s="3" t="s">
        <v>3035</v>
      </c>
      <c r="J1121" s="7">
        <v>1</v>
      </c>
      <c r="K1121" s="104"/>
      <c r="L1121" s="9">
        <v>1</v>
      </c>
      <c r="M1121" s="3">
        <v>859</v>
      </c>
      <c r="N1121" s="6">
        <v>1972</v>
      </c>
      <c r="P1121" s="71"/>
      <c r="R1121" s="6">
        <v>1970</v>
      </c>
      <c r="S1121" s="3" t="s">
        <v>236</v>
      </c>
      <c r="T1121" s="72" t="s">
        <v>1136</v>
      </c>
      <c r="W1121" s="2" t="s">
        <v>62</v>
      </c>
      <c r="X1121" s="10" t="s">
        <v>56</v>
      </c>
      <c r="Y1121" s="10" t="s">
        <v>57</v>
      </c>
      <c r="Z1121" s="75" t="s">
        <v>58</v>
      </c>
      <c r="AA1121" s="76"/>
      <c r="AB1121" s="77"/>
      <c r="AC1121" s="77"/>
      <c r="AD1121" s="6"/>
      <c r="AI1121" s="7"/>
      <c r="AJ1121" s="10">
        <v>44504</v>
      </c>
      <c r="AK1121" s="7">
        <v>2020</v>
      </c>
      <c r="AL1121" s="16"/>
      <c r="AW1121" s="6">
        <f t="shared" ca="1" si="19"/>
        <v>53</v>
      </c>
    </row>
    <row r="1122" ht="45" customHeight="1">
      <c r="A1122" s="69"/>
      <c r="B1122" s="3" t="s">
        <v>47</v>
      </c>
      <c r="E1122" s="78" t="s">
        <v>83</v>
      </c>
      <c r="F1122" s="79" t="s">
        <v>84</v>
      </c>
      <c r="G1122" s="80" t="s">
        <v>85</v>
      </c>
      <c r="H1122" s="78" t="s">
        <v>68</v>
      </c>
      <c r="I1122" s="81" t="s">
        <v>3036</v>
      </c>
      <c r="J1122" s="7">
        <v>4</v>
      </c>
      <c r="K1122" s="70" t="s">
        <v>53</v>
      </c>
      <c r="L1122" s="9">
        <v>1</v>
      </c>
      <c r="M1122" s="3">
        <v>860</v>
      </c>
      <c r="N1122" s="6">
        <v>1972</v>
      </c>
      <c r="P1122" s="71"/>
      <c r="R1122" s="6">
        <v>1970</v>
      </c>
      <c r="S1122" s="3" t="s">
        <v>54</v>
      </c>
      <c r="T1122" s="72"/>
      <c r="U1122" s="73"/>
      <c r="W1122" s="78" t="s">
        <v>3037</v>
      </c>
      <c r="X1122" s="82" t="s">
        <v>56</v>
      </c>
      <c r="Y1122" s="82" t="s">
        <v>57</v>
      </c>
      <c r="Z1122" s="83"/>
      <c r="AA1122" s="76"/>
      <c r="AB1122" s="77"/>
      <c r="AC1122" s="77">
        <v>26808</v>
      </c>
      <c r="AD1122" s="10"/>
      <c r="AE1122" s="7">
        <v>1973</v>
      </c>
      <c r="AF1122" s="7">
        <v>60</v>
      </c>
      <c r="AG1122" s="7">
        <v>1973</v>
      </c>
      <c r="AH1122" s="7">
        <v>1970</v>
      </c>
      <c r="AI1122" s="7"/>
      <c r="AJ1122" s="73"/>
      <c r="AK1122" s="7"/>
      <c r="AL1122" s="16" t="s">
        <v>3038</v>
      </c>
      <c r="AM1122" s="2" t="s">
        <v>59</v>
      </c>
      <c r="AO1122" s="6" t="s">
        <v>100</v>
      </c>
      <c r="AP1122" s="6" t="s">
        <v>73</v>
      </c>
      <c r="AQ1122" s="5" t="s">
        <v>73</v>
      </c>
      <c r="AR1122" s="2" t="s">
        <v>73</v>
      </c>
      <c r="AT1122" s="6">
        <v>2013</v>
      </c>
      <c r="AU1122" s="16" t="s">
        <v>3039</v>
      </c>
      <c r="AW1122" s="6">
        <f t="shared" ca="1" si="19"/>
        <v>53</v>
      </c>
    </row>
    <row r="1123" ht="45" hidden="1" customHeight="1">
      <c r="A1123" s="69"/>
      <c r="B1123" s="3" t="s">
        <v>47</v>
      </c>
      <c r="C1123" s="4" t="s">
        <v>3040</v>
      </c>
      <c r="E1123" s="2" t="s">
        <v>63</v>
      </c>
      <c r="F1123" s="6" t="s">
        <v>172</v>
      </c>
      <c r="G1123" s="5" t="s">
        <v>173</v>
      </c>
      <c r="H1123" s="2" t="s">
        <v>57</v>
      </c>
      <c r="I1123" s="3" t="s">
        <v>3041</v>
      </c>
      <c r="J1123" s="7">
        <v>1</v>
      </c>
      <c r="K1123" s="70"/>
      <c r="L1123" s="9">
        <v>1</v>
      </c>
      <c r="M1123" s="3">
        <v>861</v>
      </c>
      <c r="N1123" s="6">
        <v>1972</v>
      </c>
      <c r="P1123" s="71"/>
      <c r="R1123" s="6">
        <v>1970</v>
      </c>
      <c r="S1123" s="3" t="s">
        <v>939</v>
      </c>
      <c r="T1123" s="72"/>
      <c r="U1123" s="73"/>
      <c r="W1123" s="2" t="s">
        <v>3042</v>
      </c>
      <c r="X1123" s="10" t="s">
        <v>56</v>
      </c>
      <c r="Y1123" s="10" t="s">
        <v>57</v>
      </c>
      <c r="Z1123" s="75"/>
      <c r="AA1123" s="76"/>
      <c r="AB1123" s="77"/>
      <c r="AC1123" s="77"/>
      <c r="AD1123" s="10"/>
      <c r="AI1123" s="7"/>
      <c r="AJ1123" s="73"/>
      <c r="AK1123" s="7"/>
      <c r="AL1123" s="16" t="s">
        <v>3043</v>
      </c>
      <c r="AW1123" s="6">
        <f t="shared" ca="1" si="19"/>
        <v>53</v>
      </c>
    </row>
    <row r="1124" ht="45" hidden="1" customHeight="1">
      <c r="A1124" s="69"/>
      <c r="B1124" s="3" t="s">
        <v>47</v>
      </c>
      <c r="C1124" s="4" t="s">
        <v>3044</v>
      </c>
      <c r="D1124" s="5" t="s">
        <v>3045</v>
      </c>
      <c r="E1124" s="2" t="s">
        <v>63</v>
      </c>
      <c r="F1124" s="6" t="s">
        <v>64</v>
      </c>
      <c r="G1124" s="5" t="s">
        <v>69</v>
      </c>
      <c r="H1124" s="2" t="s">
        <v>57</v>
      </c>
      <c r="I1124" s="3" t="s">
        <v>3046</v>
      </c>
      <c r="J1124" s="7">
        <v>1</v>
      </c>
      <c r="K1124" s="70"/>
      <c r="L1124" s="9">
        <v>1</v>
      </c>
      <c r="M1124" s="3">
        <v>862</v>
      </c>
      <c r="N1124" s="6">
        <v>1972</v>
      </c>
      <c r="P1124" s="71"/>
      <c r="R1124" s="6">
        <v>1970</v>
      </c>
      <c r="S1124" s="3" t="s">
        <v>236</v>
      </c>
      <c r="T1124" s="72" t="s">
        <v>1136</v>
      </c>
      <c r="W1124" s="2" t="s">
        <v>62</v>
      </c>
      <c r="X1124" s="10" t="s">
        <v>56</v>
      </c>
      <c r="Y1124" s="10" t="s">
        <v>57</v>
      </c>
      <c r="Z1124" s="75"/>
      <c r="AA1124" s="76"/>
      <c r="AB1124" s="77"/>
      <c r="AC1124" s="77"/>
      <c r="AD1124" s="10"/>
      <c r="AI1124" s="7"/>
      <c r="AJ1124" s="10">
        <v>44474</v>
      </c>
      <c r="AK1124" s="7">
        <v>2020</v>
      </c>
      <c r="AL1124" s="16"/>
      <c r="AW1124" s="6">
        <f t="shared" ca="1" si="19"/>
        <v>53</v>
      </c>
    </row>
    <row r="1125" ht="45" customHeight="1" outlineLevel="1">
      <c r="A1125" s="69"/>
      <c r="B1125" s="3" t="s">
        <v>47</v>
      </c>
      <c r="E1125" s="2" t="s">
        <v>63</v>
      </c>
      <c r="F1125" s="6" t="s">
        <v>428</v>
      </c>
      <c r="G1125" s="5" t="s">
        <v>429</v>
      </c>
      <c r="H1125" s="2" t="s">
        <v>57</v>
      </c>
      <c r="I1125" s="3" t="s">
        <v>3047</v>
      </c>
      <c r="J1125" s="7">
        <v>1</v>
      </c>
      <c r="K1125" s="70" t="s">
        <v>53</v>
      </c>
      <c r="L1125" s="9">
        <v>1</v>
      </c>
      <c r="M1125" s="3">
        <v>863</v>
      </c>
      <c r="N1125" s="6">
        <v>1972</v>
      </c>
      <c r="P1125" s="71"/>
      <c r="R1125" s="6">
        <v>1970</v>
      </c>
      <c r="S1125" s="3" t="s">
        <v>54</v>
      </c>
      <c r="T1125" s="72"/>
      <c r="U1125" s="73"/>
      <c r="W1125" s="2" t="s">
        <v>3048</v>
      </c>
      <c r="X1125" s="10" t="s">
        <v>56</v>
      </c>
      <c r="Y1125" s="10" t="s">
        <v>57</v>
      </c>
      <c r="Z1125" s="75"/>
      <c r="AA1125" s="76"/>
      <c r="AB1125" s="77">
        <v>26723</v>
      </c>
      <c r="AC1125" s="77">
        <v>26723</v>
      </c>
      <c r="AD1125" s="10"/>
      <c r="AG1125" s="7">
        <v>1973</v>
      </c>
      <c r="AH1125" s="7">
        <v>1970</v>
      </c>
      <c r="AI1125" s="7"/>
      <c r="AJ1125" s="73"/>
      <c r="AK1125" s="7"/>
      <c r="AL1125" s="16"/>
      <c r="AM1125" s="2" t="s">
        <v>59</v>
      </c>
      <c r="AO1125" s="6" t="s">
        <v>136</v>
      </c>
      <c r="AQ1125" s="5" t="s">
        <v>104</v>
      </c>
      <c r="AU1125" s="16" t="s">
        <v>2364</v>
      </c>
      <c r="AW1125" s="6">
        <f t="shared" ca="1" si="19"/>
        <v>53</v>
      </c>
    </row>
    <row r="1126" ht="45" hidden="1" customHeight="1" outlineLevel="1">
      <c r="A1126" s="69"/>
      <c r="B1126" s="3" t="s">
        <v>47</v>
      </c>
      <c r="C1126" s="4" t="s">
        <v>3049</v>
      </c>
      <c r="D1126" s="5" t="s">
        <v>3050</v>
      </c>
      <c r="E1126" s="2" t="s">
        <v>83</v>
      </c>
      <c r="F1126" s="6" t="s">
        <v>84</v>
      </c>
      <c r="G1126" s="5" t="s">
        <v>3051</v>
      </c>
      <c r="H1126" s="2" t="s">
        <v>257</v>
      </c>
      <c r="I1126" s="3" t="s">
        <v>3052</v>
      </c>
      <c r="J1126" s="7">
        <v>1</v>
      </c>
      <c r="K1126" s="70"/>
      <c r="L1126" s="9">
        <v>1</v>
      </c>
      <c r="M1126" s="3">
        <v>864</v>
      </c>
      <c r="N1126" s="6">
        <v>1972</v>
      </c>
      <c r="P1126" s="71"/>
      <c r="R1126" s="6">
        <v>1970</v>
      </c>
      <c r="S1126" s="3" t="s">
        <v>236</v>
      </c>
      <c r="T1126" s="72"/>
      <c r="U1126" s="73">
        <v>42017</v>
      </c>
      <c r="W1126" s="2" t="s">
        <v>62</v>
      </c>
      <c r="X1126" s="10" t="s">
        <v>56</v>
      </c>
      <c r="Y1126" s="10" t="s">
        <v>68</v>
      </c>
      <c r="Z1126" s="75" t="s">
        <v>260</v>
      </c>
      <c r="AA1126" s="76"/>
      <c r="AB1126" s="77"/>
      <c r="AC1126" s="77"/>
      <c r="AD1126" s="10"/>
      <c r="AI1126" s="7"/>
      <c r="AJ1126" s="95">
        <v>42020</v>
      </c>
      <c r="AK1126" s="7">
        <v>2010</v>
      </c>
      <c r="AL1126" s="16"/>
      <c r="AW1126" s="6">
        <f t="shared" ca="1" si="19"/>
        <v>53</v>
      </c>
    </row>
    <row r="1127" ht="45" hidden="1" customHeight="1">
      <c r="A1127" s="69"/>
      <c r="B1127" s="3" t="s">
        <v>47</v>
      </c>
      <c r="C1127" s="4" t="s">
        <v>3053</v>
      </c>
      <c r="D1127" s="5" t="s">
        <v>3054</v>
      </c>
      <c r="E1127" s="2" t="s">
        <v>83</v>
      </c>
      <c r="F1127" s="6" t="s">
        <v>179</v>
      </c>
      <c r="G1127" s="5" t="s">
        <v>3003</v>
      </c>
      <c r="H1127" s="2" t="s">
        <v>57</v>
      </c>
      <c r="I1127" s="3" t="s">
        <v>3055</v>
      </c>
      <c r="J1127" s="7">
        <v>1</v>
      </c>
      <c r="K1127" s="70"/>
      <c r="L1127" s="9">
        <v>1</v>
      </c>
      <c r="M1127" s="3">
        <v>865</v>
      </c>
      <c r="N1127" s="6">
        <v>1972</v>
      </c>
      <c r="P1127" s="71"/>
      <c r="R1127" s="6">
        <v>1970</v>
      </c>
      <c r="S1127" s="3" t="s">
        <v>236</v>
      </c>
      <c r="T1127" s="72"/>
      <c r="U1127" s="73"/>
      <c r="W1127" s="2" t="s">
        <v>62</v>
      </c>
      <c r="X1127" s="10" t="s">
        <v>56</v>
      </c>
      <c r="Y1127" s="10" t="s">
        <v>57</v>
      </c>
      <c r="Z1127" s="75"/>
      <c r="AA1127" s="76"/>
      <c r="AB1127" s="77"/>
      <c r="AC1127" s="77"/>
      <c r="AD1127" s="10"/>
      <c r="AI1127" s="7"/>
      <c r="AJ1127" s="10">
        <v>43698</v>
      </c>
      <c r="AK1127" s="7">
        <v>2010</v>
      </c>
      <c r="AL1127" s="16"/>
      <c r="AW1127" s="6">
        <f t="shared" ref="AW1127:AW1190" ca="1" si="20">IF(N1127&lt;&gt;0,(YEAR(TODAY())-N1127),(""))</f>
        <v>53</v>
      </c>
    </row>
    <row r="1128" ht="45" customHeight="1">
      <c r="A1128" s="69"/>
      <c r="B1128" s="3" t="s">
        <v>47</v>
      </c>
      <c r="E1128" s="2" t="s">
        <v>63</v>
      </c>
      <c r="F1128" s="6" t="s">
        <v>64</v>
      </c>
      <c r="G1128" s="5" t="s">
        <v>69</v>
      </c>
      <c r="H1128" s="2" t="s">
        <v>51</v>
      </c>
      <c r="I1128" s="3" t="s">
        <v>3056</v>
      </c>
      <c r="J1128" s="7">
        <v>1</v>
      </c>
      <c r="K1128" s="70" t="s">
        <v>53</v>
      </c>
      <c r="L1128" s="9">
        <v>1</v>
      </c>
      <c r="M1128" s="3">
        <v>866</v>
      </c>
      <c r="N1128" s="6">
        <v>1972</v>
      </c>
      <c r="P1128" s="71"/>
      <c r="R1128" s="6">
        <v>1970</v>
      </c>
      <c r="S1128" s="3" t="s">
        <v>54</v>
      </c>
      <c r="T1128" s="72"/>
      <c r="U1128" s="73"/>
      <c r="W1128" s="2" t="s">
        <v>3057</v>
      </c>
      <c r="X1128" s="10" t="s">
        <v>56</v>
      </c>
      <c r="Y1128" s="10" t="s">
        <v>57</v>
      </c>
      <c r="Z1128" s="75" t="s">
        <v>58</v>
      </c>
      <c r="AA1128" s="76"/>
      <c r="AB1128" s="77">
        <v>26640</v>
      </c>
      <c r="AC1128" s="77"/>
      <c r="AD1128" s="6"/>
      <c r="AF1128" s="7">
        <v>110</v>
      </c>
      <c r="AG1128" s="7">
        <v>1972</v>
      </c>
      <c r="AH1128" s="7">
        <v>1970</v>
      </c>
      <c r="AI1128" s="7">
        <v>1984</v>
      </c>
      <c r="AJ1128" s="73"/>
      <c r="AK1128" s="7"/>
      <c r="AL1128" s="16" t="s">
        <v>664</v>
      </c>
      <c r="AM1128" s="2" t="s">
        <v>59</v>
      </c>
      <c r="AO1128" s="6" t="s">
        <v>73</v>
      </c>
      <c r="AU1128" s="16" t="s">
        <v>74</v>
      </c>
      <c r="AW1128" s="6">
        <f t="shared" ca="1" si="20"/>
        <v>53</v>
      </c>
    </row>
    <row r="1129" ht="45" hidden="1" customHeight="1">
      <c r="A1129" s="69"/>
      <c r="B1129" s="3" t="s">
        <v>47</v>
      </c>
      <c r="C1129" s="4" t="s">
        <v>3058</v>
      </c>
      <c r="D1129" s="5" t="s">
        <v>3059</v>
      </c>
      <c r="E1129" s="2" t="s">
        <v>63</v>
      </c>
      <c r="F1129" s="6" t="s">
        <v>64</v>
      </c>
      <c r="G1129" s="5" t="s">
        <v>69</v>
      </c>
      <c r="H1129" s="2" t="s">
        <v>88</v>
      </c>
      <c r="I1129" s="3" t="s">
        <v>3060</v>
      </c>
      <c r="J1129" s="7">
        <v>1</v>
      </c>
      <c r="K1129" s="104"/>
      <c r="L1129" s="9">
        <v>1</v>
      </c>
      <c r="M1129" s="3">
        <v>867</v>
      </c>
      <c r="N1129" s="6">
        <v>1972</v>
      </c>
      <c r="P1129" s="71"/>
      <c r="R1129" s="6">
        <v>1970</v>
      </c>
      <c r="S1129" s="3" t="s">
        <v>236</v>
      </c>
      <c r="T1129" s="72"/>
      <c r="U1129" s="73">
        <v>44076</v>
      </c>
      <c r="W1129" s="2" t="s">
        <v>62</v>
      </c>
      <c r="X1129" s="10" t="s">
        <v>91</v>
      </c>
      <c r="Y1129" s="10" t="s">
        <v>214</v>
      </c>
      <c r="Z1129" s="75"/>
      <c r="AA1129" s="76"/>
      <c r="AB1129" s="77"/>
      <c r="AC1129" s="77"/>
      <c r="AD1129" s="6"/>
      <c r="AI1129" s="7"/>
      <c r="AJ1129" s="10">
        <v>44076</v>
      </c>
      <c r="AK1129" s="7">
        <v>2010</v>
      </c>
      <c r="AW1129" s="6">
        <f t="shared" ca="1" si="20"/>
        <v>53</v>
      </c>
    </row>
    <row r="1130" ht="45" hidden="1" customHeight="1">
      <c r="A1130" s="69"/>
      <c r="B1130" s="3" t="s">
        <v>47</v>
      </c>
      <c r="C1130" s="4" t="s">
        <v>3061</v>
      </c>
      <c r="D1130" s="5" t="s">
        <v>3062</v>
      </c>
      <c r="E1130" s="2" t="s">
        <v>83</v>
      </c>
      <c r="F1130" s="6" t="s">
        <v>704</v>
      </c>
      <c r="G1130" s="5" t="s">
        <v>3063</v>
      </c>
      <c r="H1130" s="2" t="s">
        <v>57</v>
      </c>
      <c r="I1130" s="3" t="s">
        <v>683</v>
      </c>
      <c r="J1130" s="7">
        <v>1</v>
      </c>
      <c r="K1130" s="104"/>
      <c r="L1130" s="9">
        <v>1</v>
      </c>
      <c r="M1130" s="3">
        <v>868</v>
      </c>
      <c r="N1130" s="6">
        <v>1972</v>
      </c>
      <c r="O1130" s="10">
        <v>26525</v>
      </c>
      <c r="P1130" s="71" t="s">
        <v>3064</v>
      </c>
      <c r="Q1130" s="10" t="s">
        <v>1453</v>
      </c>
      <c r="R1130" s="6">
        <v>1970</v>
      </c>
      <c r="S1130" s="3" t="s">
        <v>236</v>
      </c>
      <c r="T1130" s="72"/>
      <c r="U1130" s="73"/>
      <c r="W1130" s="2" t="s">
        <v>62</v>
      </c>
      <c r="X1130" s="10" t="s">
        <v>56</v>
      </c>
      <c r="Y1130" s="10" t="s">
        <v>57</v>
      </c>
      <c r="Z1130" s="75"/>
      <c r="AA1130" s="76"/>
      <c r="AB1130" s="77"/>
      <c r="AC1130" s="77"/>
      <c r="AD1130" s="6"/>
      <c r="AI1130" s="7"/>
      <c r="AJ1130" s="95">
        <v>41914</v>
      </c>
      <c r="AK1130" s="7">
        <v>2010</v>
      </c>
      <c r="AL1130" s="16"/>
      <c r="AU1130" s="16" t="s">
        <v>3065</v>
      </c>
      <c r="AW1130" s="6">
        <f t="shared" ca="1" si="20"/>
        <v>53</v>
      </c>
    </row>
    <row r="1131" ht="45" customHeight="1">
      <c r="A1131" s="69"/>
      <c r="B1131" s="3" t="s">
        <v>47</v>
      </c>
      <c r="E1131" s="2" t="s">
        <v>83</v>
      </c>
      <c r="F1131" s="6" t="s">
        <v>84</v>
      </c>
      <c r="G1131" s="5" t="s">
        <v>85</v>
      </c>
      <c r="H1131" s="2" t="s">
        <v>508</v>
      </c>
      <c r="I1131" s="3" t="s">
        <v>3066</v>
      </c>
      <c r="J1131" s="7">
        <v>1</v>
      </c>
      <c r="K1131" s="70" t="s">
        <v>53</v>
      </c>
      <c r="L1131" s="9">
        <v>1</v>
      </c>
      <c r="M1131" s="3">
        <v>869</v>
      </c>
      <c r="N1131" s="6">
        <v>1973</v>
      </c>
      <c r="P1131" s="71"/>
      <c r="R1131" s="6">
        <v>1970</v>
      </c>
      <c r="S1131" s="3" t="s">
        <v>54</v>
      </c>
      <c r="T1131" s="72"/>
      <c r="U1131" s="73"/>
      <c r="W1131" s="2" t="s">
        <v>3067</v>
      </c>
      <c r="X1131" s="10" t="s">
        <v>504</v>
      </c>
      <c r="Y1131" s="10" t="s">
        <v>511</v>
      </c>
      <c r="Z1131" s="75"/>
      <c r="AA1131" s="76">
        <v>26884</v>
      </c>
      <c r="AB1131" s="77"/>
      <c r="AC1131" s="77"/>
      <c r="AD1131" s="6"/>
      <c r="AG1131" s="7">
        <v>1973</v>
      </c>
      <c r="AH1131" s="7">
        <v>1970</v>
      </c>
      <c r="AI1131" s="7"/>
      <c r="AJ1131" s="73"/>
      <c r="AK1131" s="7"/>
      <c r="AL1131" s="16"/>
      <c r="AM1131" s="2" t="s">
        <v>53</v>
      </c>
      <c r="AO1131" s="6" t="s">
        <v>100</v>
      </c>
      <c r="AP1131" s="6" t="s">
        <v>104</v>
      </c>
      <c r="AQ1131" s="5" t="s">
        <v>104</v>
      </c>
      <c r="AR1131" s="2" t="s">
        <v>73</v>
      </c>
      <c r="AT1131" s="6">
        <v>2000</v>
      </c>
      <c r="AU1131" s="16" t="s">
        <v>3068</v>
      </c>
      <c r="AW1131" s="6">
        <f t="shared" ca="1" si="20"/>
        <v>52</v>
      </c>
    </row>
    <row r="1132" ht="45" customHeight="1">
      <c r="A1132" s="69"/>
      <c r="B1132" s="3" t="s">
        <v>47</v>
      </c>
      <c r="E1132" s="2" t="s">
        <v>83</v>
      </c>
      <c r="F1132" s="6" t="s">
        <v>84</v>
      </c>
      <c r="G1132" s="5" t="s">
        <v>85</v>
      </c>
      <c r="H1132" s="2" t="s">
        <v>508</v>
      </c>
      <c r="I1132" s="3" t="s">
        <v>3069</v>
      </c>
      <c r="J1132" s="7">
        <v>1</v>
      </c>
      <c r="K1132" s="70" t="s">
        <v>53</v>
      </c>
      <c r="L1132" s="9">
        <v>0</v>
      </c>
      <c r="M1132" s="3">
        <v>869</v>
      </c>
      <c r="N1132" s="6">
        <v>1973</v>
      </c>
      <c r="P1132" s="71"/>
      <c r="R1132" s="6">
        <v>1970</v>
      </c>
      <c r="S1132" s="3" t="s">
        <v>54</v>
      </c>
      <c r="T1132" s="72"/>
      <c r="U1132" s="73"/>
      <c r="W1132" s="2" t="s">
        <v>3070</v>
      </c>
      <c r="X1132" s="10" t="s">
        <v>504</v>
      </c>
      <c r="Y1132" s="10" t="s">
        <v>511</v>
      </c>
      <c r="Z1132" s="75"/>
      <c r="AA1132" s="76">
        <v>26884</v>
      </c>
      <c r="AB1132" s="77"/>
      <c r="AC1132" s="77"/>
      <c r="AD1132" s="6"/>
      <c r="AG1132" s="7">
        <v>1973</v>
      </c>
      <c r="AH1132" s="7">
        <v>1970</v>
      </c>
      <c r="AI1132" s="7"/>
      <c r="AJ1132" s="73"/>
      <c r="AK1132" s="7"/>
      <c r="AL1132" s="16"/>
      <c r="AM1132" s="2" t="s">
        <v>82</v>
      </c>
      <c r="AW1132" s="6">
        <f t="shared" ca="1" si="20"/>
        <v>52</v>
      </c>
    </row>
    <row r="1133" ht="45" customHeight="1">
      <c r="A1133" s="69"/>
      <c r="B1133" s="3" t="s">
        <v>47</v>
      </c>
      <c r="E1133" s="2" t="s">
        <v>83</v>
      </c>
      <c r="F1133" s="6" t="s">
        <v>84</v>
      </c>
      <c r="G1133" s="5" t="s">
        <v>85</v>
      </c>
      <c r="H1133" s="2" t="s">
        <v>508</v>
      </c>
      <c r="I1133" s="3" t="s">
        <v>3071</v>
      </c>
      <c r="J1133" s="7">
        <v>1</v>
      </c>
      <c r="K1133" s="70" t="s">
        <v>53</v>
      </c>
      <c r="L1133" s="9">
        <v>0</v>
      </c>
      <c r="M1133" s="3">
        <v>869</v>
      </c>
      <c r="N1133" s="6">
        <v>1973</v>
      </c>
      <c r="P1133" s="71"/>
      <c r="R1133" s="6">
        <v>1970</v>
      </c>
      <c r="S1133" s="3" t="s">
        <v>54</v>
      </c>
      <c r="T1133" s="72"/>
      <c r="U1133" s="73"/>
      <c r="W1133" s="2" t="s">
        <v>3072</v>
      </c>
      <c r="X1133" s="10" t="s">
        <v>504</v>
      </c>
      <c r="Y1133" s="10" t="s">
        <v>511</v>
      </c>
      <c r="Z1133" s="75"/>
      <c r="AA1133" s="76">
        <v>26884</v>
      </c>
      <c r="AB1133" s="77"/>
      <c r="AC1133" s="77"/>
      <c r="AD1133" s="6"/>
      <c r="AG1133" s="7">
        <v>1973</v>
      </c>
      <c r="AH1133" s="7">
        <v>1970</v>
      </c>
      <c r="AI1133" s="7"/>
      <c r="AJ1133" s="73"/>
      <c r="AK1133" s="7"/>
      <c r="AL1133" s="16"/>
      <c r="AU1133" s="16" t="s">
        <v>3073</v>
      </c>
      <c r="AW1133" s="6">
        <f t="shared" ca="1" si="20"/>
        <v>52</v>
      </c>
    </row>
    <row r="1134" ht="45" customHeight="1">
      <c r="A1134" s="69"/>
      <c r="B1134" s="3" t="s">
        <v>47</v>
      </c>
      <c r="E1134" s="2" t="s">
        <v>83</v>
      </c>
      <c r="F1134" s="6" t="s">
        <v>84</v>
      </c>
      <c r="G1134" s="5" t="s">
        <v>85</v>
      </c>
      <c r="H1134" s="2" t="s">
        <v>508</v>
      </c>
      <c r="I1134" s="3" t="s">
        <v>3074</v>
      </c>
      <c r="J1134" s="7">
        <v>1</v>
      </c>
      <c r="K1134" s="70" t="s">
        <v>53</v>
      </c>
      <c r="L1134" s="9">
        <v>0</v>
      </c>
      <c r="M1134" s="3">
        <v>869</v>
      </c>
      <c r="N1134" s="6">
        <v>1973</v>
      </c>
      <c r="P1134" s="71"/>
      <c r="R1134" s="6">
        <v>1970</v>
      </c>
      <c r="S1134" s="3" t="s">
        <v>54</v>
      </c>
      <c r="T1134" s="72"/>
      <c r="U1134" s="73"/>
      <c r="W1134" s="2" t="s">
        <v>3075</v>
      </c>
      <c r="X1134" s="10" t="s">
        <v>504</v>
      </c>
      <c r="Y1134" s="10" t="s">
        <v>511</v>
      </c>
      <c r="Z1134" s="75"/>
      <c r="AA1134" s="76">
        <v>26884</v>
      </c>
      <c r="AB1134" s="77"/>
      <c r="AC1134" s="77"/>
      <c r="AD1134" s="6"/>
      <c r="AG1134" s="7">
        <v>1973</v>
      </c>
      <c r="AH1134" s="7">
        <v>1970</v>
      </c>
      <c r="AI1134" s="7"/>
      <c r="AJ1134" s="73"/>
      <c r="AK1134" s="7"/>
      <c r="AL1134" s="16"/>
      <c r="AU1134" s="16" t="s">
        <v>3073</v>
      </c>
      <c r="AW1134" s="6">
        <f t="shared" ca="1" si="20"/>
        <v>52</v>
      </c>
    </row>
    <row r="1135" ht="45" customHeight="1" outlineLevel="1">
      <c r="A1135" s="69"/>
      <c r="B1135" s="3" t="s">
        <v>47</v>
      </c>
      <c r="E1135" s="2" t="s">
        <v>83</v>
      </c>
      <c r="F1135" s="6" t="s">
        <v>84</v>
      </c>
      <c r="G1135" s="5" t="s">
        <v>85</v>
      </c>
      <c r="H1135" s="2" t="s">
        <v>508</v>
      </c>
      <c r="I1135" s="3" t="s">
        <v>3076</v>
      </c>
      <c r="J1135" s="7">
        <v>1</v>
      </c>
      <c r="K1135" s="70" t="s">
        <v>53</v>
      </c>
      <c r="L1135" s="9">
        <v>0</v>
      </c>
      <c r="M1135" s="3">
        <v>869</v>
      </c>
      <c r="N1135" s="6">
        <v>1973</v>
      </c>
      <c r="P1135" s="71"/>
      <c r="R1135" s="6">
        <v>1970</v>
      </c>
      <c r="S1135" s="3" t="s">
        <v>54</v>
      </c>
      <c r="T1135" s="72"/>
      <c r="U1135" s="73"/>
      <c r="W1135" s="2" t="s">
        <v>3077</v>
      </c>
      <c r="X1135" s="10" t="s">
        <v>504</v>
      </c>
      <c r="Y1135" s="10" t="s">
        <v>511</v>
      </c>
      <c r="Z1135" s="75"/>
      <c r="AA1135" s="76">
        <v>26884</v>
      </c>
      <c r="AB1135" s="77"/>
      <c r="AC1135" s="77"/>
      <c r="AD1135" s="6"/>
      <c r="AG1135" s="7">
        <v>1973</v>
      </c>
      <c r="AH1135" s="7">
        <v>1970</v>
      </c>
      <c r="AI1135" s="7"/>
      <c r="AJ1135" s="73"/>
      <c r="AK1135" s="7"/>
      <c r="AL1135" s="16"/>
      <c r="AR1135" s="87"/>
      <c r="AS1135" s="88"/>
      <c r="AT1135" s="88"/>
      <c r="AU1135" s="89" t="s">
        <v>3073</v>
      </c>
      <c r="AV1135" s="90"/>
      <c r="AW1135" s="6">
        <f t="shared" ca="1" si="20"/>
        <v>52</v>
      </c>
    </row>
    <row r="1136" ht="45" customHeight="1">
      <c r="A1136" s="69"/>
      <c r="B1136" s="3" t="s">
        <v>47</v>
      </c>
      <c r="E1136" s="2" t="s">
        <v>83</v>
      </c>
      <c r="F1136" s="6" t="s">
        <v>84</v>
      </c>
      <c r="G1136" s="5" t="s">
        <v>85</v>
      </c>
      <c r="H1136" s="2" t="s">
        <v>508</v>
      </c>
      <c r="I1136" s="3" t="s">
        <v>3078</v>
      </c>
      <c r="J1136" s="7">
        <v>1</v>
      </c>
      <c r="K1136" s="70" t="s">
        <v>53</v>
      </c>
      <c r="L1136" s="9">
        <v>0</v>
      </c>
      <c r="M1136" s="3">
        <v>869</v>
      </c>
      <c r="N1136" s="6">
        <v>1973</v>
      </c>
      <c r="P1136" s="71"/>
      <c r="R1136" s="6">
        <v>1970</v>
      </c>
      <c r="S1136" s="3" t="s">
        <v>54</v>
      </c>
      <c r="T1136" s="72"/>
      <c r="U1136" s="73"/>
      <c r="W1136" s="2" t="s">
        <v>3079</v>
      </c>
      <c r="X1136" s="10" t="s">
        <v>504</v>
      </c>
      <c r="Y1136" s="10" t="s">
        <v>511</v>
      </c>
      <c r="Z1136" s="75"/>
      <c r="AA1136" s="76">
        <v>26884</v>
      </c>
      <c r="AB1136" s="77"/>
      <c r="AC1136" s="77"/>
      <c r="AD1136" s="6"/>
      <c r="AG1136" s="7">
        <v>1973</v>
      </c>
      <c r="AH1136" s="7">
        <v>1970</v>
      </c>
      <c r="AI1136" s="7"/>
      <c r="AJ1136" s="73"/>
      <c r="AK1136" s="7"/>
      <c r="AL1136" s="16"/>
      <c r="AU1136" s="16" t="s">
        <v>3073</v>
      </c>
      <c r="AW1136" s="6">
        <f t="shared" ca="1" si="20"/>
        <v>52</v>
      </c>
    </row>
    <row r="1137" ht="45" customHeight="1">
      <c r="A1137" s="69"/>
      <c r="B1137" s="3" t="s">
        <v>47</v>
      </c>
      <c r="E1137" s="2" t="s">
        <v>83</v>
      </c>
      <c r="F1137" s="6" t="s">
        <v>84</v>
      </c>
      <c r="G1137" s="5" t="s">
        <v>85</v>
      </c>
      <c r="H1137" s="2" t="s">
        <v>508</v>
      </c>
      <c r="I1137" s="3" t="s">
        <v>3080</v>
      </c>
      <c r="J1137" s="7">
        <v>1</v>
      </c>
      <c r="K1137" s="70" t="s">
        <v>53</v>
      </c>
      <c r="L1137" s="9">
        <v>0</v>
      </c>
      <c r="M1137" s="3">
        <v>869</v>
      </c>
      <c r="N1137" s="6">
        <v>1973</v>
      </c>
      <c r="P1137" s="71"/>
      <c r="R1137" s="6">
        <v>1970</v>
      </c>
      <c r="S1137" s="3" t="s">
        <v>54</v>
      </c>
      <c r="T1137" s="72"/>
      <c r="U1137" s="73"/>
      <c r="W1137" s="2" t="s">
        <v>3081</v>
      </c>
      <c r="X1137" s="10" t="s">
        <v>504</v>
      </c>
      <c r="Y1137" s="10" t="s">
        <v>511</v>
      </c>
      <c r="Z1137" s="75"/>
      <c r="AA1137" s="76">
        <v>26884</v>
      </c>
      <c r="AB1137" s="77"/>
      <c r="AC1137" s="77"/>
      <c r="AD1137" s="6"/>
      <c r="AG1137" s="7">
        <v>1973</v>
      </c>
      <c r="AH1137" s="7">
        <v>1970</v>
      </c>
      <c r="AI1137" s="7"/>
      <c r="AJ1137" s="73"/>
      <c r="AK1137" s="7"/>
      <c r="AL1137" s="16"/>
      <c r="AR1137" s="87"/>
      <c r="AS1137" s="88"/>
      <c r="AT1137" s="88"/>
      <c r="AU1137" s="89" t="s">
        <v>3073</v>
      </c>
      <c r="AV1137" s="90"/>
      <c r="AW1137" s="6">
        <f t="shared" ca="1" si="20"/>
        <v>52</v>
      </c>
    </row>
    <row r="1138" ht="45" customHeight="1">
      <c r="A1138" s="69"/>
      <c r="B1138" s="3" t="s">
        <v>47</v>
      </c>
      <c r="E1138" s="2" t="s">
        <v>83</v>
      </c>
      <c r="F1138" s="6" t="s">
        <v>179</v>
      </c>
      <c r="G1138" s="5" t="s">
        <v>1442</v>
      </c>
      <c r="H1138" s="2" t="s">
        <v>51</v>
      </c>
      <c r="I1138" s="3" t="s">
        <v>330</v>
      </c>
      <c r="J1138" s="7">
        <v>1</v>
      </c>
      <c r="K1138" s="70" t="s">
        <v>53</v>
      </c>
      <c r="L1138" s="9">
        <v>1</v>
      </c>
      <c r="M1138" s="3">
        <v>870</v>
      </c>
      <c r="N1138" s="6">
        <v>1973</v>
      </c>
      <c r="P1138" s="71"/>
      <c r="R1138" s="6">
        <v>1970</v>
      </c>
      <c r="S1138" s="3" t="s">
        <v>54</v>
      </c>
      <c r="T1138" s="72"/>
      <c r="U1138" s="73"/>
      <c r="W1138" s="2" t="s">
        <v>3082</v>
      </c>
      <c r="X1138" s="10" t="s">
        <v>56</v>
      </c>
      <c r="Y1138" s="10" t="s">
        <v>57</v>
      </c>
      <c r="Z1138" s="75" t="s">
        <v>58</v>
      </c>
      <c r="AA1138" s="76"/>
      <c r="AB1138" s="77">
        <v>35405</v>
      </c>
      <c r="AC1138" s="77">
        <v>35405</v>
      </c>
      <c r="AD1138" s="10"/>
      <c r="AE1138" s="7">
        <v>1996</v>
      </c>
      <c r="AF1138" s="7">
        <v>9</v>
      </c>
      <c r="AG1138" s="7">
        <v>1996</v>
      </c>
      <c r="AH1138" s="7">
        <v>1990</v>
      </c>
      <c r="AI1138" s="7"/>
      <c r="AJ1138" s="73"/>
      <c r="AK1138" s="7"/>
      <c r="AL1138" s="16"/>
      <c r="AM1138" s="2" t="s">
        <v>59</v>
      </c>
      <c r="AW1138" s="6">
        <f t="shared" ca="1" si="20"/>
        <v>52</v>
      </c>
    </row>
    <row r="1139" ht="45" hidden="1" customHeight="1">
      <c r="A1139" s="69"/>
      <c r="B1139" s="3" t="s">
        <v>47</v>
      </c>
      <c r="C1139" s="4" t="s">
        <v>351</v>
      </c>
      <c r="E1139" s="2" t="s">
        <v>83</v>
      </c>
      <c r="F1139" s="6" t="s">
        <v>84</v>
      </c>
      <c r="G1139" s="5" t="s">
        <v>85</v>
      </c>
      <c r="H1139" s="2" t="s">
        <v>57</v>
      </c>
      <c r="I1139" s="3" t="s">
        <v>3083</v>
      </c>
      <c r="J1139" s="7">
        <v>1</v>
      </c>
      <c r="K1139" s="70"/>
      <c r="L1139" s="9">
        <v>1</v>
      </c>
      <c r="M1139" s="3">
        <v>871</v>
      </c>
      <c r="N1139" s="6">
        <v>1973</v>
      </c>
      <c r="P1139" s="71"/>
      <c r="R1139" s="6">
        <v>1970</v>
      </c>
      <c r="S1139" s="3" t="s">
        <v>236</v>
      </c>
      <c r="T1139" s="72"/>
      <c r="U1139" s="73">
        <v>39595</v>
      </c>
      <c r="W1139" s="2" t="s">
        <v>62</v>
      </c>
      <c r="X1139" s="10" t="s">
        <v>56</v>
      </c>
      <c r="Y1139" s="10" t="s">
        <v>57</v>
      </c>
      <c r="Z1139" s="75"/>
      <c r="AA1139" s="76"/>
      <c r="AB1139" s="77"/>
      <c r="AC1139" s="77"/>
      <c r="AD1139" s="10"/>
      <c r="AI1139" s="7"/>
      <c r="AJ1139" s="95">
        <v>39595</v>
      </c>
      <c r="AK1139" s="7">
        <v>2000</v>
      </c>
      <c r="AL1139" s="16"/>
      <c r="AW1139" s="6">
        <f t="shared" ca="1" si="20"/>
        <v>52</v>
      </c>
    </row>
    <row r="1140" ht="45" hidden="1" customHeight="1">
      <c r="A1140" s="69">
        <v>43297</v>
      </c>
      <c r="B1140" s="3" t="s">
        <v>190</v>
      </c>
      <c r="C1140" s="4" t="s">
        <v>3084</v>
      </c>
      <c r="D1140" s="5" t="s">
        <v>3085</v>
      </c>
      <c r="E1140" s="2" t="s">
        <v>63</v>
      </c>
      <c r="F1140" s="6" t="s">
        <v>64</v>
      </c>
      <c r="G1140" s="5" t="s">
        <v>3086</v>
      </c>
      <c r="H1140" s="2" t="s">
        <v>257</v>
      </c>
      <c r="I1140" s="3" t="s">
        <v>3087</v>
      </c>
      <c r="J1140" s="7">
        <v>1</v>
      </c>
      <c r="K1140" s="70"/>
      <c r="L1140" s="9">
        <v>1</v>
      </c>
      <c r="M1140" s="3">
        <v>872</v>
      </c>
      <c r="N1140" s="6">
        <v>1973</v>
      </c>
      <c r="P1140" s="71"/>
      <c r="R1140" s="6">
        <v>1970</v>
      </c>
      <c r="S1140" s="3" t="s">
        <v>283</v>
      </c>
      <c r="T1140" s="72" t="s">
        <v>998</v>
      </c>
      <c r="U1140" s="73"/>
      <c r="W1140" s="74" t="s">
        <v>62</v>
      </c>
      <c r="X1140" s="10" t="s">
        <v>56</v>
      </c>
      <c r="Y1140" s="10" t="s">
        <v>68</v>
      </c>
      <c r="Z1140" s="75" t="s">
        <v>237</v>
      </c>
      <c r="AA1140" s="76"/>
      <c r="AB1140" s="77"/>
      <c r="AC1140" s="77"/>
      <c r="AD1140" s="10"/>
      <c r="AI1140" s="7"/>
      <c r="AJ1140" s="73"/>
      <c r="AK1140" s="7"/>
      <c r="AL1140" s="16"/>
      <c r="AW1140" s="6">
        <f t="shared" ca="1" si="20"/>
        <v>52</v>
      </c>
    </row>
    <row r="1141" ht="45" hidden="1" customHeight="1">
      <c r="A1141" s="69">
        <v>43510</v>
      </c>
      <c r="B1141" s="3" t="s">
        <v>47</v>
      </c>
      <c r="C1141" s="4" t="s">
        <v>3044</v>
      </c>
      <c r="D1141" s="5" t="s">
        <v>3088</v>
      </c>
      <c r="E1141" s="2" t="s">
        <v>83</v>
      </c>
      <c r="F1141" s="6" t="s">
        <v>931</v>
      </c>
      <c r="G1141" s="5" t="s">
        <v>932</v>
      </c>
      <c r="H1141" s="2" t="s">
        <v>51</v>
      </c>
      <c r="I1141" s="3" t="s">
        <v>3089</v>
      </c>
      <c r="J1141" s="7">
        <v>1</v>
      </c>
      <c r="K1141" s="70"/>
      <c r="L1141" s="9">
        <v>1</v>
      </c>
      <c r="M1141" s="3">
        <v>873</v>
      </c>
      <c r="N1141" s="6">
        <v>1973</v>
      </c>
      <c r="P1141" s="71"/>
      <c r="R1141" s="6">
        <v>1970</v>
      </c>
      <c r="S1141" s="3" t="s">
        <v>236</v>
      </c>
      <c r="T1141" s="72" t="s">
        <v>1136</v>
      </c>
      <c r="W1141" s="2" t="s">
        <v>62</v>
      </c>
      <c r="X1141" s="10" t="s">
        <v>56</v>
      </c>
      <c r="Y1141" s="10" t="s">
        <v>57</v>
      </c>
      <c r="Z1141" s="75" t="s">
        <v>58</v>
      </c>
      <c r="AA1141" s="76"/>
      <c r="AB1141" s="77"/>
      <c r="AC1141" s="77"/>
      <c r="AD1141" s="10"/>
      <c r="AI1141" s="7"/>
      <c r="AJ1141" s="10">
        <v>44474</v>
      </c>
      <c r="AK1141" s="7">
        <v>2020</v>
      </c>
      <c r="AL1141" s="16"/>
      <c r="AU1141" s="16" t="s">
        <v>3090</v>
      </c>
      <c r="AW1141" s="6">
        <f t="shared" ca="1" si="20"/>
        <v>52</v>
      </c>
    </row>
    <row r="1142" ht="45" hidden="1" customHeight="1">
      <c r="A1142" s="69"/>
      <c r="B1142" s="3" t="s">
        <v>47</v>
      </c>
      <c r="C1142" s="4" t="s">
        <v>3091</v>
      </c>
      <c r="D1142" s="5" t="s">
        <v>2993</v>
      </c>
      <c r="E1142" s="2" t="s">
        <v>83</v>
      </c>
      <c r="F1142" s="6" t="s">
        <v>704</v>
      </c>
      <c r="G1142" s="5" t="s">
        <v>3092</v>
      </c>
      <c r="H1142" s="2" t="s">
        <v>51</v>
      </c>
      <c r="I1142" s="3" t="s">
        <v>3093</v>
      </c>
      <c r="J1142" s="7">
        <v>1</v>
      </c>
      <c r="K1142" s="70"/>
      <c r="L1142" s="9">
        <v>1</v>
      </c>
      <c r="M1142" s="3">
        <v>874</v>
      </c>
      <c r="N1142" s="6">
        <v>1973</v>
      </c>
      <c r="P1142" s="71"/>
      <c r="R1142" s="6">
        <v>1970</v>
      </c>
      <c r="S1142" s="3" t="s">
        <v>236</v>
      </c>
      <c r="T1142" s="72"/>
      <c r="U1142" s="73"/>
      <c r="W1142" s="2" t="s">
        <v>62</v>
      </c>
      <c r="X1142" s="10" t="s">
        <v>56</v>
      </c>
      <c r="Y1142" s="10" t="s">
        <v>57</v>
      </c>
      <c r="Z1142" s="75" t="s">
        <v>58</v>
      </c>
      <c r="AA1142" s="76"/>
      <c r="AB1142" s="77"/>
      <c r="AC1142" s="77"/>
      <c r="AD1142" s="10"/>
      <c r="AI1142" s="7"/>
      <c r="AJ1142" s="10">
        <v>42597</v>
      </c>
      <c r="AK1142" s="7">
        <v>2010</v>
      </c>
      <c r="AL1142" s="16"/>
      <c r="AU1142" s="16" t="s">
        <v>3094</v>
      </c>
      <c r="AW1142" s="6">
        <f t="shared" ca="1" si="20"/>
        <v>52</v>
      </c>
    </row>
    <row r="1143" ht="45" hidden="1" customHeight="1">
      <c r="A1143" s="69">
        <v>42489</v>
      </c>
      <c r="B1143" s="3" t="s">
        <v>190</v>
      </c>
      <c r="C1143" s="4" t="s">
        <v>3095</v>
      </c>
      <c r="D1143" s="5" t="s">
        <v>3096</v>
      </c>
      <c r="E1143" s="2" t="s">
        <v>63</v>
      </c>
      <c r="F1143" s="6" t="s">
        <v>64</v>
      </c>
      <c r="G1143" s="5" t="s">
        <v>2280</v>
      </c>
      <c r="H1143" s="2" t="s">
        <v>508</v>
      </c>
      <c r="I1143" s="3" t="s">
        <v>3097</v>
      </c>
      <c r="J1143" s="7">
        <v>1</v>
      </c>
      <c r="K1143" s="70"/>
      <c r="L1143" s="9">
        <v>1</v>
      </c>
      <c r="M1143" s="3">
        <v>875</v>
      </c>
      <c r="N1143" s="6">
        <v>1973</v>
      </c>
      <c r="P1143" s="71"/>
      <c r="R1143" s="6">
        <v>1970</v>
      </c>
      <c r="S1143" s="3" t="s">
        <v>283</v>
      </c>
      <c r="T1143" s="72" t="s">
        <v>998</v>
      </c>
      <c r="U1143" s="73"/>
      <c r="W1143" s="74" t="s">
        <v>62</v>
      </c>
      <c r="X1143" s="10" t="s">
        <v>504</v>
      </c>
      <c r="Y1143" s="10" t="s">
        <v>511</v>
      </c>
      <c r="Z1143" s="75"/>
      <c r="AA1143" s="76"/>
      <c r="AB1143" s="77"/>
      <c r="AC1143" s="77"/>
      <c r="AD1143" s="10"/>
      <c r="AI1143" s="7"/>
      <c r="AJ1143" s="73"/>
      <c r="AK1143" s="7"/>
      <c r="AL1143" s="16"/>
      <c r="AW1143" s="6">
        <f t="shared" ca="1" si="20"/>
        <v>52</v>
      </c>
    </row>
    <row r="1144" ht="45" hidden="1" customHeight="1" outlineLevel="1">
      <c r="A1144" s="69"/>
      <c r="B1144" s="3" t="s">
        <v>47</v>
      </c>
      <c r="C1144" s="4" t="s">
        <v>3098</v>
      </c>
      <c r="D1144" s="5" t="s">
        <v>3099</v>
      </c>
      <c r="E1144" s="2" t="s">
        <v>63</v>
      </c>
      <c r="F1144" s="6" t="s">
        <v>64</v>
      </c>
      <c r="G1144" s="5" t="s">
        <v>3100</v>
      </c>
      <c r="H1144" s="2" t="s">
        <v>51</v>
      </c>
      <c r="I1144" s="3" t="s">
        <v>3101</v>
      </c>
      <c r="J1144" s="7">
        <v>1</v>
      </c>
      <c r="K1144" s="70"/>
      <c r="L1144" s="9">
        <v>1</v>
      </c>
      <c r="M1144" s="3">
        <v>876</v>
      </c>
      <c r="N1144" s="6">
        <v>1973</v>
      </c>
      <c r="O1144" s="10">
        <v>26826</v>
      </c>
      <c r="P1144" s="71" t="s">
        <v>3102</v>
      </c>
      <c r="Q1144" s="10" t="s">
        <v>1453</v>
      </c>
      <c r="R1144" s="6">
        <v>1970</v>
      </c>
      <c r="S1144" s="3" t="s">
        <v>236</v>
      </c>
      <c r="T1144" s="72"/>
      <c r="U1144" s="73"/>
      <c r="W1144" s="2" t="s">
        <v>62</v>
      </c>
      <c r="X1144" s="10" t="s">
        <v>56</v>
      </c>
      <c r="Y1144" s="10" t="s">
        <v>57</v>
      </c>
      <c r="Z1144" s="75" t="s">
        <v>58</v>
      </c>
      <c r="AA1144" s="76"/>
      <c r="AB1144" s="77"/>
      <c r="AC1144" s="77"/>
      <c r="AD1144" s="10"/>
      <c r="AI1144" s="7"/>
      <c r="AJ1144" s="10">
        <v>43501</v>
      </c>
      <c r="AK1144" s="7">
        <v>2010</v>
      </c>
      <c r="AL1144" s="16"/>
      <c r="AW1144" s="6">
        <f t="shared" ca="1" si="20"/>
        <v>52</v>
      </c>
    </row>
    <row r="1145" ht="45" customHeight="1" outlineLevel="1">
      <c r="A1145" s="69"/>
      <c r="B1145" s="3" t="s">
        <v>47</v>
      </c>
      <c r="E1145" s="2" t="s">
        <v>1074</v>
      </c>
      <c r="F1145" s="6" t="s">
        <v>2092</v>
      </c>
      <c r="G1145" s="5" t="s">
        <v>3103</v>
      </c>
      <c r="H1145" s="2" t="s">
        <v>181</v>
      </c>
      <c r="I1145" s="3" t="s">
        <v>3104</v>
      </c>
      <c r="J1145" s="7">
        <v>1</v>
      </c>
      <c r="K1145" s="70" t="s">
        <v>53</v>
      </c>
      <c r="L1145" s="9">
        <v>1</v>
      </c>
      <c r="M1145" s="3">
        <v>877</v>
      </c>
      <c r="N1145" s="6">
        <v>1973</v>
      </c>
      <c r="P1145" s="71"/>
      <c r="R1145" s="6">
        <v>1970</v>
      </c>
      <c r="S1145" s="3" t="s">
        <v>54</v>
      </c>
      <c r="T1145" s="72"/>
      <c r="U1145" s="73"/>
      <c r="W1145" s="2" t="s">
        <v>3105</v>
      </c>
      <c r="X1145" s="10" t="s">
        <v>56</v>
      </c>
      <c r="Y1145" s="10" t="s">
        <v>181</v>
      </c>
      <c r="Z1145" s="75"/>
      <c r="AA1145" s="76"/>
      <c r="AB1145" s="77">
        <v>32307</v>
      </c>
      <c r="AC1145" s="77"/>
      <c r="AD1145" s="6"/>
      <c r="AE1145" s="7">
        <v>1986</v>
      </c>
      <c r="AF1145" s="7">
        <v>125</v>
      </c>
      <c r="AG1145" s="7">
        <v>1988</v>
      </c>
      <c r="AH1145" s="7">
        <v>1980</v>
      </c>
      <c r="AI1145" s="7"/>
      <c r="AJ1145" s="73"/>
      <c r="AK1145" s="7"/>
      <c r="AL1145" s="16"/>
      <c r="AM1145" s="2" t="s">
        <v>82</v>
      </c>
      <c r="AW1145" s="6">
        <f t="shared" ca="1" si="20"/>
        <v>52</v>
      </c>
    </row>
    <row r="1146" ht="45" customHeight="1" outlineLevel="1">
      <c r="A1146" s="69"/>
      <c r="B1146" s="3" t="s">
        <v>190</v>
      </c>
      <c r="C1146" s="4" t="s">
        <v>3106</v>
      </c>
      <c r="D1146" s="5" t="s">
        <v>3107</v>
      </c>
      <c r="E1146" s="2" t="s">
        <v>83</v>
      </c>
      <c r="F1146" s="6" t="s">
        <v>84</v>
      </c>
      <c r="G1146" s="5" t="s">
        <v>85</v>
      </c>
      <c r="H1146" s="2" t="s">
        <v>508</v>
      </c>
      <c r="I1146" s="3" t="s">
        <v>3108</v>
      </c>
      <c r="J1146" s="7">
        <v>1</v>
      </c>
      <c r="K1146" s="70" t="s">
        <v>53</v>
      </c>
      <c r="L1146" s="9">
        <v>1</v>
      </c>
      <c r="M1146" s="3">
        <v>878</v>
      </c>
      <c r="N1146" s="6">
        <v>1973</v>
      </c>
      <c r="P1146" s="71"/>
      <c r="R1146" s="6">
        <v>1970</v>
      </c>
      <c r="S1146" s="3" t="s">
        <v>195</v>
      </c>
      <c r="T1146" s="72"/>
      <c r="U1146" s="73"/>
      <c r="W1146" s="2" t="s">
        <v>3109</v>
      </c>
      <c r="X1146" s="10" t="s">
        <v>504</v>
      </c>
      <c r="Y1146" s="10" t="s">
        <v>511</v>
      </c>
      <c r="Z1146" s="75"/>
      <c r="AA1146" s="76">
        <v>36696</v>
      </c>
      <c r="AB1146" s="77"/>
      <c r="AC1146" s="77"/>
      <c r="AD1146" s="6"/>
      <c r="AE1146" s="7">
        <v>1999</v>
      </c>
      <c r="AF1146" s="7">
        <v>19</v>
      </c>
      <c r="AG1146" s="7">
        <v>2000</v>
      </c>
      <c r="AH1146" s="7">
        <v>2000</v>
      </c>
      <c r="AI1146" s="7"/>
      <c r="AJ1146" s="73"/>
      <c r="AK1146" s="7"/>
      <c r="AL1146" s="16"/>
      <c r="AM1146" s="2" t="s">
        <v>53</v>
      </c>
      <c r="AN1146" s="6" t="s">
        <v>73</v>
      </c>
      <c r="AR1146" s="87"/>
      <c r="AS1146" s="88"/>
      <c r="AT1146" s="88"/>
      <c r="AU1146" s="89"/>
      <c r="AV1146" s="90"/>
      <c r="AW1146" s="6">
        <f t="shared" ca="1" si="20"/>
        <v>52</v>
      </c>
    </row>
    <row r="1147" ht="45" customHeight="1" outlineLevel="1">
      <c r="A1147" s="69"/>
      <c r="B1147" s="3" t="s">
        <v>47</v>
      </c>
      <c r="E1147" s="2" t="s">
        <v>63</v>
      </c>
      <c r="F1147" s="6" t="s">
        <v>428</v>
      </c>
      <c r="G1147" s="5" t="s">
        <v>2082</v>
      </c>
      <c r="H1147" s="2" t="s">
        <v>57</v>
      </c>
      <c r="I1147" s="3" t="s">
        <v>3110</v>
      </c>
      <c r="J1147" s="7">
        <v>1</v>
      </c>
      <c r="K1147" s="70" t="s">
        <v>53</v>
      </c>
      <c r="L1147" s="9">
        <v>1</v>
      </c>
      <c r="M1147" s="3">
        <v>879</v>
      </c>
      <c r="N1147" s="6">
        <v>1973</v>
      </c>
      <c r="P1147" s="71"/>
      <c r="R1147" s="6">
        <v>1970</v>
      </c>
      <c r="S1147" s="3" t="s">
        <v>54</v>
      </c>
      <c r="T1147" s="72"/>
      <c r="U1147" s="73"/>
      <c r="W1147" s="2" t="s">
        <v>3111</v>
      </c>
      <c r="X1147" s="10" t="s">
        <v>56</v>
      </c>
      <c r="Y1147" s="10" t="s">
        <v>57</v>
      </c>
      <c r="Z1147" s="75"/>
      <c r="AA1147" s="76"/>
      <c r="AB1147" s="77">
        <v>29319</v>
      </c>
      <c r="AC1147" s="77">
        <v>29319</v>
      </c>
      <c r="AD1147" s="10"/>
      <c r="AE1147" s="7">
        <v>1976</v>
      </c>
      <c r="AF1147" s="7">
        <v>74</v>
      </c>
      <c r="AG1147" s="7">
        <v>1980</v>
      </c>
      <c r="AH1147" s="7">
        <v>1980</v>
      </c>
      <c r="AI1147" s="7"/>
      <c r="AJ1147" s="73"/>
      <c r="AK1147" s="7"/>
      <c r="AL1147" s="16"/>
      <c r="AM1147" s="2" t="s">
        <v>59</v>
      </c>
      <c r="AO1147" s="6" t="s">
        <v>59</v>
      </c>
      <c r="AQ1147" s="5" t="s">
        <v>73</v>
      </c>
      <c r="AW1147" s="6">
        <f t="shared" ca="1" si="20"/>
        <v>52</v>
      </c>
    </row>
    <row r="1148" ht="45" customHeight="1">
      <c r="A1148" s="69"/>
      <c r="B1148" s="3" t="s">
        <v>47</v>
      </c>
      <c r="E1148" s="2" t="s">
        <v>83</v>
      </c>
      <c r="F1148" s="6" t="s">
        <v>179</v>
      </c>
      <c r="G1148" s="5" t="s">
        <v>1854</v>
      </c>
      <c r="H1148" s="2" t="s">
        <v>68</v>
      </c>
      <c r="I1148" s="3" t="s">
        <v>3112</v>
      </c>
      <c r="J1148" s="7">
        <v>1</v>
      </c>
      <c r="K1148" s="70" t="s">
        <v>53</v>
      </c>
      <c r="L1148" s="9">
        <v>1</v>
      </c>
      <c r="M1148" s="3">
        <v>880</v>
      </c>
      <c r="N1148" s="6">
        <v>1973</v>
      </c>
      <c r="P1148" s="71"/>
      <c r="R1148" s="6">
        <v>1970</v>
      </c>
      <c r="S1148" s="3" t="s">
        <v>54</v>
      </c>
      <c r="T1148" s="72"/>
      <c r="U1148" s="73"/>
      <c r="W1148" s="2" t="s">
        <v>3113</v>
      </c>
      <c r="X1148" s="10" t="s">
        <v>56</v>
      </c>
      <c r="Y1148" s="10" t="s">
        <v>68</v>
      </c>
      <c r="Z1148" s="75"/>
      <c r="AA1148" s="76">
        <v>27015</v>
      </c>
      <c r="AB1148" s="77"/>
      <c r="AC1148" s="77">
        <v>27015</v>
      </c>
      <c r="AD1148" s="10"/>
      <c r="AE1148" s="7">
        <v>1973</v>
      </c>
      <c r="AF1148" s="7">
        <v>62</v>
      </c>
      <c r="AG1148" s="7">
        <v>1973</v>
      </c>
      <c r="AH1148" s="7">
        <v>1970</v>
      </c>
      <c r="AI1148" s="7"/>
      <c r="AJ1148" s="73"/>
      <c r="AK1148" s="7"/>
      <c r="AL1148" s="16"/>
      <c r="AU1148" s="16" t="s">
        <v>3114</v>
      </c>
      <c r="AW1148" s="6">
        <f t="shared" ca="1" si="20"/>
        <v>52</v>
      </c>
    </row>
    <row r="1149" ht="45" customHeight="1">
      <c r="A1149" s="69"/>
      <c r="B1149" s="3" t="s">
        <v>47</v>
      </c>
      <c r="E1149" s="2" t="s">
        <v>83</v>
      </c>
      <c r="F1149" s="6" t="s">
        <v>84</v>
      </c>
      <c r="G1149" s="5" t="s">
        <v>3115</v>
      </c>
      <c r="H1149" s="2" t="s">
        <v>57</v>
      </c>
      <c r="I1149" s="3" t="s">
        <v>3116</v>
      </c>
      <c r="J1149" s="7">
        <v>1</v>
      </c>
      <c r="K1149" s="70" t="s">
        <v>53</v>
      </c>
      <c r="L1149" s="9">
        <v>1</v>
      </c>
      <c r="M1149" s="3">
        <v>881</v>
      </c>
      <c r="N1149" s="6">
        <v>1973</v>
      </c>
      <c r="P1149" s="71"/>
      <c r="R1149" s="6">
        <v>1970</v>
      </c>
      <c r="S1149" s="3" t="s">
        <v>54</v>
      </c>
      <c r="T1149" s="72"/>
      <c r="U1149" s="73"/>
      <c r="W1149" s="2" t="s">
        <v>3117</v>
      </c>
      <c r="X1149" s="10" t="s">
        <v>56</v>
      </c>
      <c r="Y1149" s="10" t="s">
        <v>57</v>
      </c>
      <c r="Z1149" s="75"/>
      <c r="AA1149" s="76"/>
      <c r="AB1149" s="77">
        <v>27015</v>
      </c>
      <c r="AC1149" s="77"/>
      <c r="AD1149" s="6"/>
      <c r="AE1149" s="7">
        <v>1973</v>
      </c>
      <c r="AF1149" s="7">
        <v>62</v>
      </c>
      <c r="AG1149" s="7">
        <v>1973</v>
      </c>
      <c r="AH1149" s="7">
        <v>1970</v>
      </c>
      <c r="AI1149" s="7"/>
      <c r="AJ1149" s="73"/>
      <c r="AK1149" s="7"/>
      <c r="AL1149" s="16"/>
      <c r="AM1149" s="2" t="s">
        <v>59</v>
      </c>
      <c r="AW1149" s="6">
        <f t="shared" ca="1" si="20"/>
        <v>52</v>
      </c>
    </row>
    <row r="1150" ht="45" hidden="1" customHeight="1">
      <c r="A1150" s="69">
        <v>43922</v>
      </c>
      <c r="B1150" s="3" t="s">
        <v>1926</v>
      </c>
      <c r="C1150" s="4" t="s">
        <v>3118</v>
      </c>
      <c r="D1150" s="5" t="s">
        <v>3119</v>
      </c>
      <c r="E1150" s="2" t="s">
        <v>83</v>
      </c>
      <c r="F1150" s="6" t="s">
        <v>179</v>
      </c>
      <c r="G1150" s="5" t="s">
        <v>3120</v>
      </c>
      <c r="H1150" s="2" t="s">
        <v>51</v>
      </c>
      <c r="I1150" s="3" t="s">
        <v>3121</v>
      </c>
      <c r="J1150" s="7">
        <v>1</v>
      </c>
      <c r="K1150" s="104"/>
      <c r="L1150" s="9">
        <v>1</v>
      </c>
      <c r="M1150" s="3">
        <v>882</v>
      </c>
      <c r="N1150" s="6">
        <v>1973</v>
      </c>
      <c r="P1150" s="71"/>
      <c r="R1150" s="6">
        <v>1970</v>
      </c>
      <c r="S1150" s="3" t="s">
        <v>283</v>
      </c>
      <c r="T1150" s="72" t="s">
        <v>1136</v>
      </c>
      <c r="U1150" s="73"/>
      <c r="W1150" s="74" t="s">
        <v>62</v>
      </c>
      <c r="X1150" s="10" t="s">
        <v>56</v>
      </c>
      <c r="Y1150" s="10" t="s">
        <v>57</v>
      </c>
      <c r="Z1150" s="75" t="s">
        <v>58</v>
      </c>
      <c r="AA1150" s="76"/>
      <c r="AB1150" s="77"/>
      <c r="AC1150" s="77"/>
      <c r="AD1150" s="6"/>
      <c r="AI1150" s="7"/>
      <c r="AJ1150" s="73"/>
      <c r="AK1150" s="7"/>
      <c r="AL1150" s="16"/>
      <c r="AW1150" s="6">
        <f t="shared" ca="1" si="20"/>
        <v>52</v>
      </c>
    </row>
    <row r="1151" ht="45" hidden="1" customHeight="1" outlineLevel="1">
      <c r="A1151" s="69">
        <v>43922</v>
      </c>
      <c r="B1151" s="3" t="s">
        <v>1926</v>
      </c>
      <c r="C1151" s="4" t="s">
        <v>3118</v>
      </c>
      <c r="D1151" s="5" t="s">
        <v>3119</v>
      </c>
      <c r="E1151" s="2" t="s">
        <v>83</v>
      </c>
      <c r="F1151" s="6" t="s">
        <v>179</v>
      </c>
      <c r="G1151" s="5" t="s">
        <v>3120</v>
      </c>
      <c r="H1151" s="2" t="s">
        <v>51</v>
      </c>
      <c r="I1151" s="3" t="s">
        <v>3122</v>
      </c>
      <c r="J1151" s="7">
        <v>1</v>
      </c>
      <c r="K1151" s="104"/>
      <c r="L1151" s="9">
        <v>0</v>
      </c>
      <c r="M1151" s="3">
        <v>882</v>
      </c>
      <c r="N1151" s="6">
        <v>1973</v>
      </c>
      <c r="P1151" s="71"/>
      <c r="R1151" s="6">
        <v>1970</v>
      </c>
      <c r="S1151" s="3" t="s">
        <v>283</v>
      </c>
      <c r="T1151" s="72" t="s">
        <v>1136</v>
      </c>
      <c r="U1151" s="73"/>
      <c r="W1151" s="74" t="s">
        <v>62</v>
      </c>
      <c r="X1151" s="10" t="s">
        <v>56</v>
      </c>
      <c r="Y1151" s="10" t="s">
        <v>57</v>
      </c>
      <c r="Z1151" s="75" t="s">
        <v>58</v>
      </c>
      <c r="AA1151" s="76"/>
      <c r="AB1151" s="77"/>
      <c r="AC1151" s="77"/>
      <c r="AD1151" s="6"/>
      <c r="AI1151" s="7"/>
      <c r="AJ1151" s="73"/>
      <c r="AK1151" s="7"/>
      <c r="AL1151" s="16"/>
      <c r="AW1151" s="6">
        <f t="shared" ca="1" si="20"/>
        <v>52</v>
      </c>
    </row>
    <row r="1152" ht="45" customHeight="1" outlineLevel="1">
      <c r="A1152" s="69"/>
      <c r="B1152" s="3" t="s">
        <v>47</v>
      </c>
      <c r="E1152" s="2" t="s">
        <v>63</v>
      </c>
      <c r="F1152" s="6" t="s">
        <v>64</v>
      </c>
      <c r="G1152" s="5" t="s">
        <v>69</v>
      </c>
      <c r="H1152" s="2" t="s">
        <v>57</v>
      </c>
      <c r="I1152" s="3" t="s">
        <v>3123</v>
      </c>
      <c r="J1152" s="7">
        <v>1</v>
      </c>
      <c r="K1152" s="70" t="s">
        <v>53</v>
      </c>
      <c r="L1152" s="9">
        <v>1</v>
      </c>
      <c r="M1152" s="3">
        <v>883</v>
      </c>
      <c r="N1152" s="6">
        <v>1973</v>
      </c>
      <c r="P1152" s="71"/>
      <c r="R1152" s="6">
        <v>1970</v>
      </c>
      <c r="S1152" s="3" t="s">
        <v>54</v>
      </c>
      <c r="T1152" s="72"/>
      <c r="U1152" s="73"/>
      <c r="W1152" s="2" t="s">
        <v>3124</v>
      </c>
      <c r="X1152" s="10" t="s">
        <v>56</v>
      </c>
      <c r="Y1152" s="10" t="s">
        <v>57</v>
      </c>
      <c r="Z1152" s="75"/>
      <c r="AA1152" s="76"/>
      <c r="AB1152" s="77">
        <v>27015</v>
      </c>
      <c r="AC1152" s="77">
        <v>27015</v>
      </c>
      <c r="AD1152" s="10"/>
      <c r="AE1152" s="7">
        <v>1973</v>
      </c>
      <c r="AF1152" s="7" t="s">
        <v>3125</v>
      </c>
      <c r="AG1152" s="7">
        <v>1973</v>
      </c>
      <c r="AH1152" s="7">
        <v>1970</v>
      </c>
      <c r="AI1152" s="7">
        <v>1984</v>
      </c>
      <c r="AJ1152" s="73"/>
      <c r="AK1152" s="7"/>
      <c r="AL1152" s="16" t="s">
        <v>664</v>
      </c>
      <c r="AM1152" s="2" t="s">
        <v>59</v>
      </c>
      <c r="AO1152" s="6" t="s">
        <v>73</v>
      </c>
      <c r="AU1152" s="16" t="s">
        <v>74</v>
      </c>
      <c r="AW1152" s="6">
        <f t="shared" ca="1" si="20"/>
        <v>52</v>
      </c>
    </row>
    <row r="1153" ht="45" hidden="1" customHeight="1">
      <c r="A1153" s="69">
        <v>44602</v>
      </c>
      <c r="B1153" s="3" t="s">
        <v>47</v>
      </c>
      <c r="C1153" s="4" t="s">
        <v>3126</v>
      </c>
      <c r="D1153" s="5" t="s">
        <v>3127</v>
      </c>
      <c r="E1153" s="2" t="s">
        <v>83</v>
      </c>
      <c r="F1153" s="6" t="s">
        <v>84</v>
      </c>
      <c r="G1153" s="5" t="s">
        <v>850</v>
      </c>
      <c r="H1153" s="2" t="s">
        <v>57</v>
      </c>
      <c r="I1153" s="3" t="s">
        <v>3128</v>
      </c>
      <c r="J1153" s="7">
        <v>1</v>
      </c>
      <c r="K1153" s="70"/>
      <c r="L1153" s="9">
        <v>1</v>
      </c>
      <c r="M1153" s="3">
        <v>884</v>
      </c>
      <c r="N1153" s="6">
        <v>1973</v>
      </c>
      <c r="P1153" s="71"/>
      <c r="R1153" s="6">
        <v>1970</v>
      </c>
      <c r="S1153" s="3" t="s">
        <v>236</v>
      </c>
      <c r="T1153" s="72" t="s">
        <v>1136</v>
      </c>
      <c r="W1153" s="2" t="s">
        <v>62</v>
      </c>
      <c r="X1153" s="10" t="s">
        <v>56</v>
      </c>
      <c r="Y1153" s="10" t="s">
        <v>57</v>
      </c>
      <c r="Z1153" s="75"/>
      <c r="AA1153" s="76"/>
      <c r="AB1153" s="77"/>
      <c r="AC1153" s="77"/>
      <c r="AD1153" s="10"/>
      <c r="AI1153" s="7"/>
      <c r="AJ1153" s="10">
        <v>44711</v>
      </c>
      <c r="AK1153" s="7">
        <v>2020</v>
      </c>
      <c r="AL1153" s="16"/>
      <c r="AW1153" s="6">
        <f t="shared" ca="1" si="20"/>
        <v>52</v>
      </c>
    </row>
    <row r="1154" ht="45" hidden="1" customHeight="1">
      <c r="A1154" s="69"/>
      <c r="B1154" s="3" t="s">
        <v>47</v>
      </c>
      <c r="C1154" s="4" t="s">
        <v>2959</v>
      </c>
      <c r="D1154" s="5" t="s">
        <v>3129</v>
      </c>
      <c r="E1154" s="2" t="s">
        <v>83</v>
      </c>
      <c r="F1154" s="6" t="s">
        <v>179</v>
      </c>
      <c r="G1154" s="5" t="s">
        <v>3130</v>
      </c>
      <c r="H1154" s="2" t="s">
        <v>51</v>
      </c>
      <c r="I1154" s="3" t="s">
        <v>3131</v>
      </c>
      <c r="J1154" s="7">
        <v>1</v>
      </c>
      <c r="K1154" s="70"/>
      <c r="L1154" s="9">
        <v>1</v>
      </c>
      <c r="M1154" s="3">
        <v>885</v>
      </c>
      <c r="N1154" s="6">
        <v>1973</v>
      </c>
      <c r="P1154" s="71"/>
      <c r="R1154" s="6">
        <v>1970</v>
      </c>
      <c r="S1154" s="3" t="s">
        <v>236</v>
      </c>
      <c r="T1154" s="72"/>
      <c r="U1154" s="10">
        <v>43839</v>
      </c>
      <c r="W1154" s="2" t="s">
        <v>62</v>
      </c>
      <c r="X1154" s="10" t="s">
        <v>56</v>
      </c>
      <c r="Y1154" s="10" t="s">
        <v>57</v>
      </c>
      <c r="Z1154" s="75" t="s">
        <v>58</v>
      </c>
      <c r="AA1154" s="76"/>
      <c r="AB1154" s="77"/>
      <c r="AC1154" s="77"/>
      <c r="AD1154" s="10"/>
      <c r="AI1154" s="7"/>
      <c r="AJ1154" s="10">
        <v>43839</v>
      </c>
      <c r="AK1154" s="7">
        <v>2020</v>
      </c>
      <c r="AL1154" s="16"/>
      <c r="AW1154" s="6">
        <f t="shared" ca="1" si="20"/>
        <v>52</v>
      </c>
    </row>
    <row r="1155" ht="45" hidden="1" customHeight="1">
      <c r="A1155" s="69"/>
      <c r="B1155" s="3" t="s">
        <v>47</v>
      </c>
      <c r="C1155" s="4" t="s">
        <v>2970</v>
      </c>
      <c r="D1155" s="5" t="s">
        <v>3132</v>
      </c>
      <c r="E1155" s="2" t="s">
        <v>63</v>
      </c>
      <c r="F1155" s="6" t="s">
        <v>64</v>
      </c>
      <c r="G1155" s="5" t="s">
        <v>69</v>
      </c>
      <c r="H1155" s="2" t="s">
        <v>57</v>
      </c>
      <c r="I1155" s="3" t="s">
        <v>3133</v>
      </c>
      <c r="J1155" s="7">
        <v>1</v>
      </c>
      <c r="K1155" s="70"/>
      <c r="L1155" s="9">
        <v>1</v>
      </c>
      <c r="M1155" s="3">
        <v>886</v>
      </c>
      <c r="N1155" s="6">
        <v>1973</v>
      </c>
      <c r="O1155" s="10" t="s">
        <v>2064</v>
      </c>
      <c r="P1155" s="71" t="s">
        <v>1452</v>
      </c>
      <c r="Q1155" s="10" t="s">
        <v>1453</v>
      </c>
      <c r="R1155" s="6">
        <v>1970</v>
      </c>
      <c r="S1155" s="3" t="s">
        <v>236</v>
      </c>
      <c r="T1155" s="72"/>
      <c r="U1155" s="73"/>
      <c r="W1155" s="2" t="s">
        <v>62</v>
      </c>
      <c r="X1155" s="10" t="s">
        <v>56</v>
      </c>
      <c r="Y1155" s="10" t="s">
        <v>57</v>
      </c>
      <c r="Z1155" s="75"/>
      <c r="AA1155" s="76"/>
      <c r="AB1155" s="77"/>
      <c r="AC1155" s="77"/>
      <c r="AD1155" s="10"/>
      <c r="AI1155" s="7"/>
      <c r="AJ1155" s="10">
        <v>43508</v>
      </c>
      <c r="AK1155" s="7">
        <v>2010</v>
      </c>
      <c r="AL1155" s="16"/>
      <c r="AW1155" s="6">
        <f t="shared" ca="1" si="20"/>
        <v>52</v>
      </c>
    </row>
    <row r="1156" ht="45" hidden="1" customHeight="1">
      <c r="A1156" s="69"/>
      <c r="B1156" s="3" t="s">
        <v>47</v>
      </c>
      <c r="C1156" s="4" t="s">
        <v>3134</v>
      </c>
      <c r="D1156" s="5" t="s">
        <v>3135</v>
      </c>
      <c r="E1156" s="2" t="s">
        <v>48</v>
      </c>
      <c r="F1156" s="6" t="s">
        <v>49</v>
      </c>
      <c r="G1156" s="5" t="s">
        <v>87</v>
      </c>
      <c r="H1156" s="2" t="s">
        <v>57</v>
      </c>
      <c r="I1156" s="3" t="s">
        <v>3136</v>
      </c>
      <c r="J1156" s="7">
        <v>1</v>
      </c>
      <c r="K1156" s="70"/>
      <c r="L1156" s="9">
        <v>1</v>
      </c>
      <c r="M1156" s="3">
        <v>887</v>
      </c>
      <c r="N1156" s="6">
        <v>1973</v>
      </c>
      <c r="P1156" s="71"/>
      <c r="R1156" s="6">
        <v>1970</v>
      </c>
      <c r="S1156" s="3" t="s">
        <v>236</v>
      </c>
      <c r="T1156" s="72"/>
      <c r="U1156" s="73"/>
      <c r="W1156" s="2" t="s">
        <v>62</v>
      </c>
      <c r="X1156" s="10" t="s">
        <v>56</v>
      </c>
      <c r="Y1156" s="10" t="s">
        <v>57</v>
      </c>
      <c r="Z1156" s="75"/>
      <c r="AA1156" s="76"/>
      <c r="AB1156" s="77"/>
      <c r="AC1156" s="77"/>
      <c r="AD1156" s="10"/>
      <c r="AI1156" s="7"/>
      <c r="AJ1156" s="95">
        <v>41877</v>
      </c>
      <c r="AK1156" s="7">
        <v>2010</v>
      </c>
      <c r="AL1156" s="16"/>
      <c r="AW1156" s="6">
        <f t="shared" ca="1" si="20"/>
        <v>52</v>
      </c>
    </row>
    <row r="1157" ht="45" customHeight="1">
      <c r="A1157" s="69"/>
      <c r="B1157" s="3" t="s">
        <v>47</v>
      </c>
      <c r="C1157" s="4" t="s">
        <v>3137</v>
      </c>
      <c r="D1157" s="5" t="s">
        <v>3138</v>
      </c>
      <c r="E1157" s="2" t="s">
        <v>1074</v>
      </c>
      <c r="F1157" s="6" t="s">
        <v>2026</v>
      </c>
      <c r="G1157" s="5" t="s">
        <v>3139</v>
      </c>
      <c r="H1157" s="2" t="s">
        <v>57</v>
      </c>
      <c r="I1157" s="3" t="s">
        <v>3140</v>
      </c>
      <c r="J1157" s="7">
        <v>0</v>
      </c>
      <c r="K1157" s="70" t="s">
        <v>53</v>
      </c>
      <c r="L1157" s="9">
        <v>1</v>
      </c>
      <c r="M1157" s="3">
        <v>888</v>
      </c>
      <c r="N1157" s="6">
        <v>1973</v>
      </c>
      <c r="P1157" s="71"/>
      <c r="R1157" s="6">
        <v>1970</v>
      </c>
      <c r="S1157" s="3" t="s">
        <v>939</v>
      </c>
      <c r="T1157" s="72"/>
      <c r="U1157" s="73"/>
      <c r="W1157" s="2" t="s">
        <v>3141</v>
      </c>
      <c r="X1157" s="10" t="s">
        <v>56</v>
      </c>
      <c r="Y1157" s="10" t="s">
        <v>57</v>
      </c>
      <c r="Z1157" s="75"/>
      <c r="AA1157" s="76"/>
      <c r="AB1157" s="77"/>
      <c r="AC1157" s="77"/>
      <c r="AD1157" s="10"/>
      <c r="AI1157" s="7"/>
      <c r="AJ1157" s="73"/>
      <c r="AK1157" s="7"/>
      <c r="AL1157" s="16"/>
      <c r="AW1157" s="6">
        <f t="shared" ca="1" si="20"/>
        <v>52</v>
      </c>
    </row>
    <row r="1158" ht="45" hidden="1" customHeight="1">
      <c r="A1158" s="69"/>
      <c r="B1158" s="3" t="s">
        <v>47</v>
      </c>
      <c r="C1158" s="4" t="s">
        <v>3142</v>
      </c>
      <c r="D1158" s="5" t="s">
        <v>3143</v>
      </c>
      <c r="E1158" s="2" t="s">
        <v>83</v>
      </c>
      <c r="F1158" s="6" t="s">
        <v>704</v>
      </c>
      <c r="G1158" s="5" t="s">
        <v>2629</v>
      </c>
      <c r="H1158" s="2" t="s">
        <v>68</v>
      </c>
      <c r="I1158" s="3" t="s">
        <v>3144</v>
      </c>
      <c r="J1158" s="7">
        <v>1</v>
      </c>
      <c r="K1158" s="70"/>
      <c r="L1158" s="9">
        <v>1</v>
      </c>
      <c r="M1158" s="3">
        <v>889</v>
      </c>
      <c r="N1158" s="6">
        <v>1973</v>
      </c>
      <c r="O1158" s="10">
        <v>26848</v>
      </c>
      <c r="P1158" s="71" t="s">
        <v>3145</v>
      </c>
      <c r="Q1158" s="10" t="s">
        <v>1453</v>
      </c>
      <c r="R1158" s="6">
        <v>1970</v>
      </c>
      <c r="S1158" s="3" t="s">
        <v>236</v>
      </c>
      <c r="T1158" s="72"/>
      <c r="U1158" s="73"/>
      <c r="W1158" s="2" t="s">
        <v>62</v>
      </c>
      <c r="X1158" s="10" t="s">
        <v>56</v>
      </c>
      <c r="Y1158" s="10" t="s">
        <v>68</v>
      </c>
      <c r="Z1158" s="75" t="s">
        <v>905</v>
      </c>
      <c r="AA1158" s="76"/>
      <c r="AB1158" s="77"/>
      <c r="AC1158" s="77"/>
      <c r="AD1158" s="10"/>
      <c r="AI1158" s="7"/>
      <c r="AJ1158" s="10">
        <v>42838</v>
      </c>
      <c r="AK1158" s="7">
        <v>2010</v>
      </c>
      <c r="AL1158" s="16"/>
      <c r="AW1158" s="6">
        <f t="shared" ca="1" si="20"/>
        <v>52</v>
      </c>
    </row>
    <row r="1159" ht="45" customHeight="1">
      <c r="A1159" s="69"/>
      <c r="B1159" s="3" t="s">
        <v>47</v>
      </c>
      <c r="E1159" s="2" t="s">
        <v>83</v>
      </c>
      <c r="F1159" s="6" t="s">
        <v>84</v>
      </c>
      <c r="G1159" s="5" t="s">
        <v>868</v>
      </c>
      <c r="H1159" s="2" t="s">
        <v>57</v>
      </c>
      <c r="I1159" s="3" t="s">
        <v>3146</v>
      </c>
      <c r="J1159" s="7">
        <v>1</v>
      </c>
      <c r="K1159" s="70" t="s">
        <v>53</v>
      </c>
      <c r="L1159" s="9">
        <v>1</v>
      </c>
      <c r="M1159" s="3">
        <v>890</v>
      </c>
      <c r="N1159" s="6">
        <v>1973</v>
      </c>
      <c r="P1159" s="71"/>
      <c r="R1159" s="6">
        <v>1970</v>
      </c>
      <c r="S1159" s="3" t="s">
        <v>54</v>
      </c>
      <c r="T1159" s="72"/>
      <c r="U1159" s="73"/>
      <c r="W1159" s="2" t="s">
        <v>3147</v>
      </c>
      <c r="X1159" s="10" t="s">
        <v>56</v>
      </c>
      <c r="Y1159" s="10" t="s">
        <v>57</v>
      </c>
      <c r="Z1159" s="75"/>
      <c r="AA1159" s="76"/>
      <c r="AB1159" s="77">
        <v>27229</v>
      </c>
      <c r="AC1159" s="77">
        <v>27229</v>
      </c>
      <c r="AD1159" s="10"/>
      <c r="AE1159" s="7">
        <v>1974</v>
      </c>
      <c r="AF1159" s="7">
        <v>64</v>
      </c>
      <c r="AG1159" s="7">
        <v>1974</v>
      </c>
      <c r="AH1159" s="7">
        <v>1970</v>
      </c>
      <c r="AI1159" s="7"/>
      <c r="AJ1159" s="73"/>
      <c r="AK1159" s="7"/>
      <c r="AL1159" s="16"/>
      <c r="AM1159" s="2" t="s">
        <v>59</v>
      </c>
      <c r="AW1159" s="6">
        <f t="shared" ca="1" si="20"/>
        <v>52</v>
      </c>
    </row>
    <row r="1160" ht="45" customHeight="1">
      <c r="A1160" s="69"/>
      <c r="B1160" s="3" t="s">
        <v>47</v>
      </c>
      <c r="E1160" s="2" t="s">
        <v>63</v>
      </c>
      <c r="F1160" s="6" t="s">
        <v>172</v>
      </c>
      <c r="G1160" s="5" t="s">
        <v>1713</v>
      </c>
      <c r="H1160" s="2" t="s">
        <v>288</v>
      </c>
      <c r="I1160" s="3" t="s">
        <v>3148</v>
      </c>
      <c r="J1160" s="7">
        <v>1</v>
      </c>
      <c r="K1160" s="70" t="s">
        <v>53</v>
      </c>
      <c r="L1160" s="9">
        <v>1</v>
      </c>
      <c r="M1160" s="3">
        <v>891</v>
      </c>
      <c r="N1160" s="6">
        <v>1973</v>
      </c>
      <c r="P1160" s="71"/>
      <c r="R1160" s="6">
        <v>1970</v>
      </c>
      <c r="S1160" s="3" t="s">
        <v>54</v>
      </c>
      <c r="T1160" s="72"/>
      <c r="U1160" s="73"/>
      <c r="W1160" s="2" t="s">
        <v>3149</v>
      </c>
      <c r="X1160" s="10" t="s">
        <v>56</v>
      </c>
      <c r="Y1160" s="10" t="s">
        <v>288</v>
      </c>
      <c r="Z1160" s="75"/>
      <c r="AA1160" s="76">
        <v>29319</v>
      </c>
      <c r="AB1160" s="77"/>
      <c r="AC1160" s="77"/>
      <c r="AD1160" s="6"/>
      <c r="AE1160" s="7">
        <v>1978</v>
      </c>
      <c r="AF1160" s="7">
        <v>79</v>
      </c>
      <c r="AG1160" s="7">
        <v>1980</v>
      </c>
      <c r="AH1160" s="7">
        <v>1980</v>
      </c>
      <c r="AI1160" s="7"/>
      <c r="AJ1160" s="73"/>
      <c r="AK1160" s="7"/>
      <c r="AL1160" s="16"/>
      <c r="AR1160" s="87"/>
      <c r="AS1160" s="88"/>
      <c r="AT1160" s="88"/>
      <c r="AU1160" s="89" t="s">
        <v>1065</v>
      </c>
      <c r="AV1160" s="90"/>
      <c r="AW1160" s="6">
        <f t="shared" ca="1" si="20"/>
        <v>52</v>
      </c>
    </row>
    <row r="1161" ht="45" hidden="1" customHeight="1">
      <c r="A1161" s="69"/>
      <c r="B1161" s="3" t="s">
        <v>47</v>
      </c>
      <c r="C1161" s="4" t="s">
        <v>3150</v>
      </c>
      <c r="D1161" s="5" t="s">
        <v>3151</v>
      </c>
      <c r="E1161" s="2" t="s">
        <v>83</v>
      </c>
      <c r="F1161" s="6" t="s">
        <v>179</v>
      </c>
      <c r="G1161" s="5" t="s">
        <v>3152</v>
      </c>
      <c r="H1161" s="2" t="s">
        <v>57</v>
      </c>
      <c r="I1161" s="3" t="s">
        <v>3153</v>
      </c>
      <c r="J1161" s="7">
        <v>1</v>
      </c>
      <c r="K1161" s="104"/>
      <c r="L1161" s="9">
        <v>1</v>
      </c>
      <c r="M1161" s="3">
        <v>892</v>
      </c>
      <c r="N1161" s="6">
        <v>1973</v>
      </c>
      <c r="P1161" s="71"/>
      <c r="R1161" s="6">
        <v>1970</v>
      </c>
      <c r="S1161" s="3" t="s">
        <v>283</v>
      </c>
      <c r="T1161" s="72"/>
      <c r="U1161" s="73"/>
      <c r="W1161" s="2" t="s">
        <v>62</v>
      </c>
      <c r="X1161" s="10" t="s">
        <v>56</v>
      </c>
      <c r="Y1161" s="10" t="s">
        <v>57</v>
      </c>
      <c r="Z1161" s="75"/>
      <c r="AA1161" s="76"/>
      <c r="AB1161" s="77"/>
      <c r="AC1161" s="77"/>
      <c r="AD1161" s="6"/>
      <c r="AI1161" s="7"/>
      <c r="AJ1161" s="73"/>
      <c r="AK1161" s="7"/>
      <c r="AL1161" s="16"/>
      <c r="AW1161" s="6">
        <f t="shared" ca="1" si="20"/>
        <v>52</v>
      </c>
    </row>
    <row r="1162" ht="45" hidden="1" customHeight="1">
      <c r="A1162" s="69"/>
      <c r="B1162" s="3" t="s">
        <v>47</v>
      </c>
      <c r="C1162" s="4" t="s">
        <v>3154</v>
      </c>
      <c r="D1162" s="5" t="s">
        <v>3155</v>
      </c>
      <c r="E1162" s="2" t="s">
        <v>83</v>
      </c>
      <c r="F1162" s="6" t="s">
        <v>84</v>
      </c>
      <c r="G1162" s="5" t="s">
        <v>850</v>
      </c>
      <c r="H1162" s="2" t="s">
        <v>57</v>
      </c>
      <c r="I1162" s="3" t="s">
        <v>3156</v>
      </c>
      <c r="J1162" s="7">
        <v>1</v>
      </c>
      <c r="K1162" s="104"/>
      <c r="L1162" s="9">
        <v>1</v>
      </c>
      <c r="M1162" s="3">
        <v>893</v>
      </c>
      <c r="N1162" s="6">
        <v>1973</v>
      </c>
      <c r="P1162" s="71"/>
      <c r="R1162" s="6">
        <v>1970</v>
      </c>
      <c r="S1162" s="3" t="s">
        <v>236</v>
      </c>
      <c r="T1162" s="72"/>
      <c r="U1162" s="73">
        <v>41381</v>
      </c>
      <c r="W1162" s="2" t="s">
        <v>62</v>
      </c>
      <c r="X1162" s="10" t="s">
        <v>56</v>
      </c>
      <c r="Y1162" s="10" t="s">
        <v>57</v>
      </c>
      <c r="Z1162" s="75"/>
      <c r="AA1162" s="76"/>
      <c r="AB1162" s="77"/>
      <c r="AC1162" s="77"/>
      <c r="AD1162" s="6"/>
      <c r="AI1162" s="7"/>
      <c r="AJ1162" s="95">
        <v>41381</v>
      </c>
      <c r="AK1162" s="7">
        <v>2010</v>
      </c>
      <c r="AL1162" s="16"/>
      <c r="AW1162" s="6">
        <f t="shared" ca="1" si="20"/>
        <v>52</v>
      </c>
    </row>
    <row r="1163" ht="45" customHeight="1">
      <c r="A1163" s="69"/>
      <c r="B1163" s="3" t="s">
        <v>47</v>
      </c>
      <c r="E1163" s="2" t="s">
        <v>48</v>
      </c>
      <c r="F1163" s="6" t="s">
        <v>49</v>
      </c>
      <c r="G1163" s="5" t="s">
        <v>3157</v>
      </c>
      <c r="H1163" s="2" t="s">
        <v>57</v>
      </c>
      <c r="I1163" s="3" t="s">
        <v>3158</v>
      </c>
      <c r="J1163" s="7">
        <v>1</v>
      </c>
      <c r="K1163" s="70" t="s">
        <v>53</v>
      </c>
      <c r="L1163" s="9">
        <v>1</v>
      </c>
      <c r="M1163" s="3">
        <v>894</v>
      </c>
      <c r="N1163" s="6">
        <v>1974</v>
      </c>
      <c r="P1163" s="71"/>
      <c r="R1163" s="6">
        <v>1970</v>
      </c>
      <c r="S1163" s="3" t="s">
        <v>54</v>
      </c>
      <c r="T1163" s="72"/>
      <c r="U1163" s="73"/>
      <c r="W1163" s="2" t="s">
        <v>3159</v>
      </c>
      <c r="X1163" s="10" t="s">
        <v>56</v>
      </c>
      <c r="Y1163" s="10" t="s">
        <v>57</v>
      </c>
      <c r="Z1163" s="75"/>
      <c r="AA1163" s="76"/>
      <c r="AB1163" s="77">
        <v>27295</v>
      </c>
      <c r="AC1163" s="77"/>
      <c r="AD1163" s="6"/>
      <c r="AE1163" s="7">
        <v>1974</v>
      </c>
      <c r="AF1163" s="7">
        <v>66</v>
      </c>
      <c r="AG1163" s="7">
        <v>1974</v>
      </c>
      <c r="AH1163" s="7">
        <v>1970</v>
      </c>
      <c r="AI1163" s="7"/>
      <c r="AJ1163" s="73"/>
      <c r="AK1163" s="7"/>
      <c r="AL1163" s="16"/>
      <c r="AM1163" s="2" t="s">
        <v>59</v>
      </c>
      <c r="AW1163" s="6">
        <f t="shared" ca="1" si="20"/>
        <v>51</v>
      </c>
    </row>
    <row r="1164" ht="45" customHeight="1" outlineLevel="1">
      <c r="A1164" s="69"/>
      <c r="B1164" s="3" t="s">
        <v>47</v>
      </c>
      <c r="E1164" s="2" t="s">
        <v>63</v>
      </c>
      <c r="F1164" s="6" t="s">
        <v>172</v>
      </c>
      <c r="G1164" s="5" t="s">
        <v>618</v>
      </c>
      <c r="H1164" s="2" t="s">
        <v>382</v>
      </c>
      <c r="I1164" s="3" t="s">
        <v>3160</v>
      </c>
      <c r="J1164" s="7">
        <v>1</v>
      </c>
      <c r="K1164" s="70" t="s">
        <v>53</v>
      </c>
      <c r="L1164" s="9">
        <v>1</v>
      </c>
      <c r="M1164" s="3">
        <v>895</v>
      </c>
      <c r="N1164" s="6">
        <v>1974</v>
      </c>
      <c r="P1164" s="71"/>
      <c r="R1164" s="6">
        <v>1970</v>
      </c>
      <c r="S1164" s="3" t="s">
        <v>54</v>
      </c>
      <c r="T1164" s="72"/>
      <c r="U1164" s="73"/>
      <c r="W1164" s="2" t="s">
        <v>3161</v>
      </c>
      <c r="X1164" s="10" t="s">
        <v>91</v>
      </c>
      <c r="Y1164" s="10" t="s">
        <v>385</v>
      </c>
      <c r="Z1164" s="75"/>
      <c r="AA1164" s="76"/>
      <c r="AB1164" s="77"/>
      <c r="AC1164" s="77">
        <v>27144</v>
      </c>
      <c r="AD1164" s="10"/>
      <c r="AG1164" s="7">
        <v>1974</v>
      </c>
      <c r="AH1164" s="7">
        <v>1970</v>
      </c>
      <c r="AI1164" s="7"/>
      <c r="AJ1164" s="73"/>
      <c r="AK1164" s="7"/>
      <c r="AL1164" s="16"/>
      <c r="AM1164" s="2" t="s">
        <v>59</v>
      </c>
      <c r="AO1164" s="6" t="s">
        <v>59</v>
      </c>
      <c r="AW1164" s="6">
        <f t="shared" ca="1" si="20"/>
        <v>51</v>
      </c>
    </row>
    <row r="1165" ht="45" customHeight="1" outlineLevel="1">
      <c r="A1165" s="69"/>
      <c r="B1165" s="3" t="s">
        <v>47</v>
      </c>
      <c r="D1165" s="5" t="s">
        <v>3162</v>
      </c>
      <c r="E1165" s="2" t="s">
        <v>63</v>
      </c>
      <c r="F1165" s="6" t="s">
        <v>172</v>
      </c>
      <c r="G1165" s="5" t="s">
        <v>173</v>
      </c>
      <c r="H1165" s="2" t="s">
        <v>57</v>
      </c>
      <c r="I1165" s="3" t="s">
        <v>3163</v>
      </c>
      <c r="J1165" s="7">
        <v>1</v>
      </c>
      <c r="K1165" s="70" t="s">
        <v>53</v>
      </c>
      <c r="L1165" s="9">
        <v>1</v>
      </c>
      <c r="M1165" s="3">
        <v>896</v>
      </c>
      <c r="N1165" s="6">
        <v>1974</v>
      </c>
      <c r="P1165" s="71"/>
      <c r="R1165" s="6">
        <v>1970</v>
      </c>
      <c r="S1165" s="3" t="s">
        <v>54</v>
      </c>
      <c r="T1165" s="72"/>
      <c r="U1165" s="73"/>
      <c r="W1165" s="2" t="s">
        <v>3042</v>
      </c>
      <c r="X1165" s="10" t="s">
        <v>56</v>
      </c>
      <c r="Y1165" s="10" t="s">
        <v>57</v>
      </c>
      <c r="Z1165" s="75"/>
      <c r="AA1165" s="76"/>
      <c r="AB1165" s="77">
        <v>42527</v>
      </c>
      <c r="AC1165" s="77">
        <v>42527</v>
      </c>
      <c r="AD1165" s="10"/>
      <c r="AE1165" s="7">
        <v>1999</v>
      </c>
      <c r="AF1165" s="7">
        <v>20</v>
      </c>
      <c r="AG1165" s="7">
        <v>2016</v>
      </c>
      <c r="AH1165" s="7">
        <v>2010</v>
      </c>
      <c r="AI1165" s="7"/>
      <c r="AJ1165" s="73"/>
      <c r="AK1165" s="7"/>
      <c r="AL1165" s="16" t="s">
        <v>3164</v>
      </c>
      <c r="AM1165" s="2" t="s">
        <v>59</v>
      </c>
      <c r="AW1165" s="6">
        <f t="shared" ca="1" si="20"/>
        <v>51</v>
      </c>
    </row>
    <row r="1166" ht="45" hidden="1" customHeight="1">
      <c r="A1166" s="69"/>
      <c r="B1166" s="3" t="s">
        <v>47</v>
      </c>
      <c r="C1166" s="4" t="s">
        <v>1393</v>
      </c>
      <c r="E1166" s="2" t="s">
        <v>83</v>
      </c>
      <c r="F1166" s="6" t="s">
        <v>84</v>
      </c>
      <c r="G1166" s="5" t="s">
        <v>1053</v>
      </c>
      <c r="H1166" s="2" t="s">
        <v>57</v>
      </c>
      <c r="I1166" s="3" t="s">
        <v>3165</v>
      </c>
      <c r="J1166" s="7">
        <v>1</v>
      </c>
      <c r="K1166" s="70"/>
      <c r="L1166" s="9">
        <v>1</v>
      </c>
      <c r="M1166" s="3">
        <v>897</v>
      </c>
      <c r="N1166" s="6">
        <v>1974</v>
      </c>
      <c r="P1166" s="71"/>
      <c r="R1166" s="6">
        <v>1970</v>
      </c>
      <c r="S1166" s="3" t="s">
        <v>236</v>
      </c>
      <c r="T1166" s="72"/>
      <c r="U1166" s="73">
        <v>36283</v>
      </c>
      <c r="W1166" s="2" t="s">
        <v>62</v>
      </c>
      <c r="X1166" s="10" t="s">
        <v>56</v>
      </c>
      <c r="Y1166" s="10" t="s">
        <v>57</v>
      </c>
      <c r="Z1166" s="75"/>
      <c r="AA1166" s="76"/>
      <c r="AB1166" s="77"/>
      <c r="AC1166" s="77"/>
      <c r="AD1166" s="10"/>
      <c r="AI1166" s="7"/>
      <c r="AJ1166" s="10">
        <v>36283</v>
      </c>
      <c r="AK1166" s="7">
        <v>1990</v>
      </c>
      <c r="AL1166" s="16"/>
      <c r="AW1166" s="6">
        <f t="shared" ca="1" si="20"/>
        <v>51</v>
      </c>
    </row>
    <row r="1167" ht="45" customHeight="1">
      <c r="A1167" s="69"/>
      <c r="B1167" s="3" t="s">
        <v>47</v>
      </c>
      <c r="E1167" s="2" t="s">
        <v>83</v>
      </c>
      <c r="F1167" s="6" t="s">
        <v>84</v>
      </c>
      <c r="G1167" s="5" t="s">
        <v>85</v>
      </c>
      <c r="H1167" s="2" t="s">
        <v>51</v>
      </c>
      <c r="I1167" s="3" t="s">
        <v>3166</v>
      </c>
      <c r="J1167" s="7">
        <v>1</v>
      </c>
      <c r="K1167" s="70" t="s">
        <v>53</v>
      </c>
      <c r="L1167" s="9">
        <v>1</v>
      </c>
      <c r="M1167" s="3">
        <v>898</v>
      </c>
      <c r="N1167" s="6">
        <v>1974</v>
      </c>
      <c r="P1167" s="71"/>
      <c r="R1167" s="6">
        <v>1970</v>
      </c>
      <c r="S1167" s="3" t="s">
        <v>54</v>
      </c>
      <c r="T1167" s="72"/>
      <c r="U1167" s="73"/>
      <c r="W1167" s="2" t="s">
        <v>3167</v>
      </c>
      <c r="X1167" s="10" t="s">
        <v>56</v>
      </c>
      <c r="Y1167" s="10" t="s">
        <v>57</v>
      </c>
      <c r="Z1167" s="75"/>
      <c r="AA1167" s="76">
        <v>27295</v>
      </c>
      <c r="AB1167" s="77">
        <v>27295</v>
      </c>
      <c r="AC1167" s="77">
        <v>27295</v>
      </c>
      <c r="AD1167" s="10"/>
      <c r="AE1167" s="7">
        <v>1974</v>
      </c>
      <c r="AF1167" s="7">
        <v>66</v>
      </c>
      <c r="AG1167" s="7">
        <v>1974</v>
      </c>
      <c r="AH1167" s="7">
        <v>1970</v>
      </c>
      <c r="AI1167" s="7"/>
      <c r="AJ1167" s="73"/>
      <c r="AK1167" s="7"/>
      <c r="AL1167" s="16"/>
      <c r="AM1167" s="2" t="s">
        <v>59</v>
      </c>
      <c r="AU1167" s="16" t="s">
        <v>3168</v>
      </c>
      <c r="AW1167" s="6">
        <f t="shared" ca="1" si="20"/>
        <v>51</v>
      </c>
    </row>
    <row r="1168" ht="45" customHeight="1">
      <c r="A1168" s="69"/>
      <c r="B1168" s="3" t="s">
        <v>47</v>
      </c>
      <c r="E1168" s="2" t="s">
        <v>83</v>
      </c>
      <c r="F1168" s="6" t="s">
        <v>84</v>
      </c>
      <c r="G1168" s="5" t="s">
        <v>85</v>
      </c>
      <c r="H1168" s="2" t="s">
        <v>51</v>
      </c>
      <c r="I1168" s="3" t="s">
        <v>3169</v>
      </c>
      <c r="J1168" s="7">
        <v>1</v>
      </c>
      <c r="K1168" s="70" t="s">
        <v>53</v>
      </c>
      <c r="L1168" s="9">
        <v>0</v>
      </c>
      <c r="M1168" s="3">
        <v>898</v>
      </c>
      <c r="N1168" s="6">
        <v>1974</v>
      </c>
      <c r="P1168" s="71"/>
      <c r="R1168" s="6">
        <v>1970</v>
      </c>
      <c r="S1168" s="3" t="s">
        <v>54</v>
      </c>
      <c r="T1168" s="72"/>
      <c r="U1168" s="73"/>
      <c r="W1168" s="2" t="s">
        <v>3170</v>
      </c>
      <c r="X1168" s="10" t="s">
        <v>56</v>
      </c>
      <c r="Y1168" s="10" t="s">
        <v>57</v>
      </c>
      <c r="Z1168" s="75"/>
      <c r="AA1168" s="76">
        <v>27295</v>
      </c>
      <c r="AB1168" s="77">
        <v>27295</v>
      </c>
      <c r="AC1168" s="77">
        <v>27295</v>
      </c>
      <c r="AD1168" s="10"/>
      <c r="AE1168" s="7">
        <v>1974</v>
      </c>
      <c r="AF1168" s="7">
        <v>66</v>
      </c>
      <c r="AG1168" s="7">
        <v>1974</v>
      </c>
      <c r="AH1168" s="7">
        <v>1970</v>
      </c>
      <c r="AI1168" s="7"/>
      <c r="AJ1168" s="73"/>
      <c r="AK1168" s="7"/>
      <c r="AL1168" s="16"/>
      <c r="AM1168" s="2" t="s">
        <v>59</v>
      </c>
      <c r="AU1168" s="16" t="s">
        <v>3168</v>
      </c>
      <c r="AW1168" s="6">
        <f t="shared" ca="1" si="20"/>
        <v>51</v>
      </c>
    </row>
    <row r="1169" ht="45" customHeight="1">
      <c r="A1169" s="69"/>
      <c r="B1169" s="3" t="s">
        <v>47</v>
      </c>
      <c r="E1169" s="110" t="s">
        <v>83</v>
      </c>
      <c r="F1169" s="121" t="s">
        <v>84</v>
      </c>
      <c r="G1169" s="120" t="s">
        <v>797</v>
      </c>
      <c r="H1169" s="110" t="s">
        <v>68</v>
      </c>
      <c r="I1169" s="94" t="s">
        <v>3171</v>
      </c>
      <c r="J1169" s="122">
        <v>1</v>
      </c>
      <c r="K1169" s="123" t="s">
        <v>53</v>
      </c>
      <c r="L1169" s="124">
        <v>1</v>
      </c>
      <c r="M1169" s="94">
        <v>899</v>
      </c>
      <c r="N1169" s="121">
        <v>1974</v>
      </c>
      <c r="O1169" s="112"/>
      <c r="P1169" s="125"/>
      <c r="Q1169" s="112"/>
      <c r="R1169" s="121">
        <v>1970</v>
      </c>
      <c r="S1169" s="94" t="s">
        <v>54</v>
      </c>
      <c r="T1169" s="72"/>
      <c r="U1169" s="126"/>
      <c r="V1169" s="127"/>
      <c r="W1169" s="110" t="s">
        <v>3172</v>
      </c>
      <c r="X1169" s="112" t="s">
        <v>56</v>
      </c>
      <c r="Y1169" s="112" t="s">
        <v>68</v>
      </c>
      <c r="Z1169" s="113" t="s">
        <v>260</v>
      </c>
      <c r="AA1169" s="76">
        <v>27144</v>
      </c>
      <c r="AB1169" s="77"/>
      <c r="AC1169" s="77">
        <v>27144</v>
      </c>
      <c r="AD1169" s="10"/>
      <c r="AE1169" s="7">
        <v>1974</v>
      </c>
      <c r="AF1169" s="7">
        <v>63</v>
      </c>
      <c r="AG1169" s="7">
        <v>1974</v>
      </c>
      <c r="AH1169" s="7">
        <v>1970</v>
      </c>
      <c r="AI1169" s="7"/>
      <c r="AJ1169" s="73"/>
      <c r="AK1169" s="7"/>
      <c r="AL1169" s="16"/>
      <c r="AM1169" s="2" t="s">
        <v>59</v>
      </c>
      <c r="AU1169" s="16" t="s">
        <v>3173</v>
      </c>
      <c r="AW1169" s="6">
        <f t="shared" ca="1" si="20"/>
        <v>51</v>
      </c>
    </row>
    <row r="1170" ht="45" hidden="1" customHeight="1" outlineLevel="1">
      <c r="A1170" s="69"/>
      <c r="B1170" s="3" t="s">
        <v>47</v>
      </c>
      <c r="C1170" s="4" t="s">
        <v>3174</v>
      </c>
      <c r="E1170" s="2" t="s">
        <v>63</v>
      </c>
      <c r="F1170" s="6" t="s">
        <v>172</v>
      </c>
      <c r="G1170" s="5" t="s">
        <v>173</v>
      </c>
      <c r="H1170" s="2" t="s">
        <v>57</v>
      </c>
      <c r="I1170" s="96" t="s">
        <v>3175</v>
      </c>
      <c r="J1170" s="7">
        <v>1</v>
      </c>
      <c r="K1170" s="70"/>
      <c r="L1170" s="9">
        <v>1</v>
      </c>
      <c r="M1170" s="3">
        <v>900</v>
      </c>
      <c r="N1170" s="6">
        <v>1974</v>
      </c>
      <c r="P1170" s="71"/>
      <c r="R1170" s="6">
        <v>1970</v>
      </c>
      <c r="S1170" s="3" t="s">
        <v>236</v>
      </c>
      <c r="T1170" s="72"/>
      <c r="U1170" s="73"/>
      <c r="W1170" s="2" t="s">
        <v>62</v>
      </c>
      <c r="X1170" s="10" t="s">
        <v>56</v>
      </c>
      <c r="Y1170" s="10" t="s">
        <v>57</v>
      </c>
      <c r="Z1170" s="75"/>
      <c r="AA1170" s="76"/>
      <c r="AB1170" s="77"/>
      <c r="AC1170" s="77"/>
      <c r="AD1170" s="10"/>
      <c r="AE1170" s="7">
        <v>1975</v>
      </c>
      <c r="AF1170" s="7">
        <v>70.709999999999994</v>
      </c>
      <c r="AI1170" s="7"/>
      <c r="AJ1170" s="95">
        <v>36290</v>
      </c>
      <c r="AK1170" s="7">
        <v>1990</v>
      </c>
      <c r="AL1170" s="101" t="s">
        <v>3176</v>
      </c>
      <c r="AW1170" s="6">
        <f t="shared" ca="1" si="20"/>
        <v>51</v>
      </c>
    </row>
    <row r="1171" ht="45" hidden="1" customHeight="1" outlineLevel="1">
      <c r="A1171" s="69"/>
      <c r="B1171" s="3" t="s">
        <v>47</v>
      </c>
      <c r="C1171" s="4" t="s">
        <v>3150</v>
      </c>
      <c r="D1171" s="5" t="s">
        <v>3177</v>
      </c>
      <c r="E1171" s="2" t="s">
        <v>83</v>
      </c>
      <c r="F1171" s="6" t="s">
        <v>179</v>
      </c>
      <c r="G1171" s="5" t="s">
        <v>2285</v>
      </c>
      <c r="H1171" s="2" t="s">
        <v>51</v>
      </c>
      <c r="I1171" s="3" t="s">
        <v>3178</v>
      </c>
      <c r="J1171" s="7">
        <v>1</v>
      </c>
      <c r="K1171" s="104"/>
      <c r="L1171" s="9">
        <v>1</v>
      </c>
      <c r="M1171" s="3">
        <v>901</v>
      </c>
      <c r="N1171" s="6">
        <v>1974</v>
      </c>
      <c r="P1171" s="71"/>
      <c r="R1171" s="6">
        <v>1970</v>
      </c>
      <c r="S1171" s="3" t="s">
        <v>236</v>
      </c>
      <c r="T1171" s="72"/>
      <c r="U1171" s="10">
        <v>43992</v>
      </c>
      <c r="W1171" s="2" t="s">
        <v>62</v>
      </c>
      <c r="X1171" s="10" t="s">
        <v>56</v>
      </c>
      <c r="Y1171" s="10" t="s">
        <v>57</v>
      </c>
      <c r="Z1171" s="75" t="s">
        <v>58</v>
      </c>
      <c r="AA1171" s="76"/>
      <c r="AB1171" s="77"/>
      <c r="AC1171" s="77"/>
      <c r="AD1171" s="6"/>
      <c r="AI1171" s="7"/>
      <c r="AJ1171" s="10">
        <v>43992</v>
      </c>
      <c r="AK1171" s="7">
        <v>2020</v>
      </c>
      <c r="AL1171" s="16"/>
      <c r="AW1171" s="6">
        <f t="shared" ca="1" si="20"/>
        <v>51</v>
      </c>
    </row>
    <row r="1172" ht="45" hidden="1" customHeight="1">
      <c r="A1172" s="69"/>
      <c r="B1172" s="3" t="s">
        <v>47</v>
      </c>
      <c r="C1172" s="4" t="s">
        <v>3179</v>
      </c>
      <c r="D1172" s="5" t="s">
        <v>3180</v>
      </c>
      <c r="E1172" s="2" t="s">
        <v>83</v>
      </c>
      <c r="F1172" s="6" t="s">
        <v>84</v>
      </c>
      <c r="G1172" s="5" t="s">
        <v>1938</v>
      </c>
      <c r="H1172" s="2" t="s">
        <v>51</v>
      </c>
      <c r="I1172" s="3" t="s">
        <v>3181</v>
      </c>
      <c r="J1172" s="7">
        <v>1</v>
      </c>
      <c r="K1172" s="70"/>
      <c r="L1172" s="9">
        <v>1</v>
      </c>
      <c r="M1172" s="3">
        <v>902</v>
      </c>
      <c r="N1172" s="6">
        <v>1974</v>
      </c>
      <c r="O1172" s="10">
        <v>27114</v>
      </c>
      <c r="P1172" s="71" t="s">
        <v>3182</v>
      </c>
      <c r="Q1172" s="10" t="s">
        <v>1453</v>
      </c>
      <c r="R1172" s="6">
        <v>1970</v>
      </c>
      <c r="S1172" s="3" t="s">
        <v>236</v>
      </c>
      <c r="T1172" s="72"/>
      <c r="U1172" s="73">
        <v>41953</v>
      </c>
      <c r="W1172" s="2" t="s">
        <v>62</v>
      </c>
      <c r="X1172" s="10" t="s">
        <v>56</v>
      </c>
      <c r="Y1172" s="10" t="s">
        <v>57</v>
      </c>
      <c r="Z1172" s="75" t="s">
        <v>58</v>
      </c>
      <c r="AA1172" s="76"/>
      <c r="AB1172" s="77"/>
      <c r="AC1172" s="77"/>
      <c r="AD1172" s="10"/>
      <c r="AI1172" s="7"/>
      <c r="AJ1172" s="95">
        <v>41953</v>
      </c>
      <c r="AK1172" s="7">
        <v>2010</v>
      </c>
      <c r="AL1172" s="16"/>
      <c r="AW1172" s="6">
        <f t="shared" ca="1" si="20"/>
        <v>51</v>
      </c>
    </row>
    <row r="1173" ht="45" hidden="1" customHeight="1">
      <c r="A1173" s="69"/>
      <c r="B1173" s="3" t="s">
        <v>47</v>
      </c>
      <c r="C1173" s="4" t="s">
        <v>3179</v>
      </c>
      <c r="D1173" s="5" t="s">
        <v>3180</v>
      </c>
      <c r="E1173" s="2" t="s">
        <v>83</v>
      </c>
      <c r="F1173" s="6" t="s">
        <v>84</v>
      </c>
      <c r="G1173" s="5" t="s">
        <v>1938</v>
      </c>
      <c r="H1173" s="2" t="s">
        <v>51</v>
      </c>
      <c r="I1173" s="3" t="s">
        <v>3183</v>
      </c>
      <c r="J1173" s="7">
        <v>1</v>
      </c>
      <c r="L1173" s="9">
        <v>0</v>
      </c>
      <c r="M1173" s="3">
        <v>902</v>
      </c>
      <c r="N1173" s="6">
        <v>1974</v>
      </c>
      <c r="O1173" s="10">
        <v>27114</v>
      </c>
      <c r="P1173" s="71" t="s">
        <v>3182</v>
      </c>
      <c r="Q1173" s="10" t="s">
        <v>1453</v>
      </c>
      <c r="R1173" s="6">
        <v>1970</v>
      </c>
      <c r="S1173" s="3" t="s">
        <v>236</v>
      </c>
      <c r="T1173" s="72"/>
      <c r="U1173" s="73">
        <v>41953</v>
      </c>
      <c r="W1173" s="2" t="s">
        <v>62</v>
      </c>
      <c r="X1173" s="10" t="s">
        <v>56</v>
      </c>
      <c r="Y1173" s="10" t="s">
        <v>57</v>
      </c>
      <c r="Z1173" s="75" t="s">
        <v>58</v>
      </c>
      <c r="AJ1173" s="95">
        <v>41953</v>
      </c>
      <c r="AK1173" s="7">
        <v>2010</v>
      </c>
      <c r="AL1173" s="16"/>
      <c r="AW1173" s="6">
        <f t="shared" ca="1" si="20"/>
        <v>51</v>
      </c>
    </row>
    <row r="1174" ht="45" hidden="1" customHeight="1">
      <c r="A1174" s="69"/>
      <c r="B1174" s="3" t="s">
        <v>47</v>
      </c>
      <c r="C1174" s="4" t="s">
        <v>3179</v>
      </c>
      <c r="D1174" s="5" t="s">
        <v>3180</v>
      </c>
      <c r="E1174" s="2" t="s">
        <v>83</v>
      </c>
      <c r="F1174" s="6" t="s">
        <v>84</v>
      </c>
      <c r="G1174" s="5" t="s">
        <v>1938</v>
      </c>
      <c r="H1174" s="2" t="s">
        <v>51</v>
      </c>
      <c r="I1174" s="3" t="s">
        <v>3184</v>
      </c>
      <c r="J1174" s="7">
        <v>1</v>
      </c>
      <c r="L1174" s="9">
        <v>0</v>
      </c>
      <c r="M1174" s="3">
        <v>902</v>
      </c>
      <c r="N1174" s="6">
        <v>1974</v>
      </c>
      <c r="O1174" s="10">
        <v>27114</v>
      </c>
      <c r="P1174" s="71" t="s">
        <v>3182</v>
      </c>
      <c r="Q1174" s="10" t="s">
        <v>1453</v>
      </c>
      <c r="R1174" s="6">
        <v>1970</v>
      </c>
      <c r="S1174" s="3" t="s">
        <v>236</v>
      </c>
      <c r="T1174" s="72"/>
      <c r="U1174" s="73">
        <v>41953</v>
      </c>
      <c r="W1174" s="2" t="s">
        <v>62</v>
      </c>
      <c r="X1174" s="10" t="s">
        <v>56</v>
      </c>
      <c r="Y1174" s="10" t="s">
        <v>57</v>
      </c>
      <c r="Z1174" s="75" t="s">
        <v>58</v>
      </c>
      <c r="AJ1174" s="95">
        <v>41953</v>
      </c>
      <c r="AK1174" s="7">
        <v>2010</v>
      </c>
      <c r="AL1174" s="16"/>
      <c r="AW1174" s="6">
        <f t="shared" ca="1" si="20"/>
        <v>51</v>
      </c>
    </row>
    <row r="1175" ht="45" hidden="1" customHeight="1">
      <c r="A1175" s="69"/>
      <c r="B1175" s="3" t="s">
        <v>47</v>
      </c>
      <c r="C1175" s="4" t="s">
        <v>3179</v>
      </c>
      <c r="D1175" s="5" t="s">
        <v>3180</v>
      </c>
      <c r="E1175" s="2" t="s">
        <v>83</v>
      </c>
      <c r="F1175" s="6" t="s">
        <v>84</v>
      </c>
      <c r="G1175" s="5" t="s">
        <v>1938</v>
      </c>
      <c r="H1175" s="2" t="s">
        <v>51</v>
      </c>
      <c r="I1175" s="3" t="s">
        <v>3185</v>
      </c>
      <c r="J1175" s="7">
        <v>1</v>
      </c>
      <c r="L1175" s="9">
        <v>0</v>
      </c>
      <c r="M1175" s="3">
        <v>902</v>
      </c>
      <c r="N1175" s="6">
        <v>1974</v>
      </c>
      <c r="O1175" s="10">
        <v>27114</v>
      </c>
      <c r="P1175" s="71" t="s">
        <v>3182</v>
      </c>
      <c r="Q1175" s="10" t="s">
        <v>1453</v>
      </c>
      <c r="R1175" s="6">
        <v>1970</v>
      </c>
      <c r="S1175" s="3" t="s">
        <v>236</v>
      </c>
      <c r="T1175" s="72"/>
      <c r="U1175" s="73">
        <v>41953</v>
      </c>
      <c r="W1175" s="2" t="s">
        <v>62</v>
      </c>
      <c r="X1175" s="10" t="s">
        <v>56</v>
      </c>
      <c r="Y1175" s="10" t="s">
        <v>57</v>
      </c>
      <c r="Z1175" s="75" t="s">
        <v>58</v>
      </c>
      <c r="AB1175" s="6"/>
      <c r="AC1175" s="6"/>
      <c r="AJ1175" s="95">
        <v>41953</v>
      </c>
      <c r="AK1175" s="7">
        <v>2010</v>
      </c>
      <c r="AL1175" s="16"/>
      <c r="AW1175" s="6">
        <f t="shared" ca="1" si="20"/>
        <v>51</v>
      </c>
    </row>
    <row r="1176" ht="45" hidden="1" customHeight="1">
      <c r="A1176" s="69"/>
      <c r="B1176" s="3" t="s">
        <v>47</v>
      </c>
      <c r="C1176" s="4" t="s">
        <v>3179</v>
      </c>
      <c r="D1176" s="5" t="s">
        <v>3180</v>
      </c>
      <c r="E1176" s="2" t="s">
        <v>83</v>
      </c>
      <c r="F1176" s="6" t="s">
        <v>84</v>
      </c>
      <c r="G1176" s="5" t="s">
        <v>1938</v>
      </c>
      <c r="H1176" s="2" t="s">
        <v>491</v>
      </c>
      <c r="I1176" s="3" t="s">
        <v>3186</v>
      </c>
      <c r="J1176" s="7">
        <v>1</v>
      </c>
      <c r="L1176" s="9">
        <v>0</v>
      </c>
      <c r="M1176" s="3">
        <v>902</v>
      </c>
      <c r="N1176" s="6">
        <v>1974</v>
      </c>
      <c r="O1176" s="10">
        <v>27114</v>
      </c>
      <c r="P1176" s="71" t="s">
        <v>3182</v>
      </c>
      <c r="Q1176" s="10" t="s">
        <v>1453</v>
      </c>
      <c r="R1176" s="6">
        <v>1970</v>
      </c>
      <c r="S1176" s="3" t="s">
        <v>236</v>
      </c>
      <c r="T1176" s="72"/>
      <c r="U1176" s="73">
        <v>41953</v>
      </c>
      <c r="W1176" s="2" t="s">
        <v>62</v>
      </c>
      <c r="X1176" s="10" t="s">
        <v>56</v>
      </c>
      <c r="Y1176" s="10" t="s">
        <v>494</v>
      </c>
      <c r="Z1176" s="75"/>
      <c r="AJ1176" s="95">
        <v>41953</v>
      </c>
      <c r="AK1176" s="7">
        <v>2010</v>
      </c>
      <c r="AL1176" s="16"/>
      <c r="AW1176" s="6">
        <f t="shared" ca="1" si="20"/>
        <v>51</v>
      </c>
    </row>
    <row r="1177" ht="45" hidden="1" customHeight="1">
      <c r="A1177" s="69"/>
      <c r="B1177" s="3" t="s">
        <v>47</v>
      </c>
      <c r="C1177" s="4" t="s">
        <v>3179</v>
      </c>
      <c r="D1177" s="5" t="s">
        <v>3180</v>
      </c>
      <c r="E1177" s="2" t="s">
        <v>83</v>
      </c>
      <c r="F1177" s="6" t="s">
        <v>84</v>
      </c>
      <c r="G1177" s="5" t="s">
        <v>1938</v>
      </c>
      <c r="H1177" s="2" t="s">
        <v>51</v>
      </c>
      <c r="I1177" s="3" t="s">
        <v>3187</v>
      </c>
      <c r="J1177" s="7">
        <v>1</v>
      </c>
      <c r="L1177" s="9">
        <v>0</v>
      </c>
      <c r="M1177" s="3">
        <v>902</v>
      </c>
      <c r="N1177" s="6">
        <v>1974</v>
      </c>
      <c r="O1177" s="10">
        <v>27114</v>
      </c>
      <c r="P1177" s="71" t="s">
        <v>3182</v>
      </c>
      <c r="Q1177" s="10" t="s">
        <v>1453</v>
      </c>
      <c r="R1177" s="6">
        <v>1970</v>
      </c>
      <c r="S1177" s="3" t="s">
        <v>236</v>
      </c>
      <c r="T1177" s="72"/>
      <c r="U1177" s="73">
        <v>41953</v>
      </c>
      <c r="W1177" s="2" t="s">
        <v>62</v>
      </c>
      <c r="X1177" s="10" t="s">
        <v>56</v>
      </c>
      <c r="Y1177" s="10" t="s">
        <v>57</v>
      </c>
      <c r="Z1177" s="75" t="s">
        <v>58</v>
      </c>
      <c r="AJ1177" s="95">
        <v>41953</v>
      </c>
      <c r="AK1177" s="7">
        <v>2010</v>
      </c>
      <c r="AL1177" s="16"/>
      <c r="AW1177" s="6">
        <f t="shared" ca="1" si="20"/>
        <v>51</v>
      </c>
    </row>
    <row r="1178" ht="45" hidden="1" customHeight="1">
      <c r="A1178" s="69"/>
      <c r="B1178" s="3" t="s">
        <v>47</v>
      </c>
      <c r="C1178" s="4" t="s">
        <v>3179</v>
      </c>
      <c r="D1178" s="5" t="s">
        <v>3180</v>
      </c>
      <c r="E1178" s="2" t="s">
        <v>83</v>
      </c>
      <c r="F1178" s="6" t="s">
        <v>84</v>
      </c>
      <c r="G1178" s="5" t="s">
        <v>1938</v>
      </c>
      <c r="H1178" s="2" t="s">
        <v>57</v>
      </c>
      <c r="I1178" s="3" t="s">
        <v>3188</v>
      </c>
      <c r="J1178" s="7">
        <v>1</v>
      </c>
      <c r="L1178" s="9">
        <v>0</v>
      </c>
      <c r="M1178" s="3">
        <v>902</v>
      </c>
      <c r="N1178" s="6">
        <v>1974</v>
      </c>
      <c r="O1178" s="10">
        <v>27114</v>
      </c>
      <c r="P1178" s="71" t="s">
        <v>3182</v>
      </c>
      <c r="Q1178" s="10" t="s">
        <v>1453</v>
      </c>
      <c r="R1178" s="6">
        <v>1970</v>
      </c>
      <c r="S1178" s="3" t="s">
        <v>236</v>
      </c>
      <c r="T1178" s="72"/>
      <c r="U1178" s="73">
        <v>41953</v>
      </c>
      <c r="W1178" s="2" t="s">
        <v>62</v>
      </c>
      <c r="X1178" s="10" t="s">
        <v>56</v>
      </c>
      <c r="Y1178" s="10" t="s">
        <v>57</v>
      </c>
      <c r="Z1178" s="75"/>
      <c r="AJ1178" s="95">
        <v>41953</v>
      </c>
      <c r="AK1178" s="7">
        <v>2010</v>
      </c>
      <c r="AL1178" s="16"/>
      <c r="AW1178" s="6">
        <f t="shared" ca="1" si="20"/>
        <v>51</v>
      </c>
    </row>
    <row r="1179" ht="45" hidden="1" customHeight="1">
      <c r="A1179" s="69"/>
      <c r="B1179" s="3" t="s">
        <v>47</v>
      </c>
      <c r="C1179" s="4" t="s">
        <v>3179</v>
      </c>
      <c r="D1179" s="5" t="s">
        <v>3180</v>
      </c>
      <c r="E1179" s="2" t="s">
        <v>83</v>
      </c>
      <c r="F1179" s="6" t="s">
        <v>84</v>
      </c>
      <c r="G1179" s="5" t="s">
        <v>1938</v>
      </c>
      <c r="H1179" s="2" t="s">
        <v>51</v>
      </c>
      <c r="I1179" s="3" t="s">
        <v>3189</v>
      </c>
      <c r="J1179" s="7">
        <v>1</v>
      </c>
      <c r="L1179" s="9">
        <v>0</v>
      </c>
      <c r="M1179" s="3">
        <v>902</v>
      </c>
      <c r="N1179" s="6">
        <v>1974</v>
      </c>
      <c r="O1179" s="10">
        <v>27114</v>
      </c>
      <c r="P1179" s="71" t="s">
        <v>3182</v>
      </c>
      <c r="Q1179" s="10" t="s">
        <v>1453</v>
      </c>
      <c r="R1179" s="6">
        <v>1970</v>
      </c>
      <c r="S1179" s="3" t="s">
        <v>236</v>
      </c>
      <c r="T1179" s="72"/>
      <c r="U1179" s="73">
        <v>41953</v>
      </c>
      <c r="W1179" s="2" t="s">
        <v>62</v>
      </c>
      <c r="X1179" s="10" t="s">
        <v>56</v>
      </c>
      <c r="Y1179" s="10" t="s">
        <v>57</v>
      </c>
      <c r="Z1179" s="75"/>
      <c r="AJ1179" s="95">
        <v>41953</v>
      </c>
      <c r="AK1179" s="7">
        <v>2010</v>
      </c>
      <c r="AL1179" s="16"/>
      <c r="AW1179" s="6">
        <f t="shared" ca="1" si="20"/>
        <v>51</v>
      </c>
    </row>
    <row r="1180" ht="45" hidden="1" customHeight="1">
      <c r="A1180" s="69"/>
      <c r="B1180" s="3" t="s">
        <v>47</v>
      </c>
      <c r="C1180" s="4" t="s">
        <v>3179</v>
      </c>
      <c r="D1180" s="5" t="s">
        <v>3180</v>
      </c>
      <c r="E1180" s="2" t="s">
        <v>83</v>
      </c>
      <c r="F1180" s="6" t="s">
        <v>84</v>
      </c>
      <c r="G1180" s="5" t="s">
        <v>1938</v>
      </c>
      <c r="H1180" s="2" t="s">
        <v>491</v>
      </c>
      <c r="I1180" s="3" t="s">
        <v>3190</v>
      </c>
      <c r="J1180" s="7">
        <v>1</v>
      </c>
      <c r="L1180" s="9">
        <v>0</v>
      </c>
      <c r="M1180" s="3">
        <v>902</v>
      </c>
      <c r="N1180" s="6">
        <v>1974</v>
      </c>
      <c r="O1180" s="10">
        <v>27114</v>
      </c>
      <c r="P1180" s="71" t="s">
        <v>3182</v>
      </c>
      <c r="Q1180" s="10" t="s">
        <v>1453</v>
      </c>
      <c r="R1180" s="6">
        <v>1970</v>
      </c>
      <c r="S1180" s="3" t="s">
        <v>236</v>
      </c>
      <c r="T1180" s="72"/>
      <c r="U1180" s="73">
        <v>41953</v>
      </c>
      <c r="W1180" s="2" t="s">
        <v>62</v>
      </c>
      <c r="X1180" s="10" t="s">
        <v>56</v>
      </c>
      <c r="Y1180" s="10" t="s">
        <v>523</v>
      </c>
      <c r="Z1180" s="75"/>
      <c r="AJ1180" s="95">
        <v>41953</v>
      </c>
      <c r="AK1180" s="7">
        <v>2010</v>
      </c>
      <c r="AL1180" s="16"/>
      <c r="AW1180" s="6">
        <f t="shared" ca="1" si="20"/>
        <v>51</v>
      </c>
    </row>
    <row r="1181" ht="45" customHeight="1">
      <c r="A1181" s="69"/>
      <c r="B1181" s="3" t="s">
        <v>47</v>
      </c>
      <c r="E1181" s="2" t="s">
        <v>83</v>
      </c>
      <c r="F1181" s="6" t="s">
        <v>704</v>
      </c>
      <c r="G1181" s="5" t="s">
        <v>3191</v>
      </c>
      <c r="H1181" s="2" t="s">
        <v>382</v>
      </c>
      <c r="I1181" s="3" t="s">
        <v>3192</v>
      </c>
      <c r="J1181" s="122">
        <v>14</v>
      </c>
      <c r="K1181" s="70" t="s">
        <v>53</v>
      </c>
      <c r="L1181" s="9">
        <v>1</v>
      </c>
      <c r="M1181" s="3">
        <v>903</v>
      </c>
      <c r="N1181" s="6">
        <v>1974</v>
      </c>
      <c r="P1181" s="71"/>
      <c r="R1181" s="6">
        <v>1970</v>
      </c>
      <c r="S1181" s="3" t="s">
        <v>54</v>
      </c>
      <c r="T1181" s="72"/>
      <c r="U1181" s="73"/>
      <c r="W1181" s="2" t="s">
        <v>3193</v>
      </c>
      <c r="X1181" s="10" t="s">
        <v>91</v>
      </c>
      <c r="Y1181" s="10" t="s">
        <v>385</v>
      </c>
      <c r="Z1181" s="75"/>
      <c r="AA1181" s="76"/>
      <c r="AB1181" s="77"/>
      <c r="AC1181" s="77">
        <v>27295</v>
      </c>
      <c r="AD1181" s="10"/>
      <c r="AE1181" s="7">
        <v>1974</v>
      </c>
      <c r="AF1181" s="7">
        <v>66</v>
      </c>
      <c r="AG1181" s="7">
        <v>1974</v>
      </c>
      <c r="AH1181" s="7">
        <v>1970</v>
      </c>
      <c r="AI1181" s="7"/>
      <c r="AJ1181" s="73"/>
      <c r="AK1181" s="7"/>
      <c r="AL1181" s="16"/>
      <c r="AM1181" s="2" t="s">
        <v>59</v>
      </c>
      <c r="AO1181" s="6" t="s">
        <v>59</v>
      </c>
      <c r="AW1181" s="6">
        <f t="shared" ca="1" si="20"/>
        <v>51</v>
      </c>
    </row>
    <row r="1182" ht="45" hidden="1" customHeight="1">
      <c r="A1182" s="69"/>
      <c r="B1182" s="3" t="s">
        <v>47</v>
      </c>
      <c r="C1182" s="4" t="s">
        <v>3194</v>
      </c>
      <c r="D1182" s="5" t="s">
        <v>3195</v>
      </c>
      <c r="E1182" s="2" t="s">
        <v>63</v>
      </c>
      <c r="F1182" s="6" t="s">
        <v>217</v>
      </c>
      <c r="G1182" s="5" t="s">
        <v>3196</v>
      </c>
      <c r="H1182" s="2" t="s">
        <v>57</v>
      </c>
      <c r="I1182" s="3" t="s">
        <v>3197</v>
      </c>
      <c r="J1182" s="7">
        <v>1</v>
      </c>
      <c r="K1182" s="70"/>
      <c r="L1182" s="9">
        <v>1</v>
      </c>
      <c r="M1182" s="3">
        <v>904</v>
      </c>
      <c r="N1182" s="6">
        <v>1974</v>
      </c>
      <c r="O1182" s="10">
        <v>26823</v>
      </c>
      <c r="P1182" s="71" t="s">
        <v>3198</v>
      </c>
      <c r="Q1182" s="10" t="s">
        <v>1453</v>
      </c>
      <c r="R1182" s="6">
        <v>1970</v>
      </c>
      <c r="S1182" s="3" t="s">
        <v>236</v>
      </c>
      <c r="T1182" s="72"/>
      <c r="U1182" s="73"/>
      <c r="W1182" s="2" t="s">
        <v>62</v>
      </c>
      <c r="X1182" s="10" t="s">
        <v>56</v>
      </c>
      <c r="Y1182" s="10" t="s">
        <v>57</v>
      </c>
      <c r="Z1182" s="75"/>
      <c r="AA1182" s="76"/>
      <c r="AB1182" s="77"/>
      <c r="AC1182" s="77"/>
      <c r="AD1182" s="10"/>
      <c r="AI1182" s="7"/>
      <c r="AJ1182" s="10">
        <v>43048</v>
      </c>
      <c r="AK1182" s="7">
        <v>2010</v>
      </c>
      <c r="AL1182" s="16"/>
      <c r="AW1182" s="6">
        <f t="shared" ca="1" si="20"/>
        <v>51</v>
      </c>
    </row>
    <row r="1183" ht="45" hidden="1" customHeight="1">
      <c r="A1183" s="69"/>
      <c r="B1183" s="3" t="s">
        <v>47</v>
      </c>
      <c r="C1183" s="4" t="s">
        <v>3001</v>
      </c>
      <c r="D1183" s="5" t="s">
        <v>3199</v>
      </c>
      <c r="E1183" s="2" t="s">
        <v>83</v>
      </c>
      <c r="F1183" s="6" t="s">
        <v>179</v>
      </c>
      <c r="G1183" s="5" t="s">
        <v>3200</v>
      </c>
      <c r="H1183" s="2" t="s">
        <v>382</v>
      </c>
      <c r="I1183" s="3" t="s">
        <v>2492</v>
      </c>
      <c r="J1183" s="7">
        <v>1</v>
      </c>
      <c r="K1183" s="70"/>
      <c r="L1183" s="9">
        <v>1</v>
      </c>
      <c r="M1183" s="3">
        <v>905</v>
      </c>
      <c r="N1183" s="6">
        <v>1974</v>
      </c>
      <c r="P1183" s="71"/>
      <c r="R1183" s="6">
        <v>1970</v>
      </c>
      <c r="S1183" s="3" t="s">
        <v>236</v>
      </c>
      <c r="T1183" s="72"/>
      <c r="U1183" s="73"/>
      <c r="W1183" s="2" t="s">
        <v>62</v>
      </c>
      <c r="X1183" s="10" t="s">
        <v>56</v>
      </c>
      <c r="Y1183" s="10"/>
      <c r="Z1183" s="75"/>
      <c r="AA1183" s="76"/>
      <c r="AB1183" s="77"/>
      <c r="AC1183" s="77"/>
      <c r="AD1183" s="10"/>
      <c r="AI1183" s="7"/>
      <c r="AJ1183" s="95">
        <v>41163</v>
      </c>
      <c r="AK1183" s="7">
        <v>2010</v>
      </c>
      <c r="AL1183" s="16"/>
      <c r="AW1183" s="6">
        <f t="shared" ca="1" si="20"/>
        <v>51</v>
      </c>
    </row>
    <row r="1184" ht="45" hidden="1" customHeight="1">
      <c r="A1184" s="69"/>
      <c r="B1184" s="3" t="s">
        <v>47</v>
      </c>
      <c r="C1184" s="4" t="s">
        <v>2935</v>
      </c>
      <c r="D1184" s="5" t="s">
        <v>3201</v>
      </c>
      <c r="E1184" s="2" t="s">
        <v>63</v>
      </c>
      <c r="F1184" s="6" t="s">
        <v>64</v>
      </c>
      <c r="G1184" s="5" t="s">
        <v>69</v>
      </c>
      <c r="H1184" s="2" t="s">
        <v>57</v>
      </c>
      <c r="I1184" s="3" t="s">
        <v>3202</v>
      </c>
      <c r="J1184" s="7">
        <v>1</v>
      </c>
      <c r="K1184" s="70"/>
      <c r="L1184" s="9">
        <v>1</v>
      </c>
      <c r="M1184" s="3">
        <v>906</v>
      </c>
      <c r="N1184" s="6">
        <v>1974</v>
      </c>
      <c r="O1184" s="10">
        <v>27159</v>
      </c>
      <c r="P1184" s="71" t="s">
        <v>3203</v>
      </c>
      <c r="Q1184" s="10" t="s">
        <v>1453</v>
      </c>
      <c r="R1184" s="6">
        <v>1970</v>
      </c>
      <c r="S1184" s="3" t="s">
        <v>236</v>
      </c>
      <c r="T1184" s="72"/>
      <c r="U1184" s="179">
        <v>43719</v>
      </c>
      <c r="W1184" s="2" t="s">
        <v>62</v>
      </c>
      <c r="X1184" s="10" t="s">
        <v>56</v>
      </c>
      <c r="Y1184" s="10" t="s">
        <v>57</v>
      </c>
      <c r="Z1184" s="75"/>
      <c r="AA1184" s="76"/>
      <c r="AB1184" s="77"/>
      <c r="AC1184" s="77"/>
      <c r="AD1184" s="10"/>
      <c r="AI1184" s="7"/>
      <c r="AJ1184" s="10">
        <v>43719</v>
      </c>
      <c r="AK1184" s="7">
        <v>2010</v>
      </c>
      <c r="AL1184" s="16"/>
      <c r="AW1184" s="6">
        <f t="shared" ca="1" si="20"/>
        <v>51</v>
      </c>
    </row>
    <row r="1185" ht="45" hidden="1" customHeight="1">
      <c r="A1185" s="132"/>
      <c r="B1185" s="3" t="s">
        <v>190</v>
      </c>
      <c r="C1185" s="4" t="s">
        <v>3204</v>
      </c>
      <c r="D1185" s="117" t="s">
        <v>3205</v>
      </c>
      <c r="E1185" s="2" t="s">
        <v>83</v>
      </c>
      <c r="F1185" s="6" t="s">
        <v>179</v>
      </c>
      <c r="G1185" s="5" t="s">
        <v>313</v>
      </c>
      <c r="H1185" s="2" t="s">
        <v>57</v>
      </c>
      <c r="I1185" s="3" t="s">
        <v>3206</v>
      </c>
      <c r="J1185" s="7">
        <v>1</v>
      </c>
      <c r="K1185" s="133"/>
      <c r="L1185" s="9">
        <v>1</v>
      </c>
      <c r="M1185" s="3">
        <v>907</v>
      </c>
      <c r="N1185" s="6">
        <v>1974</v>
      </c>
      <c r="P1185" s="71"/>
      <c r="R1185" s="6">
        <v>1970</v>
      </c>
      <c r="S1185" s="3" t="s">
        <v>283</v>
      </c>
      <c r="T1185" s="72"/>
      <c r="U1185" s="73"/>
      <c r="W1185" s="74" t="s">
        <v>62</v>
      </c>
      <c r="X1185" s="10" t="s">
        <v>56</v>
      </c>
      <c r="Y1185" s="10" t="s">
        <v>57</v>
      </c>
      <c r="Z1185" s="75"/>
      <c r="AA1185" s="137"/>
      <c r="AB1185" s="138"/>
      <c r="AC1185" s="138"/>
      <c r="AD1185" s="136"/>
      <c r="AE1185" s="139"/>
      <c r="AG1185" s="139"/>
      <c r="AH1185" s="139"/>
      <c r="AI1185" s="139"/>
      <c r="AJ1185" s="160"/>
      <c r="AK1185" s="139"/>
      <c r="AL1185" s="16"/>
      <c r="AO1185" s="141"/>
      <c r="AP1185" s="141"/>
      <c r="AQ1185" s="117"/>
      <c r="AR1185" s="142"/>
      <c r="AS1185" s="141"/>
      <c r="AT1185" s="141"/>
      <c r="AU1185" s="140"/>
      <c r="AV1185" s="143"/>
      <c r="AW1185" s="6">
        <f t="shared" ca="1" si="20"/>
        <v>51</v>
      </c>
    </row>
    <row r="1186" ht="45" hidden="1" customHeight="1">
      <c r="A1186" s="69"/>
      <c r="B1186" s="3" t="s">
        <v>47</v>
      </c>
      <c r="C1186" s="4" t="s">
        <v>1393</v>
      </c>
      <c r="E1186" s="2" t="s">
        <v>83</v>
      </c>
      <c r="F1186" s="6" t="s">
        <v>704</v>
      </c>
      <c r="G1186" s="5" t="s">
        <v>705</v>
      </c>
      <c r="H1186" s="2" t="s">
        <v>88</v>
      </c>
      <c r="I1186" s="3" t="s">
        <v>3207</v>
      </c>
      <c r="J1186" s="7">
        <v>1</v>
      </c>
      <c r="K1186" s="70"/>
      <c r="L1186" s="9">
        <v>1</v>
      </c>
      <c r="M1186" s="3">
        <v>908</v>
      </c>
      <c r="N1186" s="6">
        <v>1974</v>
      </c>
      <c r="P1186" s="71"/>
      <c r="R1186" s="6">
        <v>1970</v>
      </c>
      <c r="S1186" s="3" t="s">
        <v>236</v>
      </c>
      <c r="T1186" s="72"/>
      <c r="U1186" s="73"/>
      <c r="W1186" s="2" t="s">
        <v>62</v>
      </c>
      <c r="X1186" s="10" t="s">
        <v>91</v>
      </c>
      <c r="Y1186" s="10" t="s">
        <v>214</v>
      </c>
      <c r="Z1186" s="75"/>
      <c r="AA1186" s="76"/>
      <c r="AB1186" s="77"/>
      <c r="AC1186" s="77"/>
      <c r="AD1186" s="10"/>
      <c r="AI1186" s="7"/>
      <c r="AJ1186" s="95">
        <v>36283</v>
      </c>
      <c r="AK1186" s="7">
        <v>1990</v>
      </c>
      <c r="AU1186" s="16" t="s">
        <v>3208</v>
      </c>
      <c r="AW1186" s="6">
        <f t="shared" ca="1" si="20"/>
        <v>51</v>
      </c>
    </row>
    <row r="1187" ht="45" customHeight="1">
      <c r="A1187" s="69"/>
      <c r="B1187" s="3" t="s">
        <v>47</v>
      </c>
      <c r="E1187" s="2" t="s">
        <v>83</v>
      </c>
      <c r="F1187" s="6" t="s">
        <v>704</v>
      </c>
      <c r="G1187" s="5" t="s">
        <v>3209</v>
      </c>
      <c r="H1187" s="2" t="s">
        <v>57</v>
      </c>
      <c r="I1187" s="3" t="s">
        <v>3210</v>
      </c>
      <c r="J1187" s="7">
        <v>1</v>
      </c>
      <c r="K1187" s="70" t="s">
        <v>53</v>
      </c>
      <c r="L1187" s="9">
        <v>1</v>
      </c>
      <c r="M1187" s="3">
        <v>909</v>
      </c>
      <c r="N1187" s="6">
        <v>1974</v>
      </c>
      <c r="P1187" s="71"/>
      <c r="R1187" s="6">
        <v>1970</v>
      </c>
      <c r="S1187" s="3" t="s">
        <v>54</v>
      </c>
      <c r="T1187" s="72"/>
      <c r="U1187" s="73"/>
      <c r="W1187" s="2" t="s">
        <v>3211</v>
      </c>
      <c r="X1187" s="10" t="s">
        <v>56</v>
      </c>
      <c r="Y1187" s="10" t="s">
        <v>57</v>
      </c>
      <c r="Z1187" s="75"/>
      <c r="AA1187" s="76"/>
      <c r="AB1187" s="77">
        <v>27796</v>
      </c>
      <c r="AC1187" s="77"/>
      <c r="AD1187" s="6"/>
      <c r="AG1187" s="7">
        <v>1976</v>
      </c>
      <c r="AH1187" s="7">
        <v>1970</v>
      </c>
      <c r="AI1187" s="7"/>
      <c r="AJ1187" s="73"/>
      <c r="AK1187" s="7"/>
      <c r="AL1187" s="16"/>
      <c r="AM1187" s="2" t="s">
        <v>59</v>
      </c>
      <c r="AW1187" s="6">
        <f t="shared" ca="1" si="20"/>
        <v>51</v>
      </c>
    </row>
    <row r="1188" ht="45" customHeight="1" outlineLevel="1">
      <c r="A1188" s="69"/>
      <c r="B1188" s="3" t="s">
        <v>47</v>
      </c>
      <c r="E1188" s="2" t="s">
        <v>83</v>
      </c>
      <c r="F1188" s="6" t="s">
        <v>704</v>
      </c>
      <c r="G1188" s="5" t="s">
        <v>3212</v>
      </c>
      <c r="H1188" s="2" t="s">
        <v>57</v>
      </c>
      <c r="I1188" s="3" t="s">
        <v>3213</v>
      </c>
      <c r="J1188" s="7">
        <v>1</v>
      </c>
      <c r="K1188" s="107" t="s">
        <v>53</v>
      </c>
      <c r="L1188" s="9">
        <v>1</v>
      </c>
      <c r="M1188" s="3">
        <v>910</v>
      </c>
      <c r="N1188" s="6">
        <v>1974</v>
      </c>
      <c r="P1188" s="71"/>
      <c r="R1188" s="6">
        <v>1970</v>
      </c>
      <c r="S1188" s="3" t="s">
        <v>54</v>
      </c>
      <c r="T1188" s="72"/>
      <c r="U1188" s="73"/>
      <c r="W1188" s="2" t="s">
        <v>3214</v>
      </c>
      <c r="X1188" s="10" t="s">
        <v>56</v>
      </c>
      <c r="Y1188" s="10" t="s">
        <v>57</v>
      </c>
      <c r="Z1188" s="75"/>
      <c r="AA1188" s="76"/>
      <c r="AB1188" s="77">
        <v>27355</v>
      </c>
      <c r="AC1188" s="77"/>
      <c r="AD1188" s="6"/>
      <c r="AG1188" s="7">
        <v>1974</v>
      </c>
      <c r="AH1188" s="7">
        <v>1970</v>
      </c>
      <c r="AI1188" s="7"/>
      <c r="AJ1188" s="73"/>
      <c r="AK1188" s="7"/>
      <c r="AL1188" s="16" t="s">
        <v>3215</v>
      </c>
      <c r="AM1188" s="2" t="s">
        <v>59</v>
      </c>
      <c r="AW1188" s="6">
        <f t="shared" ca="1" si="20"/>
        <v>51</v>
      </c>
    </row>
    <row r="1189" ht="45" hidden="1" customHeight="1" outlineLevel="1">
      <c r="A1189" s="69">
        <v>43630</v>
      </c>
      <c r="B1189" s="3" t="s">
        <v>47</v>
      </c>
      <c r="C1189" s="4" t="s">
        <v>3216</v>
      </c>
      <c r="D1189" s="5" t="s">
        <v>3217</v>
      </c>
      <c r="E1189" s="2" t="s">
        <v>83</v>
      </c>
      <c r="F1189" s="6" t="s">
        <v>704</v>
      </c>
      <c r="G1189" s="5" t="s">
        <v>1359</v>
      </c>
      <c r="H1189" s="2" t="s">
        <v>51</v>
      </c>
      <c r="I1189" s="3" t="s">
        <v>3218</v>
      </c>
      <c r="J1189" s="7">
        <v>1</v>
      </c>
      <c r="K1189" s="104"/>
      <c r="L1189" s="9">
        <v>1</v>
      </c>
      <c r="M1189" s="3">
        <v>911</v>
      </c>
      <c r="N1189" s="6">
        <v>1974</v>
      </c>
      <c r="O1189" s="10">
        <v>27202</v>
      </c>
      <c r="P1189" s="71" t="s">
        <v>3219</v>
      </c>
      <c r="Q1189" s="10" t="s">
        <v>1453</v>
      </c>
      <c r="R1189" s="6">
        <v>1970</v>
      </c>
      <c r="S1189" s="3" t="s">
        <v>236</v>
      </c>
      <c r="T1189" s="72" t="s">
        <v>1136</v>
      </c>
      <c r="U1189" s="10">
        <v>43850</v>
      </c>
      <c r="W1189" s="2" t="s">
        <v>62</v>
      </c>
      <c r="X1189" s="10" t="s">
        <v>56</v>
      </c>
      <c r="Y1189" s="10" t="s">
        <v>57</v>
      </c>
      <c r="Z1189" s="75" t="s">
        <v>58</v>
      </c>
      <c r="AA1189" s="76"/>
      <c r="AB1189" s="77"/>
      <c r="AC1189" s="77"/>
      <c r="AD1189" s="6"/>
      <c r="AI1189" s="7"/>
      <c r="AJ1189" s="10">
        <v>43850</v>
      </c>
      <c r="AK1189" s="7">
        <v>2020</v>
      </c>
      <c r="AL1189" s="16"/>
      <c r="AW1189" s="6">
        <f t="shared" ca="1" si="20"/>
        <v>51</v>
      </c>
    </row>
    <row r="1190" ht="45" hidden="1" customHeight="1" outlineLevel="1">
      <c r="A1190" s="69"/>
      <c r="B1190" s="3" t="s">
        <v>47</v>
      </c>
      <c r="C1190" s="4" t="s">
        <v>3220</v>
      </c>
      <c r="D1190" s="5" t="s">
        <v>3221</v>
      </c>
      <c r="E1190" s="2" t="s">
        <v>63</v>
      </c>
      <c r="F1190" s="6" t="s">
        <v>49</v>
      </c>
      <c r="G1190" s="5" t="s">
        <v>3222</v>
      </c>
      <c r="H1190" s="2" t="s">
        <v>57</v>
      </c>
      <c r="I1190" s="3" t="s">
        <v>3223</v>
      </c>
      <c r="J1190" s="7">
        <v>1</v>
      </c>
      <c r="K1190" s="104"/>
      <c r="L1190" s="9">
        <v>1</v>
      </c>
      <c r="M1190" s="3">
        <v>912</v>
      </c>
      <c r="N1190" s="6">
        <v>1974</v>
      </c>
      <c r="O1190" s="10">
        <v>27179</v>
      </c>
      <c r="P1190" s="71" t="s">
        <v>3224</v>
      </c>
      <c r="Q1190" s="10" t="s">
        <v>1453</v>
      </c>
      <c r="R1190" s="6">
        <v>1970</v>
      </c>
      <c r="S1190" s="3" t="s">
        <v>236</v>
      </c>
      <c r="T1190" s="72"/>
      <c r="U1190" s="73"/>
      <c r="W1190" s="2" t="s">
        <v>62</v>
      </c>
      <c r="X1190" s="10" t="s">
        <v>56</v>
      </c>
      <c r="Y1190" s="10" t="s">
        <v>57</v>
      </c>
      <c r="Z1190" s="75"/>
      <c r="AA1190" s="76"/>
      <c r="AB1190" s="77"/>
      <c r="AC1190" s="77"/>
      <c r="AD1190" s="6"/>
      <c r="AI1190" s="7"/>
      <c r="AJ1190" s="10">
        <v>42265</v>
      </c>
      <c r="AK1190" s="7">
        <v>2010</v>
      </c>
      <c r="AL1190" s="16"/>
      <c r="AW1190" s="6">
        <f t="shared" ca="1" si="20"/>
        <v>51</v>
      </c>
    </row>
    <row r="1191" ht="45" hidden="1" customHeight="1">
      <c r="A1191" s="69"/>
      <c r="B1191" s="3" t="s">
        <v>190</v>
      </c>
      <c r="C1191" s="4" t="s">
        <v>3225</v>
      </c>
      <c r="D1191" s="5" t="s">
        <v>3226</v>
      </c>
      <c r="E1191" s="2" t="s">
        <v>63</v>
      </c>
      <c r="F1191" s="6" t="s">
        <v>428</v>
      </c>
      <c r="G1191" s="5" t="s">
        <v>3227</v>
      </c>
      <c r="H1191" s="2" t="s">
        <v>57</v>
      </c>
      <c r="I1191" s="3" t="s">
        <v>3228</v>
      </c>
      <c r="J1191" s="7">
        <v>1</v>
      </c>
      <c r="K1191" s="104"/>
      <c r="L1191" s="9">
        <v>1</v>
      </c>
      <c r="M1191" s="3">
        <v>913</v>
      </c>
      <c r="N1191" s="6">
        <v>1974</v>
      </c>
      <c r="O1191" s="10">
        <v>27149</v>
      </c>
      <c r="P1191" s="71" t="s">
        <v>3229</v>
      </c>
      <c r="Q1191" s="10" t="s">
        <v>1453</v>
      </c>
      <c r="R1191" s="6">
        <v>1970</v>
      </c>
      <c r="S1191" s="3" t="s">
        <v>283</v>
      </c>
      <c r="T1191" s="72"/>
      <c r="U1191" s="73"/>
      <c r="W1191" s="74" t="s">
        <v>62</v>
      </c>
      <c r="X1191" s="10" t="s">
        <v>56</v>
      </c>
      <c r="Y1191" s="10" t="s">
        <v>57</v>
      </c>
      <c r="Z1191" s="75"/>
      <c r="AA1191" s="76"/>
      <c r="AB1191" s="77"/>
      <c r="AC1191" s="77"/>
      <c r="AD1191" s="6"/>
      <c r="AI1191" s="7"/>
      <c r="AJ1191" s="73"/>
      <c r="AK1191" s="7"/>
      <c r="AL1191" s="16"/>
      <c r="AW1191" s="6">
        <f t="shared" ref="AW1191:AW1254" ca="1" si="21">IF(N1191&lt;&gt;0,(YEAR(TODAY())-N1191),(""))</f>
        <v>51</v>
      </c>
    </row>
    <row r="1192" ht="45" customHeight="1">
      <c r="A1192" s="69"/>
      <c r="B1192" s="3" t="s">
        <v>47</v>
      </c>
      <c r="E1192" s="2" t="s">
        <v>48</v>
      </c>
      <c r="F1192" s="6" t="s">
        <v>564</v>
      </c>
      <c r="G1192" s="5" t="s">
        <v>565</v>
      </c>
      <c r="H1192" s="2" t="s">
        <v>57</v>
      </c>
      <c r="I1192" s="3" t="s">
        <v>3230</v>
      </c>
      <c r="J1192" s="7">
        <v>1</v>
      </c>
      <c r="K1192" s="70" t="s">
        <v>53</v>
      </c>
      <c r="L1192" s="9">
        <v>1</v>
      </c>
      <c r="M1192" s="3">
        <v>914</v>
      </c>
      <c r="N1192" s="6">
        <v>1974</v>
      </c>
      <c r="P1192" s="71"/>
      <c r="R1192" s="6">
        <v>1970</v>
      </c>
      <c r="S1192" s="3" t="s">
        <v>54</v>
      </c>
      <c r="T1192" s="72"/>
      <c r="U1192" s="73"/>
      <c r="W1192" s="2" t="s">
        <v>3231</v>
      </c>
      <c r="X1192" s="10" t="s">
        <v>56</v>
      </c>
      <c r="Y1192" s="10" t="s">
        <v>57</v>
      </c>
      <c r="Z1192" s="75"/>
      <c r="AA1192" s="76"/>
      <c r="AB1192" s="77">
        <v>27463</v>
      </c>
      <c r="AC1192" s="77">
        <v>27463</v>
      </c>
      <c r="AD1192" s="10"/>
      <c r="AG1192" s="7">
        <v>1975</v>
      </c>
      <c r="AH1192" s="7">
        <v>1970</v>
      </c>
      <c r="AI1192" s="7"/>
      <c r="AJ1192" s="73"/>
      <c r="AK1192" s="7"/>
      <c r="AL1192" s="16"/>
      <c r="AM1192" s="2" t="s">
        <v>59</v>
      </c>
      <c r="AN1192" s="6" t="s">
        <v>104</v>
      </c>
      <c r="AO1192" s="6" t="s">
        <v>100</v>
      </c>
      <c r="AP1192" s="6" t="s">
        <v>73</v>
      </c>
      <c r="AU1192" s="16" t="s">
        <v>784</v>
      </c>
      <c r="AW1192" s="6">
        <f t="shared" ca="1" si="21"/>
        <v>51</v>
      </c>
    </row>
    <row r="1193" ht="45" hidden="1" customHeight="1" outlineLevel="1">
      <c r="A1193" s="69"/>
      <c r="B1193" s="3" t="s">
        <v>47</v>
      </c>
      <c r="C1193" s="4" t="s">
        <v>3232</v>
      </c>
      <c r="D1193" s="5" t="s">
        <v>3233</v>
      </c>
      <c r="E1193" s="2" t="s">
        <v>83</v>
      </c>
      <c r="F1193" s="6" t="s">
        <v>704</v>
      </c>
      <c r="G1193" s="5" t="s">
        <v>3234</v>
      </c>
      <c r="H1193" s="2" t="s">
        <v>51</v>
      </c>
      <c r="I1193" s="3" t="s">
        <v>3235</v>
      </c>
      <c r="J1193" s="7">
        <v>1</v>
      </c>
      <c r="K1193" s="70"/>
      <c r="L1193" s="9">
        <v>1</v>
      </c>
      <c r="M1193" s="3">
        <v>915</v>
      </c>
      <c r="N1193" s="6">
        <v>1974</v>
      </c>
      <c r="O1193" s="10">
        <v>27186</v>
      </c>
      <c r="P1193" s="71" t="s">
        <v>3236</v>
      </c>
      <c r="Q1193" s="10">
        <v>27292</v>
      </c>
      <c r="R1193" s="6">
        <v>1970</v>
      </c>
      <c r="S1193" s="3" t="s">
        <v>236</v>
      </c>
      <c r="T1193" s="72"/>
      <c r="U1193" s="73"/>
      <c r="W1193" s="2" t="s">
        <v>62</v>
      </c>
      <c r="X1193" s="10" t="s">
        <v>56</v>
      </c>
      <c r="Y1193" s="10" t="s">
        <v>57</v>
      </c>
      <c r="Z1193" s="75" t="s">
        <v>58</v>
      </c>
      <c r="AA1193" s="76"/>
      <c r="AB1193" s="77"/>
      <c r="AC1193" s="77"/>
      <c r="AD1193" s="10"/>
      <c r="AI1193" s="7"/>
      <c r="AJ1193" s="10">
        <v>42810</v>
      </c>
      <c r="AK1193" s="7">
        <v>2010</v>
      </c>
      <c r="AL1193" s="16"/>
      <c r="AW1193" s="6">
        <f t="shared" ca="1" si="21"/>
        <v>51</v>
      </c>
    </row>
    <row r="1194" ht="45" hidden="1" customHeight="1" outlineLevel="1">
      <c r="A1194" s="69"/>
      <c r="B1194" s="3" t="s">
        <v>47</v>
      </c>
      <c r="C1194" s="4" t="s">
        <v>3237</v>
      </c>
      <c r="D1194" s="5" t="s">
        <v>3238</v>
      </c>
      <c r="E1194" s="2" t="s">
        <v>83</v>
      </c>
      <c r="F1194" s="6" t="s">
        <v>84</v>
      </c>
      <c r="G1194" s="5" t="s">
        <v>981</v>
      </c>
      <c r="H1194" s="2" t="s">
        <v>57</v>
      </c>
      <c r="I1194" s="3" t="s">
        <v>3239</v>
      </c>
      <c r="J1194" s="7">
        <v>1</v>
      </c>
      <c r="K1194" s="70"/>
      <c r="L1194" s="9">
        <v>1</v>
      </c>
      <c r="M1194" s="3">
        <v>916</v>
      </c>
      <c r="N1194" s="6">
        <v>1974</v>
      </c>
      <c r="O1194" s="10">
        <v>27113</v>
      </c>
      <c r="P1194" s="71" t="s">
        <v>3240</v>
      </c>
      <c r="Q1194" s="10" t="s">
        <v>1453</v>
      </c>
      <c r="R1194" s="6">
        <v>1970</v>
      </c>
      <c r="S1194" s="3" t="s">
        <v>236</v>
      </c>
      <c r="T1194" s="72"/>
      <c r="U1194" s="73">
        <v>42016</v>
      </c>
      <c r="W1194" s="2" t="s">
        <v>62</v>
      </c>
      <c r="X1194" s="10" t="s">
        <v>56</v>
      </c>
      <c r="Y1194" s="10" t="s">
        <v>57</v>
      </c>
      <c r="Z1194" s="75"/>
      <c r="AA1194" s="76"/>
      <c r="AB1194" s="77"/>
      <c r="AC1194" s="77"/>
      <c r="AD1194" s="10"/>
      <c r="AI1194" s="7"/>
      <c r="AJ1194" s="95">
        <v>42020</v>
      </c>
      <c r="AK1194" s="7">
        <v>2010</v>
      </c>
      <c r="AL1194" s="16"/>
      <c r="AU1194" s="16" t="s">
        <v>3241</v>
      </c>
      <c r="AW1194" s="6">
        <f t="shared" ca="1" si="21"/>
        <v>51</v>
      </c>
    </row>
    <row r="1195" ht="45" customHeight="1">
      <c r="A1195" s="69">
        <v>44630</v>
      </c>
      <c r="B1195" s="3" t="s">
        <v>1926</v>
      </c>
      <c r="D1195" s="5" t="s">
        <v>3242</v>
      </c>
      <c r="E1195" s="78" t="s">
        <v>1074</v>
      </c>
      <c r="F1195" s="79" t="s">
        <v>2026</v>
      </c>
      <c r="G1195" s="80" t="s">
        <v>3139</v>
      </c>
      <c r="H1195" s="78" t="s">
        <v>68</v>
      </c>
      <c r="I1195" s="81" t="s">
        <v>3243</v>
      </c>
      <c r="J1195" s="7">
        <v>1</v>
      </c>
      <c r="K1195" s="70" t="s">
        <v>53</v>
      </c>
      <c r="L1195" s="9">
        <v>1</v>
      </c>
      <c r="M1195" s="3">
        <v>917</v>
      </c>
      <c r="N1195" s="6">
        <v>1974</v>
      </c>
      <c r="P1195" s="71"/>
      <c r="R1195" s="6">
        <v>1970</v>
      </c>
      <c r="S1195" s="3" t="s">
        <v>195</v>
      </c>
      <c r="T1195" s="72"/>
      <c r="U1195" s="73"/>
      <c r="W1195" s="180" t="s">
        <v>3244</v>
      </c>
      <c r="X1195" s="82" t="s">
        <v>56</v>
      </c>
      <c r="Y1195" s="82" t="s">
        <v>68</v>
      </c>
      <c r="Z1195" s="83"/>
      <c r="AA1195" s="76">
        <v>27333</v>
      </c>
      <c r="AB1195" s="77">
        <v>27333</v>
      </c>
      <c r="AC1195" s="77"/>
      <c r="AD1195" s="6"/>
      <c r="AG1195" s="7">
        <v>1974</v>
      </c>
      <c r="AH1195" s="7">
        <v>1970</v>
      </c>
      <c r="AI1195" s="7"/>
      <c r="AJ1195" s="73"/>
      <c r="AK1195" s="7"/>
      <c r="AL1195" s="16"/>
      <c r="AM1195" s="2" t="s">
        <v>82</v>
      </c>
      <c r="AW1195" s="6">
        <f t="shared" ca="1" si="21"/>
        <v>51</v>
      </c>
    </row>
    <row r="1196" ht="45" hidden="1" customHeight="1">
      <c r="A1196" s="69">
        <v>43273</v>
      </c>
      <c r="B1196" s="3" t="s">
        <v>190</v>
      </c>
      <c r="C1196" s="4" t="s">
        <v>3245</v>
      </c>
      <c r="D1196" s="5" t="s">
        <v>3246</v>
      </c>
      <c r="E1196" s="2" t="s">
        <v>63</v>
      </c>
      <c r="F1196" s="6" t="s">
        <v>64</v>
      </c>
      <c r="G1196" s="5" t="s">
        <v>3247</v>
      </c>
      <c r="H1196" s="2" t="s">
        <v>57</v>
      </c>
      <c r="I1196" s="3" t="s">
        <v>3248</v>
      </c>
      <c r="J1196" s="7">
        <v>1</v>
      </c>
      <c r="K1196" s="104"/>
      <c r="L1196" s="9">
        <v>1</v>
      </c>
      <c r="M1196" s="3">
        <v>918</v>
      </c>
      <c r="N1196" s="6">
        <v>1974</v>
      </c>
      <c r="O1196" s="10">
        <v>27302</v>
      </c>
      <c r="P1196" s="71" t="s">
        <v>3249</v>
      </c>
      <c r="Q1196" s="10" t="s">
        <v>1453</v>
      </c>
      <c r="R1196" s="6">
        <v>1970</v>
      </c>
      <c r="S1196" s="3" t="s">
        <v>283</v>
      </c>
      <c r="T1196" s="72" t="s">
        <v>3250</v>
      </c>
      <c r="U1196" s="73"/>
      <c r="W1196" s="74" t="s">
        <v>62</v>
      </c>
      <c r="X1196" s="10" t="s">
        <v>56</v>
      </c>
      <c r="Y1196" s="10" t="s">
        <v>57</v>
      </c>
      <c r="Z1196" s="75"/>
      <c r="AA1196" s="76"/>
      <c r="AB1196" s="77"/>
      <c r="AC1196" s="77"/>
      <c r="AD1196" s="6"/>
      <c r="AI1196" s="7"/>
      <c r="AJ1196" s="73"/>
      <c r="AK1196" s="7"/>
      <c r="AL1196" s="16"/>
      <c r="AW1196" s="6">
        <f t="shared" ca="1" si="21"/>
        <v>51</v>
      </c>
    </row>
    <row r="1197" ht="45" hidden="1" customHeight="1" outlineLevel="1">
      <c r="A1197" s="69"/>
      <c r="B1197" s="3" t="s">
        <v>47</v>
      </c>
      <c r="C1197" s="4" t="s">
        <v>1263</v>
      </c>
      <c r="E1197" s="2" t="s">
        <v>83</v>
      </c>
      <c r="F1197" s="6" t="s">
        <v>84</v>
      </c>
      <c r="G1197" s="5" t="s">
        <v>85</v>
      </c>
      <c r="H1197" s="2" t="s">
        <v>491</v>
      </c>
      <c r="I1197" s="3" t="s">
        <v>3251</v>
      </c>
      <c r="J1197" s="7">
        <v>1</v>
      </c>
      <c r="K1197" s="70"/>
      <c r="L1197" s="9">
        <v>1</v>
      </c>
      <c r="M1197" s="3">
        <v>919</v>
      </c>
      <c r="N1197" s="6">
        <v>1975</v>
      </c>
      <c r="P1197" s="71"/>
      <c r="R1197" s="6">
        <v>1970</v>
      </c>
      <c r="S1197" s="3" t="s">
        <v>236</v>
      </c>
      <c r="T1197" s="72"/>
      <c r="U1197" s="73">
        <v>38044</v>
      </c>
      <c r="W1197" s="2" t="s">
        <v>62</v>
      </c>
      <c r="X1197" s="10" t="s">
        <v>56</v>
      </c>
      <c r="Y1197" s="10" t="s">
        <v>523</v>
      </c>
      <c r="Z1197" s="75"/>
      <c r="AA1197" s="76"/>
      <c r="AB1197" s="77"/>
      <c r="AC1197" s="77"/>
      <c r="AD1197" s="10"/>
      <c r="AI1197" s="7"/>
      <c r="AJ1197" s="95">
        <v>38044</v>
      </c>
      <c r="AK1197" s="7">
        <v>2000</v>
      </c>
      <c r="AL1197" s="16"/>
      <c r="AW1197" s="6">
        <f t="shared" ca="1" si="21"/>
        <v>50</v>
      </c>
    </row>
    <row r="1198" ht="45" hidden="1" customHeight="1" outlineLevel="1">
      <c r="A1198" s="69"/>
      <c r="B1198" s="3" t="s">
        <v>47</v>
      </c>
      <c r="C1198" s="4" t="s">
        <v>3252</v>
      </c>
      <c r="D1198" s="5" t="s">
        <v>3253</v>
      </c>
      <c r="E1198" s="2" t="s">
        <v>83</v>
      </c>
      <c r="F1198" s="6" t="s">
        <v>84</v>
      </c>
      <c r="G1198" s="5" t="s">
        <v>85</v>
      </c>
      <c r="H1198" s="2" t="s">
        <v>51</v>
      </c>
      <c r="I1198" s="3" t="s">
        <v>394</v>
      </c>
      <c r="J1198" s="7">
        <v>1</v>
      </c>
      <c r="K1198" s="70"/>
      <c r="L1198" s="9">
        <v>1</v>
      </c>
      <c r="M1198" s="3">
        <v>920</v>
      </c>
      <c r="N1198" s="6">
        <v>1975</v>
      </c>
      <c r="O1198" s="10">
        <v>27458</v>
      </c>
      <c r="P1198" s="71" t="s">
        <v>3254</v>
      </c>
      <c r="Q1198" s="10" t="s">
        <v>1453</v>
      </c>
      <c r="R1198" s="6">
        <v>1970</v>
      </c>
      <c r="S1198" s="3" t="s">
        <v>236</v>
      </c>
      <c r="T1198" s="72"/>
      <c r="U1198" s="73">
        <v>42002</v>
      </c>
      <c r="W1198" s="2" t="s">
        <v>62</v>
      </c>
      <c r="X1198" s="10" t="s">
        <v>56</v>
      </c>
      <c r="Y1198" s="10" t="s">
        <v>57</v>
      </c>
      <c r="Z1198" s="75" t="s">
        <v>58</v>
      </c>
      <c r="AA1198" s="76"/>
      <c r="AB1198" s="77"/>
      <c r="AC1198" s="77"/>
      <c r="AD1198" s="10"/>
      <c r="AI1198" s="7"/>
      <c r="AJ1198" s="95">
        <v>42002</v>
      </c>
      <c r="AK1198" s="7">
        <v>2010</v>
      </c>
      <c r="AL1198" s="16"/>
      <c r="AW1198" s="6">
        <f t="shared" ca="1" si="21"/>
        <v>50</v>
      </c>
    </row>
    <row r="1199" ht="45" hidden="1" customHeight="1" outlineLevel="1">
      <c r="A1199" s="69">
        <v>42244</v>
      </c>
      <c r="B1199" s="3" t="s">
        <v>1926</v>
      </c>
      <c r="C1199" s="4" t="s">
        <v>3255</v>
      </c>
      <c r="D1199" s="5" t="s">
        <v>3256</v>
      </c>
      <c r="E1199" s="2" t="s">
        <v>63</v>
      </c>
      <c r="F1199" s="6" t="s">
        <v>64</v>
      </c>
      <c r="G1199" s="5" t="s">
        <v>69</v>
      </c>
      <c r="H1199" s="2" t="s">
        <v>57</v>
      </c>
      <c r="I1199" s="3" t="s">
        <v>3257</v>
      </c>
      <c r="J1199" s="7">
        <v>1</v>
      </c>
      <c r="K1199" s="70"/>
      <c r="L1199" s="9">
        <v>1</v>
      </c>
      <c r="M1199" s="3">
        <v>921</v>
      </c>
      <c r="N1199" s="6">
        <v>1975</v>
      </c>
      <c r="O1199" s="10">
        <v>27313</v>
      </c>
      <c r="P1199" s="71" t="s">
        <v>3258</v>
      </c>
      <c r="R1199" s="6">
        <v>1970</v>
      </c>
      <c r="S1199" s="3" t="s">
        <v>283</v>
      </c>
      <c r="T1199" s="72" t="s">
        <v>998</v>
      </c>
      <c r="U1199" s="73"/>
      <c r="W1199" s="74" t="s">
        <v>3259</v>
      </c>
      <c r="X1199" s="10" t="s">
        <v>56</v>
      </c>
      <c r="Y1199" s="10" t="s">
        <v>57</v>
      </c>
      <c r="Z1199" s="75"/>
      <c r="AA1199" s="76"/>
      <c r="AB1199" s="77"/>
      <c r="AC1199" s="77"/>
      <c r="AD1199" s="10"/>
      <c r="AI1199" s="7"/>
      <c r="AJ1199" s="73"/>
      <c r="AK1199" s="7"/>
      <c r="AL1199" s="16"/>
      <c r="AW1199" s="6">
        <f t="shared" ca="1" si="21"/>
        <v>50</v>
      </c>
    </row>
    <row r="1200" ht="45" customHeight="1" outlineLevel="1">
      <c r="A1200" s="69"/>
      <c r="B1200" s="3" t="s">
        <v>47</v>
      </c>
      <c r="E1200" s="2" t="s">
        <v>63</v>
      </c>
      <c r="F1200" s="6" t="s">
        <v>64</v>
      </c>
      <c r="G1200" s="5" t="s">
        <v>69</v>
      </c>
      <c r="H1200" s="2" t="s">
        <v>51</v>
      </c>
      <c r="I1200" s="3" t="s">
        <v>3260</v>
      </c>
      <c r="J1200" s="7">
        <v>1</v>
      </c>
      <c r="K1200" s="70" t="s">
        <v>53</v>
      </c>
      <c r="L1200" s="9">
        <v>1</v>
      </c>
      <c r="M1200" s="3">
        <v>922</v>
      </c>
      <c r="N1200" s="6">
        <v>1974</v>
      </c>
      <c r="P1200" s="71"/>
      <c r="R1200" s="6">
        <v>1970</v>
      </c>
      <c r="S1200" s="3" t="s">
        <v>54</v>
      </c>
      <c r="T1200" s="72"/>
      <c r="U1200" s="73"/>
      <c r="W1200" s="2" t="s">
        <v>3261</v>
      </c>
      <c r="X1200" s="10" t="s">
        <v>56</v>
      </c>
      <c r="Y1200" s="10" t="s">
        <v>57</v>
      </c>
      <c r="Z1200" s="75" t="s">
        <v>58</v>
      </c>
      <c r="AA1200" s="76"/>
      <c r="AB1200" s="77">
        <v>27758</v>
      </c>
      <c r="AC1200" s="77">
        <v>27758</v>
      </c>
      <c r="AD1200" s="10"/>
      <c r="AF1200" s="7">
        <v>110</v>
      </c>
      <c r="AG1200" s="7">
        <v>1975</v>
      </c>
      <c r="AH1200" s="7">
        <v>1970</v>
      </c>
      <c r="AI1200" s="7">
        <v>1984</v>
      </c>
      <c r="AJ1200" s="73"/>
      <c r="AK1200" s="7"/>
      <c r="AL1200" s="16" t="s">
        <v>664</v>
      </c>
      <c r="AM1200" s="2" t="s">
        <v>59</v>
      </c>
      <c r="AO1200" s="6" t="s">
        <v>73</v>
      </c>
      <c r="AU1200" s="16" t="s">
        <v>3262</v>
      </c>
      <c r="AW1200" s="6">
        <f t="shared" ca="1" si="21"/>
        <v>51</v>
      </c>
    </row>
    <row r="1201" ht="45" customHeight="1" outlineLevel="1">
      <c r="A1201" s="69"/>
      <c r="B1201" s="3" t="s">
        <v>47</v>
      </c>
      <c r="E1201" s="2" t="s">
        <v>63</v>
      </c>
      <c r="F1201" s="6" t="s">
        <v>64</v>
      </c>
      <c r="G1201" s="5" t="s">
        <v>69</v>
      </c>
      <c r="H1201" s="2" t="s">
        <v>51</v>
      </c>
      <c r="I1201" s="3" t="s">
        <v>3263</v>
      </c>
      <c r="J1201" s="7">
        <v>1</v>
      </c>
      <c r="K1201" s="70" t="s">
        <v>53</v>
      </c>
      <c r="L1201" s="9">
        <v>1</v>
      </c>
      <c r="M1201" s="3">
        <v>923</v>
      </c>
      <c r="N1201" s="6">
        <v>1975</v>
      </c>
      <c r="P1201" s="71"/>
      <c r="R1201" s="6">
        <v>1970</v>
      </c>
      <c r="S1201" s="3" t="s">
        <v>54</v>
      </c>
      <c r="T1201" s="72"/>
      <c r="U1201" s="73"/>
      <c r="W1201" s="2" t="s">
        <v>3264</v>
      </c>
      <c r="X1201" s="10" t="s">
        <v>56</v>
      </c>
      <c r="Y1201" s="10" t="s">
        <v>57</v>
      </c>
      <c r="Z1201" s="75" t="s">
        <v>58</v>
      </c>
      <c r="AA1201" s="76"/>
      <c r="AB1201" s="77">
        <v>29319</v>
      </c>
      <c r="AC1201" s="77">
        <v>29319</v>
      </c>
      <c r="AD1201" s="10"/>
      <c r="AE1201" s="7">
        <v>1976</v>
      </c>
      <c r="AF1201" s="7" t="s">
        <v>3265</v>
      </c>
      <c r="AG1201" s="7">
        <v>1980</v>
      </c>
      <c r="AH1201" s="7">
        <v>1980</v>
      </c>
      <c r="AI1201" s="7">
        <v>1984</v>
      </c>
      <c r="AJ1201" s="73"/>
      <c r="AK1201" s="7"/>
      <c r="AL1201" s="16" t="s">
        <v>664</v>
      </c>
      <c r="AM1201" s="2" t="s">
        <v>59</v>
      </c>
      <c r="AO1201" s="6" t="s">
        <v>73</v>
      </c>
      <c r="AU1201" s="16" t="s">
        <v>74</v>
      </c>
      <c r="AW1201" s="6">
        <f t="shared" ca="1" si="21"/>
        <v>50</v>
      </c>
    </row>
    <row r="1202" ht="45" hidden="1" customHeight="1" outlineLevel="1">
      <c r="A1202" s="69"/>
      <c r="B1202" s="3" t="s">
        <v>47</v>
      </c>
      <c r="C1202" s="4" t="s">
        <v>3266</v>
      </c>
      <c r="E1202" s="2" t="s">
        <v>1074</v>
      </c>
      <c r="F1202" s="6" t="s">
        <v>2154</v>
      </c>
      <c r="G1202" s="5" t="s">
        <v>2155</v>
      </c>
      <c r="H1202" s="2" t="s">
        <v>57</v>
      </c>
      <c r="I1202" s="181" t="s">
        <v>3267</v>
      </c>
      <c r="J1202" s="7">
        <v>1</v>
      </c>
      <c r="K1202" s="70"/>
      <c r="L1202" s="9">
        <v>1</v>
      </c>
      <c r="M1202" s="3">
        <v>924</v>
      </c>
      <c r="N1202" s="6">
        <v>1975</v>
      </c>
      <c r="P1202" s="71"/>
      <c r="R1202" s="6">
        <v>1970</v>
      </c>
      <c r="S1202" s="3" t="s">
        <v>236</v>
      </c>
      <c r="T1202" s="72"/>
      <c r="U1202" s="73"/>
      <c r="W1202" s="2" t="s">
        <v>62</v>
      </c>
      <c r="X1202" s="10" t="s">
        <v>56</v>
      </c>
      <c r="Y1202" s="10" t="s">
        <v>57</v>
      </c>
      <c r="Z1202" s="75"/>
      <c r="AA1202" s="146"/>
      <c r="AB1202" s="77"/>
      <c r="AC1202" s="77"/>
      <c r="AD1202" s="10"/>
      <c r="AI1202" s="7"/>
      <c r="AJ1202" s="95">
        <v>36278</v>
      </c>
      <c r="AK1202" s="7">
        <v>1990</v>
      </c>
      <c r="AL1202" s="16"/>
      <c r="AW1202" s="6">
        <f t="shared" ca="1" si="21"/>
        <v>50</v>
      </c>
    </row>
    <row r="1203" ht="45" customHeight="1" outlineLevel="1">
      <c r="A1203" s="69"/>
      <c r="B1203" s="3" t="s">
        <v>47</v>
      </c>
      <c r="E1203" s="110" t="s">
        <v>48</v>
      </c>
      <c r="F1203" s="121" t="s">
        <v>49</v>
      </c>
      <c r="G1203" s="120" t="s">
        <v>1889</v>
      </c>
      <c r="H1203" s="110" t="s">
        <v>68</v>
      </c>
      <c r="I1203" s="94" t="s">
        <v>3268</v>
      </c>
      <c r="J1203" s="122">
        <v>1</v>
      </c>
      <c r="K1203" s="123" t="s">
        <v>53</v>
      </c>
      <c r="L1203" s="124">
        <v>1</v>
      </c>
      <c r="M1203" s="94">
        <v>925</v>
      </c>
      <c r="N1203" s="121">
        <v>1975</v>
      </c>
      <c r="O1203" s="112"/>
      <c r="P1203" s="125"/>
      <c r="Q1203" s="112"/>
      <c r="R1203" s="121">
        <v>1970</v>
      </c>
      <c r="S1203" s="94" t="s">
        <v>54</v>
      </c>
      <c r="T1203" s="72"/>
      <c r="U1203" s="126"/>
      <c r="V1203" s="127"/>
      <c r="W1203" s="110" t="s">
        <v>3269</v>
      </c>
      <c r="X1203" s="112" t="s">
        <v>56</v>
      </c>
      <c r="Y1203" s="112" t="s">
        <v>68</v>
      </c>
      <c r="Z1203" s="113"/>
      <c r="AA1203" s="128">
        <v>28474</v>
      </c>
      <c r="AB1203" s="129"/>
      <c r="AC1203" s="129">
        <v>28474</v>
      </c>
      <c r="AD1203" s="112"/>
      <c r="AE1203" s="122"/>
      <c r="AF1203" s="122"/>
      <c r="AG1203" s="122">
        <v>1977</v>
      </c>
      <c r="AH1203" s="7">
        <v>1970</v>
      </c>
      <c r="AI1203" s="7"/>
      <c r="AJ1203" s="73"/>
      <c r="AK1203" s="7"/>
      <c r="AL1203" s="16"/>
      <c r="AM1203" s="2" t="s">
        <v>82</v>
      </c>
      <c r="AW1203" s="6">
        <f t="shared" ca="1" si="21"/>
        <v>50</v>
      </c>
    </row>
    <row r="1204" ht="45" hidden="1" customHeight="1" outlineLevel="1">
      <c r="A1204" s="69"/>
      <c r="B1204" s="3" t="s">
        <v>47</v>
      </c>
      <c r="C1204" s="4" t="s">
        <v>3270</v>
      </c>
      <c r="D1204" s="5" t="s">
        <v>3271</v>
      </c>
      <c r="E1204" s="2" t="s">
        <v>63</v>
      </c>
      <c r="F1204" s="6" t="s">
        <v>172</v>
      </c>
      <c r="G1204" s="5" t="s">
        <v>3272</v>
      </c>
      <c r="H1204" s="2" t="s">
        <v>51</v>
      </c>
      <c r="I1204" s="3" t="s">
        <v>3273</v>
      </c>
      <c r="J1204" s="7">
        <v>1</v>
      </c>
      <c r="K1204" s="70"/>
      <c r="L1204" s="9">
        <v>1</v>
      </c>
      <c r="M1204" s="3">
        <v>926</v>
      </c>
      <c r="N1204" s="6">
        <v>1975</v>
      </c>
      <c r="O1204" s="10" t="s">
        <v>2064</v>
      </c>
      <c r="P1204" s="71" t="s">
        <v>1452</v>
      </c>
      <c r="Q1204" s="10" t="s">
        <v>1453</v>
      </c>
      <c r="R1204" s="6">
        <v>1970</v>
      </c>
      <c r="S1204" s="3" t="s">
        <v>236</v>
      </c>
      <c r="T1204" s="72"/>
      <c r="W1204" s="2" t="s">
        <v>62</v>
      </c>
      <c r="X1204" s="10" t="s">
        <v>56</v>
      </c>
      <c r="Y1204" s="10" t="s">
        <v>57</v>
      </c>
      <c r="Z1204" s="75" t="s">
        <v>58</v>
      </c>
      <c r="AA1204" s="76"/>
      <c r="AB1204" s="77"/>
      <c r="AC1204" s="77"/>
      <c r="AD1204" s="10"/>
      <c r="AI1204" s="7"/>
      <c r="AJ1204" s="10">
        <v>44358</v>
      </c>
      <c r="AK1204" s="7">
        <v>2020</v>
      </c>
      <c r="AL1204" s="16"/>
      <c r="AW1204" s="6">
        <f t="shared" ca="1" si="21"/>
        <v>50</v>
      </c>
    </row>
    <row r="1205" ht="45" hidden="1" customHeight="1">
      <c r="A1205" s="69"/>
      <c r="B1205" s="3" t="s">
        <v>47</v>
      </c>
      <c r="C1205" s="182" t="s">
        <v>3134</v>
      </c>
      <c r="D1205" s="5" t="s">
        <v>3274</v>
      </c>
      <c r="E1205" s="2" t="s">
        <v>48</v>
      </c>
      <c r="F1205" s="6" t="s">
        <v>49</v>
      </c>
      <c r="G1205" s="5" t="s">
        <v>50</v>
      </c>
      <c r="H1205" s="2" t="s">
        <v>57</v>
      </c>
      <c r="I1205" s="96" t="s">
        <v>3275</v>
      </c>
      <c r="J1205" s="7">
        <v>1</v>
      </c>
      <c r="K1205" s="70"/>
      <c r="L1205" s="9">
        <v>1</v>
      </c>
      <c r="M1205" s="3">
        <v>927</v>
      </c>
      <c r="N1205" s="6">
        <v>1975</v>
      </c>
      <c r="P1205" s="71"/>
      <c r="R1205" s="6">
        <v>1970</v>
      </c>
      <c r="S1205" s="3" t="s">
        <v>236</v>
      </c>
      <c r="T1205" s="72"/>
      <c r="U1205" s="73"/>
      <c r="W1205" s="2" t="s">
        <v>62</v>
      </c>
      <c r="X1205" s="10" t="s">
        <v>56</v>
      </c>
      <c r="Y1205" s="10" t="s">
        <v>57</v>
      </c>
      <c r="Z1205" s="75"/>
      <c r="AA1205" s="76"/>
      <c r="AB1205" s="77"/>
      <c r="AC1205" s="77"/>
      <c r="AD1205" s="10"/>
      <c r="AI1205" s="7"/>
      <c r="AJ1205" s="95">
        <v>41877</v>
      </c>
      <c r="AK1205" s="7">
        <v>2010</v>
      </c>
      <c r="AL1205" s="16"/>
      <c r="AW1205" s="6">
        <f t="shared" ca="1" si="21"/>
        <v>50</v>
      </c>
    </row>
    <row r="1206" ht="45" hidden="1" customHeight="1" outlineLevel="1">
      <c r="A1206" s="69"/>
      <c r="B1206" s="3" t="s">
        <v>47</v>
      </c>
      <c r="C1206" s="4" t="s">
        <v>3276</v>
      </c>
      <c r="D1206" s="5" t="s">
        <v>3277</v>
      </c>
      <c r="E1206" s="2" t="s">
        <v>63</v>
      </c>
      <c r="F1206" s="6" t="s">
        <v>64</v>
      </c>
      <c r="G1206" s="5" t="s">
        <v>3278</v>
      </c>
      <c r="H1206" s="2" t="s">
        <v>57</v>
      </c>
      <c r="I1206" s="3" t="s">
        <v>3279</v>
      </c>
      <c r="J1206" s="7">
        <v>1</v>
      </c>
      <c r="K1206" s="70"/>
      <c r="L1206" s="9">
        <v>1</v>
      </c>
      <c r="M1206" s="3">
        <v>928</v>
      </c>
      <c r="N1206" s="6">
        <v>1975</v>
      </c>
      <c r="O1206" s="10">
        <v>27562</v>
      </c>
      <c r="P1206" s="71" t="s">
        <v>3280</v>
      </c>
      <c r="Q1206" s="10" t="s">
        <v>1453</v>
      </c>
      <c r="R1206" s="6">
        <v>1970</v>
      </c>
      <c r="S1206" s="3" t="s">
        <v>236</v>
      </c>
      <c r="T1206" s="72" t="s">
        <v>1136</v>
      </c>
      <c r="U1206" s="10">
        <v>43850</v>
      </c>
      <c r="W1206" s="2" t="s">
        <v>62</v>
      </c>
      <c r="X1206" s="10" t="s">
        <v>56</v>
      </c>
      <c r="Y1206" s="10" t="s">
        <v>57</v>
      </c>
      <c r="Z1206" s="75"/>
      <c r="AA1206" s="76"/>
      <c r="AB1206" s="77"/>
      <c r="AC1206" s="77"/>
      <c r="AD1206" s="10"/>
      <c r="AI1206" s="7"/>
      <c r="AJ1206" s="10">
        <v>43850</v>
      </c>
      <c r="AK1206" s="7">
        <v>2020</v>
      </c>
      <c r="AL1206" s="16"/>
      <c r="AW1206" s="6">
        <f t="shared" ca="1" si="21"/>
        <v>50</v>
      </c>
    </row>
    <row r="1207" ht="45" hidden="1" customHeight="1" outlineLevel="1">
      <c r="A1207" s="69"/>
      <c r="B1207" s="3" t="s">
        <v>47</v>
      </c>
      <c r="C1207" s="4" t="s">
        <v>3281</v>
      </c>
      <c r="D1207" s="5" t="s">
        <v>3282</v>
      </c>
      <c r="E1207" s="2" t="s">
        <v>83</v>
      </c>
      <c r="F1207" s="6" t="s">
        <v>179</v>
      </c>
      <c r="G1207" s="5" t="s">
        <v>3283</v>
      </c>
      <c r="H1207" s="2" t="s">
        <v>57</v>
      </c>
      <c r="I1207" s="3" t="s">
        <v>3284</v>
      </c>
      <c r="J1207" s="7">
        <v>1</v>
      </c>
      <c r="K1207" s="70"/>
      <c r="L1207" s="9">
        <v>1</v>
      </c>
      <c r="M1207" s="3">
        <v>929</v>
      </c>
      <c r="N1207" s="6">
        <v>1975</v>
      </c>
      <c r="P1207" s="71"/>
      <c r="R1207" s="6">
        <v>1970</v>
      </c>
      <c r="S1207" s="3" t="s">
        <v>236</v>
      </c>
      <c r="T1207" s="72"/>
      <c r="U1207" s="73"/>
      <c r="W1207" s="2" t="s">
        <v>62</v>
      </c>
      <c r="X1207" s="10" t="s">
        <v>56</v>
      </c>
      <c r="Y1207" s="10" t="s">
        <v>57</v>
      </c>
      <c r="Z1207" s="75"/>
      <c r="AA1207" s="76"/>
      <c r="AB1207" s="77"/>
      <c r="AC1207" s="77"/>
      <c r="AD1207" s="10"/>
      <c r="AI1207" s="7"/>
      <c r="AJ1207" s="95">
        <v>41184</v>
      </c>
      <c r="AK1207" s="7">
        <v>2010</v>
      </c>
      <c r="AL1207" s="16"/>
      <c r="AW1207" s="6">
        <f t="shared" ca="1" si="21"/>
        <v>50</v>
      </c>
    </row>
    <row r="1208" ht="45" customHeight="1" outlineLevel="1">
      <c r="A1208" s="69"/>
      <c r="B1208" s="3" t="s">
        <v>47</v>
      </c>
      <c r="E1208" s="2" t="s">
        <v>63</v>
      </c>
      <c r="F1208" s="6" t="s">
        <v>354</v>
      </c>
      <c r="G1208" s="5" t="s">
        <v>971</v>
      </c>
      <c r="H1208" s="2" t="s">
        <v>181</v>
      </c>
      <c r="I1208" s="3" t="s">
        <v>3285</v>
      </c>
      <c r="J1208" s="7">
        <v>1</v>
      </c>
      <c r="K1208" s="70" t="s">
        <v>53</v>
      </c>
      <c r="L1208" s="9">
        <v>1</v>
      </c>
      <c r="M1208" s="3">
        <v>930</v>
      </c>
      <c r="N1208" s="6">
        <v>1975</v>
      </c>
      <c r="P1208" s="71"/>
      <c r="R1208" s="6">
        <v>1970</v>
      </c>
      <c r="S1208" s="3" t="s">
        <v>54</v>
      </c>
      <c r="T1208" s="72"/>
      <c r="U1208" s="73"/>
      <c r="W1208" s="2" t="s">
        <v>3286</v>
      </c>
      <c r="X1208" s="10" t="s">
        <v>56</v>
      </c>
      <c r="Y1208" s="10" t="s">
        <v>181</v>
      </c>
      <c r="Z1208" s="75"/>
      <c r="AA1208" s="76">
        <v>27612</v>
      </c>
      <c r="AB1208" s="77"/>
      <c r="AC1208" s="77"/>
      <c r="AD1208" s="6"/>
      <c r="AG1208" s="7">
        <v>1975</v>
      </c>
      <c r="AH1208" s="7">
        <v>1970</v>
      </c>
      <c r="AI1208" s="7"/>
      <c r="AJ1208" s="73"/>
      <c r="AK1208" s="7"/>
      <c r="AL1208" s="16"/>
      <c r="AM1208" s="2" t="s">
        <v>82</v>
      </c>
      <c r="AN1208" s="6" t="s">
        <v>73</v>
      </c>
      <c r="AO1208" s="6" t="s">
        <v>82</v>
      </c>
      <c r="AP1208" s="6" t="s">
        <v>73</v>
      </c>
      <c r="AQ1208" s="5" t="s">
        <v>73</v>
      </c>
      <c r="AW1208" s="6">
        <f t="shared" ca="1" si="21"/>
        <v>50</v>
      </c>
    </row>
    <row r="1209" ht="45" hidden="1" customHeight="1" outlineLevel="1">
      <c r="A1209" s="69"/>
      <c r="B1209" s="3" t="s">
        <v>190</v>
      </c>
      <c r="C1209" s="4" t="s">
        <v>3287</v>
      </c>
      <c r="D1209" s="5" t="s">
        <v>3288</v>
      </c>
      <c r="E1209" s="2" t="s">
        <v>1074</v>
      </c>
      <c r="F1209" s="6" t="s">
        <v>1075</v>
      </c>
      <c r="G1209" s="5" t="s">
        <v>2059</v>
      </c>
      <c r="H1209" s="2" t="s">
        <v>288</v>
      </c>
      <c r="I1209" s="3" t="s">
        <v>3289</v>
      </c>
      <c r="J1209" s="7">
        <v>1</v>
      </c>
      <c r="K1209" s="104"/>
      <c r="L1209" s="9">
        <v>1</v>
      </c>
      <c r="M1209" s="3">
        <v>931</v>
      </c>
      <c r="N1209" s="6">
        <v>1975</v>
      </c>
      <c r="P1209" s="71"/>
      <c r="R1209" s="6">
        <v>1970</v>
      </c>
      <c r="S1209" s="3" t="s">
        <v>283</v>
      </c>
      <c r="T1209" s="72"/>
      <c r="U1209" s="73"/>
      <c r="W1209" s="74" t="s">
        <v>62</v>
      </c>
      <c r="X1209" s="10" t="s">
        <v>56</v>
      </c>
      <c r="Y1209" s="10" t="s">
        <v>288</v>
      </c>
      <c r="Z1209" s="75"/>
      <c r="AA1209" s="76"/>
      <c r="AB1209" s="77"/>
      <c r="AC1209" s="77"/>
      <c r="AD1209" s="6"/>
      <c r="AI1209" s="7"/>
      <c r="AJ1209" s="73"/>
      <c r="AK1209" s="7"/>
      <c r="AL1209" s="16"/>
      <c r="AW1209" s="6">
        <f t="shared" ca="1" si="21"/>
        <v>50</v>
      </c>
    </row>
    <row r="1210" ht="45" hidden="1" customHeight="1" outlineLevel="1">
      <c r="A1210" s="69">
        <v>42918</v>
      </c>
      <c r="B1210" s="3" t="s">
        <v>47</v>
      </c>
      <c r="C1210" s="4" t="s">
        <v>3290</v>
      </c>
      <c r="D1210" s="5" t="s">
        <v>3291</v>
      </c>
      <c r="E1210" s="2" t="s">
        <v>63</v>
      </c>
      <c r="F1210" s="6" t="s">
        <v>217</v>
      </c>
      <c r="G1210" s="5" t="s">
        <v>3292</v>
      </c>
      <c r="H1210" s="2" t="s">
        <v>508</v>
      </c>
      <c r="I1210" s="3" t="s">
        <v>3293</v>
      </c>
      <c r="J1210" s="7">
        <v>1</v>
      </c>
      <c r="K1210" s="104"/>
      <c r="L1210" s="9">
        <v>1</v>
      </c>
      <c r="M1210" s="3">
        <v>932</v>
      </c>
      <c r="N1210" s="6">
        <v>1975</v>
      </c>
      <c r="O1210" s="10">
        <v>27381</v>
      </c>
      <c r="P1210" s="71" t="s">
        <v>1452</v>
      </c>
      <c r="Q1210" s="10" t="s">
        <v>1453</v>
      </c>
      <c r="R1210" s="6">
        <v>1970</v>
      </c>
      <c r="S1210" s="3" t="s">
        <v>236</v>
      </c>
      <c r="T1210" s="72" t="s">
        <v>1136</v>
      </c>
      <c r="W1210" s="2" t="s">
        <v>62</v>
      </c>
      <c r="X1210" s="10" t="s">
        <v>504</v>
      </c>
      <c r="Y1210" s="10" t="s">
        <v>511</v>
      </c>
      <c r="Z1210" s="75"/>
      <c r="AA1210" s="76"/>
      <c r="AB1210" s="77"/>
      <c r="AC1210" s="77"/>
      <c r="AD1210" s="6"/>
      <c r="AI1210" s="7"/>
      <c r="AJ1210" s="10">
        <v>44630</v>
      </c>
      <c r="AK1210" s="7">
        <v>2020</v>
      </c>
      <c r="AL1210" s="16"/>
      <c r="AW1210" s="6">
        <f t="shared" ca="1" si="21"/>
        <v>50</v>
      </c>
    </row>
    <row r="1211" ht="45" hidden="1" customHeight="1" outlineLevel="1">
      <c r="A1211" s="69"/>
      <c r="B1211" s="3" t="s">
        <v>47</v>
      </c>
      <c r="C1211" s="4" t="s">
        <v>3294</v>
      </c>
      <c r="E1211" s="2" t="s">
        <v>83</v>
      </c>
      <c r="F1211" s="6" t="s">
        <v>84</v>
      </c>
      <c r="G1211" s="5" t="s">
        <v>85</v>
      </c>
      <c r="H1211" s="2" t="s">
        <v>57</v>
      </c>
      <c r="I1211" s="3" t="s">
        <v>3295</v>
      </c>
      <c r="J1211" s="7">
        <v>1</v>
      </c>
      <c r="K1211" s="104"/>
      <c r="L1211" s="9">
        <v>1</v>
      </c>
      <c r="M1211" s="3">
        <v>933</v>
      </c>
      <c r="N1211" s="6">
        <v>1975</v>
      </c>
      <c r="P1211" s="71"/>
      <c r="R1211" s="6">
        <v>1970</v>
      </c>
      <c r="S1211" s="3" t="s">
        <v>236</v>
      </c>
      <c r="T1211" s="72"/>
      <c r="U1211" s="73">
        <v>27676</v>
      </c>
      <c r="W1211" s="2" t="s">
        <v>62</v>
      </c>
      <c r="X1211" s="10" t="s">
        <v>56</v>
      </c>
      <c r="Y1211" s="10" t="s">
        <v>57</v>
      </c>
      <c r="Z1211" s="75"/>
      <c r="AA1211" s="76"/>
      <c r="AB1211" s="77"/>
      <c r="AC1211" s="77"/>
      <c r="AD1211" s="6"/>
      <c r="AE1211" s="7">
        <v>1975</v>
      </c>
      <c r="AF1211" s="7" t="s">
        <v>3296</v>
      </c>
      <c r="AI1211" s="7"/>
      <c r="AJ1211" s="95">
        <v>27676</v>
      </c>
      <c r="AK1211" s="7">
        <v>1970</v>
      </c>
      <c r="AL1211" s="16" t="s">
        <v>3297</v>
      </c>
      <c r="AW1211" s="6">
        <f t="shared" ca="1" si="21"/>
        <v>50</v>
      </c>
    </row>
    <row r="1212" ht="45" hidden="1" customHeight="1" outlineLevel="1">
      <c r="A1212" s="69"/>
      <c r="B1212" s="3" t="s">
        <v>47</v>
      </c>
      <c r="C1212" s="4" t="s">
        <v>3298</v>
      </c>
      <c r="E1212" s="2" t="s">
        <v>83</v>
      </c>
      <c r="F1212" s="6" t="s">
        <v>84</v>
      </c>
      <c r="G1212" s="5" t="s">
        <v>85</v>
      </c>
      <c r="H1212" s="2" t="s">
        <v>57</v>
      </c>
      <c r="I1212" s="3" t="s">
        <v>3299</v>
      </c>
      <c r="J1212" s="7">
        <v>1</v>
      </c>
      <c r="K1212" s="104"/>
      <c r="L1212" s="9">
        <v>1</v>
      </c>
      <c r="M1212" s="3">
        <v>934</v>
      </c>
      <c r="N1212" s="6">
        <v>1975</v>
      </c>
      <c r="P1212" s="71"/>
      <c r="R1212" s="6">
        <v>1970</v>
      </c>
      <c r="S1212" s="3" t="s">
        <v>236</v>
      </c>
      <c r="T1212" s="72"/>
      <c r="U1212" s="73"/>
      <c r="W1212" s="2" t="s">
        <v>62</v>
      </c>
      <c r="X1212" s="10" t="s">
        <v>56</v>
      </c>
      <c r="Y1212" s="10" t="s">
        <v>57</v>
      </c>
      <c r="Z1212" s="75"/>
      <c r="AA1212" s="76"/>
      <c r="AB1212" s="77"/>
      <c r="AC1212" s="77"/>
      <c r="AD1212" s="6"/>
      <c r="AE1212" s="7" t="s">
        <v>3300</v>
      </c>
      <c r="AF1212" s="7" t="s">
        <v>3301</v>
      </c>
      <c r="AI1212" s="7"/>
      <c r="AJ1212" s="95">
        <v>28377</v>
      </c>
      <c r="AK1212" s="114">
        <v>1970</v>
      </c>
      <c r="AL1212" s="16" t="s">
        <v>3302</v>
      </c>
      <c r="AW1212" s="6">
        <f t="shared" ca="1" si="21"/>
        <v>50</v>
      </c>
    </row>
    <row r="1213" ht="45" hidden="1" customHeight="1" outlineLevel="1">
      <c r="A1213" s="69"/>
      <c r="B1213" s="3" t="s">
        <v>47</v>
      </c>
      <c r="C1213" s="4" t="s">
        <v>3303</v>
      </c>
      <c r="E1213" s="2" t="s">
        <v>63</v>
      </c>
      <c r="F1213" s="6" t="s">
        <v>172</v>
      </c>
      <c r="G1213" s="5" t="s">
        <v>3304</v>
      </c>
      <c r="H1213" s="2" t="s">
        <v>57</v>
      </c>
      <c r="I1213" s="3" t="s">
        <v>3305</v>
      </c>
      <c r="J1213" s="7">
        <v>1</v>
      </c>
      <c r="K1213" s="104"/>
      <c r="L1213" s="9">
        <v>1</v>
      </c>
      <c r="M1213" s="3">
        <v>935</v>
      </c>
      <c r="N1213" s="6">
        <v>1975</v>
      </c>
      <c r="P1213" s="71"/>
      <c r="R1213" s="6">
        <v>1970</v>
      </c>
      <c r="S1213" s="3" t="s">
        <v>236</v>
      </c>
      <c r="T1213" s="72"/>
      <c r="U1213" s="73"/>
      <c r="W1213" s="2" t="s">
        <v>62</v>
      </c>
      <c r="X1213" s="10" t="s">
        <v>56</v>
      </c>
      <c r="Y1213" s="10" t="s">
        <v>57</v>
      </c>
      <c r="Z1213" s="75"/>
      <c r="AA1213" s="76"/>
      <c r="AB1213" s="77"/>
      <c r="AC1213" s="77"/>
      <c r="AD1213" s="6"/>
      <c r="AI1213" s="7"/>
      <c r="AJ1213" s="95">
        <v>28929</v>
      </c>
      <c r="AK1213" s="7">
        <v>1970</v>
      </c>
      <c r="AL1213" s="16" t="s">
        <v>3306</v>
      </c>
      <c r="AW1213" s="6">
        <f t="shared" ca="1" si="21"/>
        <v>50</v>
      </c>
    </row>
    <row r="1214" s="86" customFormat="1" ht="45" hidden="1" customHeight="1" outlineLevel="1">
      <c r="A1214" s="69"/>
      <c r="B1214" s="3" t="s">
        <v>47</v>
      </c>
      <c r="C1214" s="4" t="s">
        <v>2819</v>
      </c>
      <c r="D1214" s="5" t="s">
        <v>3307</v>
      </c>
      <c r="E1214" s="2" t="s">
        <v>83</v>
      </c>
      <c r="F1214" s="6" t="s">
        <v>84</v>
      </c>
      <c r="G1214" s="5" t="s">
        <v>3308</v>
      </c>
      <c r="H1214" s="2" t="s">
        <v>57</v>
      </c>
      <c r="I1214" s="3" t="s">
        <v>3309</v>
      </c>
      <c r="J1214" s="7">
        <v>1</v>
      </c>
      <c r="K1214" s="104"/>
      <c r="L1214" s="9">
        <v>1</v>
      </c>
      <c r="M1214" s="3">
        <v>936</v>
      </c>
      <c r="N1214" s="6">
        <v>1975</v>
      </c>
      <c r="O1214" s="10"/>
      <c r="P1214" s="71"/>
      <c r="Q1214" s="10"/>
      <c r="R1214" s="6">
        <v>1970</v>
      </c>
      <c r="S1214" s="3" t="s">
        <v>236</v>
      </c>
      <c r="T1214" s="72"/>
      <c r="U1214" s="73"/>
      <c r="V1214" s="12"/>
      <c r="W1214" s="2" t="s">
        <v>62</v>
      </c>
      <c r="X1214" s="10" t="s">
        <v>56</v>
      </c>
      <c r="Y1214" s="10" t="s">
        <v>57</v>
      </c>
      <c r="Z1214" s="75"/>
      <c r="AA1214" s="76"/>
      <c r="AB1214" s="77"/>
      <c r="AC1214" s="77"/>
      <c r="AD1214" s="6"/>
      <c r="AE1214" s="7"/>
      <c r="AF1214" s="7"/>
      <c r="AG1214" s="7"/>
      <c r="AH1214" s="7"/>
      <c r="AI1214" s="7"/>
      <c r="AJ1214" s="95">
        <v>41435</v>
      </c>
      <c r="AK1214" s="7">
        <v>2010</v>
      </c>
      <c r="AL1214" s="16"/>
      <c r="AM1214" s="2"/>
      <c r="AN1214" s="6"/>
      <c r="AO1214" s="6"/>
      <c r="AP1214" s="6"/>
      <c r="AQ1214" s="5"/>
      <c r="AR1214" s="2"/>
      <c r="AS1214" s="6"/>
      <c r="AT1214" s="6"/>
      <c r="AU1214" s="16"/>
      <c r="AV1214" s="17"/>
      <c r="AW1214" s="6">
        <f t="shared" ca="1" si="21"/>
        <v>50</v>
      </c>
    </row>
    <row r="1215" ht="45" customHeight="1" outlineLevel="1">
      <c r="A1215" s="69"/>
      <c r="B1215" s="3" t="s">
        <v>47</v>
      </c>
      <c r="E1215" s="2" t="s">
        <v>83</v>
      </c>
      <c r="F1215" s="6" t="s">
        <v>179</v>
      </c>
      <c r="G1215" s="5" t="s">
        <v>2221</v>
      </c>
      <c r="H1215" s="2" t="s">
        <v>57</v>
      </c>
      <c r="I1215" s="3" t="s">
        <v>3310</v>
      </c>
      <c r="J1215" s="7">
        <v>1</v>
      </c>
      <c r="K1215" s="70" t="s">
        <v>53</v>
      </c>
      <c r="L1215" s="9">
        <v>1</v>
      </c>
      <c r="M1215" s="3">
        <v>937</v>
      </c>
      <c r="N1215" s="6">
        <v>1975</v>
      </c>
      <c r="P1215" s="71"/>
      <c r="R1215" s="6">
        <v>1970</v>
      </c>
      <c r="S1215" s="3" t="s">
        <v>54</v>
      </c>
      <c r="T1215" s="72"/>
      <c r="U1215" s="73"/>
      <c r="W1215" s="2" t="s">
        <v>3311</v>
      </c>
      <c r="X1215" s="10" t="s">
        <v>56</v>
      </c>
      <c r="Y1215" s="10" t="s">
        <v>57</v>
      </c>
      <c r="Z1215" s="75"/>
      <c r="AA1215" s="76"/>
      <c r="AB1215" s="77">
        <v>29329</v>
      </c>
      <c r="AC1215" s="77"/>
      <c r="AD1215" s="6"/>
      <c r="AE1215" s="7">
        <v>1979</v>
      </c>
      <c r="AF1215" s="7">
        <v>84</v>
      </c>
      <c r="AG1215" s="7">
        <v>1980</v>
      </c>
      <c r="AH1215" s="7">
        <v>1980</v>
      </c>
      <c r="AI1215" s="7"/>
      <c r="AJ1215" s="73"/>
      <c r="AK1215" s="7"/>
      <c r="AL1215" s="16" t="s">
        <v>3312</v>
      </c>
      <c r="AM1215" s="2" t="s">
        <v>59</v>
      </c>
      <c r="AW1215" s="6">
        <f t="shared" ca="1" si="21"/>
        <v>50</v>
      </c>
    </row>
    <row r="1216" ht="45" hidden="1" customHeight="1" outlineLevel="1">
      <c r="A1216" s="69"/>
      <c r="B1216" s="3" t="s">
        <v>47</v>
      </c>
      <c r="C1216" s="4" t="s">
        <v>3313</v>
      </c>
      <c r="D1216" s="5" t="s">
        <v>3282</v>
      </c>
      <c r="E1216" s="2" t="s">
        <v>83</v>
      </c>
      <c r="F1216" s="6" t="s">
        <v>179</v>
      </c>
      <c r="G1216" s="5" t="s">
        <v>319</v>
      </c>
      <c r="H1216" s="2" t="s">
        <v>57</v>
      </c>
      <c r="I1216" s="3" t="s">
        <v>3314</v>
      </c>
      <c r="J1216" s="7">
        <v>1</v>
      </c>
      <c r="K1216" s="104"/>
      <c r="L1216" s="9">
        <v>1</v>
      </c>
      <c r="M1216" s="3">
        <v>938</v>
      </c>
      <c r="N1216" s="6">
        <v>1976</v>
      </c>
      <c r="P1216" s="71"/>
      <c r="R1216" s="6">
        <v>1970</v>
      </c>
      <c r="S1216" s="3" t="s">
        <v>236</v>
      </c>
      <c r="T1216" s="72"/>
      <c r="U1216" s="73"/>
      <c r="W1216" s="2" t="s">
        <v>62</v>
      </c>
      <c r="X1216" s="10" t="s">
        <v>56</v>
      </c>
      <c r="Y1216" s="10" t="s">
        <v>57</v>
      </c>
      <c r="Z1216" s="75"/>
      <c r="AA1216" s="76"/>
      <c r="AB1216" s="77"/>
      <c r="AC1216" s="77"/>
      <c r="AD1216" s="6"/>
      <c r="AI1216" s="7"/>
      <c r="AJ1216" s="95">
        <v>41163</v>
      </c>
      <c r="AK1216" s="7">
        <v>2010</v>
      </c>
      <c r="AL1216" s="16"/>
      <c r="AW1216" s="6">
        <f t="shared" ca="1" si="21"/>
        <v>49</v>
      </c>
    </row>
    <row r="1217" ht="45" hidden="1" customHeight="1" outlineLevel="1">
      <c r="A1217" s="69"/>
      <c r="B1217" s="3" t="s">
        <v>47</v>
      </c>
      <c r="C1217" s="4" t="s">
        <v>3315</v>
      </c>
      <c r="D1217" s="5" t="s">
        <v>3316</v>
      </c>
      <c r="E1217" s="2" t="s">
        <v>83</v>
      </c>
      <c r="F1217" s="6" t="s">
        <v>179</v>
      </c>
      <c r="G1217" s="5" t="s">
        <v>2177</v>
      </c>
      <c r="H1217" s="2" t="s">
        <v>508</v>
      </c>
      <c r="I1217" s="3" t="s">
        <v>3317</v>
      </c>
      <c r="J1217" s="7">
        <v>1</v>
      </c>
      <c r="K1217" s="104"/>
      <c r="L1217" s="9">
        <v>1</v>
      </c>
      <c r="M1217" s="3">
        <v>939</v>
      </c>
      <c r="N1217" s="6">
        <v>1976</v>
      </c>
      <c r="P1217" s="71"/>
      <c r="R1217" s="6">
        <v>1970</v>
      </c>
      <c r="S1217" s="3" t="s">
        <v>236</v>
      </c>
      <c r="T1217" s="72"/>
      <c r="U1217" s="73"/>
      <c r="W1217" s="2" t="s">
        <v>62</v>
      </c>
      <c r="X1217" s="10" t="s">
        <v>504</v>
      </c>
      <c r="Y1217" s="10" t="s">
        <v>511</v>
      </c>
      <c r="Z1217" s="75"/>
      <c r="AA1217" s="76"/>
      <c r="AB1217" s="77"/>
      <c r="AC1217" s="77"/>
      <c r="AD1217" s="6"/>
      <c r="AI1217" s="7"/>
      <c r="AJ1217" s="10">
        <v>42541</v>
      </c>
      <c r="AK1217" s="7">
        <v>2010</v>
      </c>
      <c r="AL1217" s="174"/>
      <c r="AW1217" s="6">
        <f t="shared" ca="1" si="21"/>
        <v>49</v>
      </c>
    </row>
    <row r="1218" ht="45" customHeight="1" outlineLevel="1">
      <c r="A1218" s="69"/>
      <c r="B1218" s="3" t="s">
        <v>47</v>
      </c>
      <c r="E1218" s="2" t="s">
        <v>63</v>
      </c>
      <c r="F1218" s="6" t="s">
        <v>354</v>
      </c>
      <c r="G1218" s="5" t="s">
        <v>971</v>
      </c>
      <c r="H1218" s="2" t="s">
        <v>57</v>
      </c>
      <c r="I1218" s="3" t="s">
        <v>3318</v>
      </c>
      <c r="J1218" s="7">
        <v>1</v>
      </c>
      <c r="K1218" s="70" t="s">
        <v>53</v>
      </c>
      <c r="L1218" s="9">
        <v>1</v>
      </c>
      <c r="M1218" s="3">
        <v>940</v>
      </c>
      <c r="N1218" s="6">
        <v>1976</v>
      </c>
      <c r="P1218" s="71"/>
      <c r="R1218" s="6">
        <v>1970</v>
      </c>
      <c r="S1218" s="3" t="s">
        <v>54</v>
      </c>
      <c r="T1218" s="72"/>
      <c r="U1218" s="73"/>
      <c r="W1218" s="2" t="s">
        <v>3319</v>
      </c>
      <c r="X1218" s="10" t="s">
        <v>56</v>
      </c>
      <c r="Y1218" s="10" t="s">
        <v>57</v>
      </c>
      <c r="Z1218" s="75"/>
      <c r="AA1218" s="76"/>
      <c r="AB1218" s="77"/>
      <c r="AC1218" s="77">
        <v>28795</v>
      </c>
      <c r="AD1218" s="10"/>
      <c r="AE1218" s="7">
        <v>1978</v>
      </c>
      <c r="AF1218" s="7">
        <v>82</v>
      </c>
      <c r="AG1218" s="7">
        <v>1978</v>
      </c>
      <c r="AH1218" s="7">
        <v>1970</v>
      </c>
      <c r="AI1218" s="7"/>
      <c r="AJ1218" s="73"/>
      <c r="AK1218" s="7"/>
      <c r="AL1218" s="16" t="s">
        <v>2234</v>
      </c>
      <c r="AM1218" s="2" t="s">
        <v>59</v>
      </c>
      <c r="AN1218" s="6" t="s">
        <v>73</v>
      </c>
      <c r="AO1218" s="6" t="s">
        <v>136</v>
      </c>
      <c r="AP1218" s="6" t="s">
        <v>104</v>
      </c>
      <c r="AQ1218" s="5" t="s">
        <v>73</v>
      </c>
      <c r="AU1218" s="16" t="s">
        <v>2234</v>
      </c>
      <c r="AW1218" s="6">
        <f t="shared" ca="1" si="21"/>
        <v>49</v>
      </c>
    </row>
    <row r="1219" ht="45" hidden="1" customHeight="1" outlineLevel="1">
      <c r="A1219" s="69">
        <v>45252</v>
      </c>
      <c r="B1219" s="3" t="s">
        <v>1926</v>
      </c>
      <c r="C1219" s="4" t="s">
        <v>3320</v>
      </c>
      <c r="D1219" s="5" t="s">
        <v>3321</v>
      </c>
      <c r="E1219" s="2" t="s">
        <v>83</v>
      </c>
      <c r="F1219" s="6" t="s">
        <v>84</v>
      </c>
      <c r="G1219" s="5" t="s">
        <v>3322</v>
      </c>
      <c r="H1219" s="2" t="s">
        <v>57</v>
      </c>
      <c r="I1219" s="3" t="s">
        <v>3323</v>
      </c>
      <c r="J1219" s="7">
        <v>1</v>
      </c>
      <c r="K1219" s="70"/>
      <c r="L1219" s="9">
        <v>0</v>
      </c>
      <c r="M1219" s="3">
        <v>941</v>
      </c>
      <c r="N1219" s="6">
        <v>1976</v>
      </c>
      <c r="O1219" s="10">
        <v>27508</v>
      </c>
      <c r="P1219" s="71" t="s">
        <v>3324</v>
      </c>
      <c r="R1219" s="6">
        <v>1970</v>
      </c>
      <c r="S1219" s="3" t="s">
        <v>283</v>
      </c>
      <c r="T1219" s="72" t="s">
        <v>1136</v>
      </c>
      <c r="U1219" s="73"/>
      <c r="W1219" s="74" t="s">
        <v>62</v>
      </c>
      <c r="X1219" s="10" t="s">
        <v>56</v>
      </c>
      <c r="Y1219" s="10" t="s">
        <v>57</v>
      </c>
      <c r="Z1219" s="75"/>
      <c r="AA1219" s="76"/>
      <c r="AB1219" s="77"/>
      <c r="AC1219" s="77"/>
      <c r="AD1219" s="10"/>
      <c r="AI1219" s="7"/>
      <c r="AJ1219" s="73"/>
      <c r="AK1219" s="7"/>
      <c r="AL1219" s="16"/>
      <c r="AW1219" s="6">
        <f t="shared" ca="1" si="21"/>
        <v>49</v>
      </c>
    </row>
    <row r="1220" ht="45" hidden="1" customHeight="1" outlineLevel="1">
      <c r="A1220" s="69">
        <v>45252</v>
      </c>
      <c r="B1220" s="3" t="s">
        <v>190</v>
      </c>
      <c r="C1220" s="4" t="s">
        <v>3320</v>
      </c>
      <c r="D1220" s="5" t="s">
        <v>3321</v>
      </c>
      <c r="E1220" s="2" t="s">
        <v>83</v>
      </c>
      <c r="F1220" s="6" t="s">
        <v>84</v>
      </c>
      <c r="G1220" s="5" t="s">
        <v>3322</v>
      </c>
      <c r="H1220" s="2" t="s">
        <v>57</v>
      </c>
      <c r="I1220" s="3" t="s">
        <v>3325</v>
      </c>
      <c r="J1220" s="7">
        <v>1</v>
      </c>
      <c r="K1220" s="70"/>
      <c r="L1220" s="9">
        <v>0</v>
      </c>
      <c r="M1220" s="3">
        <v>941</v>
      </c>
      <c r="N1220" s="6">
        <v>1976</v>
      </c>
      <c r="O1220" s="10">
        <v>27508</v>
      </c>
      <c r="P1220" s="71" t="s">
        <v>3326</v>
      </c>
      <c r="R1220" s="6">
        <v>1970</v>
      </c>
      <c r="S1220" s="3" t="s">
        <v>283</v>
      </c>
      <c r="T1220" s="72" t="s">
        <v>998</v>
      </c>
      <c r="U1220" s="73"/>
      <c r="W1220" s="74"/>
      <c r="X1220" s="10"/>
      <c r="Y1220" s="10" t="s">
        <v>57</v>
      </c>
      <c r="Z1220" s="75"/>
      <c r="AA1220" s="76"/>
      <c r="AB1220" s="77"/>
      <c r="AC1220" s="77"/>
      <c r="AD1220" s="10"/>
      <c r="AI1220" s="7"/>
      <c r="AJ1220" s="73"/>
      <c r="AK1220" s="7"/>
      <c r="AL1220" s="16"/>
      <c r="AW1220" s="6">
        <f t="shared" ca="1" si="21"/>
        <v>49</v>
      </c>
    </row>
    <row r="1221" ht="45" hidden="1" customHeight="1" outlineLevel="1">
      <c r="A1221" s="69">
        <v>45252</v>
      </c>
      <c r="B1221" s="3" t="s">
        <v>190</v>
      </c>
      <c r="C1221" s="4" t="s">
        <v>3320</v>
      </c>
      <c r="D1221" s="5" t="s">
        <v>3321</v>
      </c>
      <c r="E1221" s="2" t="s">
        <v>83</v>
      </c>
      <c r="F1221" s="6" t="s">
        <v>84</v>
      </c>
      <c r="G1221" s="5" t="s">
        <v>3322</v>
      </c>
      <c r="H1221" s="2" t="s">
        <v>57</v>
      </c>
      <c r="I1221" s="3" t="s">
        <v>3327</v>
      </c>
      <c r="J1221" s="7">
        <v>1</v>
      </c>
      <c r="K1221" s="70"/>
      <c r="L1221" s="9">
        <v>0</v>
      </c>
      <c r="M1221" s="3">
        <v>941</v>
      </c>
      <c r="N1221" s="6">
        <v>1976</v>
      </c>
      <c r="O1221" s="10">
        <v>27508</v>
      </c>
      <c r="P1221" s="71" t="s">
        <v>3324</v>
      </c>
      <c r="R1221" s="6">
        <v>1970</v>
      </c>
      <c r="S1221" s="3" t="s">
        <v>283</v>
      </c>
      <c r="T1221" s="72" t="s">
        <v>998</v>
      </c>
      <c r="U1221" s="73"/>
      <c r="W1221" s="74" t="s">
        <v>62</v>
      </c>
      <c r="X1221" s="10" t="s">
        <v>56</v>
      </c>
      <c r="Y1221" s="10" t="s">
        <v>57</v>
      </c>
      <c r="Z1221" s="75"/>
      <c r="AA1221" s="76"/>
      <c r="AB1221" s="77"/>
      <c r="AC1221" s="77"/>
      <c r="AD1221" s="10"/>
      <c r="AI1221" s="7"/>
      <c r="AJ1221" s="73"/>
      <c r="AK1221" s="7"/>
      <c r="AL1221" s="16"/>
      <c r="AW1221" s="6">
        <f t="shared" ca="1" si="21"/>
        <v>49</v>
      </c>
    </row>
    <row r="1222" ht="45" hidden="1" customHeight="1" outlineLevel="1">
      <c r="A1222" s="69">
        <v>45252</v>
      </c>
      <c r="B1222" s="3" t="s">
        <v>190</v>
      </c>
      <c r="C1222" s="4" t="s">
        <v>3328</v>
      </c>
      <c r="D1222" s="5" t="s">
        <v>3321</v>
      </c>
      <c r="E1222" s="2" t="s">
        <v>83</v>
      </c>
      <c r="F1222" s="6" t="s">
        <v>84</v>
      </c>
      <c r="G1222" s="5" t="s">
        <v>3322</v>
      </c>
      <c r="H1222" s="2" t="s">
        <v>57</v>
      </c>
      <c r="I1222" s="3" t="s">
        <v>3329</v>
      </c>
      <c r="J1222" s="7">
        <v>1</v>
      </c>
      <c r="K1222" s="70"/>
      <c r="L1222" s="9">
        <v>1</v>
      </c>
      <c r="M1222" s="3">
        <v>941</v>
      </c>
      <c r="N1222" s="6">
        <v>1976</v>
      </c>
      <c r="O1222" s="10">
        <v>27508</v>
      </c>
      <c r="P1222" s="71" t="s">
        <v>3324</v>
      </c>
      <c r="R1222" s="6">
        <v>1970</v>
      </c>
      <c r="S1222" s="3" t="s">
        <v>283</v>
      </c>
      <c r="T1222" s="72" t="s">
        <v>998</v>
      </c>
      <c r="U1222" s="73"/>
      <c r="W1222" s="74" t="s">
        <v>62</v>
      </c>
      <c r="X1222" s="10" t="s">
        <v>56</v>
      </c>
      <c r="Y1222" s="10" t="s">
        <v>57</v>
      </c>
      <c r="Z1222" s="75"/>
      <c r="AA1222" s="76"/>
      <c r="AB1222" s="77"/>
      <c r="AC1222" s="77"/>
      <c r="AD1222" s="10"/>
      <c r="AI1222" s="7"/>
      <c r="AJ1222" s="73"/>
      <c r="AK1222" s="7"/>
      <c r="AL1222" s="16"/>
      <c r="AW1222" s="6">
        <f t="shared" ca="1" si="21"/>
        <v>49</v>
      </c>
    </row>
    <row r="1223" ht="45" customHeight="1" outlineLevel="1">
      <c r="A1223" s="69"/>
      <c r="B1223" s="3" t="s">
        <v>47</v>
      </c>
      <c r="E1223" s="2" t="s">
        <v>63</v>
      </c>
      <c r="F1223" s="6" t="s">
        <v>64</v>
      </c>
      <c r="G1223" s="5" t="s">
        <v>69</v>
      </c>
      <c r="H1223" s="2" t="s">
        <v>181</v>
      </c>
      <c r="I1223" s="3" t="s">
        <v>3330</v>
      </c>
      <c r="J1223" s="7">
        <v>1</v>
      </c>
      <c r="K1223" s="70" t="s">
        <v>53</v>
      </c>
      <c r="L1223" s="9">
        <v>1</v>
      </c>
      <c r="M1223" s="3">
        <v>942</v>
      </c>
      <c r="N1223" s="6">
        <v>1976</v>
      </c>
      <c r="P1223" s="71"/>
      <c r="R1223" s="6">
        <v>1970</v>
      </c>
      <c r="S1223" s="3" t="s">
        <v>54</v>
      </c>
      <c r="T1223" s="72"/>
      <c r="U1223" s="73"/>
      <c r="W1223" s="2" t="s">
        <v>3331</v>
      </c>
      <c r="X1223" s="10" t="s">
        <v>56</v>
      </c>
      <c r="Y1223" s="10" t="s">
        <v>181</v>
      </c>
      <c r="Z1223" s="75"/>
      <c r="AA1223" s="76"/>
      <c r="AB1223" s="77">
        <v>29319</v>
      </c>
      <c r="AC1223" s="77"/>
      <c r="AD1223" s="6"/>
      <c r="AE1223" s="7">
        <v>1976</v>
      </c>
      <c r="AF1223" s="7" t="s">
        <v>3265</v>
      </c>
      <c r="AG1223" s="7">
        <v>1980</v>
      </c>
      <c r="AH1223" s="7">
        <v>1980</v>
      </c>
      <c r="AI1223" s="7">
        <v>1984</v>
      </c>
      <c r="AJ1223" s="73"/>
      <c r="AK1223" s="7"/>
      <c r="AL1223" s="16" t="s">
        <v>1887</v>
      </c>
      <c r="AM1223" s="2" t="s">
        <v>82</v>
      </c>
      <c r="AW1223" s="6">
        <f t="shared" ca="1" si="21"/>
        <v>49</v>
      </c>
    </row>
    <row r="1224" ht="45" customHeight="1" outlineLevel="1">
      <c r="A1224" s="69">
        <v>45264</v>
      </c>
      <c r="B1224" s="3" t="s">
        <v>1926</v>
      </c>
      <c r="C1224" s="4" t="s">
        <v>3332</v>
      </c>
      <c r="D1224" s="5" t="s">
        <v>3333</v>
      </c>
      <c r="E1224" s="2" t="s">
        <v>48</v>
      </c>
      <c r="F1224" s="6" t="s">
        <v>564</v>
      </c>
      <c r="G1224" s="5" t="s">
        <v>565</v>
      </c>
      <c r="H1224" s="2" t="s">
        <v>51</v>
      </c>
      <c r="I1224" s="94" t="s">
        <v>3334</v>
      </c>
      <c r="J1224" s="7">
        <v>1</v>
      </c>
      <c r="K1224" s="70" t="s">
        <v>53</v>
      </c>
      <c r="L1224" s="9">
        <v>1</v>
      </c>
      <c r="M1224" s="3">
        <v>943</v>
      </c>
      <c r="N1224" s="6">
        <v>1976</v>
      </c>
      <c r="O1224" s="10">
        <v>27912</v>
      </c>
      <c r="P1224" s="71" t="s">
        <v>3335</v>
      </c>
      <c r="R1224" s="6">
        <v>1970</v>
      </c>
      <c r="S1224" s="3" t="s">
        <v>2102</v>
      </c>
      <c r="T1224" s="72" t="s">
        <v>998</v>
      </c>
      <c r="U1224" s="73"/>
      <c r="W1224" s="74" t="s">
        <v>3336</v>
      </c>
      <c r="X1224" s="10" t="s">
        <v>56</v>
      </c>
      <c r="Y1224" s="10" t="s">
        <v>57</v>
      </c>
      <c r="Z1224" s="75"/>
      <c r="AA1224" s="76">
        <v>29319</v>
      </c>
      <c r="AB1224" s="77">
        <v>29319</v>
      </c>
      <c r="AC1224" s="77"/>
      <c r="AD1224" s="6"/>
      <c r="AE1224" s="7">
        <v>1978</v>
      </c>
      <c r="AF1224" s="7" t="s">
        <v>3337</v>
      </c>
      <c r="AG1224" s="7">
        <v>1980</v>
      </c>
      <c r="AH1224" s="7">
        <v>1980</v>
      </c>
      <c r="AI1224" s="7">
        <v>2014</v>
      </c>
      <c r="AJ1224" s="73"/>
      <c r="AK1224" s="7"/>
      <c r="AL1224" s="16" t="s">
        <v>3338</v>
      </c>
      <c r="AM1224" s="2" t="s">
        <v>53</v>
      </c>
      <c r="AN1224" s="6" t="s">
        <v>73</v>
      </c>
      <c r="AO1224" s="6" t="s">
        <v>136</v>
      </c>
      <c r="AP1224" s="6" t="s">
        <v>104</v>
      </c>
      <c r="AU1224" s="16" t="s">
        <v>3339</v>
      </c>
      <c r="AW1224" s="6">
        <f t="shared" ca="1" si="21"/>
        <v>49</v>
      </c>
    </row>
    <row r="1225" ht="45" customHeight="1" outlineLevel="1">
      <c r="A1225" s="69"/>
      <c r="B1225" s="3" t="s">
        <v>47</v>
      </c>
      <c r="E1225" s="2" t="s">
        <v>83</v>
      </c>
      <c r="F1225" s="6" t="s">
        <v>704</v>
      </c>
      <c r="G1225" s="5" t="s">
        <v>705</v>
      </c>
      <c r="H1225" s="2" t="s">
        <v>57</v>
      </c>
      <c r="I1225" s="3" t="s">
        <v>3340</v>
      </c>
      <c r="J1225" s="7">
        <v>1</v>
      </c>
      <c r="K1225" s="70" t="s">
        <v>53</v>
      </c>
      <c r="L1225" s="9">
        <v>1</v>
      </c>
      <c r="M1225" s="3">
        <v>944</v>
      </c>
      <c r="N1225" s="6">
        <v>1976</v>
      </c>
      <c r="P1225" s="71"/>
      <c r="R1225" s="6">
        <v>1970</v>
      </c>
      <c r="S1225" s="3" t="s">
        <v>54</v>
      </c>
      <c r="T1225" s="72"/>
      <c r="U1225" s="73"/>
      <c r="W1225" s="2" t="s">
        <v>3341</v>
      </c>
      <c r="X1225" s="10" t="s">
        <v>56</v>
      </c>
      <c r="Y1225" s="10" t="s">
        <v>57</v>
      </c>
      <c r="Z1225" s="75"/>
      <c r="AA1225" s="76"/>
      <c r="AB1225" s="77">
        <v>35348</v>
      </c>
      <c r="AC1225" s="77">
        <v>35348</v>
      </c>
      <c r="AD1225" s="10"/>
      <c r="AE1225" s="7" t="s">
        <v>3342</v>
      </c>
      <c r="AF1225" s="7" t="s">
        <v>3343</v>
      </c>
      <c r="AG1225" s="7">
        <v>1996</v>
      </c>
      <c r="AH1225" s="7">
        <v>1990</v>
      </c>
      <c r="AI1225" s="7"/>
      <c r="AJ1225" s="73"/>
      <c r="AK1225" s="7"/>
      <c r="AL1225" s="16" t="s">
        <v>3344</v>
      </c>
      <c r="AM1225" s="2" t="s">
        <v>59</v>
      </c>
      <c r="AW1225" s="6">
        <f t="shared" ca="1" si="21"/>
        <v>49</v>
      </c>
    </row>
    <row r="1226" ht="45" hidden="1" customHeight="1">
      <c r="A1226" s="69"/>
      <c r="B1226" s="3" t="s">
        <v>47</v>
      </c>
      <c r="C1226" s="4" t="s">
        <v>3345</v>
      </c>
      <c r="E1226" s="2" t="s">
        <v>83</v>
      </c>
      <c r="F1226" s="6" t="s">
        <v>84</v>
      </c>
      <c r="G1226" s="5" t="s">
        <v>85</v>
      </c>
      <c r="H1226" s="2" t="s">
        <v>51</v>
      </c>
      <c r="I1226" s="3" t="s">
        <v>3346</v>
      </c>
      <c r="J1226" s="7">
        <v>1</v>
      </c>
      <c r="K1226" s="70"/>
      <c r="L1226" s="9">
        <v>1</v>
      </c>
      <c r="M1226" s="3">
        <v>945</v>
      </c>
      <c r="N1226" s="6">
        <v>1976</v>
      </c>
      <c r="P1226" s="71"/>
      <c r="R1226" s="6">
        <v>1970</v>
      </c>
      <c r="S1226" s="3" t="s">
        <v>236</v>
      </c>
      <c r="T1226" s="72"/>
      <c r="U1226" s="73"/>
      <c r="W1226" s="2" t="s">
        <v>62</v>
      </c>
      <c r="X1226" s="10" t="s">
        <v>56</v>
      </c>
      <c r="Y1226" s="10" t="s">
        <v>57</v>
      </c>
      <c r="Z1226" s="75" t="s">
        <v>58</v>
      </c>
      <c r="AA1226" s="76"/>
      <c r="AB1226" s="77"/>
      <c r="AC1226" s="77"/>
      <c r="AD1226" s="10"/>
      <c r="AE1226" s="7">
        <v>1976</v>
      </c>
      <c r="AF1226" s="7">
        <v>74</v>
      </c>
      <c r="AI1226" s="7"/>
      <c r="AJ1226" s="95">
        <v>28283</v>
      </c>
      <c r="AK1226" s="7">
        <v>1970</v>
      </c>
      <c r="AL1226" s="16" t="s">
        <v>3347</v>
      </c>
      <c r="AW1226" s="6">
        <f t="shared" ca="1" si="21"/>
        <v>49</v>
      </c>
    </row>
    <row r="1227" ht="45" hidden="1" customHeight="1" outlineLevel="1">
      <c r="A1227" s="69"/>
      <c r="B1227" s="3" t="s">
        <v>47</v>
      </c>
      <c r="C1227" s="4" t="s">
        <v>3348</v>
      </c>
      <c r="D1227" s="5" t="s">
        <v>3349</v>
      </c>
      <c r="E1227" s="2" t="s">
        <v>83</v>
      </c>
      <c r="F1227" s="6" t="s">
        <v>84</v>
      </c>
      <c r="G1227" s="5" t="s">
        <v>85</v>
      </c>
      <c r="H1227" s="2" t="s">
        <v>57</v>
      </c>
      <c r="I1227" s="3" t="s">
        <v>3350</v>
      </c>
      <c r="J1227" s="7">
        <v>1</v>
      </c>
      <c r="K1227" s="70"/>
      <c r="L1227" s="9">
        <v>1</v>
      </c>
      <c r="M1227" s="3">
        <v>946</v>
      </c>
      <c r="N1227" s="6">
        <v>1976</v>
      </c>
      <c r="P1227" s="71"/>
      <c r="R1227" s="6">
        <v>1970</v>
      </c>
      <c r="S1227" s="3" t="s">
        <v>236</v>
      </c>
      <c r="T1227" s="72"/>
      <c r="W1227" s="2" t="s">
        <v>62</v>
      </c>
      <c r="X1227" s="10"/>
      <c r="Y1227" s="10"/>
      <c r="Z1227" s="75"/>
      <c r="AA1227" s="76"/>
      <c r="AB1227" s="77"/>
      <c r="AC1227" s="77"/>
      <c r="AD1227" s="10"/>
      <c r="AI1227" s="7"/>
      <c r="AJ1227" s="10">
        <v>44378</v>
      </c>
      <c r="AK1227" s="7">
        <v>2020</v>
      </c>
      <c r="AL1227" s="16"/>
      <c r="AW1227" s="6">
        <f t="shared" ca="1" si="21"/>
        <v>49</v>
      </c>
    </row>
    <row r="1228" ht="45" hidden="1" customHeight="1" outlineLevel="1">
      <c r="A1228" s="69"/>
      <c r="B1228" s="3" t="s">
        <v>47</v>
      </c>
      <c r="C1228" s="4" t="s">
        <v>3351</v>
      </c>
      <c r="E1228" s="2" t="s">
        <v>1074</v>
      </c>
      <c r="F1228" s="6" t="s">
        <v>1075</v>
      </c>
      <c r="G1228" s="5" t="s">
        <v>3352</v>
      </c>
      <c r="H1228" s="2" t="s">
        <v>181</v>
      </c>
      <c r="I1228" s="96" t="s">
        <v>3353</v>
      </c>
      <c r="J1228" s="7">
        <v>1</v>
      </c>
      <c r="L1228" s="9">
        <v>1</v>
      </c>
      <c r="M1228" s="3">
        <v>947</v>
      </c>
      <c r="N1228" s="6">
        <v>1976</v>
      </c>
      <c r="P1228" s="71"/>
      <c r="R1228" s="6">
        <v>1970</v>
      </c>
      <c r="S1228" s="3" t="s">
        <v>236</v>
      </c>
      <c r="T1228" s="72"/>
      <c r="U1228" s="73"/>
      <c r="W1228" s="2" t="s">
        <v>62</v>
      </c>
      <c r="X1228" s="10" t="s">
        <v>56</v>
      </c>
      <c r="Y1228" s="10" t="s">
        <v>181</v>
      </c>
      <c r="Z1228" s="75"/>
      <c r="AI1228" s="7"/>
      <c r="AJ1228" s="95">
        <v>36346</v>
      </c>
      <c r="AK1228" s="7">
        <v>1990</v>
      </c>
      <c r="AL1228" s="16" t="s">
        <v>3354</v>
      </c>
      <c r="AW1228" s="6">
        <f t="shared" ca="1" si="21"/>
        <v>49</v>
      </c>
    </row>
    <row r="1229" ht="45" hidden="1" customHeight="1">
      <c r="A1229" s="69"/>
      <c r="B1229" s="3" t="s">
        <v>47</v>
      </c>
      <c r="C1229" s="4" t="s">
        <v>3355</v>
      </c>
      <c r="E1229" s="2" t="s">
        <v>63</v>
      </c>
      <c r="F1229" s="6" t="s">
        <v>172</v>
      </c>
      <c r="G1229" s="5" t="s">
        <v>3356</v>
      </c>
      <c r="H1229" s="2" t="s">
        <v>57</v>
      </c>
      <c r="I1229" s="3" t="s">
        <v>3357</v>
      </c>
      <c r="J1229" s="7">
        <v>1</v>
      </c>
      <c r="L1229" s="9">
        <v>1</v>
      </c>
      <c r="M1229" s="3">
        <v>948</v>
      </c>
      <c r="N1229" s="6">
        <v>1976</v>
      </c>
      <c r="P1229" s="71"/>
      <c r="R1229" s="6">
        <v>1970</v>
      </c>
      <c r="S1229" s="3" t="s">
        <v>236</v>
      </c>
      <c r="T1229" s="72"/>
      <c r="U1229" s="73"/>
      <c r="W1229" s="2" t="s">
        <v>62</v>
      </c>
      <c r="X1229" s="10" t="s">
        <v>56</v>
      </c>
      <c r="Y1229" s="10" t="s">
        <v>57</v>
      </c>
      <c r="Z1229" s="75"/>
      <c r="AI1229" s="7"/>
      <c r="AJ1229" s="95">
        <v>29591</v>
      </c>
      <c r="AK1229" s="7">
        <v>1980</v>
      </c>
      <c r="AL1229" s="16" t="s">
        <v>3358</v>
      </c>
      <c r="AW1229" s="6">
        <f t="shared" ca="1" si="21"/>
        <v>49</v>
      </c>
    </row>
    <row r="1230" ht="45" customHeight="1">
      <c r="A1230" s="69"/>
      <c r="B1230" s="3" t="s">
        <v>47</v>
      </c>
      <c r="D1230" s="5" t="s">
        <v>3359</v>
      </c>
      <c r="E1230" s="2" t="s">
        <v>83</v>
      </c>
      <c r="F1230" s="6" t="s">
        <v>84</v>
      </c>
      <c r="G1230" s="5" t="s">
        <v>85</v>
      </c>
      <c r="H1230" s="2" t="s">
        <v>51</v>
      </c>
      <c r="I1230" s="3" t="s">
        <v>3360</v>
      </c>
      <c r="J1230" s="7">
        <v>1</v>
      </c>
      <c r="K1230" s="8" t="s">
        <v>53</v>
      </c>
      <c r="L1230" s="9">
        <v>1</v>
      </c>
      <c r="M1230" s="3">
        <v>949</v>
      </c>
      <c r="N1230" s="6">
        <v>1976</v>
      </c>
      <c r="P1230" s="71"/>
      <c r="R1230" s="6">
        <v>1970</v>
      </c>
      <c r="S1230" s="3" t="s">
        <v>54</v>
      </c>
      <c r="T1230" s="72"/>
      <c r="U1230" s="73"/>
      <c r="W1230" s="2" t="s">
        <v>3361</v>
      </c>
      <c r="X1230" s="10" t="s">
        <v>56</v>
      </c>
      <c r="Y1230" s="10" t="s">
        <v>57</v>
      </c>
      <c r="Z1230" s="75" t="s">
        <v>58</v>
      </c>
      <c r="AB1230" s="14">
        <v>41263</v>
      </c>
      <c r="AE1230" s="7">
        <v>2010</v>
      </c>
      <c r="AF1230" s="7">
        <v>66</v>
      </c>
      <c r="AG1230" s="7">
        <v>2012</v>
      </c>
      <c r="AH1230" s="7">
        <v>2010</v>
      </c>
      <c r="AI1230" s="7"/>
      <c r="AJ1230" s="73"/>
      <c r="AK1230" s="7"/>
      <c r="AL1230" s="16" t="s">
        <v>3362</v>
      </c>
      <c r="AM1230" s="2" t="s">
        <v>59</v>
      </c>
      <c r="AO1230" s="6" t="s">
        <v>53</v>
      </c>
      <c r="AW1230" s="6">
        <f t="shared" ca="1" si="21"/>
        <v>49</v>
      </c>
    </row>
    <row r="1231" ht="45" hidden="1" customHeight="1">
      <c r="A1231" s="69"/>
      <c r="B1231" s="3" t="s">
        <v>47</v>
      </c>
      <c r="C1231" s="4" t="s">
        <v>3363</v>
      </c>
      <c r="D1231" s="5" t="s">
        <v>3364</v>
      </c>
      <c r="E1231" s="2" t="s">
        <v>83</v>
      </c>
      <c r="F1231" s="6" t="s">
        <v>179</v>
      </c>
      <c r="G1231" s="5" t="s">
        <v>319</v>
      </c>
      <c r="H1231" s="2" t="s">
        <v>51</v>
      </c>
      <c r="I1231" s="3" t="s">
        <v>3365</v>
      </c>
      <c r="J1231" s="7">
        <v>1</v>
      </c>
      <c r="L1231" s="9">
        <v>1</v>
      </c>
      <c r="M1231" s="3">
        <v>950</v>
      </c>
      <c r="N1231" s="6">
        <v>1976</v>
      </c>
      <c r="P1231" s="71"/>
      <c r="R1231" s="6">
        <v>1970</v>
      </c>
      <c r="S1231" s="3" t="s">
        <v>236</v>
      </c>
      <c r="T1231" s="72"/>
      <c r="W1231" s="2" t="s">
        <v>62</v>
      </c>
      <c r="X1231" s="10" t="s">
        <v>56</v>
      </c>
      <c r="Y1231" s="10" t="s">
        <v>57</v>
      </c>
      <c r="Z1231" s="75" t="s">
        <v>58</v>
      </c>
      <c r="AI1231" s="7"/>
      <c r="AJ1231" s="10">
        <v>44426</v>
      </c>
      <c r="AK1231" s="7">
        <v>2020</v>
      </c>
      <c r="AL1231" s="16"/>
      <c r="AW1231" s="6">
        <f t="shared" ca="1" si="21"/>
        <v>49</v>
      </c>
    </row>
    <row r="1232" ht="45" hidden="1" customHeight="1">
      <c r="A1232" s="69"/>
      <c r="B1232" s="3" t="s">
        <v>47</v>
      </c>
      <c r="C1232" s="4" t="s">
        <v>3366</v>
      </c>
      <c r="D1232" s="5" t="s">
        <v>3367</v>
      </c>
      <c r="E1232" s="2" t="s">
        <v>1074</v>
      </c>
      <c r="F1232" s="6" t="s">
        <v>1075</v>
      </c>
      <c r="G1232" s="5" t="s">
        <v>3368</v>
      </c>
      <c r="H1232" s="2" t="s">
        <v>57</v>
      </c>
      <c r="I1232" s="3" t="s">
        <v>3369</v>
      </c>
      <c r="J1232" s="7">
        <v>1</v>
      </c>
      <c r="L1232" s="9">
        <v>1</v>
      </c>
      <c r="M1232" s="3">
        <v>951</v>
      </c>
      <c r="N1232" s="6">
        <v>1977</v>
      </c>
      <c r="O1232" s="10">
        <v>28101</v>
      </c>
      <c r="P1232" s="71" t="s">
        <v>1452</v>
      </c>
      <c r="Q1232" s="10" t="s">
        <v>1453</v>
      </c>
      <c r="R1232" s="6">
        <v>1970</v>
      </c>
      <c r="S1232" s="3" t="s">
        <v>939</v>
      </c>
      <c r="T1232" s="72"/>
      <c r="U1232" s="73"/>
      <c r="W1232" s="2" t="s">
        <v>1944</v>
      </c>
      <c r="X1232" s="10" t="s">
        <v>56</v>
      </c>
      <c r="Y1232" s="10" t="s">
        <v>57</v>
      </c>
      <c r="Z1232" s="75"/>
      <c r="AI1232" s="7"/>
      <c r="AJ1232" s="73"/>
      <c r="AK1232" s="7"/>
      <c r="AL1232" s="16"/>
      <c r="AW1232" s="6">
        <f t="shared" ca="1" si="21"/>
        <v>48</v>
      </c>
    </row>
    <row r="1233" ht="45" hidden="1" customHeight="1">
      <c r="A1233" s="69"/>
      <c r="B1233" s="3" t="s">
        <v>47</v>
      </c>
      <c r="C1233" s="4" t="s">
        <v>3370</v>
      </c>
      <c r="E1233" s="2" t="s">
        <v>83</v>
      </c>
      <c r="F1233" s="6" t="s">
        <v>84</v>
      </c>
      <c r="G1233" s="5" t="s">
        <v>85</v>
      </c>
      <c r="H1233" s="2" t="s">
        <v>57</v>
      </c>
      <c r="I1233" s="3" t="s">
        <v>3371</v>
      </c>
      <c r="J1233" s="7">
        <v>1</v>
      </c>
      <c r="L1233" s="9">
        <v>1</v>
      </c>
      <c r="M1233" s="3">
        <v>952</v>
      </c>
      <c r="N1233" s="6">
        <v>1977</v>
      </c>
      <c r="P1233" s="71"/>
      <c r="R1233" s="6">
        <v>1970</v>
      </c>
      <c r="S1233" s="3" t="s">
        <v>236</v>
      </c>
      <c r="T1233" s="72"/>
      <c r="U1233" s="73"/>
      <c r="W1233" s="2" t="s">
        <v>62</v>
      </c>
      <c r="X1233" s="10" t="s">
        <v>56</v>
      </c>
      <c r="Y1233" s="10" t="s">
        <v>57</v>
      </c>
      <c r="Z1233" s="75"/>
      <c r="AE1233" s="7">
        <v>1977</v>
      </c>
      <c r="AF1233" s="7">
        <v>76</v>
      </c>
      <c r="AI1233" s="7"/>
      <c r="AJ1233" s="95">
        <v>28607</v>
      </c>
      <c r="AK1233" s="7">
        <v>1970</v>
      </c>
      <c r="AL1233" s="16" t="s">
        <v>3372</v>
      </c>
      <c r="AW1233" s="6">
        <f t="shared" ca="1" si="21"/>
        <v>48</v>
      </c>
    </row>
    <row r="1234" ht="45" customHeight="1">
      <c r="A1234" s="69"/>
      <c r="B1234" s="3" t="s">
        <v>47</v>
      </c>
      <c r="E1234" s="2" t="s">
        <v>83</v>
      </c>
      <c r="F1234" s="6" t="s">
        <v>84</v>
      </c>
      <c r="G1234" s="5" t="s">
        <v>85</v>
      </c>
      <c r="H1234" s="2" t="s">
        <v>57</v>
      </c>
      <c r="I1234" s="3" t="s">
        <v>3373</v>
      </c>
      <c r="J1234" s="7">
        <v>1</v>
      </c>
      <c r="K1234" s="70" t="s">
        <v>53</v>
      </c>
      <c r="L1234" s="9">
        <v>1</v>
      </c>
      <c r="M1234" s="3">
        <v>953</v>
      </c>
      <c r="N1234" s="6">
        <v>1977</v>
      </c>
      <c r="P1234" s="71"/>
      <c r="R1234" s="6">
        <v>1970</v>
      </c>
      <c r="S1234" s="3" t="s">
        <v>54</v>
      </c>
      <c r="T1234" s="72"/>
      <c r="U1234" s="73"/>
      <c r="W1234" s="2" t="s">
        <v>3374</v>
      </c>
      <c r="X1234" s="10" t="s">
        <v>56</v>
      </c>
      <c r="Y1234" s="10" t="s">
        <v>57</v>
      </c>
      <c r="Z1234" s="75"/>
      <c r="AA1234" s="76"/>
      <c r="AB1234" s="77">
        <v>31638</v>
      </c>
      <c r="AC1234" s="77"/>
      <c r="AD1234" s="6"/>
      <c r="AE1234" s="7">
        <v>1986</v>
      </c>
      <c r="AF1234" s="7">
        <v>119</v>
      </c>
      <c r="AG1234" s="7">
        <v>1986</v>
      </c>
      <c r="AH1234" s="7">
        <v>1980</v>
      </c>
      <c r="AI1234" s="7"/>
      <c r="AJ1234" s="73"/>
      <c r="AK1234" s="7"/>
      <c r="AL1234" s="16"/>
      <c r="AM1234" s="2" t="s">
        <v>59</v>
      </c>
      <c r="AW1234" s="6">
        <f t="shared" ca="1" si="21"/>
        <v>48</v>
      </c>
    </row>
    <row r="1235" ht="45" hidden="1" customHeight="1">
      <c r="A1235" s="69"/>
      <c r="B1235" s="3" t="s">
        <v>47</v>
      </c>
      <c r="C1235" s="4" t="s">
        <v>3375</v>
      </c>
      <c r="E1235" s="2" t="s">
        <v>63</v>
      </c>
      <c r="F1235" s="6" t="s">
        <v>3376</v>
      </c>
      <c r="G1235" s="5" t="s">
        <v>3377</v>
      </c>
      <c r="H1235" s="2" t="s">
        <v>57</v>
      </c>
      <c r="I1235" s="3" t="s">
        <v>3378</v>
      </c>
      <c r="J1235" s="7">
        <v>1</v>
      </c>
      <c r="K1235" s="104"/>
      <c r="L1235" s="9">
        <v>1</v>
      </c>
      <c r="M1235" s="3">
        <v>954</v>
      </c>
      <c r="N1235" s="6">
        <v>1977</v>
      </c>
      <c r="P1235" s="71"/>
      <c r="R1235" s="6">
        <v>1970</v>
      </c>
      <c r="S1235" s="3" t="s">
        <v>939</v>
      </c>
      <c r="T1235" s="72"/>
      <c r="U1235" s="73"/>
      <c r="W1235" s="2" t="s">
        <v>3379</v>
      </c>
      <c r="X1235" s="10" t="s">
        <v>56</v>
      </c>
      <c r="Y1235" s="10" t="s">
        <v>57</v>
      </c>
      <c r="Z1235" s="75"/>
      <c r="AA1235" s="76"/>
      <c r="AB1235" s="77"/>
      <c r="AC1235" s="77"/>
      <c r="AD1235" s="6"/>
      <c r="AI1235" s="7"/>
      <c r="AJ1235" s="73"/>
      <c r="AK1235" s="7"/>
      <c r="AL1235" s="16"/>
      <c r="AU1235" s="16" t="s">
        <v>3380</v>
      </c>
      <c r="AW1235" s="6">
        <f t="shared" ca="1" si="21"/>
        <v>48</v>
      </c>
    </row>
    <row r="1236" ht="45" customHeight="1">
      <c r="A1236" s="69"/>
      <c r="B1236" s="3" t="s">
        <v>47</v>
      </c>
      <c r="E1236" s="2" t="s">
        <v>83</v>
      </c>
      <c r="F1236" s="6" t="s">
        <v>84</v>
      </c>
      <c r="G1236" s="5" t="s">
        <v>85</v>
      </c>
      <c r="H1236" s="2" t="s">
        <v>382</v>
      </c>
      <c r="I1236" s="3" t="s">
        <v>3381</v>
      </c>
      <c r="J1236" s="7">
        <v>1</v>
      </c>
      <c r="K1236" s="70" t="s">
        <v>53</v>
      </c>
      <c r="L1236" s="9">
        <v>1</v>
      </c>
      <c r="M1236" s="3">
        <v>955</v>
      </c>
      <c r="N1236" s="6">
        <v>1977</v>
      </c>
      <c r="P1236" s="71"/>
      <c r="R1236" s="6">
        <v>1970</v>
      </c>
      <c r="S1236" s="3" t="s">
        <v>54</v>
      </c>
      <c r="T1236" s="72"/>
      <c r="U1236" s="73"/>
      <c r="W1236" s="2" t="s">
        <v>3382</v>
      </c>
      <c r="X1236" s="10" t="s">
        <v>91</v>
      </c>
      <c r="Y1236" s="10" t="s">
        <v>385</v>
      </c>
      <c r="Z1236" s="75"/>
      <c r="AA1236" s="76"/>
      <c r="AB1236" s="77">
        <v>28585</v>
      </c>
      <c r="AC1236" s="77">
        <v>28585</v>
      </c>
      <c r="AD1236" s="10"/>
      <c r="AE1236" s="7">
        <v>1977</v>
      </c>
      <c r="AF1236" s="7">
        <v>76</v>
      </c>
      <c r="AG1236" s="7">
        <v>1978</v>
      </c>
      <c r="AH1236" s="7">
        <v>1970</v>
      </c>
      <c r="AI1236" s="7"/>
      <c r="AJ1236" s="73"/>
      <c r="AK1236" s="7"/>
      <c r="AL1236" s="16"/>
      <c r="AM1236" s="2" t="s">
        <v>59</v>
      </c>
      <c r="AO1236" s="6" t="s">
        <v>59</v>
      </c>
      <c r="AU1236" s="16" t="s">
        <v>3383</v>
      </c>
      <c r="AW1236" s="6">
        <f t="shared" ca="1" si="21"/>
        <v>48</v>
      </c>
    </row>
    <row r="1237" ht="45" hidden="1" customHeight="1">
      <c r="A1237" s="69"/>
      <c r="B1237" s="3" t="s">
        <v>47</v>
      </c>
      <c r="C1237" s="183" t="s">
        <v>3384</v>
      </c>
      <c r="D1237" s="5" t="s">
        <v>3385</v>
      </c>
      <c r="E1237" s="2" t="s">
        <v>63</v>
      </c>
      <c r="F1237" s="6" t="s">
        <v>2495</v>
      </c>
      <c r="G1237" s="5" t="s">
        <v>2496</v>
      </c>
      <c r="H1237" s="2" t="s">
        <v>57</v>
      </c>
      <c r="I1237" s="96" t="s">
        <v>3386</v>
      </c>
      <c r="J1237" s="7">
        <v>1</v>
      </c>
      <c r="K1237" s="70"/>
      <c r="L1237" s="9">
        <v>1</v>
      </c>
      <c r="M1237" s="3">
        <v>956</v>
      </c>
      <c r="N1237" s="6">
        <v>1977</v>
      </c>
      <c r="O1237" s="10">
        <v>28103</v>
      </c>
      <c r="P1237" s="71" t="s">
        <v>3387</v>
      </c>
      <c r="Q1237" s="10" t="s">
        <v>1453</v>
      </c>
      <c r="R1237" s="6">
        <v>1970</v>
      </c>
      <c r="S1237" s="3" t="s">
        <v>236</v>
      </c>
      <c r="T1237" s="72"/>
      <c r="U1237" s="73"/>
      <c r="W1237" s="2" t="s">
        <v>62</v>
      </c>
      <c r="X1237" s="10" t="s">
        <v>56</v>
      </c>
      <c r="Y1237" s="10" t="s">
        <v>57</v>
      </c>
      <c r="Z1237" s="75"/>
      <c r="AA1237" s="76"/>
      <c r="AB1237" s="77"/>
      <c r="AC1237" s="77"/>
      <c r="AD1237" s="10"/>
      <c r="AI1237" s="7"/>
      <c r="AJ1237" s="95">
        <v>41943</v>
      </c>
      <c r="AK1237" s="7">
        <v>2010</v>
      </c>
      <c r="AL1237" s="16" t="s">
        <v>3388</v>
      </c>
      <c r="AW1237" s="6">
        <f t="shared" ca="1" si="21"/>
        <v>48</v>
      </c>
    </row>
    <row r="1238" ht="45" hidden="1" customHeight="1">
      <c r="A1238" s="69"/>
      <c r="B1238" s="3" t="s">
        <v>190</v>
      </c>
      <c r="D1238" s="5" t="s">
        <v>3389</v>
      </c>
      <c r="E1238" s="2" t="s">
        <v>63</v>
      </c>
      <c r="F1238" s="6" t="s">
        <v>64</v>
      </c>
      <c r="G1238" s="5" t="s">
        <v>243</v>
      </c>
      <c r="H1238" s="2" t="s">
        <v>51</v>
      </c>
      <c r="I1238" s="3" t="s">
        <v>3390</v>
      </c>
      <c r="J1238" s="7">
        <v>1</v>
      </c>
      <c r="K1238" s="70"/>
      <c r="L1238" s="9">
        <v>1</v>
      </c>
      <c r="M1238" s="3">
        <v>957</v>
      </c>
      <c r="N1238" s="6">
        <v>1977</v>
      </c>
      <c r="O1238" s="10" t="s">
        <v>2064</v>
      </c>
      <c r="P1238" s="71" t="s">
        <v>1452</v>
      </c>
      <c r="Q1238" s="10" t="s">
        <v>1453</v>
      </c>
      <c r="R1238" s="6">
        <v>1970</v>
      </c>
      <c r="S1238" s="3" t="s">
        <v>283</v>
      </c>
      <c r="T1238" s="72"/>
      <c r="U1238" s="73"/>
      <c r="W1238" s="74" t="s">
        <v>62</v>
      </c>
      <c r="X1238" s="10" t="s">
        <v>56</v>
      </c>
      <c r="Y1238" s="10" t="s">
        <v>57</v>
      </c>
      <c r="Z1238" s="75" t="s">
        <v>58</v>
      </c>
      <c r="AA1238" s="76"/>
      <c r="AB1238" s="77"/>
      <c r="AC1238" s="77"/>
      <c r="AD1238" s="10"/>
      <c r="AI1238" s="7"/>
      <c r="AJ1238" s="73"/>
      <c r="AK1238" s="7"/>
      <c r="AL1238" s="16"/>
      <c r="AW1238" s="6">
        <f t="shared" ca="1" si="21"/>
        <v>48</v>
      </c>
    </row>
    <row r="1239" ht="45" hidden="1" customHeight="1">
      <c r="A1239" s="69"/>
      <c r="B1239" s="3" t="s">
        <v>190</v>
      </c>
      <c r="C1239" s="4" t="s">
        <v>3391</v>
      </c>
      <c r="D1239" s="5" t="s">
        <v>3392</v>
      </c>
      <c r="E1239" s="2" t="s">
        <v>63</v>
      </c>
      <c r="F1239" s="6" t="s">
        <v>64</v>
      </c>
      <c r="G1239" s="5" t="s">
        <v>243</v>
      </c>
      <c r="H1239" s="2" t="s">
        <v>51</v>
      </c>
      <c r="I1239" s="3" t="s">
        <v>3393</v>
      </c>
      <c r="J1239" s="7">
        <v>1</v>
      </c>
      <c r="K1239" s="70"/>
      <c r="L1239" s="9">
        <v>1</v>
      </c>
      <c r="M1239" s="3">
        <v>958</v>
      </c>
      <c r="N1239" s="6">
        <v>1977</v>
      </c>
      <c r="O1239" s="10" t="s">
        <v>2064</v>
      </c>
      <c r="P1239" s="71"/>
      <c r="Q1239" s="10" t="s">
        <v>1453</v>
      </c>
      <c r="R1239" s="6">
        <v>1970</v>
      </c>
      <c r="S1239" s="3" t="s">
        <v>283</v>
      </c>
      <c r="T1239" s="72"/>
      <c r="U1239" s="73"/>
      <c r="W1239" s="74" t="s">
        <v>62</v>
      </c>
      <c r="X1239" s="10" t="s">
        <v>56</v>
      </c>
      <c r="Y1239" s="10" t="s">
        <v>57</v>
      </c>
      <c r="Z1239" s="75" t="s">
        <v>58</v>
      </c>
      <c r="AA1239" s="76"/>
      <c r="AB1239" s="77"/>
      <c r="AC1239" s="77"/>
      <c r="AD1239" s="10"/>
      <c r="AI1239" s="7"/>
      <c r="AJ1239" s="73"/>
      <c r="AK1239" s="7"/>
      <c r="AL1239" s="16"/>
      <c r="AW1239" s="6">
        <f t="shared" ca="1" si="21"/>
        <v>48</v>
      </c>
    </row>
    <row r="1240" ht="45" hidden="1" customHeight="1">
      <c r="A1240" s="132">
        <v>43601</v>
      </c>
      <c r="B1240" s="3" t="s">
        <v>1926</v>
      </c>
      <c r="C1240" s="144"/>
      <c r="D1240" s="117" t="s">
        <v>3394</v>
      </c>
      <c r="E1240" s="2" t="s">
        <v>83</v>
      </c>
      <c r="F1240" s="6" t="s">
        <v>179</v>
      </c>
      <c r="G1240" s="5" t="s">
        <v>3395</v>
      </c>
      <c r="H1240" s="2" t="s">
        <v>68</v>
      </c>
      <c r="I1240" s="3" t="s">
        <v>3396</v>
      </c>
      <c r="J1240" s="7">
        <v>1</v>
      </c>
      <c r="K1240" s="133"/>
      <c r="L1240" s="9">
        <v>1</v>
      </c>
      <c r="M1240" s="3">
        <v>959</v>
      </c>
      <c r="N1240" s="6">
        <v>1977</v>
      </c>
      <c r="P1240" s="71"/>
      <c r="R1240" s="6">
        <v>1970</v>
      </c>
      <c r="S1240" s="3" t="s">
        <v>283</v>
      </c>
      <c r="T1240" s="72" t="s">
        <v>998</v>
      </c>
      <c r="U1240" s="73"/>
      <c r="W1240" s="74" t="s">
        <v>62</v>
      </c>
      <c r="X1240" s="10" t="s">
        <v>56</v>
      </c>
      <c r="Y1240" s="10" t="s">
        <v>68</v>
      </c>
      <c r="Z1240" s="75" t="s">
        <v>905</v>
      </c>
      <c r="AA1240" s="137"/>
      <c r="AB1240" s="138"/>
      <c r="AC1240" s="138"/>
      <c r="AD1240" s="136"/>
      <c r="AE1240" s="139"/>
      <c r="AG1240" s="139"/>
      <c r="AH1240" s="139"/>
      <c r="AI1240" s="139"/>
      <c r="AJ1240" s="160"/>
      <c r="AK1240" s="139"/>
      <c r="AL1240" s="16"/>
      <c r="AO1240" s="141"/>
      <c r="AP1240" s="141"/>
      <c r="AQ1240" s="117"/>
      <c r="AR1240" s="142"/>
      <c r="AS1240" s="141"/>
      <c r="AT1240" s="141"/>
      <c r="AU1240" s="140"/>
      <c r="AV1240" s="143"/>
      <c r="AW1240" s="6">
        <f t="shared" ca="1" si="21"/>
        <v>48</v>
      </c>
    </row>
    <row r="1241" ht="45" hidden="1" customHeight="1">
      <c r="A1241" s="69"/>
      <c r="B1241" s="3" t="s">
        <v>47</v>
      </c>
      <c r="C1241" s="4" t="s">
        <v>3397</v>
      </c>
      <c r="D1241" s="5" t="s">
        <v>3398</v>
      </c>
      <c r="E1241" s="2" t="s">
        <v>63</v>
      </c>
      <c r="F1241" s="6" t="s">
        <v>172</v>
      </c>
      <c r="G1241" s="5" t="s">
        <v>3399</v>
      </c>
      <c r="H1241" s="2" t="s">
        <v>51</v>
      </c>
      <c r="I1241" s="3" t="s">
        <v>3400</v>
      </c>
      <c r="J1241" s="7">
        <v>1</v>
      </c>
      <c r="K1241" s="70"/>
      <c r="L1241" s="9">
        <v>1</v>
      </c>
      <c r="M1241" s="3">
        <v>960</v>
      </c>
      <c r="N1241" s="6">
        <v>1977</v>
      </c>
      <c r="P1241" s="71"/>
      <c r="R1241" s="6">
        <v>1970</v>
      </c>
      <c r="S1241" s="3" t="s">
        <v>236</v>
      </c>
      <c r="T1241" s="72"/>
      <c r="U1241" s="73"/>
      <c r="W1241" s="2" t="s">
        <v>62</v>
      </c>
      <c r="X1241" s="10" t="s">
        <v>56</v>
      </c>
      <c r="Y1241" s="10" t="s">
        <v>57</v>
      </c>
      <c r="Z1241" s="75" t="s">
        <v>58</v>
      </c>
      <c r="AA1241" s="76"/>
      <c r="AB1241" s="77"/>
      <c r="AC1241" s="77"/>
      <c r="AD1241" s="10"/>
      <c r="AI1241" s="7"/>
      <c r="AJ1241" s="10">
        <v>42619</v>
      </c>
      <c r="AK1241" s="7">
        <v>2010</v>
      </c>
      <c r="AL1241" s="16"/>
      <c r="AW1241" s="6">
        <f t="shared" ca="1" si="21"/>
        <v>48</v>
      </c>
    </row>
    <row r="1242" ht="45" hidden="1" customHeight="1">
      <c r="A1242" s="69"/>
      <c r="B1242" s="3" t="s">
        <v>47</v>
      </c>
      <c r="C1242" s="4" t="s">
        <v>3401</v>
      </c>
      <c r="E1242" s="2" t="s">
        <v>83</v>
      </c>
      <c r="F1242" s="6" t="s">
        <v>704</v>
      </c>
      <c r="G1242" s="5" t="s">
        <v>3402</v>
      </c>
      <c r="H1242" s="2" t="s">
        <v>57</v>
      </c>
      <c r="I1242" s="3" t="s">
        <v>3403</v>
      </c>
      <c r="J1242" s="7">
        <v>1</v>
      </c>
      <c r="K1242" s="70"/>
      <c r="L1242" s="9">
        <v>1</v>
      </c>
      <c r="M1242" s="3">
        <v>961</v>
      </c>
      <c r="N1242" s="6">
        <v>1977</v>
      </c>
      <c r="P1242" s="71"/>
      <c r="R1242" s="6">
        <v>1970</v>
      </c>
      <c r="S1242" s="3" t="s">
        <v>236</v>
      </c>
      <c r="T1242" s="72"/>
      <c r="U1242" s="73"/>
      <c r="W1242" s="2" t="s">
        <v>62</v>
      </c>
      <c r="X1242" s="10" t="s">
        <v>56</v>
      </c>
      <c r="Y1242" s="10" t="s">
        <v>57</v>
      </c>
      <c r="Z1242" s="75"/>
      <c r="AA1242" s="76"/>
      <c r="AB1242" s="77"/>
      <c r="AC1242" s="77"/>
      <c r="AD1242" s="10"/>
      <c r="AI1242" s="7"/>
      <c r="AJ1242" s="95">
        <v>33155</v>
      </c>
      <c r="AK1242" s="7">
        <v>1990</v>
      </c>
      <c r="AL1242" s="16"/>
      <c r="AW1242" s="6">
        <f t="shared" ca="1" si="21"/>
        <v>48</v>
      </c>
    </row>
    <row r="1243" ht="45" hidden="1" customHeight="1">
      <c r="A1243" s="69"/>
      <c r="B1243" s="3" t="s">
        <v>47</v>
      </c>
      <c r="C1243" s="4" t="s">
        <v>3404</v>
      </c>
      <c r="E1243" s="2" t="s">
        <v>83</v>
      </c>
      <c r="F1243" s="6" t="s">
        <v>84</v>
      </c>
      <c r="G1243" s="5" t="s">
        <v>85</v>
      </c>
      <c r="H1243" s="2" t="s">
        <v>57</v>
      </c>
      <c r="I1243" s="3" t="s">
        <v>3405</v>
      </c>
      <c r="J1243" s="7">
        <v>1</v>
      </c>
      <c r="K1243" s="70"/>
      <c r="L1243" s="9">
        <v>1</v>
      </c>
      <c r="M1243" s="3">
        <v>962</v>
      </c>
      <c r="N1243" s="6">
        <v>1977</v>
      </c>
      <c r="P1243" s="71"/>
      <c r="R1243" s="6">
        <v>1970</v>
      </c>
      <c r="S1243" s="3" t="s">
        <v>236</v>
      </c>
      <c r="T1243" s="72"/>
      <c r="U1243" s="73"/>
      <c r="W1243" s="2" t="s">
        <v>62</v>
      </c>
      <c r="X1243" s="10" t="s">
        <v>56</v>
      </c>
      <c r="Y1243" s="10" t="s">
        <v>57</v>
      </c>
      <c r="Z1243" s="75"/>
      <c r="AA1243" s="76"/>
      <c r="AB1243" s="77"/>
      <c r="AC1243" s="77"/>
      <c r="AD1243" s="10"/>
      <c r="AI1243" s="7"/>
      <c r="AJ1243" s="95">
        <v>29012</v>
      </c>
      <c r="AK1243" s="7">
        <v>1970</v>
      </c>
      <c r="AL1243" s="16" t="s">
        <v>3406</v>
      </c>
      <c r="AW1243" s="6">
        <f t="shared" ca="1" si="21"/>
        <v>48</v>
      </c>
    </row>
    <row r="1244" ht="45" hidden="1" customHeight="1">
      <c r="A1244" s="69"/>
      <c r="B1244" s="3" t="s">
        <v>47</v>
      </c>
      <c r="C1244" s="4" t="s">
        <v>3407</v>
      </c>
      <c r="D1244" s="5" t="s">
        <v>3408</v>
      </c>
      <c r="E1244" s="2" t="s">
        <v>48</v>
      </c>
      <c r="F1244" s="6" t="s">
        <v>564</v>
      </c>
      <c r="G1244" s="5" t="s">
        <v>3409</v>
      </c>
      <c r="H1244" s="2" t="s">
        <v>68</v>
      </c>
      <c r="I1244" s="3" t="s">
        <v>3410</v>
      </c>
      <c r="J1244" s="7">
        <v>1</v>
      </c>
      <c r="K1244" s="70"/>
      <c r="L1244" s="9">
        <v>1</v>
      </c>
      <c r="M1244" s="3">
        <v>963</v>
      </c>
      <c r="N1244" s="6">
        <v>1977</v>
      </c>
      <c r="P1244" s="71"/>
      <c r="R1244" s="6">
        <v>1970</v>
      </c>
      <c r="S1244" s="3" t="s">
        <v>236</v>
      </c>
      <c r="T1244" s="72"/>
      <c r="U1244" s="73"/>
      <c r="W1244" s="2" t="s">
        <v>62</v>
      </c>
      <c r="X1244" s="10" t="s">
        <v>56</v>
      </c>
      <c r="Y1244" s="10" t="s">
        <v>68</v>
      </c>
      <c r="Z1244" s="75" t="s">
        <v>905</v>
      </c>
      <c r="AA1244" s="76"/>
      <c r="AB1244" s="77"/>
      <c r="AC1244" s="77"/>
      <c r="AD1244" s="10"/>
      <c r="AI1244" s="7"/>
      <c r="AJ1244" s="95">
        <v>40337</v>
      </c>
      <c r="AK1244" s="7">
        <v>2010</v>
      </c>
      <c r="AL1244" s="16"/>
      <c r="AW1244" s="6">
        <f t="shared" ca="1" si="21"/>
        <v>48</v>
      </c>
    </row>
    <row r="1245" ht="45" hidden="1" customHeight="1">
      <c r="A1245" s="69"/>
      <c r="B1245" s="3" t="s">
        <v>190</v>
      </c>
      <c r="C1245" s="4" t="s">
        <v>3391</v>
      </c>
      <c r="D1245" s="5" t="s">
        <v>3411</v>
      </c>
      <c r="E1245" s="2" t="s">
        <v>63</v>
      </c>
      <c r="F1245" s="6" t="s">
        <v>64</v>
      </c>
      <c r="G1245" s="5" t="s">
        <v>3412</v>
      </c>
      <c r="H1245" s="2" t="s">
        <v>508</v>
      </c>
      <c r="I1245" s="3" t="s">
        <v>3413</v>
      </c>
      <c r="J1245" s="7">
        <v>1</v>
      </c>
      <c r="K1245" s="70"/>
      <c r="L1245" s="9">
        <v>1</v>
      </c>
      <c r="M1245" s="3">
        <v>964</v>
      </c>
      <c r="N1245" s="6">
        <v>1977</v>
      </c>
      <c r="O1245" s="10">
        <v>27143</v>
      </c>
      <c r="P1245" s="71" t="s">
        <v>3414</v>
      </c>
      <c r="Q1245" s="10" t="s">
        <v>1453</v>
      </c>
      <c r="R1245" s="6">
        <v>1970</v>
      </c>
      <c r="S1245" s="3" t="s">
        <v>283</v>
      </c>
      <c r="T1245" s="72"/>
      <c r="U1245" s="73"/>
      <c r="W1245" s="74" t="s">
        <v>62</v>
      </c>
      <c r="X1245" s="10" t="s">
        <v>504</v>
      </c>
      <c r="Y1245" s="10" t="s">
        <v>511</v>
      </c>
      <c r="Z1245" s="75"/>
      <c r="AA1245" s="76"/>
      <c r="AB1245" s="77"/>
      <c r="AC1245" s="77"/>
      <c r="AD1245" s="10"/>
      <c r="AI1245" s="7"/>
      <c r="AJ1245" s="73"/>
      <c r="AK1245" s="7"/>
      <c r="AL1245" s="16"/>
      <c r="AW1245" s="6">
        <f t="shared" ca="1" si="21"/>
        <v>48</v>
      </c>
    </row>
    <row r="1246" ht="45" hidden="1" customHeight="1">
      <c r="A1246" s="69"/>
      <c r="B1246" s="3" t="s">
        <v>47</v>
      </c>
      <c r="C1246" s="4" t="s">
        <v>3415</v>
      </c>
      <c r="E1246" s="2" t="s">
        <v>63</v>
      </c>
      <c r="F1246" s="6" t="s">
        <v>3376</v>
      </c>
      <c r="G1246" s="5" t="s">
        <v>3416</v>
      </c>
      <c r="H1246" s="2" t="s">
        <v>57</v>
      </c>
      <c r="I1246" s="3" t="s">
        <v>3417</v>
      </c>
      <c r="J1246" s="7">
        <v>1</v>
      </c>
      <c r="K1246" s="70"/>
      <c r="L1246" s="9">
        <v>1</v>
      </c>
      <c r="M1246" s="3">
        <v>965</v>
      </c>
      <c r="N1246" s="6">
        <v>1977</v>
      </c>
      <c r="P1246" s="71"/>
      <c r="R1246" s="6">
        <v>1970</v>
      </c>
      <c r="S1246" s="3" t="s">
        <v>236</v>
      </c>
      <c r="T1246" s="72"/>
      <c r="U1246" s="73"/>
      <c r="W1246" s="2" t="s">
        <v>62</v>
      </c>
      <c r="X1246" s="10" t="s">
        <v>56</v>
      </c>
      <c r="Y1246" s="10" t="s">
        <v>57</v>
      </c>
      <c r="Z1246" s="75"/>
      <c r="AA1246" s="76"/>
      <c r="AB1246" s="77"/>
      <c r="AC1246" s="77"/>
      <c r="AD1246" s="10"/>
      <c r="AI1246" s="7"/>
      <c r="AJ1246" s="95">
        <v>29124</v>
      </c>
      <c r="AK1246" s="7">
        <v>1970</v>
      </c>
      <c r="AL1246" s="16" t="s">
        <v>3418</v>
      </c>
      <c r="AW1246" s="6">
        <f t="shared" ca="1" si="21"/>
        <v>48</v>
      </c>
    </row>
    <row r="1247" ht="45" customHeight="1">
      <c r="A1247" s="69"/>
      <c r="B1247" s="3" t="s">
        <v>47</v>
      </c>
      <c r="E1247" s="2" t="s">
        <v>1074</v>
      </c>
      <c r="F1247" s="6" t="s">
        <v>2092</v>
      </c>
      <c r="G1247" s="5" t="s">
        <v>3419</v>
      </c>
      <c r="H1247" s="2" t="s">
        <v>382</v>
      </c>
      <c r="I1247" s="3" t="s">
        <v>3420</v>
      </c>
      <c r="J1247" s="7">
        <v>1</v>
      </c>
      <c r="K1247" s="70" t="s">
        <v>53</v>
      </c>
      <c r="L1247" s="9">
        <v>1</v>
      </c>
      <c r="M1247" s="3">
        <v>966</v>
      </c>
      <c r="N1247" s="6">
        <v>1977</v>
      </c>
      <c r="P1247" s="71"/>
      <c r="R1247" s="6">
        <v>1970</v>
      </c>
      <c r="S1247" s="3" t="s">
        <v>54</v>
      </c>
      <c r="T1247" s="72"/>
      <c r="U1247" s="73"/>
      <c r="W1247" s="2" t="s">
        <v>3421</v>
      </c>
      <c r="X1247" s="10" t="s">
        <v>91</v>
      </c>
      <c r="Y1247" s="10" t="s">
        <v>385</v>
      </c>
      <c r="Z1247" s="75"/>
      <c r="AA1247" s="76"/>
      <c r="AB1247" s="77">
        <v>28767</v>
      </c>
      <c r="AC1247" s="77">
        <v>28767</v>
      </c>
      <c r="AD1247" s="10"/>
      <c r="AE1247" s="7">
        <v>1978</v>
      </c>
      <c r="AF1247" s="7">
        <v>79</v>
      </c>
      <c r="AG1247" s="7">
        <v>1978</v>
      </c>
      <c r="AH1247" s="7">
        <v>1970</v>
      </c>
      <c r="AI1247" s="7"/>
      <c r="AJ1247" s="73"/>
      <c r="AK1247" s="7"/>
      <c r="AL1247" s="16"/>
      <c r="AM1247" s="2" t="s">
        <v>59</v>
      </c>
      <c r="AO1247" s="6" t="s">
        <v>59</v>
      </c>
      <c r="AW1247" s="6">
        <f t="shared" ca="1" si="21"/>
        <v>48</v>
      </c>
    </row>
    <row r="1248" ht="45" customHeight="1">
      <c r="A1248" s="69">
        <v>45161</v>
      </c>
      <c r="B1248" s="3" t="s">
        <v>190</v>
      </c>
      <c r="C1248" s="97" t="s">
        <v>3422</v>
      </c>
      <c r="D1248" s="5" t="s">
        <v>3423</v>
      </c>
      <c r="E1248" s="2" t="s">
        <v>83</v>
      </c>
      <c r="F1248" s="6" t="s">
        <v>84</v>
      </c>
      <c r="G1248" s="5" t="s">
        <v>850</v>
      </c>
      <c r="H1248" s="2" t="s">
        <v>51</v>
      </c>
      <c r="I1248" s="3" t="s">
        <v>3424</v>
      </c>
      <c r="J1248" s="7">
        <v>1</v>
      </c>
      <c r="K1248" s="184" t="s">
        <v>1748</v>
      </c>
      <c r="L1248" s="9">
        <v>1</v>
      </c>
      <c r="M1248" s="3">
        <v>967</v>
      </c>
      <c r="N1248" s="6">
        <v>1977</v>
      </c>
      <c r="O1248" s="10">
        <v>26683</v>
      </c>
      <c r="P1248" s="71" t="s">
        <v>3425</v>
      </c>
      <c r="R1248" s="6">
        <v>1970</v>
      </c>
      <c r="S1248" s="3" t="s">
        <v>1749</v>
      </c>
      <c r="T1248" s="72"/>
      <c r="U1248" s="73"/>
      <c r="W1248" s="74" t="s">
        <v>3426</v>
      </c>
      <c r="X1248" s="10" t="s">
        <v>56</v>
      </c>
      <c r="Y1248" s="10" t="s">
        <v>57</v>
      </c>
      <c r="Z1248" s="75"/>
      <c r="AE1248" s="7">
        <v>1979</v>
      </c>
      <c r="AF1248" s="7">
        <v>84</v>
      </c>
      <c r="AI1248" s="7"/>
      <c r="AJ1248" s="73"/>
      <c r="AK1248" s="7"/>
      <c r="AL1248" s="101" t="s">
        <v>3427</v>
      </c>
      <c r="AW1248" s="6">
        <f t="shared" ca="1" si="21"/>
        <v>48</v>
      </c>
    </row>
    <row r="1249" ht="45" customHeight="1" outlineLevel="1">
      <c r="A1249" s="69">
        <v>44690</v>
      </c>
      <c r="B1249" s="3" t="s">
        <v>47</v>
      </c>
      <c r="C1249" s="4" t="s">
        <v>3428</v>
      </c>
      <c r="D1249" s="5" t="s">
        <v>3429</v>
      </c>
      <c r="E1249" s="2" t="s">
        <v>63</v>
      </c>
      <c r="F1249" s="6" t="s">
        <v>428</v>
      </c>
      <c r="G1249" s="5" t="s">
        <v>2372</v>
      </c>
      <c r="H1249" s="2" t="s">
        <v>288</v>
      </c>
      <c r="I1249" s="3" t="s">
        <v>3430</v>
      </c>
      <c r="J1249" s="7">
        <v>1</v>
      </c>
      <c r="K1249" s="70" t="s">
        <v>53</v>
      </c>
      <c r="L1249" s="9">
        <v>1</v>
      </c>
      <c r="M1249" s="3">
        <v>968</v>
      </c>
      <c r="N1249" s="6">
        <v>1978</v>
      </c>
      <c r="P1249" s="71"/>
      <c r="R1249" s="6">
        <v>1970</v>
      </c>
      <c r="S1249" s="3" t="s">
        <v>54</v>
      </c>
      <c r="T1249" s="72"/>
      <c r="U1249" s="73"/>
      <c r="W1249" s="2" t="s">
        <v>3431</v>
      </c>
      <c r="X1249" s="10" t="s">
        <v>56</v>
      </c>
      <c r="Y1249" s="10" t="s">
        <v>288</v>
      </c>
      <c r="Z1249" s="75"/>
      <c r="AA1249" s="76" t="s">
        <v>3432</v>
      </c>
      <c r="AB1249" s="77" t="s">
        <v>3432</v>
      </c>
      <c r="AC1249" s="77"/>
      <c r="AD1249" s="6"/>
      <c r="AE1249" s="7">
        <v>1997</v>
      </c>
      <c r="AF1249" s="7">
        <v>12</v>
      </c>
      <c r="AG1249" s="7">
        <v>1998</v>
      </c>
      <c r="AH1249" s="7">
        <v>1990</v>
      </c>
      <c r="AI1249" s="7">
        <v>2015</v>
      </c>
      <c r="AJ1249" s="73"/>
      <c r="AK1249" s="7"/>
      <c r="AL1249" s="16" t="s">
        <v>3433</v>
      </c>
      <c r="AM1249" s="2" t="s">
        <v>53</v>
      </c>
      <c r="AN1249" s="6" t="s">
        <v>73</v>
      </c>
      <c r="AO1249" s="6" t="s">
        <v>53</v>
      </c>
      <c r="AP1249" s="6" t="s">
        <v>73</v>
      </c>
      <c r="AQ1249" s="5" t="s">
        <v>73</v>
      </c>
      <c r="AS1249" s="6" t="s">
        <v>73</v>
      </c>
      <c r="AT1249" s="6">
        <v>2012</v>
      </c>
      <c r="AU1249" s="16" t="s">
        <v>3434</v>
      </c>
      <c r="AW1249" s="6">
        <f t="shared" ca="1" si="21"/>
        <v>47</v>
      </c>
    </row>
    <row r="1250" ht="45" customHeight="1" outlineLevel="1">
      <c r="A1250" s="69"/>
      <c r="B1250" s="3" t="s">
        <v>47</v>
      </c>
      <c r="E1250" s="2" t="s">
        <v>63</v>
      </c>
      <c r="F1250" s="6" t="s">
        <v>428</v>
      </c>
      <c r="G1250" s="5" t="s">
        <v>2082</v>
      </c>
      <c r="H1250" s="2" t="s">
        <v>288</v>
      </c>
      <c r="I1250" s="3" t="s">
        <v>3435</v>
      </c>
      <c r="J1250" s="7">
        <v>1</v>
      </c>
      <c r="K1250" s="70" t="s">
        <v>53</v>
      </c>
      <c r="L1250" s="9">
        <v>1</v>
      </c>
      <c r="M1250" s="3">
        <v>969</v>
      </c>
      <c r="N1250" s="6">
        <v>1978</v>
      </c>
      <c r="P1250" s="71"/>
      <c r="R1250" s="6">
        <v>1970</v>
      </c>
      <c r="S1250" s="3" t="s">
        <v>54</v>
      </c>
      <c r="T1250" s="72"/>
      <c r="U1250" s="73"/>
      <c r="W1250" s="185" t="s">
        <v>3436</v>
      </c>
      <c r="X1250" s="10" t="s">
        <v>56</v>
      </c>
      <c r="Y1250" s="10" t="s">
        <v>288</v>
      </c>
      <c r="Z1250" s="75"/>
      <c r="AA1250" s="76">
        <v>37195</v>
      </c>
      <c r="AB1250" s="77">
        <v>37195</v>
      </c>
      <c r="AC1250" s="77"/>
      <c r="AD1250" s="6"/>
      <c r="AE1250" s="7">
        <v>2000</v>
      </c>
      <c r="AF1250" s="7">
        <v>21</v>
      </c>
      <c r="AG1250" s="7">
        <v>2001</v>
      </c>
      <c r="AH1250" s="7">
        <v>2000</v>
      </c>
      <c r="AI1250" s="7"/>
      <c r="AJ1250" s="73"/>
      <c r="AK1250" s="7"/>
      <c r="AL1250" s="16"/>
      <c r="AM1250" s="2" t="s">
        <v>53</v>
      </c>
      <c r="AN1250" s="6" t="s">
        <v>73</v>
      </c>
      <c r="AO1250" s="6" t="s">
        <v>53</v>
      </c>
      <c r="AP1250" s="6" t="s">
        <v>73</v>
      </c>
      <c r="AQ1250" s="5" t="s">
        <v>73</v>
      </c>
      <c r="AU1250" s="16" t="s">
        <v>3437</v>
      </c>
      <c r="AW1250" s="6">
        <f t="shared" ca="1" si="21"/>
        <v>47</v>
      </c>
    </row>
    <row r="1251" ht="45" customHeight="1">
      <c r="A1251" s="69"/>
      <c r="B1251" s="3" t="s">
        <v>47</v>
      </c>
      <c r="E1251" s="2" t="s">
        <v>63</v>
      </c>
      <c r="F1251" s="6" t="s">
        <v>64</v>
      </c>
      <c r="G1251" s="5" t="s">
        <v>69</v>
      </c>
      <c r="H1251" s="2" t="s">
        <v>57</v>
      </c>
      <c r="I1251" s="3" t="s">
        <v>3438</v>
      </c>
      <c r="J1251" s="7">
        <v>1</v>
      </c>
      <c r="K1251" s="70" t="s">
        <v>53</v>
      </c>
      <c r="L1251" s="9">
        <v>1</v>
      </c>
      <c r="M1251" s="3">
        <v>970</v>
      </c>
      <c r="N1251" s="6">
        <v>1978</v>
      </c>
      <c r="P1251" s="71"/>
      <c r="R1251" s="6">
        <v>1970</v>
      </c>
      <c r="S1251" s="3" t="s">
        <v>54</v>
      </c>
      <c r="T1251" s="72"/>
      <c r="U1251" s="73"/>
      <c r="W1251" s="2" t="s">
        <v>3439</v>
      </c>
      <c r="X1251" s="10" t="s">
        <v>56</v>
      </c>
      <c r="Y1251" s="10" t="s">
        <v>57</v>
      </c>
      <c r="Z1251" s="75"/>
      <c r="AA1251" s="76"/>
      <c r="AB1251" s="77">
        <v>29439</v>
      </c>
      <c r="AC1251" s="77">
        <v>29439</v>
      </c>
      <c r="AD1251" s="10"/>
      <c r="AE1251" s="7">
        <v>1980</v>
      </c>
      <c r="AF1251" s="7" t="s">
        <v>3440</v>
      </c>
      <c r="AG1251" s="7">
        <v>1980</v>
      </c>
      <c r="AH1251" s="7">
        <v>1980</v>
      </c>
      <c r="AI1251" s="7">
        <v>1984</v>
      </c>
      <c r="AJ1251" s="73"/>
      <c r="AK1251" s="7"/>
      <c r="AL1251" s="16" t="s">
        <v>664</v>
      </c>
      <c r="AM1251" s="2" t="s">
        <v>59</v>
      </c>
      <c r="AW1251" s="6">
        <f t="shared" ca="1" si="21"/>
        <v>47</v>
      </c>
    </row>
    <row r="1252" ht="45" hidden="1" customHeight="1">
      <c r="A1252" s="69"/>
      <c r="B1252" s="3" t="s">
        <v>47</v>
      </c>
      <c r="C1252" s="4" t="s">
        <v>3441</v>
      </c>
      <c r="D1252" s="5" t="s">
        <v>3442</v>
      </c>
      <c r="E1252" s="2" t="s">
        <v>83</v>
      </c>
      <c r="F1252" s="6" t="s">
        <v>179</v>
      </c>
      <c r="G1252" s="5" t="s">
        <v>3443</v>
      </c>
      <c r="H1252" s="2" t="s">
        <v>51</v>
      </c>
      <c r="I1252" s="3" t="s">
        <v>3444</v>
      </c>
      <c r="J1252" s="7">
        <v>1</v>
      </c>
      <c r="K1252" s="70"/>
      <c r="L1252" s="9">
        <v>1</v>
      </c>
      <c r="M1252" s="3">
        <v>971</v>
      </c>
      <c r="N1252" s="6">
        <v>1977</v>
      </c>
      <c r="P1252" s="71"/>
      <c r="R1252" s="6">
        <v>1970</v>
      </c>
      <c r="S1252" s="3" t="s">
        <v>236</v>
      </c>
      <c r="T1252" s="72"/>
      <c r="U1252" s="73"/>
      <c r="W1252" s="2" t="s">
        <v>62</v>
      </c>
      <c r="X1252" s="10" t="s">
        <v>56</v>
      </c>
      <c r="Y1252" s="10" t="s">
        <v>57</v>
      </c>
      <c r="Z1252" s="75" t="s">
        <v>58</v>
      </c>
      <c r="AA1252" s="76"/>
      <c r="AB1252" s="77"/>
      <c r="AC1252" s="77"/>
      <c r="AD1252" s="10"/>
      <c r="AI1252" s="7"/>
      <c r="AK1252" s="7"/>
      <c r="AL1252" s="16"/>
      <c r="AW1252" s="6">
        <f t="shared" ca="1" si="21"/>
        <v>48</v>
      </c>
    </row>
    <row r="1253" ht="45" customHeight="1" outlineLevel="1">
      <c r="A1253" s="69"/>
      <c r="B1253" s="3" t="s">
        <v>47</v>
      </c>
      <c r="E1253" s="2" t="s">
        <v>63</v>
      </c>
      <c r="F1253" s="6" t="s">
        <v>172</v>
      </c>
      <c r="G1253" s="5" t="s">
        <v>1160</v>
      </c>
      <c r="H1253" s="2" t="s">
        <v>57</v>
      </c>
      <c r="I1253" s="3" t="s">
        <v>3445</v>
      </c>
      <c r="J1253" s="7">
        <v>1</v>
      </c>
      <c r="K1253" s="70" t="s">
        <v>53</v>
      </c>
      <c r="L1253" s="9">
        <v>1</v>
      </c>
      <c r="M1253" s="3">
        <v>972</v>
      </c>
      <c r="N1253" s="6">
        <v>1978</v>
      </c>
      <c r="P1253" s="71"/>
      <c r="R1253" s="6">
        <v>1970</v>
      </c>
      <c r="S1253" s="3" t="s">
        <v>54</v>
      </c>
      <c r="T1253" s="72"/>
      <c r="U1253" s="73"/>
      <c r="W1253" s="2" t="s">
        <v>3446</v>
      </c>
      <c r="X1253" s="10" t="s">
        <v>56</v>
      </c>
      <c r="Y1253" s="10" t="s">
        <v>57</v>
      </c>
      <c r="Z1253" s="75"/>
      <c r="AA1253" s="76"/>
      <c r="AB1253" s="77">
        <v>28885</v>
      </c>
      <c r="AC1253" s="77">
        <v>28885</v>
      </c>
      <c r="AD1253" s="10"/>
      <c r="AE1253" s="7">
        <v>1978</v>
      </c>
      <c r="AF1253" s="7">
        <v>79</v>
      </c>
      <c r="AG1253" s="7">
        <v>1979</v>
      </c>
      <c r="AH1253" s="7">
        <v>1970</v>
      </c>
      <c r="AI1253" s="7"/>
      <c r="AJ1253" s="73"/>
      <c r="AK1253" s="7"/>
      <c r="AL1253" s="16"/>
      <c r="AM1253" s="2" t="s">
        <v>59</v>
      </c>
      <c r="AW1253" s="6">
        <f t="shared" ca="1" si="21"/>
        <v>47</v>
      </c>
    </row>
    <row r="1254" ht="45" customHeight="1" outlineLevel="1">
      <c r="A1254" s="69"/>
      <c r="B1254" s="3" t="s">
        <v>47</v>
      </c>
      <c r="E1254" s="2" t="s">
        <v>63</v>
      </c>
      <c r="F1254" s="6" t="s">
        <v>172</v>
      </c>
      <c r="G1254" s="5" t="s">
        <v>791</v>
      </c>
      <c r="H1254" s="2" t="s">
        <v>288</v>
      </c>
      <c r="I1254" s="3" t="s">
        <v>3447</v>
      </c>
      <c r="J1254" s="7">
        <v>1</v>
      </c>
      <c r="K1254" s="70" t="s">
        <v>53</v>
      </c>
      <c r="L1254" s="9">
        <v>1</v>
      </c>
      <c r="M1254" s="3">
        <v>973</v>
      </c>
      <c r="N1254" s="6">
        <v>1978</v>
      </c>
      <c r="P1254" s="71"/>
      <c r="R1254" s="6">
        <v>1970</v>
      </c>
      <c r="S1254" s="3" t="s">
        <v>54</v>
      </c>
      <c r="T1254" s="72"/>
      <c r="U1254" s="73"/>
      <c r="W1254" s="2" t="s">
        <v>3448</v>
      </c>
      <c r="X1254" s="10" t="s">
        <v>56</v>
      </c>
      <c r="Y1254" s="10" t="s">
        <v>288</v>
      </c>
      <c r="Z1254" s="75"/>
      <c r="AA1254" s="76">
        <v>29339</v>
      </c>
      <c r="AB1254" s="77">
        <v>29339</v>
      </c>
      <c r="AC1254" s="77">
        <v>29339</v>
      </c>
      <c r="AD1254" s="10"/>
      <c r="AE1254" s="7">
        <v>1978</v>
      </c>
      <c r="AF1254" s="7">
        <v>79</v>
      </c>
      <c r="AG1254" s="7">
        <v>1980</v>
      </c>
      <c r="AH1254" s="7">
        <v>1980</v>
      </c>
      <c r="AI1254" s="7"/>
      <c r="AJ1254" s="73"/>
      <c r="AK1254" s="7"/>
      <c r="AL1254" s="16" t="s">
        <v>3449</v>
      </c>
      <c r="AU1254" s="16" t="s">
        <v>3450</v>
      </c>
      <c r="AW1254" s="6">
        <f t="shared" ca="1" si="21"/>
        <v>47</v>
      </c>
    </row>
    <row r="1255" ht="45" customHeight="1">
      <c r="A1255" s="69"/>
      <c r="B1255" s="3" t="s">
        <v>47</v>
      </c>
      <c r="E1255" s="2" t="s">
        <v>63</v>
      </c>
      <c r="F1255" s="6" t="s">
        <v>172</v>
      </c>
      <c r="G1255" s="5" t="s">
        <v>3451</v>
      </c>
      <c r="H1255" s="2" t="s">
        <v>288</v>
      </c>
      <c r="I1255" s="3" t="s">
        <v>3452</v>
      </c>
      <c r="J1255" s="7">
        <v>1</v>
      </c>
      <c r="K1255" s="70" t="s">
        <v>53</v>
      </c>
      <c r="L1255" s="9">
        <v>1</v>
      </c>
      <c r="M1255" s="3">
        <v>974</v>
      </c>
      <c r="N1255" s="6">
        <v>1978</v>
      </c>
      <c r="P1255" s="71"/>
      <c r="R1255" s="6">
        <v>1970</v>
      </c>
      <c r="S1255" s="3" t="s">
        <v>54</v>
      </c>
      <c r="T1255" s="72"/>
      <c r="U1255" s="73"/>
      <c r="W1255" s="2" t="s">
        <v>3453</v>
      </c>
      <c r="X1255" s="10" t="s">
        <v>56</v>
      </c>
      <c r="Y1255" s="10" t="s">
        <v>288</v>
      </c>
      <c r="Z1255" s="75"/>
      <c r="AA1255" s="76">
        <v>29490</v>
      </c>
      <c r="AB1255" s="77"/>
      <c r="AC1255" s="77"/>
      <c r="AD1255" s="6"/>
      <c r="AE1255" s="7">
        <v>1980</v>
      </c>
      <c r="AF1255" s="7">
        <v>92</v>
      </c>
      <c r="AG1255" s="7">
        <v>1980</v>
      </c>
      <c r="AH1255" s="7">
        <v>1980</v>
      </c>
      <c r="AI1255" s="7"/>
      <c r="AJ1255" s="73"/>
      <c r="AK1255" s="7"/>
      <c r="AL1255" s="16"/>
      <c r="AR1255" s="87"/>
      <c r="AS1255" s="88"/>
      <c r="AT1255" s="88"/>
      <c r="AU1255" s="89" t="s">
        <v>718</v>
      </c>
      <c r="AV1255" s="90"/>
      <c r="AW1255" s="6">
        <f t="shared" ref="AW1255:AW1318" ca="1" si="22">IF(N1255&lt;&gt;0,(YEAR(TODAY())-N1255),(""))</f>
        <v>47</v>
      </c>
    </row>
    <row r="1256" ht="45" customHeight="1" outlineLevel="1">
      <c r="A1256" s="69"/>
      <c r="B1256" s="3" t="s">
        <v>47</v>
      </c>
      <c r="E1256" s="2" t="s">
        <v>63</v>
      </c>
      <c r="F1256" s="6" t="s">
        <v>172</v>
      </c>
      <c r="G1256" s="5" t="s">
        <v>173</v>
      </c>
      <c r="H1256" s="2" t="s">
        <v>57</v>
      </c>
      <c r="I1256" s="3" t="s">
        <v>3454</v>
      </c>
      <c r="J1256" s="7">
        <v>1</v>
      </c>
      <c r="K1256" s="70" t="s">
        <v>53</v>
      </c>
      <c r="L1256" s="9">
        <v>1</v>
      </c>
      <c r="M1256" s="3">
        <v>975</v>
      </c>
      <c r="N1256" s="6">
        <v>1978</v>
      </c>
      <c r="P1256" s="71"/>
      <c r="R1256" s="6">
        <v>1970</v>
      </c>
      <c r="S1256" s="3" t="s">
        <v>54</v>
      </c>
      <c r="T1256" s="72"/>
      <c r="U1256" s="73"/>
      <c r="W1256" s="2" t="s">
        <v>3455</v>
      </c>
      <c r="X1256" s="10" t="s">
        <v>56</v>
      </c>
      <c r="Y1256" s="10" t="s">
        <v>57</v>
      </c>
      <c r="Z1256" s="75"/>
      <c r="AA1256" s="76"/>
      <c r="AB1256" s="77"/>
      <c r="AC1256" s="77">
        <v>29924</v>
      </c>
      <c r="AD1256" s="10"/>
      <c r="AE1256" s="7">
        <v>1978</v>
      </c>
      <c r="AF1256" s="7">
        <v>80</v>
      </c>
      <c r="AG1256" s="7">
        <v>1981</v>
      </c>
      <c r="AH1256" s="7">
        <v>1980</v>
      </c>
      <c r="AI1256" s="7"/>
      <c r="AJ1256" s="73"/>
      <c r="AK1256" s="7"/>
      <c r="AL1256" s="16"/>
      <c r="AM1256" s="2" t="s">
        <v>59</v>
      </c>
      <c r="AW1256" s="6">
        <f t="shared" ca="1" si="22"/>
        <v>47</v>
      </c>
    </row>
    <row r="1257" ht="45" customHeight="1" outlineLevel="1">
      <c r="A1257" s="69"/>
      <c r="B1257" s="3" t="s">
        <v>47</v>
      </c>
      <c r="E1257" s="2" t="s">
        <v>83</v>
      </c>
      <c r="F1257" s="6" t="s">
        <v>84</v>
      </c>
      <c r="G1257" s="5" t="s">
        <v>85</v>
      </c>
      <c r="H1257" s="2" t="s">
        <v>57</v>
      </c>
      <c r="I1257" s="3" t="s">
        <v>3456</v>
      </c>
      <c r="J1257" s="7">
        <v>1</v>
      </c>
      <c r="K1257" s="70" t="s">
        <v>53</v>
      </c>
      <c r="L1257" s="9">
        <v>1</v>
      </c>
      <c r="M1257" s="3">
        <v>976</v>
      </c>
      <c r="N1257" s="6">
        <v>1978</v>
      </c>
      <c r="P1257" s="71"/>
      <c r="R1257" s="6">
        <v>1970</v>
      </c>
      <c r="S1257" s="3" t="s">
        <v>54</v>
      </c>
      <c r="T1257" s="72"/>
      <c r="U1257" s="73"/>
      <c r="W1257" s="2" t="s">
        <v>3457</v>
      </c>
      <c r="X1257" s="10" t="s">
        <v>56</v>
      </c>
      <c r="Y1257" s="10" t="s">
        <v>57</v>
      </c>
      <c r="Z1257" s="75"/>
      <c r="AA1257" s="76"/>
      <c r="AB1257" s="77">
        <v>28699</v>
      </c>
      <c r="AC1257" s="77">
        <v>28699</v>
      </c>
      <c r="AD1257" s="10"/>
      <c r="AE1257" s="7">
        <v>1978</v>
      </c>
      <c r="AF1257" s="7">
        <v>79</v>
      </c>
      <c r="AG1257" s="7">
        <v>1978</v>
      </c>
      <c r="AH1257" s="7">
        <v>1970</v>
      </c>
      <c r="AI1257" s="7"/>
      <c r="AJ1257" s="73"/>
      <c r="AK1257" s="7"/>
      <c r="AL1257" s="16"/>
      <c r="AM1257" s="2" t="s">
        <v>59</v>
      </c>
      <c r="AO1257" s="6" t="s">
        <v>100</v>
      </c>
      <c r="AP1257" s="6" t="s">
        <v>73</v>
      </c>
      <c r="AQ1257" s="5" t="s">
        <v>73</v>
      </c>
      <c r="AR1257" s="2" t="s">
        <v>73</v>
      </c>
      <c r="AT1257" s="6">
        <v>2013</v>
      </c>
      <c r="AU1257" s="16" t="s">
        <v>101</v>
      </c>
      <c r="AW1257" s="6">
        <f t="shared" ca="1" si="22"/>
        <v>47</v>
      </c>
    </row>
    <row r="1258" ht="45" hidden="1" customHeight="1">
      <c r="A1258" s="69"/>
      <c r="B1258" s="3" t="s">
        <v>47</v>
      </c>
      <c r="C1258" s="4" t="s">
        <v>3415</v>
      </c>
      <c r="E1258" s="2" t="s">
        <v>83</v>
      </c>
      <c r="F1258" s="6" t="s">
        <v>84</v>
      </c>
      <c r="G1258" s="5" t="s">
        <v>85</v>
      </c>
      <c r="H1258" s="2" t="s">
        <v>57</v>
      </c>
      <c r="I1258" s="3" t="s">
        <v>3458</v>
      </c>
      <c r="J1258" s="7">
        <v>1</v>
      </c>
      <c r="K1258" s="70"/>
      <c r="L1258" s="9">
        <v>1</v>
      </c>
      <c r="M1258" s="3">
        <v>977</v>
      </c>
      <c r="N1258" s="6">
        <v>1978</v>
      </c>
      <c r="P1258" s="71"/>
      <c r="R1258" s="6">
        <v>1970</v>
      </c>
      <c r="S1258" s="3" t="s">
        <v>236</v>
      </c>
      <c r="T1258" s="72"/>
      <c r="U1258" s="73"/>
      <c r="W1258" s="2" t="s">
        <v>62</v>
      </c>
      <c r="X1258" s="10" t="s">
        <v>56</v>
      </c>
      <c r="Y1258" s="10" t="s">
        <v>57</v>
      </c>
      <c r="Z1258" s="75"/>
      <c r="AA1258" s="76"/>
      <c r="AB1258" s="77"/>
      <c r="AC1258" s="77"/>
      <c r="AD1258" s="10"/>
      <c r="AI1258" s="7"/>
      <c r="AJ1258" s="95">
        <v>28569</v>
      </c>
      <c r="AK1258" s="7">
        <v>1970</v>
      </c>
      <c r="AL1258" s="16" t="s">
        <v>3459</v>
      </c>
      <c r="AW1258" s="6">
        <f t="shared" ca="1" si="22"/>
        <v>47</v>
      </c>
    </row>
    <row r="1259" ht="45" customHeight="1">
      <c r="A1259" s="69"/>
      <c r="B1259" s="3" t="s">
        <v>47</v>
      </c>
      <c r="E1259" s="2" t="s">
        <v>83</v>
      </c>
      <c r="F1259" s="6" t="s">
        <v>84</v>
      </c>
      <c r="G1259" s="5" t="s">
        <v>85</v>
      </c>
      <c r="H1259" s="2" t="s">
        <v>57</v>
      </c>
      <c r="I1259" s="3" t="s">
        <v>3460</v>
      </c>
      <c r="J1259" s="7">
        <v>1</v>
      </c>
      <c r="K1259" s="70" t="s">
        <v>53</v>
      </c>
      <c r="L1259" s="9">
        <v>1</v>
      </c>
      <c r="M1259" s="3">
        <v>978</v>
      </c>
      <c r="N1259" s="6">
        <v>1978</v>
      </c>
      <c r="P1259" s="71"/>
      <c r="R1259" s="6">
        <v>1970</v>
      </c>
      <c r="S1259" s="3" t="s">
        <v>54</v>
      </c>
      <c r="T1259" s="72"/>
      <c r="U1259" s="73"/>
      <c r="W1259" s="2" t="s">
        <v>3461</v>
      </c>
      <c r="X1259" s="10" t="s">
        <v>56</v>
      </c>
      <c r="Y1259" s="10" t="s">
        <v>57</v>
      </c>
      <c r="Z1259" s="75"/>
      <c r="AA1259" s="76"/>
      <c r="AB1259" s="77">
        <v>30492</v>
      </c>
      <c r="AC1259" s="77">
        <v>30490</v>
      </c>
      <c r="AD1259" s="10"/>
      <c r="AE1259" s="7">
        <v>1978</v>
      </c>
      <c r="AF1259" s="7">
        <v>81</v>
      </c>
      <c r="AG1259" s="7">
        <v>1983</v>
      </c>
      <c r="AH1259" s="7">
        <v>1980</v>
      </c>
      <c r="AI1259" s="7"/>
      <c r="AJ1259" s="73"/>
      <c r="AK1259" s="7"/>
      <c r="AL1259" s="16"/>
      <c r="AM1259" s="2" t="s">
        <v>59</v>
      </c>
      <c r="AW1259" s="6">
        <f t="shared" ca="1" si="22"/>
        <v>47</v>
      </c>
    </row>
    <row r="1260" ht="45" customHeight="1">
      <c r="A1260" s="69"/>
      <c r="B1260" s="3" t="s">
        <v>47</v>
      </c>
      <c r="E1260" s="2" t="s">
        <v>1074</v>
      </c>
      <c r="F1260" s="6" t="s">
        <v>2026</v>
      </c>
      <c r="G1260" s="5" t="s">
        <v>3462</v>
      </c>
      <c r="H1260" s="2" t="s">
        <v>508</v>
      </c>
      <c r="I1260" s="3" t="s">
        <v>3463</v>
      </c>
      <c r="J1260" s="7">
        <v>1</v>
      </c>
      <c r="K1260" s="70" t="s">
        <v>53</v>
      </c>
      <c r="L1260" s="9">
        <v>1</v>
      </c>
      <c r="M1260" s="3">
        <v>979</v>
      </c>
      <c r="N1260" s="6">
        <v>1978</v>
      </c>
      <c r="P1260" s="71"/>
      <c r="R1260" s="6">
        <v>1970</v>
      </c>
      <c r="S1260" s="3" t="s">
        <v>54</v>
      </c>
      <c r="T1260" s="72"/>
      <c r="U1260" s="73"/>
      <c r="W1260" s="2" t="s">
        <v>3464</v>
      </c>
      <c r="X1260" s="10" t="s">
        <v>504</v>
      </c>
      <c r="Y1260" s="10" t="s">
        <v>511</v>
      </c>
      <c r="Z1260" s="75"/>
      <c r="AA1260" s="76">
        <v>28795</v>
      </c>
      <c r="AB1260" s="77"/>
      <c r="AC1260" s="77"/>
      <c r="AD1260" s="6"/>
      <c r="AE1260" s="7">
        <v>1978</v>
      </c>
      <c r="AF1260" s="7">
        <v>81</v>
      </c>
      <c r="AG1260" s="7">
        <v>1978</v>
      </c>
      <c r="AH1260" s="7">
        <v>1970</v>
      </c>
      <c r="AI1260" s="7"/>
      <c r="AJ1260" s="73"/>
      <c r="AK1260" s="7"/>
      <c r="AL1260" s="16"/>
      <c r="AW1260" s="6">
        <f t="shared" ca="1" si="22"/>
        <v>47</v>
      </c>
    </row>
    <row r="1261" ht="45" hidden="1" customHeight="1" outlineLevel="1">
      <c r="A1261" s="69"/>
      <c r="B1261" s="3" t="s">
        <v>47</v>
      </c>
      <c r="C1261" s="144" t="s">
        <v>1914</v>
      </c>
      <c r="D1261" s="5" t="s">
        <v>3465</v>
      </c>
      <c r="E1261" s="2" t="s">
        <v>83</v>
      </c>
      <c r="F1261" s="6" t="s">
        <v>179</v>
      </c>
      <c r="G1261" s="5" t="s">
        <v>2189</v>
      </c>
      <c r="H1261" s="2" t="s">
        <v>508</v>
      </c>
      <c r="I1261" s="3" t="s">
        <v>3466</v>
      </c>
      <c r="J1261" s="7">
        <v>1</v>
      </c>
      <c r="K1261" s="104"/>
      <c r="L1261" s="9">
        <v>1</v>
      </c>
      <c r="M1261" s="3">
        <v>980</v>
      </c>
      <c r="N1261" s="6">
        <v>1978</v>
      </c>
      <c r="P1261" s="71"/>
      <c r="R1261" s="6">
        <v>1970</v>
      </c>
      <c r="S1261" s="3" t="s">
        <v>236</v>
      </c>
      <c r="T1261" s="72"/>
      <c r="U1261" s="73"/>
      <c r="W1261" s="2" t="s">
        <v>62</v>
      </c>
      <c r="X1261" s="10" t="s">
        <v>504</v>
      </c>
      <c r="Y1261" s="10" t="s">
        <v>511</v>
      </c>
      <c r="Z1261" s="75"/>
      <c r="AA1261" s="76"/>
      <c r="AB1261" s="77"/>
      <c r="AC1261" s="77"/>
      <c r="AD1261" s="6"/>
      <c r="AI1261" s="7"/>
      <c r="AJ1261" s="10">
        <v>42349</v>
      </c>
      <c r="AK1261" s="7">
        <v>2010</v>
      </c>
      <c r="AL1261" s="16"/>
      <c r="AW1261" s="6">
        <f t="shared" ca="1" si="22"/>
        <v>47</v>
      </c>
    </row>
    <row r="1262" ht="45" customHeight="1" outlineLevel="1">
      <c r="A1262" s="69"/>
      <c r="B1262" s="3" t="s">
        <v>47</v>
      </c>
      <c r="C1262" s="4" t="s">
        <v>3467</v>
      </c>
      <c r="D1262" s="5" t="s">
        <v>3468</v>
      </c>
      <c r="E1262" s="2" t="s">
        <v>63</v>
      </c>
      <c r="F1262" s="6" t="s">
        <v>64</v>
      </c>
      <c r="G1262" s="5" t="s">
        <v>2319</v>
      </c>
      <c r="H1262" s="2" t="s">
        <v>51</v>
      </c>
      <c r="I1262" s="3" t="s">
        <v>3469</v>
      </c>
      <c r="J1262" s="7">
        <v>1</v>
      </c>
      <c r="K1262" s="70" t="s">
        <v>53</v>
      </c>
      <c r="L1262" s="9">
        <v>1</v>
      </c>
      <c r="M1262" s="3">
        <v>981</v>
      </c>
      <c r="N1262" s="6">
        <v>1978</v>
      </c>
      <c r="P1262" s="71"/>
      <c r="R1262" s="6">
        <v>1970</v>
      </c>
      <c r="S1262" s="3" t="s">
        <v>54</v>
      </c>
      <c r="T1262" s="72"/>
      <c r="U1262" s="73"/>
      <c r="W1262" s="2" t="s">
        <v>3470</v>
      </c>
      <c r="X1262" s="10" t="s">
        <v>56</v>
      </c>
      <c r="Y1262" s="10" t="s">
        <v>57</v>
      </c>
      <c r="Z1262" s="75" t="s">
        <v>58</v>
      </c>
      <c r="AA1262" s="76"/>
      <c r="AB1262" s="77">
        <v>29615</v>
      </c>
      <c r="AC1262" s="77"/>
      <c r="AD1262" s="6"/>
      <c r="AE1262" s="7">
        <v>1980</v>
      </c>
      <c r="AF1262" s="7">
        <v>94</v>
      </c>
      <c r="AG1262" s="7">
        <v>1981</v>
      </c>
      <c r="AH1262" s="7">
        <v>1980</v>
      </c>
      <c r="AI1262" s="7"/>
      <c r="AJ1262" s="73"/>
      <c r="AK1262" s="7"/>
      <c r="AL1262" s="16"/>
      <c r="AM1262" s="2" t="s">
        <v>59</v>
      </c>
      <c r="AW1262" s="6">
        <f t="shared" ca="1" si="22"/>
        <v>47</v>
      </c>
    </row>
    <row r="1263" ht="45" hidden="1" customHeight="1" outlineLevel="1">
      <c r="A1263" s="69"/>
      <c r="B1263" s="3" t="s">
        <v>47</v>
      </c>
      <c r="C1263" s="4" t="s">
        <v>3471</v>
      </c>
      <c r="E1263" s="2" t="s">
        <v>83</v>
      </c>
      <c r="F1263" s="6" t="s">
        <v>84</v>
      </c>
      <c r="G1263" s="5" t="s">
        <v>85</v>
      </c>
      <c r="H1263" s="2" t="s">
        <v>57</v>
      </c>
      <c r="I1263" s="3" t="s">
        <v>3472</v>
      </c>
      <c r="J1263" s="7">
        <v>1</v>
      </c>
      <c r="K1263" s="104"/>
      <c r="L1263" s="9">
        <v>1</v>
      </c>
      <c r="M1263" s="3">
        <v>982</v>
      </c>
      <c r="N1263" s="6">
        <v>1978</v>
      </c>
      <c r="P1263" s="71"/>
      <c r="R1263" s="6">
        <v>1970</v>
      </c>
      <c r="S1263" s="3" t="s">
        <v>236</v>
      </c>
      <c r="T1263" s="72"/>
      <c r="U1263" s="73"/>
      <c r="W1263" s="2" t="s">
        <v>62</v>
      </c>
      <c r="X1263" s="10" t="s">
        <v>56</v>
      </c>
      <c r="Y1263" s="10" t="s">
        <v>57</v>
      </c>
      <c r="Z1263" s="75"/>
      <c r="AA1263" s="76"/>
      <c r="AB1263" s="77"/>
      <c r="AC1263" s="77"/>
      <c r="AD1263" s="6"/>
      <c r="AI1263" s="7"/>
      <c r="AJ1263" s="95">
        <v>28667</v>
      </c>
      <c r="AK1263" s="7">
        <v>1970</v>
      </c>
      <c r="AL1263" s="16" t="s">
        <v>3473</v>
      </c>
      <c r="AW1263" s="6">
        <f t="shared" ca="1" si="22"/>
        <v>47</v>
      </c>
    </row>
    <row r="1264" ht="45" customHeight="1">
      <c r="A1264" s="69"/>
      <c r="B1264" s="3" t="s">
        <v>47</v>
      </c>
      <c r="E1264" s="2" t="s">
        <v>63</v>
      </c>
      <c r="F1264" s="6" t="s">
        <v>172</v>
      </c>
      <c r="G1264" s="5" t="s">
        <v>173</v>
      </c>
      <c r="H1264" s="2" t="s">
        <v>57</v>
      </c>
      <c r="I1264" s="3" t="s">
        <v>3474</v>
      </c>
      <c r="J1264" s="7">
        <v>1</v>
      </c>
      <c r="K1264" s="70" t="s">
        <v>53</v>
      </c>
      <c r="L1264" s="9">
        <v>1</v>
      </c>
      <c r="M1264" s="3">
        <v>983</v>
      </c>
      <c r="N1264" s="6">
        <v>1978</v>
      </c>
      <c r="P1264" s="71"/>
      <c r="R1264" s="6">
        <v>1970</v>
      </c>
      <c r="S1264" s="3" t="s">
        <v>54</v>
      </c>
      <c r="T1264" s="72"/>
      <c r="U1264" s="73"/>
      <c r="W1264" s="2" t="s">
        <v>3475</v>
      </c>
      <c r="X1264" s="10" t="s">
        <v>56</v>
      </c>
      <c r="Y1264" s="10" t="s">
        <v>57</v>
      </c>
      <c r="Z1264" s="75"/>
      <c r="AA1264" s="76"/>
      <c r="AB1264" s="77">
        <v>29410</v>
      </c>
      <c r="AC1264" s="77">
        <v>29410</v>
      </c>
      <c r="AD1264" s="10"/>
      <c r="AE1264" s="7">
        <v>1980</v>
      </c>
      <c r="AF1264" s="7">
        <v>90</v>
      </c>
      <c r="AG1264" s="7">
        <v>1980</v>
      </c>
      <c r="AH1264" s="7">
        <v>1980</v>
      </c>
      <c r="AI1264" s="7"/>
      <c r="AJ1264" s="73"/>
      <c r="AK1264" s="7"/>
      <c r="AL1264" s="16"/>
      <c r="AM1264" s="2" t="s">
        <v>59</v>
      </c>
      <c r="AU1264" s="16" t="s">
        <v>3476</v>
      </c>
      <c r="AW1264" s="6">
        <f t="shared" ca="1" si="22"/>
        <v>47</v>
      </c>
    </row>
    <row r="1265" ht="45" customHeight="1">
      <c r="A1265" s="69"/>
      <c r="B1265" s="3" t="s">
        <v>47</v>
      </c>
      <c r="E1265" s="2" t="s">
        <v>63</v>
      </c>
      <c r="F1265" s="6" t="s">
        <v>172</v>
      </c>
      <c r="G1265" s="5" t="s">
        <v>173</v>
      </c>
      <c r="H1265" s="2" t="s">
        <v>57</v>
      </c>
      <c r="I1265" s="3" t="s">
        <v>3477</v>
      </c>
      <c r="J1265" s="7">
        <v>1</v>
      </c>
      <c r="K1265" s="70" t="s">
        <v>53</v>
      </c>
      <c r="L1265" s="9">
        <v>1</v>
      </c>
      <c r="M1265" s="3">
        <v>984</v>
      </c>
      <c r="N1265" s="6">
        <v>1978</v>
      </c>
      <c r="P1265" s="71"/>
      <c r="R1265" s="6">
        <v>1970</v>
      </c>
      <c r="S1265" s="3" t="s">
        <v>54</v>
      </c>
      <c r="T1265" s="72"/>
      <c r="U1265" s="73"/>
      <c r="W1265" s="2" t="s">
        <v>3478</v>
      </c>
      <c r="X1265" s="10" t="s">
        <v>56</v>
      </c>
      <c r="Y1265" s="10" t="s">
        <v>57</v>
      </c>
      <c r="Z1265" s="75"/>
      <c r="AA1265" s="76"/>
      <c r="AB1265" s="77">
        <v>29339</v>
      </c>
      <c r="AC1265" s="77">
        <v>29339</v>
      </c>
      <c r="AD1265" s="10"/>
      <c r="AE1265" s="7">
        <v>1979</v>
      </c>
      <c r="AF1265" s="7">
        <v>85</v>
      </c>
      <c r="AG1265" s="7">
        <v>1980</v>
      </c>
      <c r="AH1265" s="7">
        <v>1980</v>
      </c>
      <c r="AI1265" s="7"/>
      <c r="AJ1265" s="73"/>
      <c r="AK1265" s="7"/>
      <c r="AL1265" s="16"/>
      <c r="AM1265" s="2" t="s">
        <v>59</v>
      </c>
      <c r="AW1265" s="6">
        <f t="shared" ca="1" si="22"/>
        <v>47</v>
      </c>
    </row>
    <row r="1266" ht="45" hidden="1" customHeight="1">
      <c r="A1266" s="69"/>
      <c r="B1266" s="3" t="s">
        <v>47</v>
      </c>
      <c r="C1266" s="4" t="s">
        <v>3479</v>
      </c>
      <c r="E1266" s="2" t="s">
        <v>63</v>
      </c>
      <c r="F1266" s="6" t="s">
        <v>172</v>
      </c>
      <c r="G1266" s="5" t="s">
        <v>173</v>
      </c>
      <c r="H1266" s="2" t="s">
        <v>57</v>
      </c>
      <c r="I1266" s="3" t="s">
        <v>3480</v>
      </c>
      <c r="J1266" s="7">
        <v>1</v>
      </c>
      <c r="K1266" s="70"/>
      <c r="L1266" s="9">
        <v>1</v>
      </c>
      <c r="M1266" s="3">
        <v>985</v>
      </c>
      <c r="N1266" s="6">
        <v>1978</v>
      </c>
      <c r="P1266" s="71"/>
      <c r="R1266" s="6">
        <v>1970</v>
      </c>
      <c r="S1266" s="3" t="s">
        <v>236</v>
      </c>
      <c r="T1266" s="72"/>
      <c r="U1266" s="73"/>
      <c r="W1266" s="2" t="s">
        <v>62</v>
      </c>
      <c r="X1266" s="10" t="s">
        <v>56</v>
      </c>
      <c r="Y1266" s="10" t="s">
        <v>57</v>
      </c>
      <c r="Z1266" s="75"/>
      <c r="AA1266" s="76"/>
      <c r="AB1266" s="77"/>
      <c r="AC1266" s="77"/>
      <c r="AD1266" s="10"/>
      <c r="AI1266" s="7"/>
      <c r="AJ1266" s="95">
        <v>36290</v>
      </c>
      <c r="AK1266" s="7">
        <v>1990</v>
      </c>
      <c r="AL1266" s="16"/>
      <c r="AW1266" s="6">
        <f t="shared" ca="1" si="22"/>
        <v>47</v>
      </c>
    </row>
    <row r="1267" ht="45" customHeight="1">
      <c r="A1267" s="69"/>
      <c r="B1267" s="3" t="s">
        <v>47</v>
      </c>
      <c r="E1267" s="2" t="s">
        <v>83</v>
      </c>
      <c r="F1267" s="6" t="s">
        <v>84</v>
      </c>
      <c r="G1267" s="5" t="s">
        <v>85</v>
      </c>
      <c r="H1267" s="2" t="s">
        <v>68</v>
      </c>
      <c r="I1267" s="3" t="s">
        <v>3481</v>
      </c>
      <c r="J1267" s="7">
        <v>1</v>
      </c>
      <c r="K1267" s="70" t="s">
        <v>53</v>
      </c>
      <c r="L1267" s="9">
        <v>1</v>
      </c>
      <c r="M1267" s="3">
        <v>986</v>
      </c>
      <c r="N1267" s="6">
        <v>1978</v>
      </c>
      <c r="P1267" s="71"/>
      <c r="R1267" s="6">
        <v>1970</v>
      </c>
      <c r="S1267" s="3" t="s">
        <v>54</v>
      </c>
      <c r="T1267" s="72"/>
      <c r="U1267" s="73"/>
      <c r="W1267" s="2" t="s">
        <v>3482</v>
      </c>
      <c r="X1267" s="10" t="s">
        <v>56</v>
      </c>
      <c r="Y1267" s="10" t="s">
        <v>68</v>
      </c>
      <c r="Z1267" s="75"/>
      <c r="AA1267" s="76">
        <v>29339</v>
      </c>
      <c r="AB1267" s="77"/>
      <c r="AC1267" s="77"/>
      <c r="AD1267" s="6"/>
      <c r="AE1267" s="7">
        <v>1979</v>
      </c>
      <c r="AF1267" s="7">
        <v>84</v>
      </c>
      <c r="AG1267" s="7">
        <v>1980</v>
      </c>
      <c r="AH1267" s="7">
        <v>1980</v>
      </c>
      <c r="AI1267" s="7"/>
      <c r="AJ1267" s="73"/>
      <c r="AK1267" s="7"/>
      <c r="AL1267" s="16"/>
      <c r="AM1267" s="2" t="s">
        <v>53</v>
      </c>
      <c r="AW1267" s="6">
        <f t="shared" ca="1" si="22"/>
        <v>47</v>
      </c>
    </row>
    <row r="1268" ht="45" hidden="1" customHeight="1">
      <c r="A1268" s="69"/>
      <c r="B1268" s="3" t="s">
        <v>47</v>
      </c>
      <c r="C1268" s="4" t="s">
        <v>3415</v>
      </c>
      <c r="E1268" s="2" t="s">
        <v>48</v>
      </c>
      <c r="F1268" s="6" t="s">
        <v>49</v>
      </c>
      <c r="G1268" s="5" t="s">
        <v>1292</v>
      </c>
      <c r="H1268" s="2" t="s">
        <v>491</v>
      </c>
      <c r="I1268" s="3" t="s">
        <v>1645</v>
      </c>
      <c r="J1268" s="7">
        <v>1</v>
      </c>
      <c r="K1268" s="70"/>
      <c r="L1268" s="9">
        <v>1</v>
      </c>
      <c r="M1268" s="3">
        <v>987</v>
      </c>
      <c r="N1268" s="6">
        <v>1978</v>
      </c>
      <c r="P1268" s="71"/>
      <c r="R1268" s="6">
        <v>1970</v>
      </c>
      <c r="S1268" s="3" t="s">
        <v>236</v>
      </c>
      <c r="T1268" s="72"/>
      <c r="U1268" s="73"/>
      <c r="W1268" s="2" t="s">
        <v>62</v>
      </c>
      <c r="X1268" s="10" t="s">
        <v>56</v>
      </c>
      <c r="Y1268" s="10" t="s">
        <v>523</v>
      </c>
      <c r="Z1268" s="75"/>
      <c r="AA1268" s="76"/>
      <c r="AB1268" s="77"/>
      <c r="AC1268" s="77"/>
      <c r="AD1268" s="6"/>
      <c r="AI1268" s="7"/>
      <c r="AJ1268" s="95">
        <v>29126</v>
      </c>
      <c r="AK1268" s="7">
        <v>1970</v>
      </c>
      <c r="AL1268" s="16"/>
      <c r="AW1268" s="6">
        <f t="shared" ca="1" si="22"/>
        <v>47</v>
      </c>
    </row>
    <row r="1269" ht="45" customHeight="1">
      <c r="A1269" s="69"/>
      <c r="B1269" s="3" t="s">
        <v>47</v>
      </c>
      <c r="E1269" s="2" t="s">
        <v>63</v>
      </c>
      <c r="F1269" s="6" t="s">
        <v>172</v>
      </c>
      <c r="G1269" s="5" t="s">
        <v>173</v>
      </c>
      <c r="H1269" s="2" t="s">
        <v>57</v>
      </c>
      <c r="I1269" s="3" t="s">
        <v>3483</v>
      </c>
      <c r="J1269" s="7">
        <v>1</v>
      </c>
      <c r="K1269" s="70" t="s">
        <v>53</v>
      </c>
      <c r="L1269" s="9">
        <v>1</v>
      </c>
      <c r="M1269" s="3">
        <v>988</v>
      </c>
      <c r="N1269" s="6">
        <v>1978</v>
      </c>
      <c r="P1269" s="71"/>
      <c r="R1269" s="6">
        <v>1970</v>
      </c>
      <c r="S1269" s="3" t="s">
        <v>54</v>
      </c>
      <c r="T1269" s="72"/>
      <c r="U1269" s="73"/>
      <c r="W1269" s="2" t="s">
        <v>3484</v>
      </c>
      <c r="X1269" s="10" t="s">
        <v>56</v>
      </c>
      <c r="Y1269" s="10" t="s">
        <v>57</v>
      </c>
      <c r="Z1269" s="75"/>
      <c r="AA1269" s="76"/>
      <c r="AB1269" s="77">
        <v>29615</v>
      </c>
      <c r="AC1269" s="77">
        <v>29615</v>
      </c>
      <c r="AD1269" s="10"/>
      <c r="AE1269" s="7">
        <v>1980</v>
      </c>
      <c r="AF1269" s="7">
        <v>94</v>
      </c>
      <c r="AG1269" s="7">
        <v>1981</v>
      </c>
      <c r="AH1269" s="7">
        <v>1980</v>
      </c>
      <c r="AI1269" s="7"/>
      <c r="AJ1269" s="73"/>
      <c r="AK1269" s="7"/>
      <c r="AL1269" s="16"/>
      <c r="AM1269" s="2" t="s">
        <v>59</v>
      </c>
      <c r="AU1269" s="16" t="s">
        <v>3485</v>
      </c>
      <c r="AW1269" s="6">
        <f t="shared" ca="1" si="22"/>
        <v>47</v>
      </c>
    </row>
    <row r="1270" ht="45" hidden="1" customHeight="1">
      <c r="A1270" s="69"/>
      <c r="B1270" s="3" t="s">
        <v>47</v>
      </c>
      <c r="C1270" s="4" t="s">
        <v>1263</v>
      </c>
      <c r="E1270" s="2" t="s">
        <v>83</v>
      </c>
      <c r="F1270" s="6" t="s">
        <v>84</v>
      </c>
      <c r="G1270" s="5" t="s">
        <v>85</v>
      </c>
      <c r="H1270" s="2" t="s">
        <v>382</v>
      </c>
      <c r="I1270" s="96" t="s">
        <v>3486</v>
      </c>
      <c r="J1270" s="7">
        <v>1</v>
      </c>
      <c r="K1270" s="70"/>
      <c r="L1270" s="9">
        <v>1</v>
      </c>
      <c r="M1270" s="3">
        <v>989</v>
      </c>
      <c r="N1270" s="6">
        <v>1978</v>
      </c>
      <c r="P1270" s="71"/>
      <c r="R1270" s="6">
        <v>1970</v>
      </c>
      <c r="S1270" s="3" t="s">
        <v>236</v>
      </c>
      <c r="T1270" s="72"/>
      <c r="U1270" s="73"/>
      <c r="W1270" s="2" t="s">
        <v>62</v>
      </c>
      <c r="X1270" s="10" t="s">
        <v>91</v>
      </c>
      <c r="Y1270" s="10" t="s">
        <v>385</v>
      </c>
      <c r="Z1270" s="75"/>
      <c r="AA1270" s="76"/>
      <c r="AB1270" s="77"/>
      <c r="AC1270" s="77"/>
      <c r="AD1270" s="10"/>
      <c r="AI1270" s="7"/>
      <c r="AJ1270" s="95">
        <v>38044</v>
      </c>
      <c r="AK1270" s="7">
        <v>2000</v>
      </c>
      <c r="AL1270" s="16"/>
      <c r="AW1270" s="6">
        <f t="shared" ca="1" si="22"/>
        <v>47</v>
      </c>
    </row>
    <row r="1271" ht="45" hidden="1" customHeight="1">
      <c r="A1271" s="69"/>
      <c r="B1271" s="3" t="s">
        <v>47</v>
      </c>
      <c r="C1271" s="4" t="s">
        <v>3487</v>
      </c>
      <c r="D1271" s="5" t="s">
        <v>3488</v>
      </c>
      <c r="E1271" s="2" t="s">
        <v>83</v>
      </c>
      <c r="F1271" s="6" t="s">
        <v>179</v>
      </c>
      <c r="G1271" s="5" t="s">
        <v>3489</v>
      </c>
      <c r="H1271" s="2" t="s">
        <v>181</v>
      </c>
      <c r="I1271" s="3" t="s">
        <v>3490</v>
      </c>
      <c r="J1271" s="7">
        <v>1</v>
      </c>
      <c r="K1271" s="70"/>
      <c r="L1271" s="9">
        <v>1</v>
      </c>
      <c r="M1271" s="3">
        <v>990</v>
      </c>
      <c r="N1271" s="6">
        <v>1978</v>
      </c>
      <c r="P1271" s="71"/>
      <c r="R1271" s="6">
        <v>1970</v>
      </c>
      <c r="S1271" s="3" t="s">
        <v>236</v>
      </c>
      <c r="T1271" s="72"/>
      <c r="U1271" s="73">
        <v>43480</v>
      </c>
      <c r="W1271" s="2" t="s">
        <v>62</v>
      </c>
      <c r="X1271" s="10" t="s">
        <v>56</v>
      </c>
      <c r="Y1271" s="10" t="s">
        <v>181</v>
      </c>
      <c r="Z1271" s="75"/>
      <c r="AA1271" s="76"/>
      <c r="AB1271" s="77"/>
      <c r="AC1271" s="77"/>
      <c r="AD1271" s="10"/>
      <c r="AI1271" s="7"/>
      <c r="AJ1271" s="10">
        <v>43480</v>
      </c>
      <c r="AK1271" s="7">
        <v>2010</v>
      </c>
      <c r="AL1271" s="16"/>
      <c r="AW1271" s="6">
        <f t="shared" ca="1" si="22"/>
        <v>47</v>
      </c>
    </row>
    <row r="1272" ht="45" hidden="1" customHeight="1">
      <c r="A1272" s="69"/>
      <c r="B1272" s="3" t="s">
        <v>47</v>
      </c>
      <c r="C1272" s="4" t="s">
        <v>3491</v>
      </c>
      <c r="E1272" s="2" t="s">
        <v>63</v>
      </c>
      <c r="F1272" s="6" t="s">
        <v>64</v>
      </c>
      <c r="G1272" s="5" t="s">
        <v>69</v>
      </c>
      <c r="H1272" s="2" t="s">
        <v>51</v>
      </c>
      <c r="I1272" s="3" t="s">
        <v>3492</v>
      </c>
      <c r="J1272" s="7">
        <v>1</v>
      </c>
      <c r="K1272" s="70"/>
      <c r="L1272" s="9">
        <v>1</v>
      </c>
      <c r="M1272" s="3">
        <v>991</v>
      </c>
      <c r="N1272" s="6">
        <v>1978</v>
      </c>
      <c r="P1272" s="71"/>
      <c r="R1272" s="6">
        <v>1970</v>
      </c>
      <c r="S1272" s="3" t="s">
        <v>236</v>
      </c>
      <c r="T1272" s="72"/>
      <c r="U1272" s="73"/>
      <c r="W1272" s="2" t="s">
        <v>62</v>
      </c>
      <c r="X1272" s="10" t="s">
        <v>56</v>
      </c>
      <c r="Y1272" s="10" t="s">
        <v>57</v>
      </c>
      <c r="Z1272" s="75" t="s">
        <v>58</v>
      </c>
      <c r="AA1272" s="76"/>
      <c r="AB1272" s="77"/>
      <c r="AC1272" s="77"/>
      <c r="AD1272" s="10"/>
      <c r="AI1272" s="7"/>
      <c r="AJ1272" s="95">
        <v>29101</v>
      </c>
      <c r="AK1272" s="7">
        <v>1970</v>
      </c>
      <c r="AL1272" s="16" t="s">
        <v>3493</v>
      </c>
      <c r="AW1272" s="6">
        <f t="shared" ca="1" si="22"/>
        <v>47</v>
      </c>
    </row>
    <row r="1273" ht="45" hidden="1" customHeight="1">
      <c r="A1273" s="69"/>
      <c r="B1273" s="3" t="s">
        <v>47</v>
      </c>
      <c r="C1273" s="4" t="s">
        <v>1114</v>
      </c>
      <c r="E1273" s="2" t="s">
        <v>83</v>
      </c>
      <c r="F1273" s="6" t="s">
        <v>704</v>
      </c>
      <c r="G1273" s="5" t="s">
        <v>996</v>
      </c>
      <c r="H1273" s="2" t="s">
        <v>57</v>
      </c>
      <c r="I1273" s="3" t="s">
        <v>3494</v>
      </c>
      <c r="J1273" s="7">
        <v>1</v>
      </c>
      <c r="K1273" s="70"/>
      <c r="L1273" s="9">
        <v>1</v>
      </c>
      <c r="M1273" s="3">
        <v>992</v>
      </c>
      <c r="N1273" s="6">
        <v>1978</v>
      </c>
      <c r="P1273" s="71"/>
      <c r="R1273" s="6">
        <v>1970</v>
      </c>
      <c r="S1273" s="3" t="s">
        <v>236</v>
      </c>
      <c r="T1273" s="72"/>
      <c r="U1273" s="73"/>
      <c r="W1273" s="2" t="s">
        <v>62</v>
      </c>
      <c r="X1273" s="10" t="s">
        <v>56</v>
      </c>
      <c r="Y1273" s="10" t="s">
        <v>57</v>
      </c>
      <c r="Z1273" s="75"/>
      <c r="AA1273" s="76"/>
      <c r="AB1273" s="77"/>
      <c r="AC1273" s="77"/>
      <c r="AD1273" s="10"/>
      <c r="AI1273" s="7"/>
      <c r="AJ1273" s="95">
        <v>38028</v>
      </c>
      <c r="AK1273" s="7">
        <v>2000</v>
      </c>
      <c r="AL1273" s="16"/>
      <c r="AW1273" s="6">
        <f t="shared" ca="1" si="22"/>
        <v>47</v>
      </c>
    </row>
    <row r="1274" ht="45" customHeight="1">
      <c r="A1274" s="69"/>
      <c r="B1274" s="3" t="s">
        <v>47</v>
      </c>
      <c r="E1274" s="2" t="s">
        <v>83</v>
      </c>
      <c r="F1274" s="6" t="s">
        <v>704</v>
      </c>
      <c r="G1274" s="5" t="s">
        <v>3495</v>
      </c>
      <c r="H1274" s="2" t="s">
        <v>382</v>
      </c>
      <c r="I1274" s="3" t="s">
        <v>3496</v>
      </c>
      <c r="J1274" s="7">
        <v>1</v>
      </c>
      <c r="K1274" s="70" t="s">
        <v>53</v>
      </c>
      <c r="L1274" s="9">
        <v>1</v>
      </c>
      <c r="M1274" s="3">
        <v>993</v>
      </c>
      <c r="N1274" s="6">
        <v>1978</v>
      </c>
      <c r="P1274" s="71"/>
      <c r="R1274" s="6">
        <v>1970</v>
      </c>
      <c r="S1274" s="3" t="s">
        <v>54</v>
      </c>
      <c r="T1274" s="72"/>
      <c r="U1274" s="73"/>
      <c r="W1274" s="2" t="s">
        <v>3497</v>
      </c>
      <c r="X1274" s="10" t="s">
        <v>91</v>
      </c>
      <c r="Y1274" s="10" t="s">
        <v>385</v>
      </c>
      <c r="Z1274" s="75"/>
      <c r="AA1274" s="76"/>
      <c r="AB1274" s="77">
        <v>29339</v>
      </c>
      <c r="AC1274" s="77">
        <v>29339</v>
      </c>
      <c r="AD1274" s="10"/>
      <c r="AE1274" s="7">
        <v>1979</v>
      </c>
      <c r="AF1274" s="7">
        <v>85</v>
      </c>
      <c r="AG1274" s="7">
        <v>1980</v>
      </c>
      <c r="AH1274" s="7">
        <v>1980</v>
      </c>
      <c r="AI1274" s="7"/>
      <c r="AJ1274" s="73"/>
      <c r="AK1274" s="7"/>
      <c r="AL1274" s="16" t="s">
        <v>3498</v>
      </c>
      <c r="AM1274" s="2" t="s">
        <v>59</v>
      </c>
      <c r="AO1274" s="6" t="s">
        <v>59</v>
      </c>
      <c r="AW1274" s="6">
        <f t="shared" ca="1" si="22"/>
        <v>47</v>
      </c>
    </row>
    <row r="1275" ht="45" customHeight="1">
      <c r="A1275" s="69"/>
      <c r="B1275" s="3" t="s">
        <v>47</v>
      </c>
      <c r="E1275" s="2" t="s">
        <v>83</v>
      </c>
      <c r="F1275" s="6" t="s">
        <v>84</v>
      </c>
      <c r="G1275" s="5" t="s">
        <v>85</v>
      </c>
      <c r="H1275" s="2" t="s">
        <v>57</v>
      </c>
      <c r="I1275" s="3" t="s">
        <v>3499</v>
      </c>
      <c r="J1275" s="7">
        <v>1</v>
      </c>
      <c r="K1275" s="70" t="s">
        <v>53</v>
      </c>
      <c r="L1275" s="9">
        <v>1</v>
      </c>
      <c r="M1275" s="3">
        <v>994</v>
      </c>
      <c r="N1275" s="6">
        <v>1978</v>
      </c>
      <c r="P1275" s="71"/>
      <c r="R1275" s="6">
        <v>1970</v>
      </c>
      <c r="S1275" s="3" t="s">
        <v>54</v>
      </c>
      <c r="T1275" s="72"/>
      <c r="U1275" s="73"/>
      <c r="W1275" s="2" t="s">
        <v>3500</v>
      </c>
      <c r="X1275" s="10" t="s">
        <v>56</v>
      </c>
      <c r="Y1275" s="10" t="s">
        <v>57</v>
      </c>
      <c r="Z1275" s="75"/>
      <c r="AA1275" s="76"/>
      <c r="AB1275" s="77">
        <v>36132</v>
      </c>
      <c r="AC1275" s="77"/>
      <c r="AD1275" s="6"/>
      <c r="AE1275" s="7">
        <v>1998</v>
      </c>
      <c r="AF1275" s="7">
        <v>13</v>
      </c>
      <c r="AG1275" s="7">
        <v>1998</v>
      </c>
      <c r="AH1275" s="7">
        <v>1990</v>
      </c>
      <c r="AI1275" s="7"/>
      <c r="AJ1275" s="73"/>
      <c r="AK1275" s="7"/>
      <c r="AL1275" s="16" t="s">
        <v>3501</v>
      </c>
      <c r="AM1275" s="2" t="s">
        <v>59</v>
      </c>
      <c r="AW1275" s="6">
        <f t="shared" ca="1" si="22"/>
        <v>47</v>
      </c>
    </row>
    <row r="1276" ht="45" hidden="1" customHeight="1" outlineLevel="1">
      <c r="A1276" s="69"/>
      <c r="B1276" s="94" t="s">
        <v>47</v>
      </c>
      <c r="C1276" s="4" t="s">
        <v>3502</v>
      </c>
      <c r="E1276" s="2" t="s">
        <v>83</v>
      </c>
      <c r="F1276" s="6" t="s">
        <v>179</v>
      </c>
      <c r="G1276" s="5" t="s">
        <v>921</v>
      </c>
      <c r="H1276" s="2" t="s">
        <v>57</v>
      </c>
      <c r="I1276" s="3" t="s">
        <v>3503</v>
      </c>
      <c r="J1276" s="7">
        <v>1</v>
      </c>
      <c r="K1276" s="104"/>
      <c r="L1276" s="9">
        <v>1</v>
      </c>
      <c r="M1276" s="3">
        <v>995</v>
      </c>
      <c r="N1276" s="6">
        <v>1978</v>
      </c>
      <c r="P1276" s="71"/>
      <c r="R1276" s="6">
        <v>1970</v>
      </c>
      <c r="S1276" s="3" t="s">
        <v>2102</v>
      </c>
      <c r="T1276" s="72"/>
      <c r="U1276" s="73"/>
      <c r="W1276" s="74" t="s">
        <v>62</v>
      </c>
      <c r="X1276" s="10" t="s">
        <v>56</v>
      </c>
      <c r="Y1276" s="10" t="s">
        <v>57</v>
      </c>
      <c r="Z1276" s="75"/>
      <c r="AA1276" s="76"/>
      <c r="AB1276" s="77"/>
      <c r="AC1276" s="77"/>
      <c r="AD1276" s="6"/>
      <c r="AI1276" s="7"/>
      <c r="AJ1276" s="73"/>
      <c r="AK1276" s="7"/>
      <c r="AL1276" s="16"/>
      <c r="AW1276" s="6">
        <f t="shared" ca="1" si="22"/>
        <v>47</v>
      </c>
    </row>
    <row r="1277" ht="45" customHeight="1" outlineLevel="1">
      <c r="A1277" s="69"/>
      <c r="B1277" s="3" t="s">
        <v>47</v>
      </c>
      <c r="E1277" s="2" t="s">
        <v>63</v>
      </c>
      <c r="F1277" s="6" t="s">
        <v>64</v>
      </c>
      <c r="G1277" s="5" t="s">
        <v>69</v>
      </c>
      <c r="H1277" s="2" t="s">
        <v>57</v>
      </c>
      <c r="I1277" s="3" t="s">
        <v>3504</v>
      </c>
      <c r="J1277" s="7">
        <v>1</v>
      </c>
      <c r="K1277" s="70" t="s">
        <v>53</v>
      </c>
      <c r="L1277" s="9">
        <v>1</v>
      </c>
      <c r="M1277" s="3">
        <v>996</v>
      </c>
      <c r="N1277" s="6">
        <v>1978</v>
      </c>
      <c r="P1277" s="71"/>
      <c r="R1277" s="6">
        <v>1970</v>
      </c>
      <c r="S1277" s="3" t="s">
        <v>54</v>
      </c>
      <c r="T1277" s="72"/>
      <c r="U1277" s="73"/>
      <c r="W1277" s="2" t="s">
        <v>3505</v>
      </c>
      <c r="X1277" s="10" t="s">
        <v>56</v>
      </c>
      <c r="Y1277" s="10" t="s">
        <v>57</v>
      </c>
      <c r="Z1277" s="75" t="s">
        <v>58</v>
      </c>
      <c r="AA1277" s="76"/>
      <c r="AB1277" s="77">
        <v>29339</v>
      </c>
      <c r="AC1277" s="77">
        <v>29339</v>
      </c>
      <c r="AD1277" s="10"/>
      <c r="AE1277" s="7">
        <v>1979</v>
      </c>
      <c r="AF1277" s="7" t="s">
        <v>3506</v>
      </c>
      <c r="AG1277" s="7">
        <v>1980</v>
      </c>
      <c r="AH1277" s="7">
        <v>1980</v>
      </c>
      <c r="AI1277" s="7">
        <v>1984</v>
      </c>
      <c r="AJ1277" s="73"/>
      <c r="AK1277" s="7"/>
      <c r="AL1277" s="16" t="s">
        <v>664</v>
      </c>
      <c r="AM1277" s="2" t="s">
        <v>59</v>
      </c>
      <c r="AO1277" s="6" t="s">
        <v>73</v>
      </c>
      <c r="AU1277" s="16" t="s">
        <v>74</v>
      </c>
      <c r="AW1277" s="6">
        <f t="shared" ca="1" si="22"/>
        <v>47</v>
      </c>
    </row>
    <row r="1278" ht="45" hidden="1" customHeight="1">
      <c r="A1278" s="69"/>
      <c r="B1278" s="3" t="s">
        <v>47</v>
      </c>
      <c r="C1278" s="4" t="s">
        <v>3507</v>
      </c>
      <c r="E1278" s="2" t="s">
        <v>63</v>
      </c>
      <c r="F1278" s="6" t="s">
        <v>172</v>
      </c>
      <c r="G1278" s="5" t="s">
        <v>3508</v>
      </c>
      <c r="H1278" s="2" t="s">
        <v>57</v>
      </c>
      <c r="I1278" s="3" t="s">
        <v>3509</v>
      </c>
      <c r="J1278" s="7">
        <v>1</v>
      </c>
      <c r="K1278" s="70"/>
      <c r="L1278" s="9">
        <v>1</v>
      </c>
      <c r="M1278" s="3">
        <v>997</v>
      </c>
      <c r="N1278" s="6">
        <v>1979</v>
      </c>
      <c r="P1278" s="71"/>
      <c r="R1278" s="6">
        <v>1970</v>
      </c>
      <c r="S1278" s="3" t="s">
        <v>939</v>
      </c>
      <c r="T1278" s="72"/>
      <c r="U1278" s="73"/>
      <c r="W1278" s="2" t="s">
        <v>3510</v>
      </c>
      <c r="X1278" s="10" t="s">
        <v>56</v>
      </c>
      <c r="Y1278" s="10" t="s">
        <v>57</v>
      </c>
      <c r="Z1278" s="75"/>
      <c r="AA1278" s="76"/>
      <c r="AB1278" s="77"/>
      <c r="AC1278" s="77"/>
      <c r="AD1278" s="10"/>
      <c r="AI1278" s="7"/>
      <c r="AJ1278" s="73"/>
      <c r="AK1278" s="7"/>
      <c r="AL1278" s="16" t="s">
        <v>3511</v>
      </c>
      <c r="AW1278" s="6">
        <f t="shared" ca="1" si="22"/>
        <v>46</v>
      </c>
    </row>
    <row r="1279" ht="45" hidden="1" customHeight="1">
      <c r="A1279" s="69"/>
      <c r="B1279" s="3" t="s">
        <v>47</v>
      </c>
      <c r="C1279" s="4" t="s">
        <v>3512</v>
      </c>
      <c r="E1279" s="2" t="s">
        <v>63</v>
      </c>
      <c r="F1279" s="6" t="s">
        <v>172</v>
      </c>
      <c r="G1279" s="5" t="s">
        <v>3508</v>
      </c>
      <c r="H1279" s="2" t="s">
        <v>51</v>
      </c>
      <c r="I1279" s="3" t="s">
        <v>3513</v>
      </c>
      <c r="J1279" s="7">
        <v>1</v>
      </c>
      <c r="K1279" s="70"/>
      <c r="L1279" s="9">
        <v>1</v>
      </c>
      <c r="M1279" s="3">
        <v>998</v>
      </c>
      <c r="N1279" s="6">
        <v>1979</v>
      </c>
      <c r="P1279" s="71"/>
      <c r="R1279" s="6">
        <v>1970</v>
      </c>
      <c r="S1279" s="3" t="s">
        <v>939</v>
      </c>
      <c r="T1279" s="72"/>
      <c r="U1279" s="73"/>
      <c r="W1279" s="2" t="s">
        <v>3514</v>
      </c>
      <c r="X1279" s="10" t="s">
        <v>56</v>
      </c>
      <c r="Y1279" s="10" t="s">
        <v>57</v>
      </c>
      <c r="Z1279" s="75" t="s">
        <v>58</v>
      </c>
      <c r="AA1279" s="76"/>
      <c r="AB1279" s="77"/>
      <c r="AC1279" s="77"/>
      <c r="AD1279" s="10"/>
      <c r="AI1279" s="7"/>
      <c r="AJ1279" s="73"/>
      <c r="AK1279" s="7"/>
      <c r="AL1279" s="16"/>
      <c r="AW1279" s="6">
        <f t="shared" ca="1" si="22"/>
        <v>46</v>
      </c>
    </row>
    <row r="1280" ht="45" hidden="1" customHeight="1">
      <c r="A1280" s="69">
        <v>44068</v>
      </c>
      <c r="B1280" s="3" t="s">
        <v>47</v>
      </c>
      <c r="C1280" s="4" t="s">
        <v>3515</v>
      </c>
      <c r="D1280" s="5" t="s">
        <v>3516</v>
      </c>
      <c r="E1280" s="2" t="s">
        <v>63</v>
      </c>
      <c r="F1280" s="6" t="s">
        <v>428</v>
      </c>
      <c r="G1280" s="5" t="s">
        <v>2648</v>
      </c>
      <c r="H1280" s="2" t="s">
        <v>51</v>
      </c>
      <c r="I1280" s="3" t="s">
        <v>3517</v>
      </c>
      <c r="J1280" s="7">
        <v>1</v>
      </c>
      <c r="K1280" s="70"/>
      <c r="L1280" s="9">
        <v>1</v>
      </c>
      <c r="M1280" s="3">
        <v>999</v>
      </c>
      <c r="N1280" s="6">
        <v>1979</v>
      </c>
      <c r="O1280" s="10" t="s">
        <v>2064</v>
      </c>
      <c r="P1280" s="71"/>
      <c r="Q1280" s="10" t="s">
        <v>1453</v>
      </c>
      <c r="R1280" s="6">
        <v>1970</v>
      </c>
      <c r="S1280" s="3" t="s">
        <v>236</v>
      </c>
      <c r="T1280" s="72" t="s">
        <v>1136</v>
      </c>
      <c r="U1280" s="73">
        <v>44070</v>
      </c>
      <c r="W1280" s="2" t="s">
        <v>62</v>
      </c>
      <c r="X1280" s="10" t="s">
        <v>56</v>
      </c>
      <c r="Y1280" s="10" t="s">
        <v>57</v>
      </c>
      <c r="Z1280" s="75" t="s">
        <v>58</v>
      </c>
      <c r="AA1280" s="76"/>
      <c r="AB1280" s="77"/>
      <c r="AC1280" s="77"/>
      <c r="AD1280" s="10"/>
      <c r="AI1280" s="7"/>
      <c r="AK1280" s="7"/>
      <c r="AL1280" s="16"/>
      <c r="AW1280" s="6">
        <f t="shared" ca="1" si="22"/>
        <v>46</v>
      </c>
    </row>
    <row r="1281" ht="45" hidden="1" customHeight="1">
      <c r="A1281" s="69">
        <v>40863</v>
      </c>
      <c r="B1281" s="3" t="s">
        <v>47</v>
      </c>
      <c r="C1281" s="4" t="s">
        <v>3518</v>
      </c>
      <c r="D1281" s="5" t="s">
        <v>3519</v>
      </c>
      <c r="E1281" s="2" t="s">
        <v>83</v>
      </c>
      <c r="F1281" s="6" t="s">
        <v>704</v>
      </c>
      <c r="G1281" s="5" t="s">
        <v>705</v>
      </c>
      <c r="H1281" s="2" t="s">
        <v>88</v>
      </c>
      <c r="I1281" s="3" t="s">
        <v>3520</v>
      </c>
      <c r="J1281" s="7">
        <v>1</v>
      </c>
      <c r="K1281" s="70"/>
      <c r="L1281" s="9">
        <v>1</v>
      </c>
      <c r="M1281" s="3">
        <v>1000</v>
      </c>
      <c r="N1281" s="6">
        <v>1979</v>
      </c>
      <c r="P1281" s="71"/>
      <c r="R1281" s="6">
        <v>1970</v>
      </c>
      <c r="S1281" s="3" t="s">
        <v>236</v>
      </c>
      <c r="T1281" s="72"/>
      <c r="W1281" s="2" t="s">
        <v>62</v>
      </c>
      <c r="X1281" s="10" t="s">
        <v>91</v>
      </c>
      <c r="Y1281" s="10" t="s">
        <v>92</v>
      </c>
      <c r="Z1281" s="75"/>
      <c r="AA1281" s="76"/>
      <c r="AB1281" s="77"/>
      <c r="AC1281" s="77"/>
      <c r="AD1281" s="10"/>
      <c r="AI1281" s="7"/>
      <c r="AJ1281" s="10">
        <v>44748</v>
      </c>
      <c r="AK1281" s="7">
        <v>2020</v>
      </c>
      <c r="AW1281" s="6">
        <f t="shared" ca="1" si="22"/>
        <v>46</v>
      </c>
    </row>
    <row r="1282" ht="45" hidden="1" customHeight="1">
      <c r="A1282" s="69"/>
      <c r="B1282" s="3" t="s">
        <v>47</v>
      </c>
      <c r="C1282" s="4" t="s">
        <v>3521</v>
      </c>
      <c r="E1282" s="2" t="s">
        <v>63</v>
      </c>
      <c r="F1282" s="6" t="s">
        <v>428</v>
      </c>
      <c r="G1282" s="5" t="s">
        <v>3522</v>
      </c>
      <c r="H1282" s="2" t="s">
        <v>57</v>
      </c>
      <c r="I1282" s="3" t="s">
        <v>3523</v>
      </c>
      <c r="J1282" s="7">
        <v>1</v>
      </c>
      <c r="K1282" s="70"/>
      <c r="L1282" s="9">
        <v>1</v>
      </c>
      <c r="M1282" s="3">
        <v>1001</v>
      </c>
      <c r="N1282" s="6">
        <v>1979</v>
      </c>
      <c r="P1282" s="71"/>
      <c r="R1282" s="6">
        <v>1970</v>
      </c>
      <c r="S1282" s="3" t="s">
        <v>236</v>
      </c>
      <c r="T1282" s="72"/>
      <c r="U1282" s="73"/>
      <c r="W1282" s="2" t="s">
        <v>62</v>
      </c>
      <c r="X1282" s="10" t="s">
        <v>56</v>
      </c>
      <c r="Y1282" s="10" t="s">
        <v>57</v>
      </c>
      <c r="Z1282" s="75"/>
      <c r="AA1282" s="76"/>
      <c r="AB1282" s="77"/>
      <c r="AC1282" s="77"/>
      <c r="AD1282" s="10"/>
      <c r="AE1282" s="7">
        <v>1979</v>
      </c>
      <c r="AF1282" s="7">
        <v>85</v>
      </c>
      <c r="AI1282" s="7"/>
      <c r="AJ1282" s="95">
        <v>28927</v>
      </c>
      <c r="AK1282" s="7">
        <v>1970</v>
      </c>
      <c r="AL1282" s="16"/>
      <c r="AW1282" s="6">
        <f t="shared" ca="1" si="22"/>
        <v>46</v>
      </c>
    </row>
    <row r="1283" ht="45" hidden="1" customHeight="1" outlineLevel="1">
      <c r="A1283" s="69"/>
      <c r="B1283" s="3" t="s">
        <v>47</v>
      </c>
      <c r="C1283" s="4" t="s">
        <v>3524</v>
      </c>
      <c r="D1283" s="5" t="s">
        <v>3525</v>
      </c>
      <c r="E1283" s="2" t="s">
        <v>83</v>
      </c>
      <c r="F1283" s="6" t="s">
        <v>84</v>
      </c>
      <c r="G1283" s="5" t="s">
        <v>3526</v>
      </c>
      <c r="H1283" s="2" t="s">
        <v>51</v>
      </c>
      <c r="I1283" s="3" t="s">
        <v>3527</v>
      </c>
      <c r="J1283" s="7">
        <v>1</v>
      </c>
      <c r="L1283" s="9">
        <v>1</v>
      </c>
      <c r="M1283" s="3">
        <v>1002</v>
      </c>
      <c r="N1283" s="6">
        <v>1979</v>
      </c>
      <c r="P1283" s="71"/>
      <c r="R1283" s="6">
        <v>1970</v>
      </c>
      <c r="S1283" s="3" t="s">
        <v>236</v>
      </c>
      <c r="T1283" s="72"/>
      <c r="U1283" s="73">
        <v>43433</v>
      </c>
      <c r="W1283" s="2" t="s">
        <v>62</v>
      </c>
      <c r="X1283" s="10" t="s">
        <v>56</v>
      </c>
      <c r="Y1283" s="10" t="s">
        <v>57</v>
      </c>
      <c r="Z1283" s="75" t="s">
        <v>58</v>
      </c>
      <c r="AI1283" s="7"/>
      <c r="AJ1283" s="10">
        <v>43433</v>
      </c>
      <c r="AK1283" s="7">
        <v>2010</v>
      </c>
      <c r="AL1283" s="16"/>
      <c r="AW1283" s="6">
        <f t="shared" ca="1" si="22"/>
        <v>46</v>
      </c>
    </row>
    <row r="1284" ht="45" hidden="1" customHeight="1" outlineLevel="1">
      <c r="A1284" s="69"/>
      <c r="B1284" s="3" t="s">
        <v>47</v>
      </c>
      <c r="C1284" s="4" t="s">
        <v>3134</v>
      </c>
      <c r="D1284" s="5" t="s">
        <v>3528</v>
      </c>
      <c r="E1284" s="2" t="s">
        <v>48</v>
      </c>
      <c r="F1284" s="6" t="s">
        <v>49</v>
      </c>
      <c r="G1284" s="5" t="s">
        <v>87</v>
      </c>
      <c r="H1284" s="2" t="s">
        <v>57</v>
      </c>
      <c r="I1284" s="3" t="s">
        <v>3529</v>
      </c>
      <c r="J1284" s="7">
        <v>1</v>
      </c>
      <c r="L1284" s="9">
        <v>1</v>
      </c>
      <c r="M1284" s="3">
        <v>1003</v>
      </c>
      <c r="N1284" s="6">
        <v>1979</v>
      </c>
      <c r="P1284" s="71"/>
      <c r="R1284" s="6">
        <v>1970</v>
      </c>
      <c r="S1284" s="3" t="s">
        <v>236</v>
      </c>
      <c r="T1284" s="72"/>
      <c r="U1284" s="73"/>
      <c r="W1284" s="2" t="s">
        <v>62</v>
      </c>
      <c r="X1284" s="10" t="s">
        <v>56</v>
      </c>
      <c r="Y1284" s="10" t="s">
        <v>57</v>
      </c>
      <c r="Z1284" s="75"/>
      <c r="AI1284" s="7"/>
      <c r="AJ1284" s="95">
        <v>41877</v>
      </c>
      <c r="AK1284" s="7">
        <v>2010</v>
      </c>
      <c r="AL1284" s="16"/>
      <c r="AW1284" s="6">
        <f t="shared" ca="1" si="22"/>
        <v>46</v>
      </c>
    </row>
    <row r="1285" ht="45" hidden="1" customHeight="1">
      <c r="A1285" s="69"/>
      <c r="B1285" s="3" t="s">
        <v>47</v>
      </c>
      <c r="C1285" s="4" t="s">
        <v>1393</v>
      </c>
      <c r="E1285" s="2" t="s">
        <v>83</v>
      </c>
      <c r="F1285" s="6" t="s">
        <v>84</v>
      </c>
      <c r="G1285" s="5" t="s">
        <v>3530</v>
      </c>
      <c r="H1285" s="2" t="s">
        <v>51</v>
      </c>
      <c r="I1285" s="3" t="s">
        <v>3531</v>
      </c>
      <c r="J1285" s="7">
        <v>1</v>
      </c>
      <c r="K1285" s="70"/>
      <c r="L1285" s="9">
        <v>1</v>
      </c>
      <c r="M1285" s="3">
        <v>1004</v>
      </c>
      <c r="N1285" s="6">
        <v>1979</v>
      </c>
      <c r="P1285" s="71"/>
      <c r="R1285" s="6">
        <v>1970</v>
      </c>
      <c r="S1285" s="3" t="s">
        <v>236</v>
      </c>
      <c r="T1285" s="72"/>
      <c r="U1285" s="73"/>
      <c r="W1285" s="2" t="s">
        <v>62</v>
      </c>
      <c r="X1285" s="10" t="s">
        <v>56</v>
      </c>
      <c r="Y1285" s="10" t="s">
        <v>57</v>
      </c>
      <c r="Z1285" s="75" t="s">
        <v>58</v>
      </c>
      <c r="AA1285" s="76"/>
      <c r="AB1285" s="77"/>
      <c r="AC1285" s="77"/>
      <c r="AD1285" s="10"/>
      <c r="AI1285" s="7"/>
      <c r="AJ1285" s="95">
        <v>36283</v>
      </c>
      <c r="AK1285" s="7">
        <v>1990</v>
      </c>
      <c r="AL1285" s="16"/>
      <c r="AW1285" s="6">
        <f t="shared" ca="1" si="22"/>
        <v>46</v>
      </c>
    </row>
    <row r="1286" ht="45" hidden="1" customHeight="1">
      <c r="A1286" s="69"/>
      <c r="B1286" s="3" t="s">
        <v>47</v>
      </c>
      <c r="C1286" s="4" t="s">
        <v>1393</v>
      </c>
      <c r="E1286" s="2" t="s">
        <v>83</v>
      </c>
      <c r="F1286" s="6" t="s">
        <v>84</v>
      </c>
      <c r="G1286" s="5" t="s">
        <v>797</v>
      </c>
      <c r="H1286" s="2" t="s">
        <v>57</v>
      </c>
      <c r="I1286" s="96" t="s">
        <v>3532</v>
      </c>
      <c r="J1286" s="7">
        <v>1</v>
      </c>
      <c r="K1286" s="70"/>
      <c r="L1286" s="9">
        <v>1</v>
      </c>
      <c r="M1286" s="3">
        <v>1005</v>
      </c>
      <c r="N1286" s="6">
        <v>1979</v>
      </c>
      <c r="P1286" s="71"/>
      <c r="R1286" s="6">
        <v>1970</v>
      </c>
      <c r="S1286" s="3" t="s">
        <v>236</v>
      </c>
      <c r="T1286" s="72"/>
      <c r="U1286" s="73"/>
      <c r="W1286" s="2" t="s">
        <v>62</v>
      </c>
      <c r="X1286" s="10" t="s">
        <v>56</v>
      </c>
      <c r="Y1286" s="10" t="s">
        <v>57</v>
      </c>
      <c r="Z1286" s="75"/>
      <c r="AA1286" s="76"/>
      <c r="AB1286" s="77"/>
      <c r="AC1286" s="77"/>
      <c r="AD1286" s="10"/>
      <c r="AI1286" s="7"/>
      <c r="AJ1286" s="95">
        <v>36283</v>
      </c>
      <c r="AK1286" s="7">
        <v>1990</v>
      </c>
      <c r="AL1286" s="16"/>
      <c r="AW1286" s="6">
        <f t="shared" ca="1" si="22"/>
        <v>46</v>
      </c>
    </row>
    <row r="1287" ht="45" hidden="1" customHeight="1">
      <c r="A1287" s="69"/>
      <c r="B1287" s="3" t="s">
        <v>47</v>
      </c>
      <c r="C1287" s="4" t="s">
        <v>3533</v>
      </c>
      <c r="E1287" s="2" t="s">
        <v>83</v>
      </c>
      <c r="F1287" s="6" t="s">
        <v>84</v>
      </c>
      <c r="G1287" s="5" t="s">
        <v>85</v>
      </c>
      <c r="H1287" s="2" t="s">
        <v>68</v>
      </c>
      <c r="I1287" s="3" t="s">
        <v>3534</v>
      </c>
      <c r="J1287" s="7">
        <v>1</v>
      </c>
      <c r="K1287" s="70"/>
      <c r="L1287" s="9">
        <v>1</v>
      </c>
      <c r="M1287" s="3">
        <v>1006</v>
      </c>
      <c r="N1287" s="6">
        <v>1979</v>
      </c>
      <c r="P1287" s="71"/>
      <c r="R1287" s="6">
        <v>1970</v>
      </c>
      <c r="S1287" s="3" t="s">
        <v>236</v>
      </c>
      <c r="T1287" s="72"/>
      <c r="U1287" s="73"/>
      <c r="W1287" s="2" t="s">
        <v>62</v>
      </c>
      <c r="X1287" s="10" t="s">
        <v>56</v>
      </c>
      <c r="Y1287" s="10" t="s">
        <v>68</v>
      </c>
      <c r="Z1287" s="75"/>
      <c r="AA1287" s="76"/>
      <c r="AB1287" s="77"/>
      <c r="AC1287" s="77"/>
      <c r="AD1287" s="10"/>
      <c r="AI1287" s="7"/>
      <c r="AJ1287" s="95">
        <v>31632</v>
      </c>
      <c r="AK1287" s="7">
        <v>1980</v>
      </c>
      <c r="AL1287" s="16"/>
      <c r="AU1287" s="16" t="s">
        <v>3535</v>
      </c>
      <c r="AW1287" s="6">
        <f t="shared" ca="1" si="22"/>
        <v>46</v>
      </c>
    </row>
    <row r="1288" ht="45" hidden="1" customHeight="1">
      <c r="A1288" s="69"/>
      <c r="B1288" s="3" t="s">
        <v>47</v>
      </c>
      <c r="C1288" s="4" t="s">
        <v>1263</v>
      </c>
      <c r="E1288" s="2" t="s">
        <v>83</v>
      </c>
      <c r="F1288" s="6" t="s">
        <v>84</v>
      </c>
      <c r="G1288" s="5" t="s">
        <v>1068</v>
      </c>
      <c r="H1288" s="2" t="s">
        <v>57</v>
      </c>
      <c r="I1288" s="96" t="s">
        <v>3536</v>
      </c>
      <c r="J1288" s="7">
        <v>1</v>
      </c>
      <c r="K1288" s="70"/>
      <c r="L1288" s="9">
        <v>1</v>
      </c>
      <c r="M1288" s="3">
        <v>1007</v>
      </c>
      <c r="N1288" s="6">
        <v>1979</v>
      </c>
      <c r="P1288" s="71"/>
      <c r="R1288" s="6">
        <v>1970</v>
      </c>
      <c r="S1288" s="3" t="s">
        <v>236</v>
      </c>
      <c r="T1288" s="72"/>
      <c r="U1288" s="73"/>
      <c r="W1288" s="2" t="s">
        <v>62</v>
      </c>
      <c r="X1288" s="10" t="s">
        <v>56</v>
      </c>
      <c r="Y1288" s="10" t="s">
        <v>57</v>
      </c>
      <c r="Z1288" s="75"/>
      <c r="AA1288" s="76"/>
      <c r="AB1288" s="77"/>
      <c r="AC1288" s="77"/>
      <c r="AD1288" s="10"/>
      <c r="AI1288" s="7"/>
      <c r="AJ1288" s="95">
        <v>38044</v>
      </c>
      <c r="AK1288" s="7">
        <v>2000</v>
      </c>
      <c r="AL1288" s="16" t="s">
        <v>3537</v>
      </c>
      <c r="AW1288" s="6">
        <f t="shared" ca="1" si="22"/>
        <v>46</v>
      </c>
    </row>
    <row r="1289" ht="45" hidden="1" customHeight="1">
      <c r="A1289" s="69"/>
      <c r="B1289" s="3" t="s">
        <v>47</v>
      </c>
      <c r="C1289" s="4" t="s">
        <v>3538</v>
      </c>
      <c r="E1289" s="2" t="s">
        <v>83</v>
      </c>
      <c r="F1289" s="6" t="s">
        <v>84</v>
      </c>
      <c r="G1289" s="5" t="s">
        <v>2722</v>
      </c>
      <c r="H1289" s="2" t="s">
        <v>57</v>
      </c>
      <c r="I1289" s="3" t="s">
        <v>3539</v>
      </c>
      <c r="J1289" s="7">
        <v>1</v>
      </c>
      <c r="K1289" s="70"/>
      <c r="L1289" s="9">
        <v>1</v>
      </c>
      <c r="M1289" s="3">
        <v>1008</v>
      </c>
      <c r="N1289" s="6">
        <v>1979</v>
      </c>
      <c r="P1289" s="71"/>
      <c r="R1289" s="6">
        <v>1970</v>
      </c>
      <c r="S1289" s="3" t="s">
        <v>939</v>
      </c>
      <c r="T1289" s="72"/>
      <c r="U1289" s="73"/>
      <c r="W1289" s="2" t="s">
        <v>3540</v>
      </c>
      <c r="X1289" s="10" t="s">
        <v>56</v>
      </c>
      <c r="Y1289" s="10" t="s">
        <v>57</v>
      </c>
      <c r="Z1289" s="75"/>
      <c r="AA1289" s="76"/>
      <c r="AB1289" s="77"/>
      <c r="AC1289" s="77"/>
      <c r="AD1289" s="10"/>
      <c r="AI1289" s="7"/>
      <c r="AJ1289" s="73">
        <v>42262</v>
      </c>
      <c r="AK1289" s="7"/>
      <c r="AL1289" s="16" t="s">
        <v>3541</v>
      </c>
      <c r="AW1289" s="6">
        <f t="shared" ca="1" si="22"/>
        <v>46</v>
      </c>
    </row>
    <row r="1290" ht="45" customHeight="1" outlineLevel="1">
      <c r="A1290" s="69"/>
      <c r="B1290" s="3" t="s">
        <v>47</v>
      </c>
      <c r="E1290" s="78" t="s">
        <v>83</v>
      </c>
      <c r="F1290" s="79" t="s">
        <v>84</v>
      </c>
      <c r="G1290" s="80" t="s">
        <v>85</v>
      </c>
      <c r="H1290" s="78" t="s">
        <v>68</v>
      </c>
      <c r="I1290" s="81" t="s">
        <v>3542</v>
      </c>
      <c r="J1290" s="7">
        <v>1</v>
      </c>
      <c r="K1290" s="70" t="s">
        <v>53</v>
      </c>
      <c r="L1290" s="9">
        <v>1</v>
      </c>
      <c r="M1290" s="3">
        <v>1009</v>
      </c>
      <c r="N1290" s="6">
        <v>1979</v>
      </c>
      <c r="P1290" s="71"/>
      <c r="R1290" s="6">
        <v>1970</v>
      </c>
      <c r="S1290" s="3" t="s">
        <v>54</v>
      </c>
      <c r="T1290" s="72"/>
      <c r="U1290" s="73"/>
      <c r="W1290" s="78" t="s">
        <v>3543</v>
      </c>
      <c r="X1290" s="82" t="s">
        <v>56</v>
      </c>
      <c r="Y1290" s="82" t="s">
        <v>68</v>
      </c>
      <c r="Z1290" s="83"/>
      <c r="AA1290" s="76">
        <v>31638</v>
      </c>
      <c r="AB1290" s="77">
        <v>31638</v>
      </c>
      <c r="AC1290" s="77"/>
      <c r="AD1290" s="6"/>
      <c r="AE1290" s="7">
        <v>1984</v>
      </c>
      <c r="AF1290" s="7">
        <v>111</v>
      </c>
      <c r="AG1290" s="7">
        <v>1986</v>
      </c>
      <c r="AH1290" s="7">
        <v>1980</v>
      </c>
      <c r="AI1290" s="7"/>
      <c r="AJ1290" s="73"/>
      <c r="AK1290" s="7"/>
      <c r="AL1290" s="16"/>
      <c r="AM1290" s="2" t="s">
        <v>53</v>
      </c>
      <c r="AN1290" s="6" t="s">
        <v>73</v>
      </c>
      <c r="AU1290" s="16" t="s">
        <v>3544</v>
      </c>
      <c r="AW1290" s="6">
        <f t="shared" ca="1" si="22"/>
        <v>46</v>
      </c>
    </row>
    <row r="1291" ht="45" hidden="1" customHeight="1" outlineLevel="1">
      <c r="A1291" s="69"/>
      <c r="B1291" s="3" t="s">
        <v>47</v>
      </c>
      <c r="C1291" s="4" t="s">
        <v>3545</v>
      </c>
      <c r="D1291" s="5" t="s">
        <v>3546</v>
      </c>
      <c r="E1291" s="2" t="s">
        <v>83</v>
      </c>
      <c r="F1291" s="6" t="s">
        <v>179</v>
      </c>
      <c r="G1291" s="5" t="s">
        <v>1898</v>
      </c>
      <c r="H1291" s="2" t="s">
        <v>57</v>
      </c>
      <c r="I1291" s="3" t="s">
        <v>3547</v>
      </c>
      <c r="J1291" s="7">
        <v>1</v>
      </c>
      <c r="K1291" s="104"/>
      <c r="L1291" s="9">
        <v>1</v>
      </c>
      <c r="M1291" s="3">
        <v>1010</v>
      </c>
      <c r="N1291" s="6">
        <v>1979</v>
      </c>
      <c r="P1291" s="71"/>
      <c r="R1291" s="6">
        <v>1970</v>
      </c>
      <c r="S1291" s="3" t="s">
        <v>236</v>
      </c>
      <c r="T1291" s="72"/>
      <c r="U1291" s="73"/>
      <c r="W1291" s="2" t="s">
        <v>62</v>
      </c>
      <c r="X1291" s="10" t="s">
        <v>56</v>
      </c>
      <c r="Y1291" s="10" t="s">
        <v>57</v>
      </c>
      <c r="Z1291" s="75"/>
      <c r="AA1291" s="76"/>
      <c r="AB1291" s="77"/>
      <c r="AC1291" s="77"/>
      <c r="AD1291" s="6"/>
      <c r="AI1291" s="7"/>
      <c r="AJ1291" s="10">
        <v>43818</v>
      </c>
      <c r="AK1291" s="7">
        <v>2010</v>
      </c>
      <c r="AL1291" s="16"/>
      <c r="AW1291" s="6">
        <f t="shared" ca="1" si="22"/>
        <v>46</v>
      </c>
    </row>
    <row r="1292" ht="45" hidden="1" customHeight="1" outlineLevel="1">
      <c r="A1292" s="69">
        <v>44342</v>
      </c>
      <c r="B1292" s="3" t="s">
        <v>47</v>
      </c>
      <c r="C1292" s="4" t="s">
        <v>3548</v>
      </c>
      <c r="D1292" s="5" t="s">
        <v>3549</v>
      </c>
      <c r="E1292" s="2" t="s">
        <v>83</v>
      </c>
      <c r="F1292" s="6" t="s">
        <v>84</v>
      </c>
      <c r="G1292" s="5" t="s">
        <v>3115</v>
      </c>
      <c r="H1292" s="2" t="s">
        <v>68</v>
      </c>
      <c r="I1292" s="3" t="s">
        <v>3550</v>
      </c>
      <c r="J1292" s="7">
        <v>1</v>
      </c>
      <c r="K1292" s="104"/>
      <c r="L1292" s="9">
        <v>1</v>
      </c>
      <c r="M1292" s="3">
        <v>1011</v>
      </c>
      <c r="N1292" s="6">
        <v>1979</v>
      </c>
      <c r="P1292" s="71"/>
      <c r="R1292" s="6">
        <v>1970</v>
      </c>
      <c r="S1292" s="3" t="s">
        <v>236</v>
      </c>
      <c r="T1292" s="72"/>
      <c r="W1292" s="2" t="s">
        <v>62</v>
      </c>
      <c r="X1292" s="10" t="s">
        <v>56</v>
      </c>
      <c r="Y1292" s="10" t="s">
        <v>68</v>
      </c>
      <c r="Z1292" s="75"/>
      <c r="AA1292" s="76"/>
      <c r="AB1292" s="77"/>
      <c r="AC1292" s="77"/>
      <c r="AD1292" s="6"/>
      <c r="AI1292" s="7"/>
      <c r="AJ1292" s="10">
        <v>44722</v>
      </c>
      <c r="AK1292" s="7">
        <v>2020</v>
      </c>
      <c r="AL1292" s="16"/>
      <c r="AW1292" s="6">
        <f t="shared" ca="1" si="22"/>
        <v>46</v>
      </c>
    </row>
    <row r="1293" ht="45" hidden="1" customHeight="1">
      <c r="A1293" s="69">
        <v>45181</v>
      </c>
      <c r="B1293" s="3" t="s">
        <v>190</v>
      </c>
      <c r="C1293" s="4" t="s">
        <v>3551</v>
      </c>
      <c r="D1293" s="186" t="s">
        <v>3552</v>
      </c>
      <c r="E1293" s="2" t="s">
        <v>83</v>
      </c>
      <c r="F1293" s="6" t="s">
        <v>179</v>
      </c>
      <c r="G1293" s="5" t="s">
        <v>298</v>
      </c>
      <c r="H1293" s="2" t="s">
        <v>508</v>
      </c>
      <c r="I1293" s="3" t="s">
        <v>3553</v>
      </c>
      <c r="J1293" s="7">
        <v>1</v>
      </c>
      <c r="L1293" s="9">
        <v>1</v>
      </c>
      <c r="M1293" s="3">
        <v>1012</v>
      </c>
      <c r="N1293" s="6">
        <v>1979</v>
      </c>
      <c r="O1293" s="10">
        <v>32706</v>
      </c>
      <c r="P1293" s="71" t="s">
        <v>3554</v>
      </c>
      <c r="Q1293" s="10">
        <v>31890</v>
      </c>
      <c r="R1293" s="6">
        <v>1970</v>
      </c>
      <c r="S1293" s="3" t="s">
        <v>283</v>
      </c>
      <c r="T1293" s="72" t="s">
        <v>998</v>
      </c>
      <c r="U1293" s="73"/>
      <c r="W1293" s="74" t="s">
        <v>62</v>
      </c>
      <c r="X1293" s="10" t="s">
        <v>504</v>
      </c>
      <c r="Y1293" s="10" t="s">
        <v>511</v>
      </c>
      <c r="Z1293" s="75"/>
      <c r="AI1293" s="7"/>
      <c r="AJ1293" s="73"/>
      <c r="AK1293" s="7"/>
      <c r="AL1293" s="16"/>
      <c r="AW1293" s="6">
        <f t="shared" ca="1" si="22"/>
        <v>46</v>
      </c>
    </row>
    <row r="1294" ht="45" hidden="1" customHeight="1" outlineLevel="1">
      <c r="A1294" s="69"/>
      <c r="B1294" s="3" t="s">
        <v>47</v>
      </c>
      <c r="C1294" s="4" t="s">
        <v>3533</v>
      </c>
      <c r="E1294" s="2" t="s">
        <v>83</v>
      </c>
      <c r="F1294" s="6" t="s">
        <v>84</v>
      </c>
      <c r="G1294" s="5" t="s">
        <v>85</v>
      </c>
      <c r="H1294" s="2" t="s">
        <v>288</v>
      </c>
      <c r="I1294" s="3" t="s">
        <v>3555</v>
      </c>
      <c r="J1294" s="7">
        <v>1</v>
      </c>
      <c r="L1294" s="9">
        <v>1</v>
      </c>
      <c r="M1294" s="3">
        <v>1013</v>
      </c>
      <c r="N1294" s="6">
        <v>1979</v>
      </c>
      <c r="P1294" s="71"/>
      <c r="R1294" s="6">
        <v>1970</v>
      </c>
      <c r="S1294" s="3" t="s">
        <v>236</v>
      </c>
      <c r="T1294" s="72"/>
      <c r="U1294" s="73"/>
      <c r="W1294" s="2" t="s">
        <v>62</v>
      </c>
      <c r="X1294" s="10" t="s">
        <v>56</v>
      </c>
      <c r="Y1294" s="10" t="s">
        <v>288</v>
      </c>
      <c r="Z1294" s="75"/>
      <c r="AI1294" s="7"/>
      <c r="AJ1294" s="95">
        <v>31632</v>
      </c>
      <c r="AK1294" s="7">
        <v>1980</v>
      </c>
      <c r="AL1294" s="16"/>
      <c r="AW1294" s="6">
        <f t="shared" ca="1" si="22"/>
        <v>46</v>
      </c>
    </row>
    <row r="1295" ht="45" customHeight="1" outlineLevel="1">
      <c r="A1295" s="69"/>
      <c r="B1295" s="3" t="s">
        <v>47</v>
      </c>
      <c r="D1295" s="5" t="s">
        <v>3556</v>
      </c>
      <c r="E1295" s="2" t="s">
        <v>83</v>
      </c>
      <c r="F1295" s="6" t="s">
        <v>84</v>
      </c>
      <c r="G1295" s="5" t="s">
        <v>85</v>
      </c>
      <c r="H1295" s="2" t="s">
        <v>382</v>
      </c>
      <c r="I1295" s="3" t="s">
        <v>3557</v>
      </c>
      <c r="J1295" s="7">
        <v>1</v>
      </c>
      <c r="K1295" s="8" t="s">
        <v>53</v>
      </c>
      <c r="L1295" s="9">
        <v>1</v>
      </c>
      <c r="M1295" s="3">
        <v>1014</v>
      </c>
      <c r="N1295" s="6">
        <v>1979</v>
      </c>
      <c r="P1295" s="71"/>
      <c r="R1295" s="6">
        <v>1970</v>
      </c>
      <c r="S1295" s="3" t="s">
        <v>54</v>
      </c>
      <c r="T1295" s="72"/>
      <c r="U1295" s="73">
        <v>43136</v>
      </c>
      <c r="W1295" s="2" t="s">
        <v>3558</v>
      </c>
      <c r="X1295" s="10" t="s">
        <v>91</v>
      </c>
      <c r="Y1295" s="10" t="s">
        <v>385</v>
      </c>
      <c r="Z1295" s="75"/>
      <c r="AB1295" s="14" t="s">
        <v>208</v>
      </c>
      <c r="AC1295" s="14" t="s">
        <v>208</v>
      </c>
      <c r="AE1295" s="7">
        <v>2016</v>
      </c>
      <c r="AF1295" s="7">
        <v>84</v>
      </c>
      <c r="AG1295" s="7">
        <v>2018</v>
      </c>
      <c r="AI1295" s="7"/>
      <c r="AJ1295" s="73"/>
      <c r="AK1295" s="7"/>
      <c r="AL1295" s="16"/>
      <c r="AW1295" s="6">
        <f t="shared" ca="1" si="22"/>
        <v>46</v>
      </c>
    </row>
    <row r="1296" ht="45" hidden="1" customHeight="1" outlineLevel="1">
      <c r="A1296" s="69"/>
      <c r="B1296" s="3" t="s">
        <v>47</v>
      </c>
      <c r="D1296" s="5" t="s">
        <v>3556</v>
      </c>
      <c r="E1296" s="2" t="s">
        <v>83</v>
      </c>
      <c r="F1296" s="6" t="s">
        <v>84</v>
      </c>
      <c r="G1296" s="5" t="s">
        <v>85</v>
      </c>
      <c r="H1296" s="2" t="s">
        <v>382</v>
      </c>
      <c r="I1296" s="3" t="s">
        <v>3559</v>
      </c>
      <c r="J1296" s="7">
        <v>1</v>
      </c>
      <c r="L1296" s="9">
        <v>0</v>
      </c>
      <c r="M1296" s="3">
        <v>1014</v>
      </c>
      <c r="N1296" s="6">
        <v>1979</v>
      </c>
      <c r="P1296" s="71"/>
      <c r="R1296" s="6">
        <v>1970</v>
      </c>
      <c r="S1296" s="3" t="s">
        <v>236</v>
      </c>
      <c r="T1296" s="72"/>
      <c r="U1296" s="73"/>
      <c r="W1296" s="2" t="s">
        <v>62</v>
      </c>
      <c r="X1296" s="10" t="s">
        <v>91</v>
      </c>
      <c r="Y1296" s="10" t="s">
        <v>385</v>
      </c>
      <c r="Z1296" s="75"/>
      <c r="AI1296" s="7"/>
      <c r="AK1296" s="7"/>
      <c r="AL1296" s="16"/>
      <c r="AW1296" s="6">
        <f t="shared" ca="1" si="22"/>
        <v>46</v>
      </c>
    </row>
    <row r="1297" ht="45" hidden="1" customHeight="1" outlineLevel="1">
      <c r="A1297" s="69"/>
      <c r="B1297" s="3" t="s">
        <v>47</v>
      </c>
      <c r="D1297" s="5" t="s">
        <v>3556</v>
      </c>
      <c r="E1297" s="2" t="s">
        <v>83</v>
      </c>
      <c r="F1297" s="6" t="s">
        <v>84</v>
      </c>
      <c r="G1297" s="5" t="s">
        <v>85</v>
      </c>
      <c r="H1297" s="2" t="s">
        <v>382</v>
      </c>
      <c r="I1297" s="3" t="s">
        <v>3560</v>
      </c>
      <c r="J1297" s="7">
        <v>1</v>
      </c>
      <c r="L1297" s="9">
        <v>0</v>
      </c>
      <c r="M1297" s="3">
        <v>1014</v>
      </c>
      <c r="N1297" s="6">
        <v>1979</v>
      </c>
      <c r="P1297" s="71"/>
      <c r="R1297" s="6">
        <v>1970</v>
      </c>
      <c r="S1297" s="3" t="s">
        <v>236</v>
      </c>
      <c r="T1297" s="72"/>
      <c r="U1297" s="73"/>
      <c r="W1297" s="2" t="s">
        <v>62</v>
      </c>
      <c r="X1297" s="10" t="s">
        <v>91</v>
      </c>
      <c r="Y1297" s="10" t="s">
        <v>385</v>
      </c>
      <c r="Z1297" s="75"/>
      <c r="AI1297" s="7"/>
      <c r="AK1297" s="7"/>
      <c r="AL1297" s="16"/>
      <c r="AW1297" s="6">
        <f t="shared" ca="1" si="22"/>
        <v>46</v>
      </c>
    </row>
    <row r="1298" ht="45" hidden="1" customHeight="1" outlineLevel="1">
      <c r="A1298" s="69"/>
      <c r="B1298" s="3" t="s">
        <v>47</v>
      </c>
      <c r="D1298" s="5" t="s">
        <v>3561</v>
      </c>
      <c r="E1298" s="2" t="s">
        <v>63</v>
      </c>
      <c r="F1298" s="6" t="s">
        <v>64</v>
      </c>
      <c r="G1298" s="5" t="s">
        <v>69</v>
      </c>
      <c r="H1298" s="2" t="s">
        <v>57</v>
      </c>
      <c r="I1298" s="3" t="s">
        <v>3562</v>
      </c>
      <c r="J1298" s="7">
        <v>1</v>
      </c>
      <c r="L1298" s="9">
        <v>1</v>
      </c>
      <c r="M1298" s="3">
        <v>1015</v>
      </c>
      <c r="N1298" s="6">
        <v>1980</v>
      </c>
      <c r="P1298" s="71"/>
      <c r="R1298" s="6">
        <v>1980</v>
      </c>
      <c r="S1298" s="3" t="s">
        <v>236</v>
      </c>
      <c r="T1298" s="72"/>
      <c r="U1298" s="73"/>
      <c r="W1298" s="2" t="s">
        <v>62</v>
      </c>
      <c r="X1298" s="10" t="s">
        <v>56</v>
      </c>
      <c r="Y1298" s="10" t="s">
        <v>57</v>
      </c>
      <c r="Z1298" s="75"/>
      <c r="AI1298" s="7"/>
      <c r="AK1298" s="7"/>
      <c r="AL1298" s="16"/>
      <c r="AW1298" s="6">
        <f t="shared" ca="1" si="22"/>
        <v>45</v>
      </c>
    </row>
    <row r="1299" ht="45" hidden="1" customHeight="1">
      <c r="A1299" s="69"/>
      <c r="B1299" s="3" t="s">
        <v>47</v>
      </c>
      <c r="C1299" s="4" t="s">
        <v>3563</v>
      </c>
      <c r="E1299" s="2" t="s">
        <v>83</v>
      </c>
      <c r="F1299" s="6" t="s">
        <v>84</v>
      </c>
      <c r="G1299" s="5" t="s">
        <v>85</v>
      </c>
      <c r="H1299" s="2" t="s">
        <v>57</v>
      </c>
      <c r="I1299" s="96" t="s">
        <v>3564</v>
      </c>
      <c r="J1299" s="7">
        <v>1</v>
      </c>
      <c r="L1299" s="9">
        <v>1</v>
      </c>
      <c r="M1299" s="3">
        <v>1016</v>
      </c>
      <c r="N1299" s="6">
        <v>1980</v>
      </c>
      <c r="P1299" s="71"/>
      <c r="R1299" s="6">
        <v>1980</v>
      </c>
      <c r="S1299" s="3" t="s">
        <v>236</v>
      </c>
      <c r="T1299" s="72"/>
      <c r="U1299" s="73"/>
      <c r="W1299" s="2" t="s">
        <v>62</v>
      </c>
      <c r="X1299" s="10" t="s">
        <v>56</v>
      </c>
      <c r="Y1299" s="10" t="s">
        <v>57</v>
      </c>
      <c r="Z1299" s="75"/>
      <c r="AI1299" s="7"/>
      <c r="AJ1299" s="95">
        <v>31635</v>
      </c>
      <c r="AK1299" s="7">
        <v>1980</v>
      </c>
      <c r="AL1299" s="16"/>
      <c r="AU1299" s="16" t="s">
        <v>3565</v>
      </c>
      <c r="AW1299" s="6">
        <f t="shared" ca="1" si="22"/>
        <v>45</v>
      </c>
    </row>
    <row r="1300" ht="45" customHeight="1">
      <c r="A1300" s="69"/>
      <c r="B1300" s="3" t="s">
        <v>47</v>
      </c>
      <c r="E1300" s="2" t="s">
        <v>63</v>
      </c>
      <c r="F1300" s="6" t="s">
        <v>354</v>
      </c>
      <c r="G1300" s="5" t="s">
        <v>971</v>
      </c>
      <c r="H1300" s="2" t="s">
        <v>977</v>
      </c>
      <c r="I1300" s="3" t="s">
        <v>3566</v>
      </c>
      <c r="J1300" s="7">
        <v>1</v>
      </c>
      <c r="K1300" s="70" t="s">
        <v>53</v>
      </c>
      <c r="L1300" s="9">
        <v>1</v>
      </c>
      <c r="M1300" s="3">
        <v>1017</v>
      </c>
      <c r="N1300" s="6">
        <v>1980</v>
      </c>
      <c r="P1300" s="71"/>
      <c r="R1300" s="6">
        <v>1980</v>
      </c>
      <c r="S1300" s="3" t="s">
        <v>54</v>
      </c>
      <c r="T1300" s="72"/>
      <c r="U1300" s="73"/>
      <c r="W1300" s="2" t="s">
        <v>3567</v>
      </c>
      <c r="X1300" s="10" t="s">
        <v>213</v>
      </c>
      <c r="Y1300" s="10" t="s">
        <v>980</v>
      </c>
      <c r="Z1300" s="75"/>
      <c r="AA1300" s="76">
        <v>29615</v>
      </c>
      <c r="AB1300" s="77">
        <v>29615</v>
      </c>
      <c r="AC1300" s="77"/>
      <c r="AD1300" s="6"/>
      <c r="AE1300" s="7">
        <v>1980</v>
      </c>
      <c r="AF1300" s="7">
        <v>94</v>
      </c>
      <c r="AG1300" s="7">
        <v>1981</v>
      </c>
      <c r="AH1300" s="7">
        <v>1980</v>
      </c>
      <c r="AI1300" s="7"/>
      <c r="AJ1300" s="73"/>
      <c r="AK1300" s="7"/>
      <c r="AL1300" s="16" t="s">
        <v>3568</v>
      </c>
      <c r="AM1300" s="2" t="s">
        <v>59</v>
      </c>
      <c r="AN1300" s="6" t="s">
        <v>73</v>
      </c>
      <c r="AO1300" s="6" t="s">
        <v>136</v>
      </c>
      <c r="AP1300" s="6" t="s">
        <v>73</v>
      </c>
      <c r="AQ1300" s="5" t="s">
        <v>73</v>
      </c>
      <c r="AU1300" s="16" t="s">
        <v>3568</v>
      </c>
      <c r="AW1300" s="6">
        <f t="shared" ca="1" si="22"/>
        <v>45</v>
      </c>
    </row>
    <row r="1301" ht="45" hidden="1" customHeight="1">
      <c r="A1301" s="69"/>
      <c r="B1301" s="3" t="s">
        <v>47</v>
      </c>
      <c r="C1301" s="4" t="s">
        <v>3569</v>
      </c>
      <c r="D1301" s="5" t="s">
        <v>3570</v>
      </c>
      <c r="E1301" s="2" t="s">
        <v>83</v>
      </c>
      <c r="F1301" s="6" t="s">
        <v>84</v>
      </c>
      <c r="G1301" s="187" t="s">
        <v>2627</v>
      </c>
      <c r="H1301" s="2" t="s">
        <v>57</v>
      </c>
      <c r="I1301" s="96" t="s">
        <v>3571</v>
      </c>
      <c r="J1301" s="7">
        <v>1</v>
      </c>
      <c r="K1301" s="104"/>
      <c r="L1301" s="9">
        <v>1</v>
      </c>
      <c r="M1301" s="3">
        <v>1018</v>
      </c>
      <c r="N1301" s="6">
        <v>1980</v>
      </c>
      <c r="P1301" s="71"/>
      <c r="R1301" s="6">
        <v>1980</v>
      </c>
      <c r="S1301" s="3" t="s">
        <v>236</v>
      </c>
      <c r="T1301" s="72"/>
      <c r="U1301" s="73"/>
      <c r="W1301" s="2" t="s">
        <v>62</v>
      </c>
      <c r="X1301" s="10" t="s">
        <v>56</v>
      </c>
      <c r="Y1301" s="10" t="s">
        <v>57</v>
      </c>
      <c r="Z1301" s="75"/>
      <c r="AA1301" s="76"/>
      <c r="AB1301" s="77"/>
      <c r="AC1301" s="77"/>
      <c r="AD1301" s="6"/>
      <c r="AI1301" s="7"/>
      <c r="AJ1301" s="95">
        <v>42074</v>
      </c>
      <c r="AK1301" s="7">
        <v>2010</v>
      </c>
      <c r="AL1301" s="16"/>
      <c r="AW1301" s="6">
        <f t="shared" ca="1" si="22"/>
        <v>45</v>
      </c>
    </row>
    <row r="1302" ht="45" hidden="1" customHeight="1">
      <c r="A1302" s="69"/>
      <c r="B1302" s="3" t="s">
        <v>47</v>
      </c>
      <c r="C1302" s="4" t="s">
        <v>3572</v>
      </c>
      <c r="E1302" s="2" t="s">
        <v>694</v>
      </c>
      <c r="F1302" s="6" t="s">
        <v>2495</v>
      </c>
      <c r="G1302" s="5" t="s">
        <v>2496</v>
      </c>
      <c r="H1302" s="2" t="s">
        <v>57</v>
      </c>
      <c r="I1302" s="3" t="s">
        <v>3573</v>
      </c>
      <c r="J1302" s="7">
        <v>1</v>
      </c>
      <c r="K1302" s="104"/>
      <c r="L1302" s="9">
        <v>1</v>
      </c>
      <c r="M1302" s="3">
        <v>1019</v>
      </c>
      <c r="N1302" s="6">
        <v>1980</v>
      </c>
      <c r="P1302" s="71"/>
      <c r="R1302" s="6">
        <v>1980</v>
      </c>
      <c r="S1302" s="3" t="s">
        <v>236</v>
      </c>
      <c r="T1302" s="72"/>
      <c r="U1302" s="73"/>
      <c r="W1302" s="2" t="s">
        <v>62</v>
      </c>
      <c r="X1302" s="10" t="s">
        <v>56</v>
      </c>
      <c r="Y1302" s="10" t="s">
        <v>57</v>
      </c>
      <c r="Z1302" s="75"/>
      <c r="AA1302" s="76"/>
      <c r="AB1302" s="77"/>
      <c r="AC1302" s="77"/>
      <c r="AD1302" s="6"/>
      <c r="AI1302" s="7"/>
      <c r="AJ1302" s="95">
        <v>29767</v>
      </c>
      <c r="AK1302" s="7">
        <v>1980</v>
      </c>
      <c r="AL1302" s="16" t="s">
        <v>3574</v>
      </c>
      <c r="AU1302" s="16" t="s">
        <v>3575</v>
      </c>
      <c r="AW1302" s="6">
        <f t="shared" ca="1" si="22"/>
        <v>45</v>
      </c>
    </row>
    <row r="1303" ht="45" hidden="1" customHeight="1">
      <c r="A1303" s="69"/>
      <c r="B1303" s="3" t="s">
        <v>47</v>
      </c>
      <c r="C1303" s="4" t="s">
        <v>3576</v>
      </c>
      <c r="D1303" s="5" t="s">
        <v>3577</v>
      </c>
      <c r="E1303" s="2" t="s">
        <v>83</v>
      </c>
      <c r="F1303" s="6" t="s">
        <v>84</v>
      </c>
      <c r="G1303" s="5" t="s">
        <v>797</v>
      </c>
      <c r="H1303" s="2" t="s">
        <v>57</v>
      </c>
      <c r="I1303" s="3" t="s">
        <v>3578</v>
      </c>
      <c r="J1303" s="7">
        <v>0</v>
      </c>
      <c r="K1303" s="104"/>
      <c r="L1303" s="9">
        <v>1</v>
      </c>
      <c r="M1303" s="3">
        <v>1020</v>
      </c>
      <c r="N1303" s="6">
        <v>1980</v>
      </c>
      <c r="P1303" s="71"/>
      <c r="R1303" s="6">
        <v>1980</v>
      </c>
      <c r="S1303" s="3" t="s">
        <v>939</v>
      </c>
      <c r="T1303" s="72"/>
      <c r="U1303" s="73"/>
      <c r="W1303" s="2" t="s">
        <v>1944</v>
      </c>
      <c r="X1303" s="10" t="s">
        <v>56</v>
      </c>
      <c r="Y1303" s="10" t="s">
        <v>57</v>
      </c>
      <c r="Z1303" s="75"/>
      <c r="AA1303" s="76"/>
      <c r="AB1303" s="77"/>
      <c r="AC1303" s="77"/>
      <c r="AD1303" s="6"/>
      <c r="AI1303" s="7"/>
      <c r="AJ1303" s="73"/>
      <c r="AK1303" s="7"/>
      <c r="AL1303" s="16"/>
      <c r="AW1303" s="6">
        <f t="shared" ca="1" si="22"/>
        <v>45</v>
      </c>
    </row>
    <row r="1304" ht="45" customHeight="1">
      <c r="A1304" s="69"/>
      <c r="B1304" s="3" t="s">
        <v>190</v>
      </c>
      <c r="C1304" s="116" t="s">
        <v>3579</v>
      </c>
      <c r="D1304" s="5" t="s">
        <v>3580</v>
      </c>
      <c r="E1304" s="2" t="s">
        <v>63</v>
      </c>
      <c r="F1304" s="6" t="s">
        <v>172</v>
      </c>
      <c r="G1304" s="5" t="s">
        <v>3508</v>
      </c>
      <c r="H1304" s="2" t="s">
        <v>288</v>
      </c>
      <c r="I1304" s="3" t="s">
        <v>3581</v>
      </c>
      <c r="J1304" s="7">
        <v>1</v>
      </c>
      <c r="K1304" s="70" t="s">
        <v>53</v>
      </c>
      <c r="L1304" s="9">
        <v>1</v>
      </c>
      <c r="M1304" s="3">
        <v>1021</v>
      </c>
      <c r="N1304" s="6">
        <v>1980</v>
      </c>
      <c r="P1304" s="71"/>
      <c r="R1304" s="6">
        <v>1980</v>
      </c>
      <c r="S1304" s="3" t="s">
        <v>195</v>
      </c>
      <c r="T1304" s="72"/>
      <c r="U1304" s="73"/>
      <c r="W1304" s="74" t="s">
        <v>3582</v>
      </c>
      <c r="X1304" s="10" t="s">
        <v>504</v>
      </c>
      <c r="Y1304" s="10" t="s">
        <v>511</v>
      </c>
      <c r="Z1304" s="75"/>
      <c r="AA1304" s="76">
        <v>29615</v>
      </c>
      <c r="AB1304" s="77"/>
      <c r="AC1304" s="77"/>
      <c r="AD1304" s="6"/>
      <c r="AE1304" s="7">
        <v>1980</v>
      </c>
      <c r="AF1304" s="7" t="s">
        <v>3583</v>
      </c>
      <c r="AG1304" s="7">
        <v>1981</v>
      </c>
      <c r="AH1304" s="7">
        <v>1980</v>
      </c>
      <c r="AI1304" s="7">
        <v>1984</v>
      </c>
      <c r="AJ1304" s="73"/>
      <c r="AK1304" s="7"/>
      <c r="AL1304" s="16" t="s">
        <v>3584</v>
      </c>
      <c r="AU1304" s="16" t="s">
        <v>718</v>
      </c>
      <c r="AW1304" s="6">
        <f t="shared" ca="1" si="22"/>
        <v>45</v>
      </c>
    </row>
    <row r="1305" ht="45" hidden="1" customHeight="1">
      <c r="A1305" s="69"/>
      <c r="B1305" s="3" t="s">
        <v>47</v>
      </c>
      <c r="C1305" s="4" t="s">
        <v>3585</v>
      </c>
      <c r="D1305" s="5" t="s">
        <v>3586</v>
      </c>
      <c r="E1305" s="2" t="s">
        <v>48</v>
      </c>
      <c r="F1305" s="6" t="s">
        <v>49</v>
      </c>
      <c r="G1305" s="5" t="s">
        <v>1830</v>
      </c>
      <c r="H1305" s="2" t="s">
        <v>57</v>
      </c>
      <c r="I1305" s="3" t="s">
        <v>3587</v>
      </c>
      <c r="J1305" s="7">
        <v>1</v>
      </c>
      <c r="K1305" s="104"/>
      <c r="L1305" s="9">
        <v>1</v>
      </c>
      <c r="M1305" s="3">
        <v>1022</v>
      </c>
      <c r="N1305" s="6">
        <v>1980</v>
      </c>
      <c r="P1305" s="71"/>
      <c r="R1305" s="6">
        <v>1980</v>
      </c>
      <c r="S1305" s="3" t="s">
        <v>236</v>
      </c>
      <c r="T1305" s="72"/>
      <c r="U1305" s="73">
        <v>42103</v>
      </c>
      <c r="W1305" s="2" t="s">
        <v>62</v>
      </c>
      <c r="X1305" s="10" t="s">
        <v>56</v>
      </c>
      <c r="Y1305" s="10" t="s">
        <v>57</v>
      </c>
      <c r="Z1305" s="75"/>
      <c r="AA1305" s="76"/>
      <c r="AB1305" s="77"/>
      <c r="AC1305" s="77"/>
      <c r="AD1305" s="6"/>
      <c r="AI1305" s="7"/>
      <c r="AJ1305" s="95">
        <v>42103</v>
      </c>
      <c r="AK1305" s="114">
        <v>2010</v>
      </c>
      <c r="AL1305" s="16" t="s">
        <v>3588</v>
      </c>
      <c r="AW1305" s="6">
        <f t="shared" ca="1" si="22"/>
        <v>45</v>
      </c>
    </row>
    <row r="1306" ht="45" hidden="1" customHeight="1">
      <c r="A1306" s="69"/>
      <c r="B1306" s="3" t="s">
        <v>47</v>
      </c>
      <c r="C1306" s="4" t="s">
        <v>3589</v>
      </c>
      <c r="D1306" s="5" t="s">
        <v>3590</v>
      </c>
      <c r="E1306" s="2" t="s">
        <v>694</v>
      </c>
      <c r="F1306" s="6" t="s">
        <v>695</v>
      </c>
      <c r="G1306" s="5" t="s">
        <v>696</v>
      </c>
      <c r="H1306" s="2" t="s">
        <v>68</v>
      </c>
      <c r="I1306" s="3" t="s">
        <v>3591</v>
      </c>
      <c r="J1306" s="7">
        <v>1</v>
      </c>
      <c r="K1306" s="70"/>
      <c r="L1306" s="9">
        <v>1</v>
      </c>
      <c r="M1306" s="3">
        <v>1023</v>
      </c>
      <c r="N1306" s="6">
        <v>1980</v>
      </c>
      <c r="P1306" s="71"/>
      <c r="R1306" s="6">
        <v>1980</v>
      </c>
      <c r="S1306" s="3" t="s">
        <v>939</v>
      </c>
      <c r="T1306" s="72"/>
      <c r="U1306" s="73"/>
      <c r="W1306" s="2" t="s">
        <v>3592</v>
      </c>
      <c r="X1306" s="10" t="s">
        <v>56</v>
      </c>
      <c r="Y1306" s="10" t="s">
        <v>68</v>
      </c>
      <c r="Z1306" s="75" t="s">
        <v>58</v>
      </c>
      <c r="AA1306" s="76"/>
      <c r="AB1306" s="77"/>
      <c r="AC1306" s="77"/>
      <c r="AD1306" s="10"/>
      <c r="AI1306" s="7"/>
      <c r="AJ1306" s="73"/>
      <c r="AK1306" s="7"/>
      <c r="AL1306" s="16" t="s">
        <v>3593</v>
      </c>
      <c r="AW1306" s="6">
        <f t="shared" ca="1" si="22"/>
        <v>45</v>
      </c>
    </row>
    <row r="1307" ht="45" customHeight="1">
      <c r="A1307" s="69"/>
      <c r="B1307" s="3" t="s">
        <v>47</v>
      </c>
      <c r="E1307" s="2" t="s">
        <v>694</v>
      </c>
      <c r="F1307" s="6" t="s">
        <v>695</v>
      </c>
      <c r="G1307" s="5" t="s">
        <v>696</v>
      </c>
      <c r="H1307" s="2" t="s">
        <v>57</v>
      </c>
      <c r="I1307" s="3" t="s">
        <v>3594</v>
      </c>
      <c r="J1307" s="7">
        <v>1</v>
      </c>
      <c r="K1307" s="70" t="s">
        <v>53</v>
      </c>
      <c r="L1307" s="9">
        <v>1</v>
      </c>
      <c r="M1307" s="3">
        <v>1024</v>
      </c>
      <c r="N1307" s="6">
        <v>1980</v>
      </c>
      <c r="P1307" s="71"/>
      <c r="R1307" s="6">
        <v>1980</v>
      </c>
      <c r="S1307" s="3" t="s">
        <v>54</v>
      </c>
      <c r="T1307" s="72"/>
      <c r="U1307" s="73"/>
      <c r="W1307" s="2" t="s">
        <v>3595</v>
      </c>
      <c r="X1307" s="10" t="s">
        <v>56</v>
      </c>
      <c r="Y1307" s="10" t="s">
        <v>57</v>
      </c>
      <c r="Z1307" s="75"/>
      <c r="AA1307" s="76"/>
      <c r="AB1307" s="77">
        <v>31638</v>
      </c>
      <c r="AC1307" s="77">
        <v>31638</v>
      </c>
      <c r="AD1307" s="10"/>
      <c r="AG1307" s="7">
        <v>1986</v>
      </c>
      <c r="AH1307" s="7">
        <v>1980</v>
      </c>
      <c r="AI1307" s="7"/>
      <c r="AJ1307" s="73"/>
      <c r="AK1307" s="7"/>
      <c r="AL1307" s="16"/>
      <c r="AM1307" s="2" t="s">
        <v>59</v>
      </c>
      <c r="AO1307" s="6" t="s">
        <v>59</v>
      </c>
      <c r="AQ1307" s="5" t="s">
        <v>73</v>
      </c>
      <c r="AW1307" s="6">
        <f t="shared" ca="1" si="22"/>
        <v>45</v>
      </c>
    </row>
    <row r="1308" ht="45" hidden="1" customHeight="1">
      <c r="A1308" s="69"/>
      <c r="B1308" s="3" t="s">
        <v>47</v>
      </c>
      <c r="C1308" s="4" t="s">
        <v>3596</v>
      </c>
      <c r="E1308" s="2" t="s">
        <v>694</v>
      </c>
      <c r="F1308" s="6" t="s">
        <v>695</v>
      </c>
      <c r="G1308" s="5" t="s">
        <v>696</v>
      </c>
      <c r="H1308" s="2" t="s">
        <v>68</v>
      </c>
      <c r="I1308" s="3" t="s">
        <v>3597</v>
      </c>
      <c r="J1308" s="7">
        <v>1</v>
      </c>
      <c r="K1308" s="70"/>
      <c r="L1308" s="9">
        <v>1</v>
      </c>
      <c r="M1308" s="3">
        <v>1025</v>
      </c>
      <c r="N1308" s="6">
        <v>1980</v>
      </c>
      <c r="P1308" s="71"/>
      <c r="R1308" s="6">
        <v>1980</v>
      </c>
      <c r="S1308" s="3" t="s">
        <v>236</v>
      </c>
      <c r="T1308" s="72"/>
      <c r="U1308" s="73"/>
      <c r="W1308" s="2" t="s">
        <v>62</v>
      </c>
      <c r="X1308" s="10" t="s">
        <v>56</v>
      </c>
      <c r="Y1308" s="10" t="s">
        <v>68</v>
      </c>
      <c r="Z1308" s="75"/>
      <c r="AA1308" s="76"/>
      <c r="AB1308" s="77"/>
      <c r="AC1308" s="77"/>
      <c r="AD1308" s="10"/>
      <c r="AI1308" s="7"/>
      <c r="AJ1308" s="95">
        <v>29740</v>
      </c>
      <c r="AK1308" s="7">
        <v>1980</v>
      </c>
      <c r="AL1308" s="16"/>
      <c r="AW1308" s="6">
        <f t="shared" ca="1" si="22"/>
        <v>45</v>
      </c>
    </row>
    <row r="1309" ht="45" customHeight="1">
      <c r="A1309" s="69"/>
      <c r="B1309" s="3" t="s">
        <v>47</v>
      </c>
      <c r="E1309" s="2" t="s">
        <v>694</v>
      </c>
      <c r="F1309" s="6" t="s">
        <v>695</v>
      </c>
      <c r="G1309" s="5" t="s">
        <v>696</v>
      </c>
      <c r="H1309" s="2" t="s">
        <v>68</v>
      </c>
      <c r="I1309" s="3" t="s">
        <v>3598</v>
      </c>
      <c r="J1309" s="7">
        <v>1</v>
      </c>
      <c r="K1309" s="70" t="s">
        <v>53</v>
      </c>
      <c r="L1309" s="9">
        <v>1</v>
      </c>
      <c r="M1309" s="3">
        <v>1026</v>
      </c>
      <c r="N1309" s="6">
        <v>1980</v>
      </c>
      <c r="P1309" s="71"/>
      <c r="R1309" s="6">
        <v>1980</v>
      </c>
      <c r="S1309" s="3" t="s">
        <v>54</v>
      </c>
      <c r="T1309" s="72"/>
      <c r="U1309" s="73"/>
      <c r="W1309" s="2" t="s">
        <v>3599</v>
      </c>
      <c r="X1309" s="10" t="s">
        <v>56</v>
      </c>
      <c r="Y1309" s="10" t="s">
        <v>68</v>
      </c>
      <c r="Z1309" s="75"/>
      <c r="AA1309" s="76"/>
      <c r="AB1309" s="77"/>
      <c r="AC1309" s="77">
        <v>31134</v>
      </c>
      <c r="AD1309" s="10"/>
      <c r="AE1309" s="7">
        <v>1981</v>
      </c>
      <c r="AF1309" s="7">
        <v>95</v>
      </c>
      <c r="AG1309" s="7">
        <v>1985</v>
      </c>
      <c r="AH1309" s="7">
        <v>1980</v>
      </c>
      <c r="AI1309" s="7"/>
      <c r="AJ1309" s="73"/>
      <c r="AK1309" s="7"/>
      <c r="AL1309" s="16"/>
      <c r="AM1309" s="2" t="s">
        <v>53</v>
      </c>
      <c r="AN1309" s="6" t="s">
        <v>73</v>
      </c>
      <c r="AO1309" s="6" t="s">
        <v>100</v>
      </c>
      <c r="AP1309" s="6" t="s">
        <v>73</v>
      </c>
      <c r="AQ1309" s="5" t="s">
        <v>73</v>
      </c>
      <c r="AR1309" s="2" t="s">
        <v>544</v>
      </c>
      <c r="AT1309" s="6">
        <v>1987</v>
      </c>
      <c r="AU1309" s="16" t="s">
        <v>3600</v>
      </c>
      <c r="AW1309" s="6">
        <f t="shared" ca="1" si="22"/>
        <v>45</v>
      </c>
    </row>
    <row r="1310" ht="45" customHeight="1">
      <c r="A1310" s="69"/>
      <c r="B1310" s="3" t="s">
        <v>47</v>
      </c>
      <c r="E1310" s="2" t="s">
        <v>694</v>
      </c>
      <c r="F1310" s="6" t="s">
        <v>695</v>
      </c>
      <c r="G1310" s="5" t="s">
        <v>696</v>
      </c>
      <c r="H1310" s="2" t="s">
        <v>68</v>
      </c>
      <c r="I1310" s="3" t="s">
        <v>3601</v>
      </c>
      <c r="J1310" s="7">
        <v>1</v>
      </c>
      <c r="K1310" s="70" t="s">
        <v>53</v>
      </c>
      <c r="L1310" s="9">
        <v>1</v>
      </c>
      <c r="M1310" s="3">
        <v>1027</v>
      </c>
      <c r="N1310" s="6">
        <v>1980</v>
      </c>
      <c r="P1310" s="71"/>
      <c r="R1310" s="6">
        <v>1980</v>
      </c>
      <c r="S1310" s="3" t="s">
        <v>54</v>
      </c>
      <c r="T1310" s="72"/>
      <c r="U1310" s="73"/>
      <c r="W1310" s="2" t="s">
        <v>3602</v>
      </c>
      <c r="X1310" s="10" t="s">
        <v>56</v>
      </c>
      <c r="Y1310" s="10" t="s">
        <v>68</v>
      </c>
      <c r="Z1310" s="75"/>
      <c r="AA1310" s="76"/>
      <c r="AB1310" s="77"/>
      <c r="AC1310" s="77">
        <v>31134</v>
      </c>
      <c r="AD1310" s="10"/>
      <c r="AE1310" s="7">
        <v>1981</v>
      </c>
      <c r="AF1310" s="7">
        <v>95</v>
      </c>
      <c r="AG1310" s="7">
        <v>1985</v>
      </c>
      <c r="AH1310" s="7">
        <v>1980</v>
      </c>
      <c r="AI1310" s="7"/>
      <c r="AJ1310" s="73"/>
      <c r="AK1310" s="7"/>
      <c r="AL1310" s="16" t="s">
        <v>3603</v>
      </c>
      <c r="AM1310" s="2" t="s">
        <v>53</v>
      </c>
      <c r="AN1310" s="6" t="s">
        <v>73</v>
      </c>
      <c r="AO1310" s="6" t="s">
        <v>100</v>
      </c>
      <c r="AP1310" s="6" t="s">
        <v>73</v>
      </c>
      <c r="AQ1310" s="5" t="s">
        <v>73</v>
      </c>
      <c r="AR1310" s="2" t="s">
        <v>544</v>
      </c>
      <c r="AT1310" s="6">
        <v>1987</v>
      </c>
      <c r="AU1310" s="16" t="s">
        <v>3600</v>
      </c>
      <c r="AW1310" s="6">
        <f t="shared" ca="1" si="22"/>
        <v>45</v>
      </c>
    </row>
    <row r="1311" ht="45" customHeight="1" outlineLevel="1">
      <c r="A1311" s="69"/>
      <c r="B1311" s="3" t="s">
        <v>47</v>
      </c>
      <c r="C1311" s="4" t="s">
        <v>3604</v>
      </c>
      <c r="D1311" s="5" t="s">
        <v>3138</v>
      </c>
      <c r="E1311" s="2" t="s">
        <v>694</v>
      </c>
      <c r="F1311" s="6" t="s">
        <v>695</v>
      </c>
      <c r="G1311" s="5" t="s">
        <v>3605</v>
      </c>
      <c r="H1311" s="2" t="s">
        <v>57</v>
      </c>
      <c r="I1311" s="3" t="s">
        <v>3606</v>
      </c>
      <c r="J1311" s="7">
        <v>0</v>
      </c>
      <c r="K1311" s="70" t="s">
        <v>53</v>
      </c>
      <c r="L1311" s="9">
        <v>1</v>
      </c>
      <c r="M1311" s="3">
        <v>1028</v>
      </c>
      <c r="N1311" s="6">
        <v>1980</v>
      </c>
      <c r="P1311" s="71"/>
      <c r="R1311" s="6">
        <v>1980</v>
      </c>
      <c r="S1311" s="3" t="s">
        <v>939</v>
      </c>
      <c r="T1311" s="72"/>
      <c r="U1311" s="73"/>
      <c r="W1311" s="2" t="s">
        <v>3607</v>
      </c>
      <c r="X1311" s="10" t="s">
        <v>56</v>
      </c>
      <c r="Y1311" s="10" t="s">
        <v>57</v>
      </c>
      <c r="Z1311" s="75"/>
      <c r="AA1311" s="76"/>
      <c r="AB1311" s="77"/>
      <c r="AC1311" s="77"/>
      <c r="AD1311" s="10"/>
      <c r="AI1311" s="7"/>
      <c r="AJ1311" s="73"/>
      <c r="AK1311" s="7"/>
      <c r="AL1311" s="16" t="s">
        <v>3608</v>
      </c>
      <c r="AW1311" s="6">
        <f t="shared" ca="1" si="22"/>
        <v>45</v>
      </c>
    </row>
    <row r="1312" ht="45" customHeight="1" outlineLevel="1">
      <c r="A1312" s="69"/>
      <c r="B1312" s="3" t="s">
        <v>47</v>
      </c>
      <c r="C1312" s="4" t="s">
        <v>3604</v>
      </c>
      <c r="D1312" s="5" t="s">
        <v>3138</v>
      </c>
      <c r="E1312" s="2" t="s">
        <v>694</v>
      </c>
      <c r="F1312" s="6" t="s">
        <v>695</v>
      </c>
      <c r="G1312" s="5" t="s">
        <v>3605</v>
      </c>
      <c r="H1312" s="2" t="s">
        <v>57</v>
      </c>
      <c r="I1312" s="3" t="s">
        <v>3609</v>
      </c>
      <c r="J1312" s="7">
        <v>0</v>
      </c>
      <c r="K1312" s="70" t="s">
        <v>53</v>
      </c>
      <c r="L1312" s="9">
        <v>0</v>
      </c>
      <c r="M1312" s="3">
        <v>1028</v>
      </c>
      <c r="N1312" s="6">
        <v>1980</v>
      </c>
      <c r="P1312" s="71"/>
      <c r="R1312" s="6">
        <v>1980</v>
      </c>
      <c r="S1312" s="3" t="s">
        <v>939</v>
      </c>
      <c r="T1312" s="72"/>
      <c r="U1312" s="73"/>
      <c r="W1312" s="2" t="s">
        <v>3610</v>
      </c>
      <c r="X1312" s="10" t="s">
        <v>56</v>
      </c>
      <c r="Y1312" s="10" t="s">
        <v>57</v>
      </c>
      <c r="Z1312" s="75"/>
      <c r="AA1312" s="76"/>
      <c r="AB1312" s="77"/>
      <c r="AC1312" s="77"/>
      <c r="AD1312" s="10"/>
      <c r="AI1312" s="7"/>
      <c r="AJ1312" s="73"/>
      <c r="AK1312" s="7"/>
      <c r="AL1312" s="16" t="s">
        <v>3608</v>
      </c>
      <c r="AW1312" s="6">
        <f t="shared" ca="1" si="22"/>
        <v>45</v>
      </c>
    </row>
    <row r="1313" ht="45" hidden="1" customHeight="1" outlineLevel="1">
      <c r="A1313" s="69"/>
      <c r="B1313" s="3" t="s">
        <v>47</v>
      </c>
      <c r="C1313" s="4" t="s">
        <v>3611</v>
      </c>
      <c r="D1313" s="5" t="s">
        <v>3590</v>
      </c>
      <c r="E1313" s="2" t="s">
        <v>694</v>
      </c>
      <c r="F1313" s="6" t="s">
        <v>695</v>
      </c>
      <c r="G1313" s="5" t="s">
        <v>696</v>
      </c>
      <c r="H1313" s="2" t="s">
        <v>288</v>
      </c>
      <c r="I1313" s="3" t="s">
        <v>3612</v>
      </c>
      <c r="J1313" s="7">
        <v>1</v>
      </c>
      <c r="K1313" s="70"/>
      <c r="L1313" s="9">
        <v>1</v>
      </c>
      <c r="M1313" s="3">
        <v>1029</v>
      </c>
      <c r="N1313" s="6">
        <v>1980</v>
      </c>
      <c r="P1313" s="71"/>
      <c r="R1313" s="6">
        <v>1980</v>
      </c>
      <c r="S1313" s="3" t="s">
        <v>939</v>
      </c>
      <c r="T1313" s="72"/>
      <c r="U1313" s="73"/>
      <c r="W1313" s="188" t="s">
        <v>3613</v>
      </c>
      <c r="X1313" s="10" t="s">
        <v>56</v>
      </c>
      <c r="Y1313" s="10" t="s">
        <v>288</v>
      </c>
      <c r="Z1313" s="75"/>
      <c r="AA1313" s="76"/>
      <c r="AB1313" s="77"/>
      <c r="AC1313" s="77"/>
      <c r="AD1313" s="10"/>
      <c r="AI1313" s="7"/>
      <c r="AJ1313" s="73"/>
      <c r="AK1313" s="7"/>
      <c r="AL1313" s="16" t="s">
        <v>2550</v>
      </c>
      <c r="AW1313" s="6">
        <f t="shared" ca="1" si="22"/>
        <v>45</v>
      </c>
    </row>
    <row r="1314" ht="45" hidden="1" customHeight="1">
      <c r="A1314" s="69"/>
      <c r="B1314" s="3" t="s">
        <v>47</v>
      </c>
      <c r="C1314" s="4" t="s">
        <v>3614</v>
      </c>
      <c r="D1314" s="5" t="s">
        <v>3590</v>
      </c>
      <c r="E1314" s="2" t="s">
        <v>694</v>
      </c>
      <c r="F1314" s="6" t="s">
        <v>695</v>
      </c>
      <c r="G1314" s="5" t="s">
        <v>696</v>
      </c>
      <c r="H1314" s="2" t="s">
        <v>68</v>
      </c>
      <c r="I1314" s="3" t="s">
        <v>3615</v>
      </c>
      <c r="J1314" s="7">
        <v>1</v>
      </c>
      <c r="K1314" s="70"/>
      <c r="L1314" s="9">
        <v>1</v>
      </c>
      <c r="M1314" s="3">
        <v>1030</v>
      </c>
      <c r="N1314" s="6">
        <v>1980</v>
      </c>
      <c r="P1314" s="71"/>
      <c r="R1314" s="6">
        <v>1980</v>
      </c>
      <c r="S1314" s="3" t="s">
        <v>939</v>
      </c>
      <c r="T1314" s="72"/>
      <c r="U1314" s="73"/>
      <c r="W1314" s="2" t="s">
        <v>3616</v>
      </c>
      <c r="X1314" s="10" t="s">
        <v>56</v>
      </c>
      <c r="Y1314" s="10" t="s">
        <v>68</v>
      </c>
      <c r="Z1314" s="75"/>
      <c r="AA1314" s="76"/>
      <c r="AB1314" s="77"/>
      <c r="AC1314" s="77"/>
      <c r="AD1314" s="10"/>
      <c r="AI1314" s="7"/>
      <c r="AJ1314" s="73"/>
      <c r="AK1314" s="7"/>
      <c r="AL1314" s="16" t="s">
        <v>3617</v>
      </c>
      <c r="AW1314" s="6">
        <f t="shared" ca="1" si="22"/>
        <v>45</v>
      </c>
    </row>
    <row r="1315" ht="45" customHeight="1">
      <c r="A1315" s="69"/>
      <c r="B1315" s="3" t="s">
        <v>47</v>
      </c>
      <c r="E1315" s="2" t="s">
        <v>83</v>
      </c>
      <c r="F1315" s="6" t="s">
        <v>84</v>
      </c>
      <c r="G1315" s="5" t="s">
        <v>85</v>
      </c>
      <c r="H1315" s="2" t="s">
        <v>57</v>
      </c>
      <c r="I1315" s="3" t="s">
        <v>3618</v>
      </c>
      <c r="J1315" s="7">
        <v>1</v>
      </c>
      <c r="K1315" s="70" t="s">
        <v>53</v>
      </c>
      <c r="L1315" s="9">
        <v>1</v>
      </c>
      <c r="M1315" s="3">
        <v>1031</v>
      </c>
      <c r="N1315" s="6">
        <v>1980</v>
      </c>
      <c r="P1315" s="71"/>
      <c r="R1315" s="6">
        <v>1980</v>
      </c>
      <c r="S1315" s="3" t="s">
        <v>54</v>
      </c>
      <c r="T1315" s="72"/>
      <c r="U1315" s="73"/>
      <c r="W1315" s="2" t="s">
        <v>3619</v>
      </c>
      <c r="X1315" s="10" t="s">
        <v>56</v>
      </c>
      <c r="Y1315" s="10" t="s">
        <v>57</v>
      </c>
      <c r="Z1315" s="75"/>
      <c r="AA1315" s="76"/>
      <c r="AB1315" s="77">
        <v>30455</v>
      </c>
      <c r="AC1315" s="77">
        <v>30455</v>
      </c>
      <c r="AD1315" s="10"/>
      <c r="AE1315" s="7">
        <v>1982</v>
      </c>
      <c r="AF1315" s="7">
        <v>98</v>
      </c>
      <c r="AG1315" s="7">
        <v>1983</v>
      </c>
      <c r="AH1315" s="7">
        <v>1980</v>
      </c>
      <c r="AI1315" s="7"/>
      <c r="AJ1315" s="73"/>
      <c r="AK1315" s="7"/>
      <c r="AL1315" s="16"/>
      <c r="AM1315" s="2" t="s">
        <v>59</v>
      </c>
      <c r="AO1315" s="6" t="s">
        <v>100</v>
      </c>
      <c r="AP1315" s="6" t="s">
        <v>73</v>
      </c>
      <c r="AQ1315" s="5" t="s">
        <v>73</v>
      </c>
      <c r="AR1315" s="2" t="s">
        <v>73</v>
      </c>
      <c r="AT1315" s="6">
        <v>2013</v>
      </c>
      <c r="AU1315" s="16" t="s">
        <v>101</v>
      </c>
      <c r="AW1315" s="6">
        <f t="shared" ca="1" si="22"/>
        <v>45</v>
      </c>
    </row>
    <row r="1316" ht="45" hidden="1" customHeight="1">
      <c r="A1316" s="69"/>
      <c r="B1316" s="3" t="s">
        <v>47</v>
      </c>
      <c r="C1316" s="4" t="s">
        <v>3620</v>
      </c>
      <c r="D1316" s="5" t="s">
        <v>3621</v>
      </c>
      <c r="E1316" s="2" t="s">
        <v>83</v>
      </c>
      <c r="F1316" s="6" t="s">
        <v>84</v>
      </c>
      <c r="G1316" s="5" t="s">
        <v>3622</v>
      </c>
      <c r="H1316" s="2" t="s">
        <v>57</v>
      </c>
      <c r="I1316" s="3" t="s">
        <v>3623</v>
      </c>
      <c r="J1316" s="7">
        <v>1</v>
      </c>
      <c r="K1316" s="70"/>
      <c r="L1316" s="9">
        <v>1</v>
      </c>
      <c r="M1316" s="3">
        <v>1032</v>
      </c>
      <c r="N1316" s="6">
        <v>1980</v>
      </c>
      <c r="P1316" s="71"/>
      <c r="R1316" s="6">
        <v>1980</v>
      </c>
      <c r="S1316" s="3" t="s">
        <v>236</v>
      </c>
      <c r="T1316" s="72"/>
      <c r="U1316" s="73"/>
      <c r="W1316" s="2" t="s">
        <v>62</v>
      </c>
      <c r="X1316" s="10" t="s">
        <v>56</v>
      </c>
      <c r="Y1316" s="10" t="s">
        <v>57</v>
      </c>
      <c r="Z1316" s="75"/>
      <c r="AA1316" s="76"/>
      <c r="AB1316" s="77"/>
      <c r="AC1316" s="77"/>
      <c r="AD1316" s="10"/>
      <c r="AI1316" s="7"/>
      <c r="AJ1316" s="10">
        <v>43023</v>
      </c>
      <c r="AK1316" s="7">
        <v>2010</v>
      </c>
      <c r="AL1316" s="16"/>
      <c r="AW1316" s="6">
        <f t="shared" ca="1" si="22"/>
        <v>45</v>
      </c>
    </row>
    <row r="1317" ht="45" customHeight="1">
      <c r="A1317" s="69"/>
      <c r="B1317" s="3" t="s">
        <v>47</v>
      </c>
      <c r="E1317" s="2" t="s">
        <v>83</v>
      </c>
      <c r="F1317" s="6" t="s">
        <v>179</v>
      </c>
      <c r="G1317" s="5" t="s">
        <v>1508</v>
      </c>
      <c r="H1317" s="2" t="s">
        <v>51</v>
      </c>
      <c r="I1317" s="3" t="s">
        <v>3624</v>
      </c>
      <c r="J1317" s="7">
        <v>1</v>
      </c>
      <c r="K1317" s="70" t="s">
        <v>53</v>
      </c>
      <c r="L1317" s="9">
        <v>1</v>
      </c>
      <c r="M1317" s="3">
        <v>1033</v>
      </c>
      <c r="N1317" s="6">
        <v>1980</v>
      </c>
      <c r="P1317" s="71"/>
      <c r="R1317" s="6">
        <v>1980</v>
      </c>
      <c r="S1317" s="3" t="s">
        <v>54</v>
      </c>
      <c r="T1317" s="72"/>
      <c r="U1317" s="73"/>
      <c r="W1317" s="2" t="s">
        <v>3625</v>
      </c>
      <c r="X1317" s="10" t="s">
        <v>56</v>
      </c>
      <c r="Y1317" s="10" t="s">
        <v>57</v>
      </c>
      <c r="Z1317" s="75" t="s">
        <v>58</v>
      </c>
      <c r="AA1317" s="76"/>
      <c r="AB1317" s="77"/>
      <c r="AC1317" s="77">
        <v>30592</v>
      </c>
      <c r="AD1317" s="10"/>
      <c r="AE1317" s="7">
        <v>1983</v>
      </c>
      <c r="AF1317" s="7">
        <v>102</v>
      </c>
      <c r="AG1317" s="7">
        <v>1983</v>
      </c>
      <c r="AH1317" s="7">
        <v>1980</v>
      </c>
      <c r="AI1317" s="7"/>
      <c r="AJ1317" s="73"/>
      <c r="AK1317" s="7"/>
      <c r="AL1317" s="16"/>
      <c r="AM1317" s="2" t="s">
        <v>59</v>
      </c>
      <c r="AW1317" s="6">
        <f t="shared" ca="1" si="22"/>
        <v>45</v>
      </c>
    </row>
    <row r="1318" ht="45" hidden="1" customHeight="1">
      <c r="A1318" s="69"/>
      <c r="B1318" s="3" t="s">
        <v>47</v>
      </c>
      <c r="C1318" s="4" t="s">
        <v>3626</v>
      </c>
      <c r="D1318" s="5" t="s">
        <v>3627</v>
      </c>
      <c r="E1318" s="2" t="s">
        <v>83</v>
      </c>
      <c r="F1318" s="6" t="s">
        <v>84</v>
      </c>
      <c r="G1318" s="5" t="s">
        <v>85</v>
      </c>
      <c r="H1318" s="2" t="s">
        <v>57</v>
      </c>
      <c r="I1318" s="3" t="s">
        <v>3628</v>
      </c>
      <c r="J1318" s="7">
        <v>1</v>
      </c>
      <c r="K1318" s="70"/>
      <c r="L1318" s="9">
        <v>1</v>
      </c>
      <c r="M1318" s="3">
        <v>1034</v>
      </c>
      <c r="N1318" s="6">
        <v>1980</v>
      </c>
      <c r="P1318" s="71"/>
      <c r="R1318" s="6">
        <v>1980</v>
      </c>
      <c r="S1318" s="3" t="s">
        <v>236</v>
      </c>
      <c r="T1318" s="72"/>
      <c r="U1318" s="73"/>
      <c r="W1318" s="2" t="s">
        <v>62</v>
      </c>
      <c r="X1318" s="10" t="s">
        <v>56</v>
      </c>
      <c r="Y1318" s="10" t="s">
        <v>57</v>
      </c>
      <c r="Z1318" s="75"/>
      <c r="AA1318" s="76"/>
      <c r="AB1318" s="77"/>
      <c r="AC1318" s="77"/>
      <c r="AD1318" s="10"/>
      <c r="AI1318" s="7"/>
      <c r="AJ1318" s="95">
        <v>41638</v>
      </c>
      <c r="AK1318" s="7">
        <v>2010</v>
      </c>
      <c r="AL1318" s="16" t="s">
        <v>3629</v>
      </c>
      <c r="AW1318" s="6">
        <f t="shared" ca="1" si="22"/>
        <v>45</v>
      </c>
    </row>
    <row r="1319" ht="45" hidden="1" customHeight="1">
      <c r="A1319" s="69"/>
      <c r="B1319" s="3" t="s">
        <v>47</v>
      </c>
      <c r="C1319" s="116" t="s">
        <v>3630</v>
      </c>
      <c r="E1319" s="2" t="s">
        <v>83</v>
      </c>
      <c r="F1319" s="6" t="s">
        <v>84</v>
      </c>
      <c r="G1319" s="5" t="s">
        <v>85</v>
      </c>
      <c r="H1319" s="2" t="s">
        <v>508</v>
      </c>
      <c r="I1319" s="3" t="s">
        <v>3631</v>
      </c>
      <c r="J1319" s="7">
        <v>1</v>
      </c>
      <c r="K1319" s="70"/>
      <c r="L1319" s="9">
        <v>1</v>
      </c>
      <c r="M1319" s="3">
        <v>1035</v>
      </c>
      <c r="N1319" s="6">
        <v>1980</v>
      </c>
      <c r="P1319" s="71"/>
      <c r="R1319" s="6">
        <v>1980</v>
      </c>
      <c r="S1319" s="94" t="s">
        <v>236</v>
      </c>
      <c r="T1319" s="72"/>
      <c r="U1319" s="73"/>
      <c r="W1319" s="2" t="s">
        <v>62</v>
      </c>
      <c r="X1319" s="10" t="s">
        <v>504</v>
      </c>
      <c r="Y1319" s="10" t="s">
        <v>511</v>
      </c>
      <c r="Z1319" s="75"/>
      <c r="AA1319" s="76"/>
      <c r="AB1319" s="77"/>
      <c r="AC1319" s="77"/>
      <c r="AD1319" s="10"/>
      <c r="AI1319" s="7"/>
      <c r="AJ1319" s="95">
        <v>29490</v>
      </c>
      <c r="AK1319" s="7">
        <v>1980</v>
      </c>
      <c r="AL1319" s="16" t="s">
        <v>3632</v>
      </c>
      <c r="AW1319" s="6">
        <f t="shared" ref="AW1319:AW1382" ca="1" si="23">IF(N1319&lt;&gt;0,(YEAR(TODAY())-N1319),(""))</f>
        <v>45</v>
      </c>
    </row>
    <row r="1320" ht="45" customHeight="1">
      <c r="A1320" s="69"/>
      <c r="B1320" s="3" t="s">
        <v>47</v>
      </c>
      <c r="E1320" s="2" t="s">
        <v>48</v>
      </c>
      <c r="F1320" s="6" t="s">
        <v>49</v>
      </c>
      <c r="G1320" s="5" t="s">
        <v>468</v>
      </c>
      <c r="H1320" s="2" t="s">
        <v>57</v>
      </c>
      <c r="I1320" s="3" t="s">
        <v>3633</v>
      </c>
      <c r="J1320" s="7">
        <v>1</v>
      </c>
      <c r="K1320" s="70" t="s">
        <v>53</v>
      </c>
      <c r="L1320" s="9">
        <v>1</v>
      </c>
      <c r="M1320" s="3">
        <v>1036</v>
      </c>
      <c r="N1320" s="6">
        <v>1980</v>
      </c>
      <c r="P1320" s="71"/>
      <c r="R1320" s="6">
        <v>1980</v>
      </c>
      <c r="S1320" s="3" t="s">
        <v>54</v>
      </c>
      <c r="T1320" s="72"/>
      <c r="U1320" s="73"/>
      <c r="W1320" s="2" t="s">
        <v>3634</v>
      </c>
      <c r="X1320" s="10" t="s">
        <v>56</v>
      </c>
      <c r="Y1320" s="10" t="s">
        <v>57</v>
      </c>
      <c r="Z1320" s="75"/>
      <c r="AA1320" s="76"/>
      <c r="AB1320" s="77">
        <v>29615</v>
      </c>
      <c r="AC1320" s="77">
        <v>29615</v>
      </c>
      <c r="AD1320" s="10"/>
      <c r="AE1320" s="7">
        <v>1980</v>
      </c>
      <c r="AF1320" s="7">
        <v>94</v>
      </c>
      <c r="AG1320" s="7">
        <v>1981</v>
      </c>
      <c r="AH1320" s="7">
        <v>1980</v>
      </c>
      <c r="AI1320" s="7"/>
      <c r="AJ1320" s="73"/>
      <c r="AK1320" s="7"/>
      <c r="AL1320" s="16"/>
      <c r="AM1320" s="2" t="s">
        <v>59</v>
      </c>
      <c r="AO1320" s="6" t="s">
        <v>100</v>
      </c>
      <c r="AP1320" s="6" t="s">
        <v>73</v>
      </c>
      <c r="AQ1320" s="5" t="s">
        <v>73</v>
      </c>
      <c r="AR1320" s="2" t="s">
        <v>73</v>
      </c>
      <c r="AT1320" s="6" t="s">
        <v>478</v>
      </c>
      <c r="AU1320" s="16" t="s">
        <v>479</v>
      </c>
      <c r="AW1320" s="6">
        <f t="shared" ca="1" si="23"/>
        <v>45</v>
      </c>
    </row>
    <row r="1321" ht="45" customHeight="1">
      <c r="A1321" s="69"/>
      <c r="B1321" s="3" t="s">
        <v>190</v>
      </c>
      <c r="C1321" s="4" t="s">
        <v>3635</v>
      </c>
      <c r="D1321" s="5" t="s">
        <v>3636</v>
      </c>
      <c r="E1321" s="2" t="s">
        <v>83</v>
      </c>
      <c r="F1321" s="6" t="s">
        <v>84</v>
      </c>
      <c r="G1321" s="5" t="s">
        <v>85</v>
      </c>
      <c r="H1321" s="2" t="s">
        <v>57</v>
      </c>
      <c r="I1321" s="3" t="s">
        <v>3637</v>
      </c>
      <c r="J1321" s="7">
        <v>1</v>
      </c>
      <c r="K1321" s="70" t="s">
        <v>53</v>
      </c>
      <c r="L1321" s="9">
        <v>1</v>
      </c>
      <c r="M1321" s="3">
        <v>1037</v>
      </c>
      <c r="N1321" s="6">
        <v>1980</v>
      </c>
      <c r="P1321" s="71"/>
      <c r="R1321" s="6">
        <v>1980</v>
      </c>
      <c r="S1321" s="3" t="s">
        <v>195</v>
      </c>
      <c r="T1321" s="72"/>
      <c r="U1321" s="73"/>
      <c r="W1321" s="74" t="s">
        <v>3638</v>
      </c>
      <c r="X1321" s="10" t="s">
        <v>56</v>
      </c>
      <c r="Y1321" s="10" t="s">
        <v>57</v>
      </c>
      <c r="Z1321" s="75"/>
      <c r="AA1321" s="76"/>
      <c r="AB1321" s="77">
        <v>29615</v>
      </c>
      <c r="AC1321" s="77">
        <v>29615</v>
      </c>
      <c r="AD1321" s="10"/>
      <c r="AE1321" s="7">
        <v>1980</v>
      </c>
      <c r="AF1321" s="7">
        <v>94</v>
      </c>
      <c r="AG1321" s="7">
        <v>1981</v>
      </c>
      <c r="AH1321" s="7">
        <v>1980</v>
      </c>
      <c r="AI1321" s="7"/>
      <c r="AJ1321" s="73"/>
      <c r="AK1321" s="7"/>
      <c r="AL1321" s="16"/>
      <c r="AM1321" s="2" t="s">
        <v>59</v>
      </c>
      <c r="AU1321" s="16" t="s">
        <v>3639</v>
      </c>
      <c r="AW1321" s="6">
        <f t="shared" ca="1" si="23"/>
        <v>45</v>
      </c>
    </row>
    <row r="1322" ht="45" customHeight="1">
      <c r="A1322" s="69"/>
      <c r="B1322" s="3" t="s">
        <v>47</v>
      </c>
      <c r="E1322" s="2" t="s">
        <v>63</v>
      </c>
      <c r="F1322" s="6" t="s">
        <v>64</v>
      </c>
      <c r="G1322" s="5" t="s">
        <v>3640</v>
      </c>
      <c r="H1322" s="2" t="s">
        <v>57</v>
      </c>
      <c r="I1322" s="3" t="s">
        <v>3641</v>
      </c>
      <c r="J1322" s="7">
        <v>1</v>
      </c>
      <c r="K1322" s="70" t="s">
        <v>53</v>
      </c>
      <c r="L1322" s="9">
        <v>1</v>
      </c>
      <c r="M1322" s="3">
        <v>1038</v>
      </c>
      <c r="N1322" s="6">
        <v>1980</v>
      </c>
      <c r="P1322" s="71"/>
      <c r="R1322" s="6">
        <v>1980</v>
      </c>
      <c r="S1322" s="3" t="s">
        <v>54</v>
      </c>
      <c r="T1322" s="72"/>
      <c r="U1322" s="73"/>
      <c r="W1322" s="2" t="s">
        <v>3642</v>
      </c>
      <c r="X1322" s="10" t="s">
        <v>56</v>
      </c>
      <c r="Y1322" s="10" t="s">
        <v>57</v>
      </c>
      <c r="Z1322" s="75"/>
      <c r="AA1322" s="76"/>
      <c r="AB1322" s="77">
        <v>29644</v>
      </c>
      <c r="AC1322" s="77"/>
      <c r="AD1322" s="6"/>
      <c r="AE1322" s="7">
        <v>1980</v>
      </c>
      <c r="AF1322" s="7">
        <v>94</v>
      </c>
      <c r="AG1322" s="7">
        <v>1981</v>
      </c>
      <c r="AH1322" s="7">
        <v>1980</v>
      </c>
      <c r="AI1322" s="7"/>
      <c r="AJ1322" s="73"/>
      <c r="AK1322" s="7"/>
      <c r="AL1322" s="16"/>
      <c r="AM1322" s="2" t="s">
        <v>59</v>
      </c>
      <c r="AW1322" s="6">
        <f t="shared" ca="1" si="23"/>
        <v>45</v>
      </c>
    </row>
    <row r="1323" ht="45" customHeight="1">
      <c r="A1323" s="69"/>
      <c r="B1323" s="3" t="s">
        <v>47</v>
      </c>
      <c r="E1323" s="2" t="s">
        <v>83</v>
      </c>
      <c r="F1323" s="6" t="s">
        <v>179</v>
      </c>
      <c r="G1323" s="5" t="s">
        <v>367</v>
      </c>
      <c r="H1323" s="2" t="s">
        <v>88</v>
      </c>
      <c r="I1323" s="3" t="s">
        <v>3643</v>
      </c>
      <c r="J1323" s="7">
        <v>1</v>
      </c>
      <c r="K1323" s="70" t="s">
        <v>53</v>
      </c>
      <c r="L1323" s="9">
        <v>1</v>
      </c>
      <c r="M1323" s="3">
        <v>1039</v>
      </c>
      <c r="N1323" s="6">
        <v>1980</v>
      </c>
      <c r="P1323" s="71"/>
      <c r="R1323" s="6">
        <v>1980</v>
      </c>
      <c r="S1323" s="3" t="s">
        <v>54</v>
      </c>
      <c r="T1323" s="72"/>
      <c r="U1323" s="73"/>
      <c r="W1323" s="2" t="s">
        <v>3644</v>
      </c>
      <c r="X1323" s="10" t="s">
        <v>91</v>
      </c>
      <c r="Y1323" s="10" t="s">
        <v>92</v>
      </c>
      <c r="Z1323" s="75"/>
      <c r="AA1323" s="76"/>
      <c r="AB1323" s="77">
        <v>29615</v>
      </c>
      <c r="AC1323" s="77">
        <v>29615</v>
      </c>
      <c r="AD1323" s="10"/>
      <c r="AE1323" s="7">
        <v>1980</v>
      </c>
      <c r="AF1323" s="7">
        <v>94</v>
      </c>
      <c r="AG1323" s="7">
        <v>1981</v>
      </c>
      <c r="AH1323" s="7">
        <v>1980</v>
      </c>
      <c r="AI1323" s="7"/>
      <c r="AJ1323" s="73"/>
      <c r="AK1323" s="7"/>
      <c r="AM1323" s="2" t="s">
        <v>59</v>
      </c>
      <c r="AO1323" s="6" t="s">
        <v>59</v>
      </c>
      <c r="AW1323" s="6">
        <f t="shared" ca="1" si="23"/>
        <v>45</v>
      </c>
    </row>
    <row r="1324" ht="45" hidden="1" customHeight="1">
      <c r="A1324" s="69"/>
      <c r="B1324" s="3" t="s">
        <v>47</v>
      </c>
      <c r="C1324" s="4" t="s">
        <v>2790</v>
      </c>
      <c r="D1324" s="5" t="s">
        <v>3645</v>
      </c>
      <c r="E1324" s="2" t="s">
        <v>83</v>
      </c>
      <c r="F1324" s="6" t="s">
        <v>84</v>
      </c>
      <c r="G1324" s="5" t="s">
        <v>2275</v>
      </c>
      <c r="H1324" s="2" t="s">
        <v>51</v>
      </c>
      <c r="I1324" s="3" t="s">
        <v>3646</v>
      </c>
      <c r="J1324" s="7">
        <v>1</v>
      </c>
      <c r="K1324" s="70"/>
      <c r="L1324" s="9">
        <v>1</v>
      </c>
      <c r="M1324" s="3">
        <v>1040</v>
      </c>
      <c r="N1324" s="6">
        <v>1980</v>
      </c>
      <c r="P1324" s="71"/>
      <c r="R1324" s="6">
        <v>1980</v>
      </c>
      <c r="S1324" s="3" t="s">
        <v>236</v>
      </c>
      <c r="T1324" s="72"/>
      <c r="U1324" s="73"/>
      <c r="W1324" s="2" t="s">
        <v>62</v>
      </c>
      <c r="X1324" s="10" t="s">
        <v>56</v>
      </c>
      <c r="Y1324" s="10" t="s">
        <v>57</v>
      </c>
      <c r="Z1324" s="75" t="s">
        <v>58</v>
      </c>
      <c r="AA1324" s="76"/>
      <c r="AB1324" s="77"/>
      <c r="AC1324" s="77"/>
      <c r="AD1324" s="10"/>
      <c r="AI1324" s="7"/>
      <c r="AJ1324" s="95">
        <v>41551</v>
      </c>
      <c r="AK1324" s="7">
        <v>2010</v>
      </c>
      <c r="AL1324" s="16"/>
      <c r="AW1324" s="6">
        <f t="shared" ca="1" si="23"/>
        <v>45</v>
      </c>
    </row>
    <row r="1325" ht="45" hidden="1" customHeight="1">
      <c r="A1325" s="69"/>
      <c r="B1325" s="3" t="s">
        <v>47</v>
      </c>
      <c r="C1325" s="4" t="s">
        <v>3647</v>
      </c>
      <c r="D1325" s="5" t="s">
        <v>3648</v>
      </c>
      <c r="E1325" s="2" t="s">
        <v>83</v>
      </c>
      <c r="F1325" s="6" t="s">
        <v>704</v>
      </c>
      <c r="G1325" s="5" t="s">
        <v>2629</v>
      </c>
      <c r="H1325" s="2" t="s">
        <v>57</v>
      </c>
      <c r="I1325" s="3" t="s">
        <v>3649</v>
      </c>
      <c r="J1325" s="7">
        <v>1</v>
      </c>
      <c r="L1325" s="9">
        <v>1</v>
      </c>
      <c r="M1325" s="3">
        <v>1041</v>
      </c>
      <c r="N1325" s="6">
        <v>1980</v>
      </c>
      <c r="P1325" s="71"/>
      <c r="R1325" s="6">
        <v>1980</v>
      </c>
      <c r="S1325" s="3" t="s">
        <v>236</v>
      </c>
      <c r="T1325" s="72"/>
      <c r="U1325" s="73"/>
      <c r="W1325" s="2" t="s">
        <v>62</v>
      </c>
      <c r="X1325" s="10" t="s">
        <v>56</v>
      </c>
      <c r="Y1325" s="10" t="s">
        <v>57</v>
      </c>
      <c r="Z1325" s="75"/>
      <c r="AI1325" s="7"/>
      <c r="AK1325" s="7"/>
      <c r="AL1325" s="16"/>
      <c r="AW1325" s="6">
        <f t="shared" ca="1" si="23"/>
        <v>45</v>
      </c>
    </row>
    <row r="1326" ht="45" hidden="1" customHeight="1" outlineLevel="1">
      <c r="A1326" s="69">
        <v>45449</v>
      </c>
      <c r="B1326" s="3" t="s">
        <v>1926</v>
      </c>
      <c r="C1326" s="4" t="s">
        <v>3650</v>
      </c>
      <c r="D1326" s="5" t="s">
        <v>3651</v>
      </c>
      <c r="E1326" s="2" t="s">
        <v>63</v>
      </c>
      <c r="F1326" s="6" t="s">
        <v>64</v>
      </c>
      <c r="G1326" s="5" t="s">
        <v>69</v>
      </c>
      <c r="H1326" s="2" t="s">
        <v>68</v>
      </c>
      <c r="I1326" s="3" t="s">
        <v>3652</v>
      </c>
      <c r="J1326" s="7">
        <v>1</v>
      </c>
      <c r="L1326" s="9">
        <v>1</v>
      </c>
      <c r="M1326" s="3">
        <v>1042</v>
      </c>
      <c r="N1326" s="6">
        <v>1980</v>
      </c>
      <c r="O1326" s="10">
        <v>28830</v>
      </c>
      <c r="P1326" s="71" t="s">
        <v>3653</v>
      </c>
      <c r="R1326" s="6">
        <v>1980</v>
      </c>
      <c r="S1326" s="3" t="s">
        <v>283</v>
      </c>
      <c r="T1326" s="72"/>
      <c r="U1326" s="73"/>
      <c r="W1326" s="74" t="s">
        <v>62</v>
      </c>
      <c r="X1326" s="10" t="s">
        <v>56</v>
      </c>
      <c r="Y1326" s="10"/>
      <c r="Z1326" s="75"/>
      <c r="AI1326" s="7"/>
      <c r="AJ1326" s="73"/>
      <c r="AK1326" s="7"/>
      <c r="AL1326" s="16"/>
      <c r="AW1326" s="6">
        <f t="shared" ca="1" si="23"/>
        <v>45</v>
      </c>
    </row>
    <row r="1327" ht="45" hidden="1" customHeight="1">
      <c r="A1327" s="69"/>
      <c r="B1327" s="3" t="s">
        <v>47</v>
      </c>
      <c r="C1327" s="4" t="s">
        <v>3654</v>
      </c>
      <c r="D1327" s="5" t="s">
        <v>3655</v>
      </c>
      <c r="E1327" s="2" t="s">
        <v>63</v>
      </c>
      <c r="F1327" s="6" t="s">
        <v>428</v>
      </c>
      <c r="G1327" s="5" t="s">
        <v>3656</v>
      </c>
      <c r="H1327" s="2" t="s">
        <v>51</v>
      </c>
      <c r="I1327" s="3" t="s">
        <v>3657</v>
      </c>
      <c r="J1327" s="7">
        <v>1</v>
      </c>
      <c r="L1327" s="9">
        <v>1</v>
      </c>
      <c r="M1327" s="3">
        <v>1043</v>
      </c>
      <c r="N1327" s="6">
        <v>1981</v>
      </c>
      <c r="O1327" s="10">
        <v>29111</v>
      </c>
      <c r="P1327" s="71" t="s">
        <v>3658</v>
      </c>
      <c r="Q1327" s="10" t="s">
        <v>1453</v>
      </c>
      <c r="R1327" s="6">
        <v>1980</v>
      </c>
      <c r="S1327" s="3" t="s">
        <v>236</v>
      </c>
      <c r="T1327" s="72"/>
      <c r="U1327" s="73"/>
      <c r="W1327" s="2" t="s">
        <v>62</v>
      </c>
      <c r="X1327" s="10" t="s">
        <v>56</v>
      </c>
      <c r="Y1327" s="10" t="s">
        <v>57</v>
      </c>
      <c r="Z1327" s="75" t="s">
        <v>58</v>
      </c>
      <c r="AI1327" s="7"/>
      <c r="AJ1327" s="10">
        <v>43440</v>
      </c>
      <c r="AK1327" s="7">
        <v>2010</v>
      </c>
      <c r="AL1327" s="16"/>
      <c r="AW1327" s="6">
        <f t="shared" ca="1" si="23"/>
        <v>44</v>
      </c>
    </row>
    <row r="1328" ht="45" hidden="1" customHeight="1">
      <c r="A1328" s="69"/>
      <c r="B1328" s="3" t="s">
        <v>47</v>
      </c>
      <c r="C1328" s="4" t="s">
        <v>3659</v>
      </c>
      <c r="D1328" s="5" t="s">
        <v>3660</v>
      </c>
      <c r="E1328" s="2" t="s">
        <v>83</v>
      </c>
      <c r="F1328" s="6" t="s">
        <v>84</v>
      </c>
      <c r="G1328" s="5" t="s">
        <v>2722</v>
      </c>
      <c r="H1328" s="2" t="s">
        <v>57</v>
      </c>
      <c r="I1328" s="3" t="s">
        <v>3661</v>
      </c>
      <c r="J1328" s="7">
        <v>1</v>
      </c>
      <c r="L1328" s="9">
        <v>1</v>
      </c>
      <c r="M1328" s="3">
        <v>1044</v>
      </c>
      <c r="N1328" s="6">
        <v>1981</v>
      </c>
      <c r="O1328" s="10">
        <v>29040</v>
      </c>
      <c r="P1328" s="71" t="s">
        <v>3662</v>
      </c>
      <c r="Q1328" s="10" t="s">
        <v>1453</v>
      </c>
      <c r="R1328" s="6">
        <v>1980</v>
      </c>
      <c r="S1328" s="3" t="s">
        <v>236</v>
      </c>
      <c r="T1328" s="72"/>
      <c r="U1328" s="73"/>
      <c r="W1328" s="2" t="s">
        <v>62</v>
      </c>
      <c r="X1328" s="10" t="s">
        <v>56</v>
      </c>
      <c r="Y1328" s="10" t="s">
        <v>57</v>
      </c>
      <c r="Z1328" s="75"/>
      <c r="AI1328" s="7"/>
      <c r="AJ1328" s="95">
        <v>41928</v>
      </c>
      <c r="AK1328" s="7">
        <v>2010</v>
      </c>
      <c r="AL1328" s="16"/>
      <c r="AU1328" s="16" t="s">
        <v>3406</v>
      </c>
      <c r="AW1328" s="6">
        <f t="shared" ca="1" si="23"/>
        <v>44</v>
      </c>
    </row>
    <row r="1329" ht="45" hidden="1" customHeight="1">
      <c r="A1329" s="69"/>
      <c r="B1329" s="3" t="s">
        <v>47</v>
      </c>
      <c r="C1329" s="4" t="s">
        <v>3663</v>
      </c>
      <c r="E1329" s="2" t="s">
        <v>83</v>
      </c>
      <c r="F1329" s="6" t="s">
        <v>84</v>
      </c>
      <c r="G1329" s="5" t="s">
        <v>797</v>
      </c>
      <c r="H1329" s="2" t="s">
        <v>57</v>
      </c>
      <c r="I1329" s="96" t="s">
        <v>3664</v>
      </c>
      <c r="J1329" s="7">
        <v>1</v>
      </c>
      <c r="L1329" s="9">
        <v>1</v>
      </c>
      <c r="M1329" s="3">
        <v>1045</v>
      </c>
      <c r="N1329" s="6">
        <v>1981</v>
      </c>
      <c r="P1329" s="71"/>
      <c r="R1329" s="6">
        <v>1980</v>
      </c>
      <c r="S1329" s="3" t="s">
        <v>236</v>
      </c>
      <c r="T1329" s="72"/>
      <c r="U1329" s="73"/>
      <c r="W1329" s="2" t="s">
        <v>62</v>
      </c>
      <c r="X1329" s="10" t="s">
        <v>56</v>
      </c>
      <c r="Y1329" s="10" t="s">
        <v>57</v>
      </c>
      <c r="Z1329" s="75"/>
      <c r="AI1329" s="7"/>
      <c r="AJ1329" s="95">
        <v>31243</v>
      </c>
      <c r="AK1329" s="7">
        <v>1980</v>
      </c>
      <c r="AL1329" s="16" t="s">
        <v>3665</v>
      </c>
      <c r="AW1329" s="6">
        <f t="shared" ca="1" si="23"/>
        <v>44</v>
      </c>
    </row>
    <row r="1330" ht="45" hidden="1" customHeight="1">
      <c r="A1330" s="69"/>
      <c r="B1330" s="3" t="s">
        <v>47</v>
      </c>
      <c r="C1330" s="4" t="s">
        <v>1694</v>
      </c>
      <c r="E1330" s="2" t="s">
        <v>83</v>
      </c>
      <c r="F1330" s="6" t="s">
        <v>84</v>
      </c>
      <c r="G1330" s="5" t="s">
        <v>3666</v>
      </c>
      <c r="H1330" s="2" t="s">
        <v>51</v>
      </c>
      <c r="I1330" s="3" t="s">
        <v>3667</v>
      </c>
      <c r="J1330" s="7">
        <v>1</v>
      </c>
      <c r="L1330" s="9">
        <v>1</v>
      </c>
      <c r="M1330" s="3">
        <v>1046</v>
      </c>
      <c r="N1330" s="6">
        <v>1981</v>
      </c>
      <c r="P1330" s="71"/>
      <c r="R1330" s="6">
        <v>1980</v>
      </c>
      <c r="S1330" s="3" t="s">
        <v>236</v>
      </c>
      <c r="T1330" s="72"/>
      <c r="U1330" s="73"/>
      <c r="W1330" s="2" t="s">
        <v>62</v>
      </c>
      <c r="X1330" s="10" t="s">
        <v>56</v>
      </c>
      <c r="Y1330" s="10" t="s">
        <v>57</v>
      </c>
      <c r="Z1330" s="75"/>
      <c r="AI1330" s="7"/>
      <c r="AJ1330" s="95">
        <v>32244</v>
      </c>
      <c r="AK1330" s="7">
        <v>1980</v>
      </c>
      <c r="AL1330" s="16"/>
      <c r="AW1330" s="6">
        <f t="shared" ca="1" si="23"/>
        <v>44</v>
      </c>
    </row>
    <row r="1331" ht="45" customHeight="1">
      <c r="A1331" s="69"/>
      <c r="B1331" s="3" t="s">
        <v>47</v>
      </c>
      <c r="C1331" s="4" t="s">
        <v>3668</v>
      </c>
      <c r="D1331" s="5" t="s">
        <v>3669</v>
      </c>
      <c r="E1331" s="78" t="s">
        <v>48</v>
      </c>
      <c r="F1331" s="79" t="s">
        <v>49</v>
      </c>
      <c r="G1331" s="80" t="s">
        <v>468</v>
      </c>
      <c r="H1331" s="78" t="s">
        <v>68</v>
      </c>
      <c r="I1331" s="81" t="s">
        <v>3670</v>
      </c>
      <c r="J1331" s="7">
        <v>1</v>
      </c>
      <c r="K1331" s="70" t="s">
        <v>53</v>
      </c>
      <c r="L1331" s="9">
        <v>1</v>
      </c>
      <c r="M1331" s="3">
        <v>1047</v>
      </c>
      <c r="N1331" s="6">
        <v>1981</v>
      </c>
      <c r="P1331" s="71"/>
      <c r="R1331" s="6">
        <v>1980</v>
      </c>
      <c r="S1331" s="3" t="s">
        <v>54</v>
      </c>
      <c r="T1331" s="72"/>
      <c r="U1331" s="73"/>
      <c r="W1331" s="78" t="s">
        <v>3671</v>
      </c>
      <c r="X1331" s="82" t="s">
        <v>56</v>
      </c>
      <c r="Y1331" s="82" t="s">
        <v>57</v>
      </c>
      <c r="Z1331" s="83"/>
      <c r="AA1331" s="76"/>
      <c r="AB1331" s="77"/>
      <c r="AC1331" s="77">
        <v>30455</v>
      </c>
      <c r="AD1331" s="10"/>
      <c r="AE1331" s="7">
        <v>1982</v>
      </c>
      <c r="AF1331" s="7">
        <v>98</v>
      </c>
      <c r="AG1331" s="7">
        <v>1983</v>
      </c>
      <c r="AH1331" s="7">
        <v>1980</v>
      </c>
      <c r="AI1331" s="7"/>
      <c r="AJ1331" s="73"/>
      <c r="AK1331" s="7"/>
      <c r="AL1331" s="16"/>
      <c r="AM1331" s="2" t="s">
        <v>59</v>
      </c>
      <c r="AO1331" s="6" t="s">
        <v>100</v>
      </c>
      <c r="AP1331" s="6" t="s">
        <v>73</v>
      </c>
      <c r="AQ1331" s="5" t="s">
        <v>73</v>
      </c>
      <c r="AR1331" s="2" t="s">
        <v>73</v>
      </c>
      <c r="AT1331" s="6" t="s">
        <v>478</v>
      </c>
      <c r="AU1331" s="16" t="s">
        <v>479</v>
      </c>
      <c r="AW1331" s="6">
        <f t="shared" ca="1" si="23"/>
        <v>44</v>
      </c>
    </row>
    <row r="1332" ht="45" hidden="1" customHeight="1" outlineLevel="1">
      <c r="A1332" s="69"/>
      <c r="B1332" s="3" t="s">
        <v>47</v>
      </c>
      <c r="C1332" s="4" t="s">
        <v>3672</v>
      </c>
      <c r="E1332" s="2" t="s">
        <v>83</v>
      </c>
      <c r="F1332" s="6" t="s">
        <v>931</v>
      </c>
      <c r="G1332" s="5" t="s">
        <v>1041</v>
      </c>
      <c r="H1332" s="2" t="s">
        <v>51</v>
      </c>
      <c r="I1332" s="3" t="s">
        <v>1061</v>
      </c>
      <c r="J1332" s="7">
        <v>1</v>
      </c>
      <c r="K1332" s="70"/>
      <c r="L1332" s="9">
        <v>1</v>
      </c>
      <c r="M1332" s="3">
        <v>1048</v>
      </c>
      <c r="N1332" s="6">
        <v>1981</v>
      </c>
      <c r="P1332" s="71"/>
      <c r="R1332" s="6">
        <v>1980</v>
      </c>
      <c r="S1332" s="3" t="s">
        <v>236</v>
      </c>
      <c r="T1332" s="72"/>
      <c r="U1332" s="73"/>
      <c r="W1332" s="2" t="s">
        <v>62</v>
      </c>
      <c r="X1332" s="10" t="s">
        <v>56</v>
      </c>
      <c r="Y1332" s="10" t="s">
        <v>57</v>
      </c>
      <c r="Z1332" s="75" t="s">
        <v>58</v>
      </c>
      <c r="AA1332" s="76"/>
      <c r="AB1332" s="77"/>
      <c r="AC1332" s="77"/>
      <c r="AD1332" s="10"/>
      <c r="AI1332" s="7"/>
      <c r="AJ1332" s="95">
        <v>31632</v>
      </c>
      <c r="AK1332" s="7">
        <v>1980</v>
      </c>
      <c r="AL1332" s="16"/>
      <c r="AW1332" s="6">
        <f t="shared" ca="1" si="23"/>
        <v>44</v>
      </c>
    </row>
    <row r="1333" ht="45" hidden="1" customHeight="1" outlineLevel="1">
      <c r="A1333" s="69"/>
      <c r="B1333" s="3" t="s">
        <v>47</v>
      </c>
      <c r="C1333" s="4" t="s">
        <v>3673</v>
      </c>
      <c r="E1333" s="2" t="s">
        <v>83</v>
      </c>
      <c r="F1333" s="6" t="s">
        <v>931</v>
      </c>
      <c r="G1333" s="5" t="s">
        <v>3674</v>
      </c>
      <c r="H1333" s="2" t="s">
        <v>508</v>
      </c>
      <c r="I1333" s="3" t="s">
        <v>3675</v>
      </c>
      <c r="J1333" s="7">
        <v>1</v>
      </c>
      <c r="K1333" s="70"/>
      <c r="L1333" s="9">
        <v>1</v>
      </c>
      <c r="M1333" s="3">
        <v>1049</v>
      </c>
      <c r="N1333" s="6">
        <v>1981</v>
      </c>
      <c r="P1333" s="71"/>
      <c r="R1333" s="6">
        <v>1980</v>
      </c>
      <c r="S1333" s="3" t="s">
        <v>236</v>
      </c>
      <c r="T1333" s="72"/>
      <c r="U1333" s="73"/>
      <c r="W1333" s="2" t="s">
        <v>62</v>
      </c>
      <c r="X1333" s="10" t="s">
        <v>504</v>
      </c>
      <c r="Y1333" s="10" t="s">
        <v>511</v>
      </c>
      <c r="Z1333" s="75"/>
      <c r="AA1333" s="76"/>
      <c r="AB1333" s="77"/>
      <c r="AC1333" s="77"/>
      <c r="AD1333" s="10"/>
      <c r="AI1333" s="7"/>
      <c r="AJ1333" s="95">
        <v>31888</v>
      </c>
      <c r="AK1333" s="7">
        <v>1980</v>
      </c>
      <c r="AL1333" s="16"/>
      <c r="AU1333" s="16" t="s">
        <v>3676</v>
      </c>
      <c r="AW1333" s="6">
        <f t="shared" ca="1" si="23"/>
        <v>44</v>
      </c>
    </row>
    <row r="1334" ht="45" hidden="1" customHeight="1" outlineLevel="1">
      <c r="A1334" s="69"/>
      <c r="B1334" s="3" t="s">
        <v>47</v>
      </c>
      <c r="C1334" s="4" t="s">
        <v>3677</v>
      </c>
      <c r="D1334" s="5" t="s">
        <v>3678</v>
      </c>
      <c r="E1334" s="2" t="s">
        <v>1074</v>
      </c>
      <c r="F1334" s="6" t="s">
        <v>1075</v>
      </c>
      <c r="G1334" s="5" t="s">
        <v>2013</v>
      </c>
      <c r="H1334" s="2" t="s">
        <v>508</v>
      </c>
      <c r="I1334" s="3" t="s">
        <v>3679</v>
      </c>
      <c r="J1334" s="7">
        <v>1</v>
      </c>
      <c r="K1334" s="70"/>
      <c r="L1334" s="9">
        <v>1</v>
      </c>
      <c r="M1334" s="3">
        <v>1050</v>
      </c>
      <c r="N1334" s="6">
        <v>1981</v>
      </c>
      <c r="P1334" s="71"/>
      <c r="R1334" s="6">
        <v>1980</v>
      </c>
      <c r="S1334" s="3" t="s">
        <v>236</v>
      </c>
      <c r="T1334" s="72"/>
      <c r="U1334" s="73"/>
      <c r="W1334" s="2" t="s">
        <v>62</v>
      </c>
      <c r="X1334" s="10" t="s">
        <v>504</v>
      </c>
      <c r="Y1334" s="10" t="s">
        <v>511</v>
      </c>
      <c r="Z1334" s="75"/>
      <c r="AA1334" s="76"/>
      <c r="AB1334" s="77"/>
      <c r="AC1334" s="77"/>
      <c r="AD1334" s="10"/>
      <c r="AI1334" s="7"/>
      <c r="AJ1334" s="95">
        <v>40997</v>
      </c>
      <c r="AK1334" s="7">
        <v>2010</v>
      </c>
      <c r="AL1334" s="16"/>
      <c r="AW1334" s="6">
        <f t="shared" ca="1" si="23"/>
        <v>44</v>
      </c>
    </row>
    <row r="1335" ht="45" hidden="1" customHeight="1" outlineLevel="1">
      <c r="A1335" s="69"/>
      <c r="B1335" s="3" t="s">
        <v>47</v>
      </c>
      <c r="C1335" s="4" t="s">
        <v>3680</v>
      </c>
      <c r="E1335" s="2" t="s">
        <v>83</v>
      </c>
      <c r="F1335" s="6" t="s">
        <v>84</v>
      </c>
      <c r="G1335" s="5" t="s">
        <v>1068</v>
      </c>
      <c r="H1335" s="2" t="s">
        <v>288</v>
      </c>
      <c r="I1335" s="148" t="s">
        <v>3681</v>
      </c>
      <c r="J1335" s="7">
        <v>1</v>
      </c>
      <c r="K1335" s="70"/>
      <c r="L1335" s="9">
        <v>1</v>
      </c>
      <c r="M1335" s="3">
        <v>1051</v>
      </c>
      <c r="N1335" s="6">
        <v>1981</v>
      </c>
      <c r="P1335" s="71"/>
      <c r="R1335" s="6">
        <v>1980</v>
      </c>
      <c r="S1335" s="3" t="s">
        <v>236</v>
      </c>
      <c r="T1335" s="72"/>
      <c r="U1335" s="73"/>
      <c r="W1335" s="2" t="s">
        <v>62</v>
      </c>
      <c r="X1335" s="10" t="s">
        <v>56</v>
      </c>
      <c r="Y1335" s="10" t="s">
        <v>288</v>
      </c>
      <c r="Z1335" s="75"/>
      <c r="AA1335" s="76"/>
      <c r="AB1335" s="77"/>
      <c r="AC1335" s="77"/>
      <c r="AD1335" s="10"/>
      <c r="AI1335" s="7"/>
      <c r="AJ1335" s="95">
        <v>37623</v>
      </c>
      <c r="AK1335" s="7">
        <v>2000</v>
      </c>
      <c r="AL1335" s="16" t="s">
        <v>3682</v>
      </c>
      <c r="AW1335" s="6">
        <f t="shared" ca="1" si="23"/>
        <v>44</v>
      </c>
    </row>
    <row r="1336" ht="45" customHeight="1" outlineLevel="1">
      <c r="A1336" s="69"/>
      <c r="B1336" s="3" t="s">
        <v>47</v>
      </c>
      <c r="E1336" s="78" t="s">
        <v>63</v>
      </c>
      <c r="F1336" s="79" t="s">
        <v>428</v>
      </c>
      <c r="G1336" s="80" t="s">
        <v>3683</v>
      </c>
      <c r="H1336" s="78" t="s">
        <v>57</v>
      </c>
      <c r="I1336" s="81" t="s">
        <v>3684</v>
      </c>
      <c r="J1336" s="7">
        <v>1</v>
      </c>
      <c r="K1336" s="70" t="s">
        <v>53</v>
      </c>
      <c r="L1336" s="9">
        <v>1</v>
      </c>
      <c r="M1336" s="3">
        <v>1052</v>
      </c>
      <c r="N1336" s="6">
        <v>1981</v>
      </c>
      <c r="P1336" s="71"/>
      <c r="R1336" s="6">
        <v>1980</v>
      </c>
      <c r="S1336" s="3" t="s">
        <v>54</v>
      </c>
      <c r="T1336" s="72"/>
      <c r="U1336" s="73"/>
      <c r="W1336" s="78" t="s">
        <v>3685</v>
      </c>
      <c r="X1336" s="82" t="s">
        <v>56</v>
      </c>
      <c r="Y1336" s="82" t="s">
        <v>57</v>
      </c>
      <c r="Z1336" s="83"/>
      <c r="AA1336" s="76"/>
      <c r="AB1336" s="77"/>
      <c r="AC1336" s="77">
        <v>30732</v>
      </c>
      <c r="AD1336" s="10"/>
      <c r="AE1336" s="7">
        <v>1983</v>
      </c>
      <c r="AF1336" s="7">
        <v>101</v>
      </c>
      <c r="AG1336" s="7">
        <v>1984</v>
      </c>
      <c r="AH1336" s="7">
        <v>1980</v>
      </c>
      <c r="AI1336" s="7"/>
      <c r="AJ1336" s="73"/>
      <c r="AK1336" s="7"/>
      <c r="AL1336" s="16"/>
      <c r="AM1336" s="2" t="s">
        <v>59</v>
      </c>
      <c r="AW1336" s="6">
        <f t="shared" ca="1" si="23"/>
        <v>44</v>
      </c>
    </row>
    <row r="1337" ht="45" customHeight="1" outlineLevel="1">
      <c r="A1337" s="69"/>
      <c r="B1337" s="3" t="s">
        <v>47</v>
      </c>
      <c r="E1337" s="2" t="s">
        <v>48</v>
      </c>
      <c r="F1337" s="6" t="s">
        <v>564</v>
      </c>
      <c r="G1337" s="5" t="s">
        <v>565</v>
      </c>
      <c r="H1337" s="2" t="s">
        <v>57</v>
      </c>
      <c r="I1337" s="3" t="s">
        <v>3686</v>
      </c>
      <c r="J1337" s="7">
        <v>1</v>
      </c>
      <c r="K1337" s="70" t="s">
        <v>53</v>
      </c>
      <c r="L1337" s="9">
        <v>1</v>
      </c>
      <c r="M1337" s="3">
        <v>1053</v>
      </c>
      <c r="N1337" s="6">
        <v>1981</v>
      </c>
      <c r="P1337" s="71"/>
      <c r="R1337" s="6">
        <v>1980</v>
      </c>
      <c r="S1337" s="3" t="s">
        <v>54</v>
      </c>
      <c r="T1337" s="72"/>
      <c r="U1337" s="73"/>
      <c r="W1337" s="2" t="s">
        <v>3687</v>
      </c>
      <c r="X1337" s="10" t="s">
        <v>56</v>
      </c>
      <c r="Y1337" s="10" t="s">
        <v>57</v>
      </c>
      <c r="Z1337" s="75"/>
      <c r="AA1337" s="76"/>
      <c r="AB1337" s="77">
        <v>30831</v>
      </c>
      <c r="AC1337" s="77"/>
      <c r="AD1337" s="6"/>
      <c r="AE1337" s="7">
        <v>1983</v>
      </c>
      <c r="AF1337" s="7">
        <v>103</v>
      </c>
      <c r="AG1337" s="7">
        <v>1984</v>
      </c>
      <c r="AH1337" s="7">
        <v>1980</v>
      </c>
      <c r="AI1337" s="7"/>
      <c r="AJ1337" s="73"/>
      <c r="AK1337" s="7"/>
      <c r="AL1337" s="16"/>
      <c r="AM1337" s="2" t="s">
        <v>59</v>
      </c>
      <c r="AN1337" s="6" t="s">
        <v>73</v>
      </c>
      <c r="AO1337" s="6" t="s">
        <v>100</v>
      </c>
      <c r="AP1337" s="6" t="s">
        <v>73</v>
      </c>
      <c r="AU1337" s="16" t="s">
        <v>784</v>
      </c>
      <c r="AW1337" s="6">
        <f t="shared" ca="1" si="23"/>
        <v>44</v>
      </c>
    </row>
    <row r="1338" ht="45" customHeight="1" outlineLevel="1">
      <c r="A1338" s="69"/>
      <c r="B1338" s="3" t="s">
        <v>47</v>
      </c>
      <c r="E1338" s="2" t="s">
        <v>63</v>
      </c>
      <c r="F1338" s="6" t="s">
        <v>217</v>
      </c>
      <c r="G1338" s="5" t="s">
        <v>221</v>
      </c>
      <c r="H1338" s="2" t="s">
        <v>57</v>
      </c>
      <c r="I1338" s="3" t="s">
        <v>3688</v>
      </c>
      <c r="J1338" s="7">
        <v>1</v>
      </c>
      <c r="K1338" s="70" t="s">
        <v>53</v>
      </c>
      <c r="L1338" s="9">
        <v>1</v>
      </c>
      <c r="M1338" s="3">
        <v>1054</v>
      </c>
      <c r="N1338" s="6">
        <v>1982</v>
      </c>
      <c r="P1338" s="71"/>
      <c r="R1338" s="6">
        <v>1980</v>
      </c>
      <c r="S1338" s="3" t="s">
        <v>54</v>
      </c>
      <c r="T1338" s="72"/>
      <c r="U1338" s="73"/>
      <c r="W1338" s="2" t="s">
        <v>3689</v>
      </c>
      <c r="X1338" s="10" t="s">
        <v>56</v>
      </c>
      <c r="Y1338" s="10" t="s">
        <v>57</v>
      </c>
      <c r="Z1338" s="75"/>
      <c r="AA1338" s="76"/>
      <c r="AB1338" s="77">
        <v>30896</v>
      </c>
      <c r="AC1338" s="77"/>
      <c r="AD1338" s="6"/>
      <c r="AE1338" s="7">
        <v>1984</v>
      </c>
      <c r="AF1338" s="7">
        <v>106</v>
      </c>
      <c r="AG1338" s="7">
        <v>1984</v>
      </c>
      <c r="AH1338" s="7">
        <v>1980</v>
      </c>
      <c r="AI1338" s="7"/>
      <c r="AJ1338" s="73"/>
      <c r="AK1338" s="7"/>
      <c r="AL1338" s="16" t="s">
        <v>3690</v>
      </c>
      <c r="AM1338" s="2" t="s">
        <v>59</v>
      </c>
      <c r="AO1338" s="6" t="s">
        <v>59</v>
      </c>
      <c r="AP1338" s="6" t="s">
        <v>104</v>
      </c>
      <c r="AQ1338" s="5" t="s">
        <v>104</v>
      </c>
      <c r="AW1338" s="6">
        <f t="shared" ca="1" si="23"/>
        <v>43</v>
      </c>
    </row>
    <row r="1339" ht="45" customHeight="1" outlineLevel="1">
      <c r="A1339" s="69"/>
      <c r="B1339" s="3" t="s">
        <v>47</v>
      </c>
      <c r="D1339" s="5" t="s">
        <v>3691</v>
      </c>
      <c r="E1339" s="2" t="s">
        <v>694</v>
      </c>
      <c r="F1339" s="6" t="s">
        <v>1487</v>
      </c>
      <c r="G1339" s="5" t="s">
        <v>3692</v>
      </c>
      <c r="H1339" s="2" t="s">
        <v>57</v>
      </c>
      <c r="I1339" s="3" t="s">
        <v>3693</v>
      </c>
      <c r="J1339" s="7">
        <v>1</v>
      </c>
      <c r="K1339" s="104" t="s">
        <v>53</v>
      </c>
      <c r="L1339" s="9">
        <v>1</v>
      </c>
      <c r="M1339" s="3">
        <v>1055</v>
      </c>
      <c r="N1339" s="6">
        <v>1981</v>
      </c>
      <c r="P1339" s="71"/>
      <c r="R1339" s="6">
        <v>1980</v>
      </c>
      <c r="S1339" s="3" t="s">
        <v>54</v>
      </c>
      <c r="T1339" s="72"/>
      <c r="U1339" s="73"/>
      <c r="W1339" s="2" t="s">
        <v>3694</v>
      </c>
      <c r="X1339" s="10" t="s">
        <v>56</v>
      </c>
      <c r="Y1339" s="10" t="s">
        <v>57</v>
      </c>
      <c r="Z1339" s="75"/>
      <c r="AA1339" s="76"/>
      <c r="AB1339" s="77">
        <v>42527</v>
      </c>
      <c r="AC1339" s="77"/>
      <c r="AD1339" s="6"/>
      <c r="AE1339" s="7">
        <v>2015</v>
      </c>
      <c r="AF1339" s="7">
        <v>81</v>
      </c>
      <c r="AG1339" s="7">
        <v>2016</v>
      </c>
      <c r="AH1339" s="7">
        <v>2010</v>
      </c>
      <c r="AI1339" s="7"/>
      <c r="AJ1339" s="73"/>
      <c r="AK1339" s="7"/>
      <c r="AL1339" s="16" t="s">
        <v>3695</v>
      </c>
      <c r="AM1339" s="2" t="s">
        <v>59</v>
      </c>
      <c r="AW1339" s="6">
        <f t="shared" ca="1" si="23"/>
        <v>44</v>
      </c>
    </row>
    <row r="1340" ht="45" customHeight="1" outlineLevel="1">
      <c r="A1340" s="69"/>
      <c r="B1340" s="3" t="s">
        <v>47</v>
      </c>
      <c r="D1340" s="5" t="s">
        <v>3691</v>
      </c>
      <c r="E1340" s="2" t="s">
        <v>694</v>
      </c>
      <c r="F1340" s="6" t="s">
        <v>1487</v>
      </c>
      <c r="G1340" s="5" t="s">
        <v>3696</v>
      </c>
      <c r="H1340" s="2" t="s">
        <v>57</v>
      </c>
      <c r="I1340" s="3" t="s">
        <v>3693</v>
      </c>
      <c r="J1340" s="7">
        <v>1</v>
      </c>
      <c r="K1340" s="104" t="s">
        <v>53</v>
      </c>
      <c r="L1340" s="9">
        <v>0</v>
      </c>
      <c r="M1340" s="3">
        <v>1055</v>
      </c>
      <c r="N1340" s="6">
        <v>1981</v>
      </c>
      <c r="P1340" s="71"/>
      <c r="R1340" s="6">
        <v>1980</v>
      </c>
      <c r="S1340" s="3" t="s">
        <v>54</v>
      </c>
      <c r="T1340" s="72"/>
      <c r="U1340" s="73"/>
      <c r="W1340" s="2" t="s">
        <v>3697</v>
      </c>
      <c r="X1340" s="10" t="s">
        <v>56</v>
      </c>
      <c r="Y1340" s="10" t="s">
        <v>57</v>
      </c>
      <c r="Z1340" s="75"/>
      <c r="AA1340" s="76"/>
      <c r="AB1340" s="77">
        <v>42527</v>
      </c>
      <c r="AC1340" s="77"/>
      <c r="AD1340" s="6"/>
      <c r="AE1340" s="7">
        <v>2015</v>
      </c>
      <c r="AF1340" s="7">
        <v>81</v>
      </c>
      <c r="AG1340" s="7">
        <v>2016</v>
      </c>
      <c r="AH1340" s="7">
        <v>2010</v>
      </c>
      <c r="AI1340" s="7"/>
      <c r="AJ1340" s="73"/>
      <c r="AK1340" s="7"/>
      <c r="AL1340" s="16" t="s">
        <v>3695</v>
      </c>
      <c r="AM1340" s="2" t="s">
        <v>59</v>
      </c>
      <c r="AW1340" s="6">
        <f t="shared" ca="1" si="23"/>
        <v>44</v>
      </c>
    </row>
    <row r="1341" ht="45" hidden="1" customHeight="1" outlineLevel="1">
      <c r="A1341" s="69"/>
      <c r="B1341" s="3" t="s">
        <v>190</v>
      </c>
      <c r="C1341" s="4" t="s">
        <v>3698</v>
      </c>
      <c r="D1341" s="5" t="s">
        <v>3699</v>
      </c>
      <c r="E1341" s="2" t="s">
        <v>48</v>
      </c>
      <c r="F1341" s="6" t="s">
        <v>140</v>
      </c>
      <c r="G1341" s="5" t="s">
        <v>210</v>
      </c>
      <c r="H1341" s="2" t="s">
        <v>491</v>
      </c>
      <c r="I1341" s="3" t="s">
        <v>3700</v>
      </c>
      <c r="J1341" s="7">
        <v>1</v>
      </c>
      <c r="K1341" s="104"/>
      <c r="L1341" s="9">
        <v>1</v>
      </c>
      <c r="M1341" s="3">
        <v>1056</v>
      </c>
      <c r="N1341" s="6">
        <v>1982</v>
      </c>
      <c r="O1341" s="10">
        <v>29957</v>
      </c>
      <c r="P1341" s="71" t="s">
        <v>3701</v>
      </c>
      <c r="Q1341" s="10" t="s">
        <v>1453</v>
      </c>
      <c r="R1341" s="6">
        <v>1980</v>
      </c>
      <c r="S1341" s="3" t="s">
        <v>283</v>
      </c>
      <c r="T1341" s="72"/>
      <c r="U1341" s="73"/>
      <c r="W1341" s="74" t="s">
        <v>62</v>
      </c>
      <c r="X1341" s="10" t="s">
        <v>56</v>
      </c>
      <c r="Y1341" s="10" t="s">
        <v>523</v>
      </c>
      <c r="Z1341" s="75"/>
      <c r="AA1341" s="76"/>
      <c r="AB1341" s="77"/>
      <c r="AC1341" s="77"/>
      <c r="AD1341" s="6"/>
      <c r="AI1341" s="7"/>
      <c r="AJ1341" s="73"/>
      <c r="AK1341" s="7"/>
      <c r="AL1341" s="16"/>
      <c r="AW1341" s="6">
        <f t="shared" ca="1" si="23"/>
        <v>43</v>
      </c>
    </row>
    <row r="1342" ht="45" customHeight="1" outlineLevel="1">
      <c r="A1342" s="69"/>
      <c r="B1342" s="3" t="s">
        <v>47</v>
      </c>
      <c r="E1342" s="2" t="s">
        <v>63</v>
      </c>
      <c r="F1342" s="6" t="s">
        <v>428</v>
      </c>
      <c r="G1342" s="5" t="s">
        <v>429</v>
      </c>
      <c r="H1342" s="2" t="s">
        <v>57</v>
      </c>
      <c r="I1342" s="3" t="s">
        <v>3702</v>
      </c>
      <c r="J1342" s="7">
        <v>1</v>
      </c>
      <c r="K1342" s="70" t="s">
        <v>53</v>
      </c>
      <c r="L1342" s="9">
        <v>1</v>
      </c>
      <c r="M1342" s="3">
        <v>1057</v>
      </c>
      <c r="N1342" s="6">
        <v>1982</v>
      </c>
      <c r="P1342" s="71"/>
      <c r="R1342" s="6">
        <v>1980</v>
      </c>
      <c r="S1342" s="3" t="s">
        <v>54</v>
      </c>
      <c r="T1342" s="72"/>
      <c r="U1342" s="73"/>
      <c r="W1342" s="2" t="s">
        <v>3703</v>
      </c>
      <c r="X1342" s="10" t="s">
        <v>56</v>
      </c>
      <c r="Y1342" s="10" t="s">
        <v>57</v>
      </c>
      <c r="Z1342" s="75"/>
      <c r="AA1342" s="76"/>
      <c r="AB1342" s="77"/>
      <c r="AC1342" s="77">
        <v>30455</v>
      </c>
      <c r="AD1342" s="10"/>
      <c r="AE1342" s="7">
        <v>1983</v>
      </c>
      <c r="AF1342" s="7">
        <v>99</v>
      </c>
      <c r="AG1342" s="7">
        <v>1983</v>
      </c>
      <c r="AH1342" s="7">
        <v>1980</v>
      </c>
      <c r="AI1342" s="7"/>
      <c r="AJ1342" s="73"/>
      <c r="AK1342" s="7"/>
      <c r="AL1342" s="16"/>
      <c r="AM1342" s="2" t="s">
        <v>59</v>
      </c>
      <c r="AO1342" s="6" t="s">
        <v>136</v>
      </c>
      <c r="AQ1342" s="5" t="s">
        <v>104</v>
      </c>
      <c r="AU1342" s="16" t="s">
        <v>2364</v>
      </c>
      <c r="AW1342" s="6">
        <f t="shared" ca="1" si="23"/>
        <v>43</v>
      </c>
    </row>
    <row r="1343" ht="45" hidden="1" customHeight="1" outlineLevel="1">
      <c r="A1343" s="69"/>
      <c r="B1343" s="3" t="s">
        <v>47</v>
      </c>
      <c r="C1343" s="4" t="s">
        <v>3704</v>
      </c>
      <c r="D1343" s="5" t="s">
        <v>3705</v>
      </c>
      <c r="E1343" s="2" t="s">
        <v>63</v>
      </c>
      <c r="F1343" s="6" t="s">
        <v>64</v>
      </c>
      <c r="G1343" s="5" t="s">
        <v>69</v>
      </c>
      <c r="H1343" s="2" t="s">
        <v>57</v>
      </c>
      <c r="I1343" s="3" t="s">
        <v>3706</v>
      </c>
      <c r="J1343" s="7">
        <v>1</v>
      </c>
      <c r="K1343" s="70"/>
      <c r="L1343" s="9">
        <v>1</v>
      </c>
      <c r="M1343" s="3">
        <v>1058</v>
      </c>
      <c r="N1343" s="6">
        <v>1982</v>
      </c>
      <c r="O1343" s="10">
        <v>30193</v>
      </c>
      <c r="P1343" s="71" t="s">
        <v>3707</v>
      </c>
      <c r="Q1343" s="10" t="s">
        <v>1453</v>
      </c>
      <c r="R1343" s="6">
        <v>1980</v>
      </c>
      <c r="S1343" s="3" t="s">
        <v>236</v>
      </c>
      <c r="T1343" s="72"/>
      <c r="W1343" s="2" t="s">
        <v>62</v>
      </c>
      <c r="X1343" s="10" t="s">
        <v>56</v>
      </c>
      <c r="Y1343" s="10" t="s">
        <v>57</v>
      </c>
      <c r="Z1343" s="75"/>
      <c r="AA1343" s="76"/>
      <c r="AB1343" s="77"/>
      <c r="AC1343" s="77"/>
      <c r="AD1343" s="10"/>
      <c r="AI1343" s="7"/>
      <c r="AJ1343" s="10">
        <v>44448</v>
      </c>
      <c r="AK1343" s="7">
        <v>2020</v>
      </c>
      <c r="AL1343" s="16"/>
      <c r="AW1343" s="6">
        <f t="shared" ca="1" si="23"/>
        <v>43</v>
      </c>
    </row>
    <row r="1344" ht="45" hidden="1" customHeight="1" outlineLevel="1">
      <c r="A1344" s="69"/>
      <c r="B1344" s="3" t="s">
        <v>47</v>
      </c>
      <c r="C1344" s="4" t="s">
        <v>3708</v>
      </c>
      <c r="E1344" s="2" t="s">
        <v>83</v>
      </c>
      <c r="F1344" s="6" t="s">
        <v>84</v>
      </c>
      <c r="G1344" s="5" t="s">
        <v>85</v>
      </c>
      <c r="H1344" s="2" t="s">
        <v>57</v>
      </c>
      <c r="I1344" s="3" t="s">
        <v>3709</v>
      </c>
      <c r="J1344" s="7">
        <v>1</v>
      </c>
      <c r="K1344" s="70"/>
      <c r="L1344" s="9">
        <v>1</v>
      </c>
      <c r="M1344" s="3">
        <v>1059</v>
      </c>
      <c r="N1344" s="6">
        <v>1982</v>
      </c>
      <c r="P1344" s="71"/>
      <c r="R1344" s="6">
        <v>1980</v>
      </c>
      <c r="S1344" s="3" t="s">
        <v>236</v>
      </c>
      <c r="T1344" s="72"/>
      <c r="U1344" s="73"/>
      <c r="W1344" s="2" t="s">
        <v>62</v>
      </c>
      <c r="X1344" s="10" t="s">
        <v>56</v>
      </c>
      <c r="Y1344" s="10" t="s">
        <v>57</v>
      </c>
      <c r="Z1344" s="75"/>
      <c r="AA1344" s="76"/>
      <c r="AB1344" s="77"/>
      <c r="AC1344" s="77"/>
      <c r="AD1344" s="10"/>
      <c r="AI1344" s="7"/>
      <c r="AJ1344" s="95">
        <v>32770</v>
      </c>
      <c r="AK1344" s="7">
        <v>1980</v>
      </c>
      <c r="AL1344" s="16"/>
      <c r="AW1344" s="6">
        <f t="shared" ca="1" si="23"/>
        <v>43</v>
      </c>
    </row>
    <row r="1345" ht="45" customHeight="1" outlineLevel="1">
      <c r="A1345" s="69"/>
      <c r="B1345" s="3" t="s">
        <v>47</v>
      </c>
      <c r="E1345" s="2" t="s">
        <v>63</v>
      </c>
      <c r="F1345" s="6" t="s">
        <v>172</v>
      </c>
      <c r="G1345" s="5" t="s">
        <v>3710</v>
      </c>
      <c r="H1345" s="2" t="s">
        <v>288</v>
      </c>
      <c r="I1345" s="3" t="s">
        <v>3711</v>
      </c>
      <c r="J1345" s="7">
        <v>1</v>
      </c>
      <c r="K1345" s="70" t="s">
        <v>53</v>
      </c>
      <c r="L1345" s="9">
        <v>1</v>
      </c>
      <c r="M1345" s="3">
        <v>1060</v>
      </c>
      <c r="N1345" s="6">
        <v>1982</v>
      </c>
      <c r="P1345" s="71"/>
      <c r="R1345" s="6">
        <v>1980</v>
      </c>
      <c r="S1345" s="3" t="s">
        <v>54</v>
      </c>
      <c r="T1345" s="72"/>
      <c r="U1345" s="73"/>
      <c r="W1345" s="2" t="s">
        <v>3712</v>
      </c>
      <c r="X1345" s="10" t="s">
        <v>504</v>
      </c>
      <c r="Y1345" s="10" t="s">
        <v>511</v>
      </c>
      <c r="Z1345" s="75"/>
      <c r="AA1345" s="76">
        <v>30488</v>
      </c>
      <c r="AB1345" s="77"/>
      <c r="AC1345" s="77"/>
      <c r="AD1345" s="6"/>
      <c r="AE1345" s="7">
        <v>1983</v>
      </c>
      <c r="AF1345" s="7">
        <v>99</v>
      </c>
      <c r="AG1345" s="7">
        <v>1983</v>
      </c>
      <c r="AH1345" s="7">
        <v>1980</v>
      </c>
      <c r="AI1345" s="7"/>
      <c r="AJ1345" s="73"/>
      <c r="AK1345" s="7"/>
      <c r="AL1345" s="16"/>
      <c r="AW1345" s="6">
        <f t="shared" ca="1" si="23"/>
        <v>43</v>
      </c>
    </row>
    <row r="1346" ht="45" hidden="1" customHeight="1" outlineLevel="1">
      <c r="A1346" s="69"/>
      <c r="B1346" s="3" t="s">
        <v>47</v>
      </c>
      <c r="C1346" s="4" t="s">
        <v>3713</v>
      </c>
      <c r="E1346" s="2" t="s">
        <v>83</v>
      </c>
      <c r="F1346" s="6" t="s">
        <v>84</v>
      </c>
      <c r="G1346" s="5" t="s">
        <v>85</v>
      </c>
      <c r="H1346" s="2" t="s">
        <v>57</v>
      </c>
      <c r="I1346" s="3" t="s">
        <v>3714</v>
      </c>
      <c r="J1346" s="7">
        <v>1</v>
      </c>
      <c r="L1346" s="9">
        <v>1</v>
      </c>
      <c r="M1346" s="3">
        <v>1061</v>
      </c>
      <c r="N1346" s="6">
        <v>1981</v>
      </c>
      <c r="P1346" s="71"/>
      <c r="R1346" s="6">
        <v>1980</v>
      </c>
      <c r="S1346" s="3" t="s">
        <v>236</v>
      </c>
      <c r="T1346" s="72"/>
      <c r="U1346" s="73"/>
      <c r="W1346" s="2" t="s">
        <v>62</v>
      </c>
      <c r="X1346" s="10" t="s">
        <v>56</v>
      </c>
      <c r="Y1346" s="10" t="s">
        <v>57</v>
      </c>
      <c r="Z1346" s="75"/>
      <c r="AE1346" s="7">
        <v>1986</v>
      </c>
      <c r="AF1346" s="7">
        <v>122</v>
      </c>
      <c r="AI1346" s="7"/>
      <c r="AJ1346" s="95">
        <v>31797</v>
      </c>
      <c r="AK1346" s="7">
        <v>1980</v>
      </c>
      <c r="AL1346" s="16"/>
      <c r="AW1346" s="6">
        <f t="shared" ca="1" si="23"/>
        <v>44</v>
      </c>
    </row>
    <row r="1347" ht="45" hidden="1" customHeight="1" outlineLevel="1">
      <c r="A1347" s="69"/>
      <c r="B1347" s="3" t="s">
        <v>47</v>
      </c>
      <c r="C1347" s="4" t="s">
        <v>2959</v>
      </c>
      <c r="D1347" s="5" t="s">
        <v>3715</v>
      </c>
      <c r="E1347" s="2" t="s">
        <v>694</v>
      </c>
      <c r="F1347" s="6" t="s">
        <v>695</v>
      </c>
      <c r="G1347" s="5" t="s">
        <v>3716</v>
      </c>
      <c r="H1347" s="2" t="s">
        <v>57</v>
      </c>
      <c r="I1347" s="3" t="s">
        <v>3717</v>
      </c>
      <c r="J1347" s="7">
        <v>1</v>
      </c>
      <c r="K1347" s="104"/>
      <c r="L1347" s="9">
        <v>1</v>
      </c>
      <c r="M1347" s="3">
        <v>1062</v>
      </c>
      <c r="N1347" s="6">
        <v>1982</v>
      </c>
      <c r="O1347" s="10">
        <v>30170</v>
      </c>
      <c r="P1347" s="71" t="s">
        <v>2530</v>
      </c>
      <c r="Q1347" s="10" t="s">
        <v>1453</v>
      </c>
      <c r="R1347" s="6">
        <v>1980</v>
      </c>
      <c r="S1347" s="3" t="s">
        <v>236</v>
      </c>
      <c r="T1347" s="72"/>
      <c r="U1347" s="10">
        <v>43839</v>
      </c>
      <c r="W1347" s="2" t="s">
        <v>62</v>
      </c>
      <c r="X1347" s="10" t="s">
        <v>56</v>
      </c>
      <c r="Y1347" s="10" t="s">
        <v>57</v>
      </c>
      <c r="Z1347" s="75"/>
      <c r="AA1347" s="76"/>
      <c r="AB1347" s="77"/>
      <c r="AC1347" s="77"/>
      <c r="AD1347" s="6"/>
      <c r="AI1347" s="7"/>
      <c r="AJ1347" s="10">
        <v>44205</v>
      </c>
      <c r="AK1347" s="7">
        <v>2020</v>
      </c>
      <c r="AL1347" s="16"/>
      <c r="AU1347" s="16" t="s">
        <v>3718</v>
      </c>
      <c r="AW1347" s="6">
        <f t="shared" ca="1" si="23"/>
        <v>43</v>
      </c>
    </row>
    <row r="1348" ht="45" hidden="1" customHeight="1" outlineLevel="1">
      <c r="A1348" s="69">
        <v>43088</v>
      </c>
      <c r="B1348" s="3" t="s">
        <v>47</v>
      </c>
      <c r="C1348" s="4" t="s">
        <v>3719</v>
      </c>
      <c r="D1348" s="5" t="s">
        <v>3720</v>
      </c>
      <c r="E1348" s="2" t="s">
        <v>63</v>
      </c>
      <c r="F1348" s="6" t="s">
        <v>428</v>
      </c>
      <c r="G1348" s="5" t="s">
        <v>3721</v>
      </c>
      <c r="H1348" s="2" t="s">
        <v>57</v>
      </c>
      <c r="I1348" s="3" t="s">
        <v>3722</v>
      </c>
      <c r="J1348" s="7">
        <v>1</v>
      </c>
      <c r="K1348" s="104"/>
      <c r="L1348" s="9">
        <v>1</v>
      </c>
      <c r="M1348" s="3">
        <v>1063</v>
      </c>
      <c r="N1348" s="6">
        <v>1982</v>
      </c>
      <c r="P1348" s="71"/>
      <c r="R1348" s="6">
        <v>1980</v>
      </c>
      <c r="S1348" s="3" t="s">
        <v>236</v>
      </c>
      <c r="T1348" s="72" t="s">
        <v>1136</v>
      </c>
      <c r="U1348" s="10">
        <v>43983</v>
      </c>
      <c r="W1348" s="2" t="s">
        <v>62</v>
      </c>
      <c r="X1348" s="10" t="s">
        <v>56</v>
      </c>
      <c r="Y1348" s="10" t="s">
        <v>57</v>
      </c>
      <c r="Z1348" s="75"/>
      <c r="AA1348" s="76"/>
      <c r="AB1348" s="77"/>
      <c r="AC1348" s="77"/>
      <c r="AD1348" s="6"/>
      <c r="AI1348" s="7"/>
      <c r="AJ1348" s="10">
        <v>43983</v>
      </c>
      <c r="AK1348" s="7">
        <v>2020</v>
      </c>
      <c r="AL1348" s="16"/>
      <c r="AW1348" s="6">
        <f t="shared" ca="1" si="23"/>
        <v>43</v>
      </c>
    </row>
    <row r="1349" ht="45" customHeight="1" outlineLevel="1">
      <c r="A1349" s="69"/>
      <c r="B1349" s="3" t="s">
        <v>190</v>
      </c>
      <c r="C1349" s="4" t="s">
        <v>3723</v>
      </c>
      <c r="D1349" s="5" t="s">
        <v>3724</v>
      </c>
      <c r="E1349" s="2" t="s">
        <v>48</v>
      </c>
      <c r="F1349" s="6" t="s">
        <v>49</v>
      </c>
      <c r="G1349" s="5" t="s">
        <v>1889</v>
      </c>
      <c r="H1349" s="2" t="s">
        <v>491</v>
      </c>
      <c r="I1349" s="3" t="s">
        <v>3725</v>
      </c>
      <c r="J1349" s="7">
        <v>1</v>
      </c>
      <c r="K1349" s="70" t="s">
        <v>53</v>
      </c>
      <c r="L1349" s="9">
        <v>1</v>
      </c>
      <c r="M1349" s="3">
        <v>1064</v>
      </c>
      <c r="N1349" s="6">
        <v>1982</v>
      </c>
      <c r="P1349" s="71"/>
      <c r="R1349" s="6">
        <v>1980</v>
      </c>
      <c r="S1349" s="3" t="s">
        <v>54</v>
      </c>
      <c r="T1349" s="72"/>
      <c r="U1349" s="73"/>
      <c r="W1349" s="74" t="s">
        <v>3726</v>
      </c>
      <c r="X1349" s="10" t="s">
        <v>56</v>
      </c>
      <c r="Y1349" s="10" t="s">
        <v>523</v>
      </c>
      <c r="Z1349" s="75"/>
      <c r="AA1349" s="76"/>
      <c r="AB1349" s="77"/>
      <c r="AC1349" s="77">
        <v>30882</v>
      </c>
      <c r="AD1349" s="10"/>
      <c r="AE1349" s="7">
        <v>1984</v>
      </c>
      <c r="AF1349" s="7">
        <v>106</v>
      </c>
      <c r="AG1349" s="7">
        <v>1984</v>
      </c>
      <c r="AH1349" s="7">
        <v>1980</v>
      </c>
      <c r="AI1349" s="7"/>
      <c r="AJ1349" s="73"/>
      <c r="AK1349" s="7"/>
      <c r="AL1349" s="16"/>
      <c r="AM1349" s="2" t="s">
        <v>59</v>
      </c>
      <c r="AW1349" s="6">
        <f t="shared" ca="1" si="23"/>
        <v>43</v>
      </c>
    </row>
    <row r="1350" ht="45" hidden="1" customHeight="1">
      <c r="A1350" s="69"/>
      <c r="B1350" s="3" t="s">
        <v>47</v>
      </c>
      <c r="C1350" s="4" t="s">
        <v>3401</v>
      </c>
      <c r="E1350" s="2" t="s">
        <v>694</v>
      </c>
      <c r="F1350" s="6" t="s">
        <v>3727</v>
      </c>
      <c r="G1350" s="5" t="s">
        <v>3728</v>
      </c>
      <c r="H1350" s="2" t="s">
        <v>57</v>
      </c>
      <c r="I1350" s="3" t="s">
        <v>3729</v>
      </c>
      <c r="J1350" s="7">
        <v>1</v>
      </c>
      <c r="K1350" s="70"/>
      <c r="L1350" s="9">
        <v>1</v>
      </c>
      <c r="M1350" s="3">
        <v>1065</v>
      </c>
      <c r="N1350" s="6">
        <v>1982</v>
      </c>
      <c r="P1350" s="71"/>
      <c r="R1350" s="6">
        <v>1980</v>
      </c>
      <c r="S1350" s="3" t="s">
        <v>236</v>
      </c>
      <c r="T1350" s="72"/>
      <c r="U1350" s="73"/>
      <c r="W1350" s="2" t="s">
        <v>62</v>
      </c>
      <c r="X1350" s="10" t="s">
        <v>56</v>
      </c>
      <c r="Y1350" s="10" t="s">
        <v>57</v>
      </c>
      <c r="Z1350" s="75"/>
      <c r="AA1350" s="76"/>
      <c r="AB1350" s="77"/>
      <c r="AC1350" s="77"/>
      <c r="AD1350" s="10"/>
      <c r="AI1350" s="7"/>
      <c r="AJ1350" s="95">
        <v>33155</v>
      </c>
      <c r="AK1350" s="7">
        <v>1990</v>
      </c>
      <c r="AL1350" s="16"/>
      <c r="AU1350" s="16" t="s">
        <v>3730</v>
      </c>
      <c r="AW1350" s="6">
        <f t="shared" ca="1" si="23"/>
        <v>43</v>
      </c>
    </row>
    <row r="1351" ht="45" hidden="1" customHeight="1" outlineLevel="1">
      <c r="A1351" s="69"/>
      <c r="B1351" s="3" t="s">
        <v>47</v>
      </c>
      <c r="C1351" s="4" t="s">
        <v>3401</v>
      </c>
      <c r="E1351" s="2" t="s">
        <v>694</v>
      </c>
      <c r="F1351" s="6" t="s">
        <v>3727</v>
      </c>
      <c r="G1351" s="5" t="s">
        <v>3731</v>
      </c>
      <c r="H1351" s="2" t="s">
        <v>288</v>
      </c>
      <c r="I1351" s="3" t="s">
        <v>3732</v>
      </c>
      <c r="J1351" s="7">
        <v>1</v>
      </c>
      <c r="K1351" s="70"/>
      <c r="L1351" s="9">
        <v>1</v>
      </c>
      <c r="M1351" s="3">
        <v>1066</v>
      </c>
      <c r="N1351" s="6">
        <v>1982</v>
      </c>
      <c r="P1351" s="71"/>
      <c r="R1351" s="6">
        <v>1980</v>
      </c>
      <c r="S1351" s="3" t="s">
        <v>236</v>
      </c>
      <c r="T1351" s="72"/>
      <c r="U1351" s="73"/>
      <c r="W1351" s="2" t="s">
        <v>62</v>
      </c>
      <c r="X1351" s="10" t="s">
        <v>56</v>
      </c>
      <c r="Y1351" s="10" t="s">
        <v>288</v>
      </c>
      <c r="Z1351" s="75"/>
      <c r="AA1351" s="76"/>
      <c r="AB1351" s="77"/>
      <c r="AC1351" s="77"/>
      <c r="AD1351" s="10"/>
      <c r="AI1351" s="7"/>
      <c r="AJ1351" s="95">
        <v>33155</v>
      </c>
      <c r="AK1351" s="7">
        <v>1990</v>
      </c>
      <c r="AL1351" s="16"/>
      <c r="AU1351" s="16" t="s">
        <v>3733</v>
      </c>
      <c r="AW1351" s="6">
        <f t="shared" ca="1" si="23"/>
        <v>43</v>
      </c>
    </row>
    <row r="1352" ht="45" customHeight="1">
      <c r="A1352" s="69"/>
      <c r="B1352" s="3" t="s">
        <v>47</v>
      </c>
      <c r="D1352" s="5" t="s">
        <v>3734</v>
      </c>
      <c r="E1352" s="2" t="s">
        <v>63</v>
      </c>
      <c r="F1352" s="6" t="s">
        <v>172</v>
      </c>
      <c r="G1352" s="5" t="s">
        <v>173</v>
      </c>
      <c r="H1352" s="2" t="s">
        <v>3735</v>
      </c>
      <c r="I1352" s="3" t="s">
        <v>3736</v>
      </c>
      <c r="J1352" s="7">
        <v>1</v>
      </c>
      <c r="K1352" s="70" t="s">
        <v>53</v>
      </c>
      <c r="L1352" s="9">
        <v>1</v>
      </c>
      <c r="M1352" s="3">
        <v>1067</v>
      </c>
      <c r="N1352" s="6">
        <v>1982</v>
      </c>
      <c r="P1352" s="71"/>
      <c r="R1352" s="6">
        <v>1980</v>
      </c>
      <c r="S1352" s="3" t="s">
        <v>54</v>
      </c>
      <c r="T1352" s="72"/>
      <c r="U1352" s="73"/>
      <c r="W1352" s="2" t="s">
        <v>3737</v>
      </c>
      <c r="X1352" s="10" t="s">
        <v>56</v>
      </c>
      <c r="Y1352" s="10" t="s">
        <v>68</v>
      </c>
      <c r="Z1352" s="75" t="s">
        <v>58</v>
      </c>
      <c r="AA1352" s="76">
        <v>31638</v>
      </c>
      <c r="AB1352" s="77">
        <v>31638</v>
      </c>
      <c r="AC1352" s="77"/>
      <c r="AD1352" s="6"/>
      <c r="AE1352" s="7">
        <v>1984</v>
      </c>
      <c r="AF1352" s="7">
        <v>108</v>
      </c>
      <c r="AG1352" s="7">
        <v>1986</v>
      </c>
      <c r="AH1352" s="7">
        <v>1980</v>
      </c>
      <c r="AI1352" s="7"/>
      <c r="AJ1352" s="73"/>
      <c r="AK1352" s="7"/>
      <c r="AL1352" s="16" t="s">
        <v>3738</v>
      </c>
      <c r="AW1352" s="6">
        <f t="shared" ca="1" si="23"/>
        <v>43</v>
      </c>
    </row>
    <row r="1353" ht="45" hidden="1" customHeight="1" outlineLevel="1">
      <c r="A1353" s="69"/>
      <c r="B1353" s="3" t="s">
        <v>47</v>
      </c>
      <c r="C1353" s="4" t="s">
        <v>3739</v>
      </c>
      <c r="E1353" s="2" t="s">
        <v>83</v>
      </c>
      <c r="F1353" s="6" t="s">
        <v>84</v>
      </c>
      <c r="G1353" s="5" t="s">
        <v>85</v>
      </c>
      <c r="H1353" s="2" t="s">
        <v>491</v>
      </c>
      <c r="I1353" s="3" t="s">
        <v>3740</v>
      </c>
      <c r="J1353" s="7">
        <v>1</v>
      </c>
      <c r="K1353" s="104"/>
      <c r="L1353" s="9">
        <v>1</v>
      </c>
      <c r="M1353" s="3">
        <v>1068</v>
      </c>
      <c r="N1353" s="6">
        <v>1982</v>
      </c>
      <c r="P1353" s="71"/>
      <c r="R1353" s="6">
        <v>1980</v>
      </c>
      <c r="S1353" s="3" t="s">
        <v>236</v>
      </c>
      <c r="T1353" s="72"/>
      <c r="U1353" s="73"/>
      <c r="W1353" s="2" t="s">
        <v>62</v>
      </c>
      <c r="X1353" s="10" t="s">
        <v>56</v>
      </c>
      <c r="Y1353" s="10" t="s">
        <v>523</v>
      </c>
      <c r="Z1353" s="75"/>
      <c r="AA1353" s="76"/>
      <c r="AB1353" s="77"/>
      <c r="AC1353" s="77"/>
      <c r="AD1353" s="6"/>
      <c r="AE1353" s="7">
        <v>1989</v>
      </c>
      <c r="AF1353" s="7">
        <v>136</v>
      </c>
      <c r="AI1353" s="7"/>
      <c r="AJ1353" s="10">
        <v>32643</v>
      </c>
      <c r="AK1353" s="7">
        <v>1980</v>
      </c>
      <c r="AL1353" s="16"/>
      <c r="AW1353" s="6">
        <f t="shared" ca="1" si="23"/>
        <v>43</v>
      </c>
    </row>
    <row r="1354" ht="45" customHeight="1" outlineLevel="1">
      <c r="A1354" s="69"/>
      <c r="B1354" s="3" t="s">
        <v>47</v>
      </c>
      <c r="E1354" s="2" t="s">
        <v>63</v>
      </c>
      <c r="F1354" s="6" t="s">
        <v>1230</v>
      </c>
      <c r="G1354" s="5" t="s">
        <v>3741</v>
      </c>
      <c r="H1354" s="2" t="s">
        <v>508</v>
      </c>
      <c r="I1354" s="3" t="s">
        <v>3742</v>
      </c>
      <c r="J1354" s="7">
        <v>1</v>
      </c>
      <c r="K1354" s="70" t="s">
        <v>53</v>
      </c>
      <c r="L1354" s="9">
        <v>1</v>
      </c>
      <c r="M1354" s="3">
        <v>1069</v>
      </c>
      <c r="N1354" s="6">
        <v>1982</v>
      </c>
      <c r="P1354" s="71"/>
      <c r="R1354" s="6">
        <v>1980</v>
      </c>
      <c r="S1354" s="3" t="s">
        <v>54</v>
      </c>
      <c r="T1354" s="72"/>
      <c r="U1354" s="73"/>
      <c r="W1354" s="2" t="s">
        <v>3743</v>
      </c>
      <c r="X1354" s="10" t="s">
        <v>504</v>
      </c>
      <c r="Y1354" s="10" t="s">
        <v>511</v>
      </c>
      <c r="Z1354" s="75"/>
      <c r="AA1354" s="76">
        <v>31462</v>
      </c>
      <c r="AB1354" s="77">
        <v>31462</v>
      </c>
      <c r="AC1354" s="77"/>
      <c r="AD1354" s="6"/>
      <c r="AE1354" s="7">
        <v>1985</v>
      </c>
      <c r="AF1354" s="7">
        <v>117</v>
      </c>
      <c r="AG1354" s="7">
        <v>1986</v>
      </c>
      <c r="AH1354" s="7">
        <v>1980</v>
      </c>
      <c r="AI1354" s="7"/>
      <c r="AJ1354" s="73"/>
      <c r="AK1354" s="7"/>
      <c r="AL1354" s="16"/>
      <c r="AW1354" s="6">
        <f t="shared" ca="1" si="23"/>
        <v>43</v>
      </c>
    </row>
    <row r="1355" ht="45" hidden="1" customHeight="1" outlineLevel="1">
      <c r="A1355" s="69"/>
      <c r="B1355" s="3" t="s">
        <v>47</v>
      </c>
      <c r="C1355" s="4" t="s">
        <v>3744</v>
      </c>
      <c r="E1355" s="2" t="s">
        <v>63</v>
      </c>
      <c r="F1355" s="6" t="s">
        <v>64</v>
      </c>
      <c r="G1355" s="5" t="s">
        <v>69</v>
      </c>
      <c r="H1355" s="2" t="s">
        <v>57</v>
      </c>
      <c r="I1355" s="3" t="s">
        <v>3745</v>
      </c>
      <c r="J1355" s="7">
        <v>1</v>
      </c>
      <c r="K1355" s="104"/>
      <c r="L1355" s="9">
        <v>1</v>
      </c>
      <c r="M1355" s="3">
        <v>1070</v>
      </c>
      <c r="N1355" s="6">
        <v>1982</v>
      </c>
      <c r="P1355" s="71"/>
      <c r="R1355" s="6">
        <v>1980</v>
      </c>
      <c r="S1355" s="3" t="s">
        <v>236</v>
      </c>
      <c r="T1355" s="72"/>
      <c r="U1355" s="73"/>
      <c r="W1355" s="2" t="s">
        <v>62</v>
      </c>
      <c r="X1355" s="10" t="s">
        <v>56</v>
      </c>
      <c r="Y1355" s="10" t="s">
        <v>57</v>
      </c>
      <c r="Z1355" s="75"/>
      <c r="AA1355" s="76"/>
      <c r="AB1355" s="77"/>
      <c r="AC1355" s="77"/>
      <c r="AD1355" s="6"/>
      <c r="AI1355" s="7"/>
      <c r="AJ1355" s="95">
        <v>32244</v>
      </c>
      <c r="AK1355" s="7">
        <v>1980</v>
      </c>
      <c r="AL1355" s="16"/>
      <c r="AU1355" s="16" t="s">
        <v>3746</v>
      </c>
      <c r="AW1355" s="6">
        <f t="shared" ca="1" si="23"/>
        <v>43</v>
      </c>
    </row>
    <row r="1356" ht="45" customHeight="1">
      <c r="A1356" s="69">
        <v>44614</v>
      </c>
      <c r="B1356" s="3" t="s">
        <v>1926</v>
      </c>
      <c r="D1356" s="5" t="s">
        <v>3590</v>
      </c>
      <c r="E1356" s="2" t="s">
        <v>694</v>
      </c>
      <c r="F1356" s="6" t="s">
        <v>695</v>
      </c>
      <c r="G1356" s="5" t="s">
        <v>696</v>
      </c>
      <c r="H1356" s="2" t="s">
        <v>288</v>
      </c>
      <c r="I1356" s="3" t="s">
        <v>3747</v>
      </c>
      <c r="J1356" s="7">
        <v>1</v>
      </c>
      <c r="K1356" s="70" t="s">
        <v>53</v>
      </c>
      <c r="L1356" s="9">
        <v>1</v>
      </c>
      <c r="M1356" s="3">
        <v>1071</v>
      </c>
      <c r="N1356" s="6">
        <v>1982</v>
      </c>
      <c r="P1356" s="71"/>
      <c r="R1356" s="6">
        <v>1980</v>
      </c>
      <c r="S1356" s="3" t="s">
        <v>195</v>
      </c>
      <c r="T1356" s="72"/>
      <c r="U1356" s="73"/>
      <c r="W1356" s="74" t="s">
        <v>3748</v>
      </c>
      <c r="X1356" s="10" t="s">
        <v>56</v>
      </c>
      <c r="Y1356" s="10" t="s">
        <v>288</v>
      </c>
      <c r="Z1356" s="75"/>
      <c r="AA1356" s="76">
        <v>41131</v>
      </c>
      <c r="AB1356" s="77">
        <v>41131</v>
      </c>
      <c r="AC1356" s="77"/>
      <c r="AD1356" s="10"/>
      <c r="AE1356" s="7">
        <v>2011</v>
      </c>
      <c r="AF1356" s="7">
        <v>67</v>
      </c>
      <c r="AG1356" s="7">
        <v>2012</v>
      </c>
      <c r="AH1356" s="7">
        <v>2010</v>
      </c>
      <c r="AI1356" s="7"/>
      <c r="AJ1356" s="73"/>
      <c r="AK1356" s="7"/>
      <c r="AL1356" s="16" t="s">
        <v>3749</v>
      </c>
      <c r="AM1356" s="2" t="s">
        <v>53</v>
      </c>
      <c r="AN1356" s="6" t="s">
        <v>73</v>
      </c>
      <c r="AO1356" s="6" t="s">
        <v>53</v>
      </c>
      <c r="AP1356" s="6" t="s">
        <v>73</v>
      </c>
      <c r="AQ1356" s="5" t="s">
        <v>73</v>
      </c>
      <c r="AR1356" s="87" t="s">
        <v>104</v>
      </c>
      <c r="AS1356" s="88" t="s">
        <v>73</v>
      </c>
      <c r="AT1356" s="88" t="s">
        <v>3750</v>
      </c>
      <c r="AU1356" s="89" t="s">
        <v>3751</v>
      </c>
      <c r="AV1356" s="90"/>
      <c r="AW1356" s="6">
        <f t="shared" ca="1" si="23"/>
        <v>43</v>
      </c>
    </row>
    <row r="1357" ht="45" hidden="1" customHeight="1">
      <c r="A1357" s="69"/>
      <c r="B1357" s="3" t="s">
        <v>47</v>
      </c>
      <c r="C1357" s="4" t="s">
        <v>3752</v>
      </c>
      <c r="D1357" s="5" t="s">
        <v>3753</v>
      </c>
      <c r="E1357" s="2" t="s">
        <v>63</v>
      </c>
      <c r="F1357" s="6" t="s">
        <v>428</v>
      </c>
      <c r="G1357" s="5" t="s">
        <v>429</v>
      </c>
      <c r="H1357" s="2" t="s">
        <v>57</v>
      </c>
      <c r="I1357" s="96" t="s">
        <v>3754</v>
      </c>
      <c r="J1357" s="7">
        <v>1</v>
      </c>
      <c r="K1357" s="70"/>
      <c r="L1357" s="9">
        <v>1</v>
      </c>
      <c r="M1357" s="3">
        <v>1072</v>
      </c>
      <c r="N1357" s="6">
        <v>1982</v>
      </c>
      <c r="P1357" s="71"/>
      <c r="R1357" s="6">
        <v>1980</v>
      </c>
      <c r="S1357" s="3" t="s">
        <v>236</v>
      </c>
      <c r="T1357" s="72"/>
      <c r="U1357" s="73"/>
      <c r="W1357" s="2" t="s">
        <v>62</v>
      </c>
      <c r="X1357" s="10" t="s">
        <v>56</v>
      </c>
      <c r="Y1357" s="10" t="s">
        <v>57</v>
      </c>
      <c r="Z1357" s="75"/>
      <c r="AA1357" s="76"/>
      <c r="AB1357" s="77"/>
      <c r="AC1357" s="77"/>
      <c r="AD1357" s="10"/>
      <c r="AE1357" s="7">
        <v>1988</v>
      </c>
      <c r="AF1357" s="7">
        <v>135</v>
      </c>
      <c r="AI1357" s="7"/>
      <c r="AJ1357" s="10">
        <v>32483</v>
      </c>
      <c r="AK1357" s="7">
        <v>1980</v>
      </c>
      <c r="AL1357" s="101" t="s">
        <v>3755</v>
      </c>
      <c r="AW1357" s="6">
        <f t="shared" ca="1" si="23"/>
        <v>43</v>
      </c>
    </row>
    <row r="1358" ht="45" hidden="1" customHeight="1" outlineLevel="1">
      <c r="A1358" s="69">
        <v>44567</v>
      </c>
      <c r="B1358" s="3" t="s">
        <v>47</v>
      </c>
      <c r="C1358" s="4" t="s">
        <v>3756</v>
      </c>
      <c r="D1358" s="5" t="s">
        <v>3757</v>
      </c>
      <c r="E1358" s="2" t="s">
        <v>694</v>
      </c>
      <c r="F1358" s="6" t="s">
        <v>695</v>
      </c>
      <c r="G1358" s="5" t="s">
        <v>696</v>
      </c>
      <c r="H1358" s="2" t="s">
        <v>57</v>
      </c>
      <c r="I1358" s="3" t="s">
        <v>3758</v>
      </c>
      <c r="J1358" s="7">
        <v>1</v>
      </c>
      <c r="K1358" s="70"/>
      <c r="L1358" s="9">
        <v>1</v>
      </c>
      <c r="M1358" s="3">
        <v>1073</v>
      </c>
      <c r="N1358" s="6">
        <v>1982</v>
      </c>
      <c r="O1358" s="10">
        <v>29349</v>
      </c>
      <c r="P1358" s="71" t="s">
        <v>3759</v>
      </c>
      <c r="Q1358" s="10" t="s">
        <v>1453</v>
      </c>
      <c r="R1358" s="6">
        <v>1980</v>
      </c>
      <c r="S1358" s="3" t="s">
        <v>236</v>
      </c>
      <c r="T1358" s="72" t="s">
        <v>1136</v>
      </c>
      <c r="W1358" s="2" t="s">
        <v>62</v>
      </c>
      <c r="X1358" s="10" t="s">
        <v>56</v>
      </c>
      <c r="Y1358" s="10" t="s">
        <v>57</v>
      </c>
      <c r="Z1358" s="75"/>
      <c r="AA1358" s="76"/>
      <c r="AB1358" s="77"/>
      <c r="AC1358" s="77"/>
      <c r="AD1358" s="10"/>
      <c r="AI1358" s="7"/>
      <c r="AJ1358" s="10">
        <v>44896</v>
      </c>
      <c r="AK1358" s="7">
        <v>2020</v>
      </c>
      <c r="AL1358" s="16"/>
      <c r="AW1358" s="6">
        <f t="shared" ca="1" si="23"/>
        <v>43</v>
      </c>
    </row>
    <row r="1359" ht="45" hidden="1" customHeight="1">
      <c r="A1359" s="69"/>
      <c r="B1359" s="3" t="s">
        <v>190</v>
      </c>
      <c r="C1359" s="4" t="s">
        <v>3760</v>
      </c>
      <c r="D1359" s="5" t="s">
        <v>3761</v>
      </c>
      <c r="E1359" s="2" t="s">
        <v>48</v>
      </c>
      <c r="F1359" s="6" t="s">
        <v>49</v>
      </c>
      <c r="G1359" s="5" t="s">
        <v>50</v>
      </c>
      <c r="H1359" s="2" t="s">
        <v>491</v>
      </c>
      <c r="I1359" s="3" t="s">
        <v>3762</v>
      </c>
      <c r="J1359" s="7">
        <v>1</v>
      </c>
      <c r="K1359" s="70"/>
      <c r="L1359" s="9">
        <v>1</v>
      </c>
      <c r="M1359" s="3">
        <v>1074</v>
      </c>
      <c r="N1359" s="6">
        <v>1982</v>
      </c>
      <c r="O1359" s="10" t="s">
        <v>2064</v>
      </c>
      <c r="P1359" s="71" t="s">
        <v>1452</v>
      </c>
      <c r="Q1359" s="10" t="s">
        <v>1453</v>
      </c>
      <c r="R1359" s="6">
        <v>1980</v>
      </c>
      <c r="S1359" s="3" t="s">
        <v>939</v>
      </c>
      <c r="T1359" s="72"/>
      <c r="U1359" s="73"/>
      <c r="W1359" s="74" t="s">
        <v>3726</v>
      </c>
      <c r="X1359" s="10" t="s">
        <v>56</v>
      </c>
      <c r="Y1359" s="10" t="s">
        <v>523</v>
      </c>
      <c r="Z1359" s="75"/>
      <c r="AA1359" s="76"/>
      <c r="AB1359" s="77"/>
      <c r="AC1359" s="77"/>
      <c r="AD1359" s="10"/>
      <c r="AI1359" s="7"/>
      <c r="AJ1359" s="73"/>
      <c r="AK1359" s="7"/>
      <c r="AL1359" s="16"/>
      <c r="AW1359" s="6">
        <f t="shared" ca="1" si="23"/>
        <v>43</v>
      </c>
    </row>
    <row r="1360" ht="45" customHeight="1">
      <c r="A1360" s="69"/>
      <c r="B1360" s="3" t="s">
        <v>47</v>
      </c>
      <c r="E1360" s="2" t="s">
        <v>83</v>
      </c>
      <c r="F1360" s="6" t="s">
        <v>84</v>
      </c>
      <c r="G1360" s="5" t="s">
        <v>85</v>
      </c>
      <c r="H1360" s="2" t="s">
        <v>57</v>
      </c>
      <c r="I1360" s="3" t="s">
        <v>3763</v>
      </c>
      <c r="J1360" s="7">
        <v>1</v>
      </c>
      <c r="K1360" s="70" t="s">
        <v>53</v>
      </c>
      <c r="L1360" s="9">
        <v>1</v>
      </c>
      <c r="M1360" s="3">
        <v>1075</v>
      </c>
      <c r="N1360" s="6">
        <v>1982</v>
      </c>
      <c r="P1360" s="71"/>
      <c r="R1360" s="6">
        <v>1980</v>
      </c>
      <c r="S1360" s="3" t="s">
        <v>54</v>
      </c>
      <c r="T1360" s="72"/>
      <c r="U1360" s="73"/>
      <c r="W1360" s="2" t="s">
        <v>3764</v>
      </c>
      <c r="X1360" s="10" t="s">
        <v>56</v>
      </c>
      <c r="Y1360" s="10" t="s">
        <v>57</v>
      </c>
      <c r="Z1360" s="75"/>
      <c r="AA1360" s="76"/>
      <c r="AB1360" s="77"/>
      <c r="AC1360" s="77">
        <v>30460</v>
      </c>
      <c r="AD1360" s="10"/>
      <c r="AE1360" s="7">
        <v>1983</v>
      </c>
      <c r="AF1360" s="7">
        <v>100</v>
      </c>
      <c r="AG1360" s="7">
        <v>1983</v>
      </c>
      <c r="AH1360" s="7">
        <v>1980</v>
      </c>
      <c r="AI1360" s="7"/>
      <c r="AJ1360" s="73"/>
      <c r="AK1360" s="7"/>
      <c r="AL1360" s="16"/>
      <c r="AM1360" s="2" t="s">
        <v>59</v>
      </c>
      <c r="AW1360" s="6">
        <f t="shared" ca="1" si="23"/>
        <v>43</v>
      </c>
    </row>
    <row r="1361" ht="45" customHeight="1" outlineLevel="1">
      <c r="A1361" s="69"/>
      <c r="B1361" s="3" t="s">
        <v>47</v>
      </c>
      <c r="D1361" s="5" t="s">
        <v>3765</v>
      </c>
      <c r="E1361" s="2" t="s">
        <v>48</v>
      </c>
      <c r="F1361" s="6" t="s">
        <v>49</v>
      </c>
      <c r="G1361" s="5" t="s">
        <v>2879</v>
      </c>
      <c r="H1361" s="2" t="s">
        <v>382</v>
      </c>
      <c r="I1361" s="3" t="s">
        <v>3766</v>
      </c>
      <c r="J1361" s="114">
        <v>1</v>
      </c>
      <c r="K1361" s="70" t="s">
        <v>53</v>
      </c>
      <c r="L1361" s="9">
        <v>1</v>
      </c>
      <c r="M1361" s="3">
        <v>1076</v>
      </c>
      <c r="N1361" s="6">
        <v>1983</v>
      </c>
      <c r="P1361" s="71"/>
      <c r="R1361" s="6">
        <v>1980</v>
      </c>
      <c r="S1361" s="3" t="s">
        <v>54</v>
      </c>
      <c r="T1361" s="72"/>
      <c r="U1361" s="73"/>
      <c r="W1361" s="2" t="s">
        <v>3767</v>
      </c>
      <c r="X1361" s="10" t="s">
        <v>91</v>
      </c>
      <c r="Y1361" s="10" t="s">
        <v>385</v>
      </c>
      <c r="Z1361" s="75"/>
      <c r="AA1361" s="76"/>
      <c r="AB1361" s="77">
        <v>30732</v>
      </c>
      <c r="AC1361" s="77">
        <v>30732</v>
      </c>
      <c r="AD1361" s="10"/>
      <c r="AE1361" s="7">
        <v>1983</v>
      </c>
      <c r="AF1361" s="7">
        <v>103</v>
      </c>
      <c r="AG1361" s="7">
        <v>1984</v>
      </c>
      <c r="AH1361" s="7">
        <v>1980</v>
      </c>
      <c r="AI1361" s="7"/>
      <c r="AJ1361" s="73"/>
      <c r="AK1361" s="7"/>
      <c r="AL1361" s="16" t="s">
        <v>3768</v>
      </c>
      <c r="AM1361" s="2" t="s">
        <v>59</v>
      </c>
      <c r="AO1361" s="6" t="s">
        <v>59</v>
      </c>
      <c r="AU1361" s="16" t="s">
        <v>3769</v>
      </c>
      <c r="AW1361" s="6">
        <f t="shared" ca="1" si="23"/>
        <v>42</v>
      </c>
    </row>
    <row r="1362" ht="45" customHeight="1" outlineLevel="1">
      <c r="A1362" s="69"/>
      <c r="B1362" s="3" t="s">
        <v>47</v>
      </c>
      <c r="E1362" s="2" t="s">
        <v>63</v>
      </c>
      <c r="F1362" s="6" t="s">
        <v>64</v>
      </c>
      <c r="G1362" s="5" t="s">
        <v>243</v>
      </c>
      <c r="H1362" s="2" t="s">
        <v>57</v>
      </c>
      <c r="I1362" s="3" t="s">
        <v>3770</v>
      </c>
      <c r="J1362" s="7">
        <v>1</v>
      </c>
      <c r="K1362" s="70" t="s">
        <v>53</v>
      </c>
      <c r="L1362" s="9">
        <v>1</v>
      </c>
      <c r="M1362" s="3">
        <v>1077</v>
      </c>
      <c r="N1362" s="6">
        <v>1983</v>
      </c>
      <c r="P1362" s="71"/>
      <c r="R1362" s="6">
        <v>1980</v>
      </c>
      <c r="S1362" s="3" t="s">
        <v>54</v>
      </c>
      <c r="T1362" s="72"/>
      <c r="U1362" s="73"/>
      <c r="W1362" s="2" t="s">
        <v>3771</v>
      </c>
      <c r="X1362" s="10" t="s">
        <v>56</v>
      </c>
      <c r="Y1362" s="10" t="s">
        <v>57</v>
      </c>
      <c r="Z1362" s="75"/>
      <c r="AA1362" s="76"/>
      <c r="AB1362" s="77">
        <v>30831</v>
      </c>
      <c r="AC1362" s="77"/>
      <c r="AD1362" s="6"/>
      <c r="AE1362" s="7">
        <v>1984</v>
      </c>
      <c r="AF1362" s="7">
        <v>105</v>
      </c>
      <c r="AG1362" s="7">
        <v>1984</v>
      </c>
      <c r="AH1362" s="7">
        <v>1980</v>
      </c>
      <c r="AI1362" s="7"/>
      <c r="AJ1362" s="73"/>
      <c r="AK1362" s="7"/>
      <c r="AL1362" s="16"/>
      <c r="AM1362" s="2" t="s">
        <v>59</v>
      </c>
      <c r="AW1362" s="6">
        <f t="shared" ca="1" si="23"/>
        <v>42</v>
      </c>
    </row>
    <row r="1363" ht="45" hidden="1" customHeight="1">
      <c r="A1363" s="69"/>
      <c r="B1363" s="3" t="s">
        <v>47</v>
      </c>
      <c r="C1363" s="4" t="s">
        <v>3772</v>
      </c>
      <c r="E1363" s="2" t="s">
        <v>83</v>
      </c>
      <c r="F1363" s="6" t="s">
        <v>84</v>
      </c>
      <c r="G1363" s="5" t="s">
        <v>85</v>
      </c>
      <c r="H1363" s="2" t="s">
        <v>57</v>
      </c>
      <c r="I1363" s="96" t="s">
        <v>3773</v>
      </c>
      <c r="J1363" s="7">
        <v>1</v>
      </c>
      <c r="K1363" s="104"/>
      <c r="L1363" s="9">
        <v>1</v>
      </c>
      <c r="M1363" s="3">
        <v>1078</v>
      </c>
      <c r="N1363" s="6">
        <v>1983</v>
      </c>
      <c r="P1363" s="71"/>
      <c r="R1363" s="6">
        <v>1980</v>
      </c>
      <c r="S1363" s="3" t="s">
        <v>236</v>
      </c>
      <c r="T1363" s="72"/>
      <c r="U1363" s="73"/>
      <c r="W1363" s="2" t="s">
        <v>62</v>
      </c>
      <c r="X1363" s="10" t="s">
        <v>56</v>
      </c>
      <c r="Y1363" s="10" t="s">
        <v>57</v>
      </c>
      <c r="Z1363" s="75"/>
      <c r="AA1363" s="76"/>
      <c r="AB1363" s="77"/>
      <c r="AC1363" s="77"/>
      <c r="AD1363" s="6"/>
      <c r="AE1363" s="7">
        <v>1996</v>
      </c>
      <c r="AF1363" s="7">
        <v>9</v>
      </c>
      <c r="AI1363" s="7"/>
      <c r="AJ1363" s="95">
        <v>36353</v>
      </c>
      <c r="AK1363" s="7">
        <v>1990</v>
      </c>
      <c r="AL1363" s="16" t="s">
        <v>3774</v>
      </c>
      <c r="AW1363" s="6">
        <f t="shared" ca="1" si="23"/>
        <v>42</v>
      </c>
    </row>
    <row r="1364" ht="45" hidden="1" customHeight="1" outlineLevel="1">
      <c r="A1364" s="69"/>
      <c r="B1364" s="3" t="s">
        <v>47</v>
      </c>
      <c r="C1364" s="4" t="s">
        <v>3775</v>
      </c>
      <c r="E1364" s="2" t="s">
        <v>83</v>
      </c>
      <c r="F1364" s="6" t="s">
        <v>84</v>
      </c>
      <c r="G1364" s="5" t="s">
        <v>3776</v>
      </c>
      <c r="H1364" s="2" t="s">
        <v>57</v>
      </c>
      <c r="I1364" s="96" t="s">
        <v>3777</v>
      </c>
      <c r="J1364" s="7">
        <v>1</v>
      </c>
      <c r="K1364" s="104"/>
      <c r="L1364" s="9">
        <v>1</v>
      </c>
      <c r="M1364" s="3">
        <v>1079</v>
      </c>
      <c r="N1364" s="6">
        <v>1983</v>
      </c>
      <c r="P1364" s="71"/>
      <c r="R1364" s="6">
        <v>1980</v>
      </c>
      <c r="S1364" s="3" t="s">
        <v>236</v>
      </c>
      <c r="T1364" s="72"/>
      <c r="U1364" s="73"/>
      <c r="W1364" s="2" t="s">
        <v>62</v>
      </c>
      <c r="X1364" s="10" t="s">
        <v>56</v>
      </c>
      <c r="Y1364" s="10" t="s">
        <v>57</v>
      </c>
      <c r="Z1364" s="75"/>
      <c r="AA1364" s="76"/>
      <c r="AB1364" s="77"/>
      <c r="AC1364" s="77"/>
      <c r="AD1364" s="6"/>
      <c r="AI1364" s="7"/>
      <c r="AJ1364" s="95">
        <v>35636</v>
      </c>
      <c r="AK1364" s="7">
        <v>1990</v>
      </c>
      <c r="AL1364" s="16" t="s">
        <v>3354</v>
      </c>
      <c r="AW1364" s="6">
        <f t="shared" ca="1" si="23"/>
        <v>42</v>
      </c>
    </row>
    <row r="1365" ht="45" hidden="1" customHeight="1" outlineLevel="1">
      <c r="A1365" s="69"/>
      <c r="B1365" s="3" t="s">
        <v>47</v>
      </c>
      <c r="C1365" s="4" t="s">
        <v>3708</v>
      </c>
      <c r="E1365" s="2" t="s">
        <v>83</v>
      </c>
      <c r="F1365" s="6" t="s">
        <v>179</v>
      </c>
      <c r="G1365" s="5" t="s">
        <v>3152</v>
      </c>
      <c r="H1365" s="2" t="s">
        <v>57</v>
      </c>
      <c r="I1365" s="3" t="s">
        <v>3778</v>
      </c>
      <c r="J1365" s="7">
        <v>1</v>
      </c>
      <c r="K1365" s="104"/>
      <c r="L1365" s="9">
        <v>1</v>
      </c>
      <c r="M1365" s="3">
        <v>1080</v>
      </c>
      <c r="N1365" s="6">
        <v>1983</v>
      </c>
      <c r="P1365" s="71"/>
      <c r="R1365" s="6">
        <v>1980</v>
      </c>
      <c r="S1365" s="3" t="s">
        <v>236</v>
      </c>
      <c r="T1365" s="72"/>
      <c r="U1365" s="73"/>
      <c r="W1365" s="2" t="s">
        <v>62</v>
      </c>
      <c r="X1365" s="10" t="s">
        <v>56</v>
      </c>
      <c r="Y1365" s="10" t="s">
        <v>57</v>
      </c>
      <c r="Z1365" s="75"/>
      <c r="AA1365" s="76"/>
      <c r="AB1365" s="77"/>
      <c r="AC1365" s="77"/>
      <c r="AD1365" s="6"/>
      <c r="AI1365" s="7"/>
      <c r="AJ1365" s="95">
        <v>32770</v>
      </c>
      <c r="AK1365" s="7">
        <v>1980</v>
      </c>
      <c r="AL1365" s="16" t="s">
        <v>3779</v>
      </c>
      <c r="AW1365" s="6">
        <f t="shared" ca="1" si="23"/>
        <v>42</v>
      </c>
    </row>
    <row r="1366" ht="45" hidden="1" customHeight="1" outlineLevel="1">
      <c r="A1366" s="69"/>
      <c r="B1366" s="3" t="s">
        <v>47</v>
      </c>
      <c r="C1366" s="4" t="s">
        <v>3708</v>
      </c>
      <c r="E1366" s="2" t="s">
        <v>48</v>
      </c>
      <c r="F1366" s="6" t="s">
        <v>49</v>
      </c>
      <c r="G1366" s="5" t="s">
        <v>3780</v>
      </c>
      <c r="H1366" s="2" t="s">
        <v>382</v>
      </c>
      <c r="I1366" s="3" t="s">
        <v>3781</v>
      </c>
      <c r="J1366" s="7">
        <v>1</v>
      </c>
      <c r="K1366" s="104"/>
      <c r="L1366" s="9">
        <v>1</v>
      </c>
      <c r="M1366" s="3">
        <v>1081</v>
      </c>
      <c r="N1366" s="6">
        <v>1983</v>
      </c>
      <c r="P1366" s="71"/>
      <c r="R1366" s="6">
        <v>1980</v>
      </c>
      <c r="S1366" s="3" t="s">
        <v>236</v>
      </c>
      <c r="T1366" s="72"/>
      <c r="U1366" s="73"/>
      <c r="W1366" s="2" t="s">
        <v>62</v>
      </c>
      <c r="X1366" s="10" t="s">
        <v>91</v>
      </c>
      <c r="Y1366" s="10" t="s">
        <v>385</v>
      </c>
      <c r="Z1366" s="75"/>
      <c r="AA1366" s="76"/>
      <c r="AB1366" s="77"/>
      <c r="AC1366" s="77"/>
      <c r="AD1366" s="6"/>
      <c r="AI1366" s="7"/>
      <c r="AJ1366" s="95">
        <v>32770</v>
      </c>
      <c r="AK1366" s="7">
        <v>1980</v>
      </c>
      <c r="AL1366" s="16"/>
      <c r="AU1366" s="16" t="s">
        <v>3782</v>
      </c>
      <c r="AW1366" s="6">
        <f t="shared" ca="1" si="23"/>
        <v>42</v>
      </c>
    </row>
    <row r="1367" ht="45" customHeight="1" outlineLevel="1">
      <c r="A1367" s="69"/>
      <c r="B1367" s="3" t="s">
        <v>47</v>
      </c>
      <c r="E1367" s="2" t="s">
        <v>63</v>
      </c>
      <c r="F1367" s="6" t="s">
        <v>428</v>
      </c>
      <c r="G1367" s="5" t="s">
        <v>3783</v>
      </c>
      <c r="H1367" s="2" t="s">
        <v>491</v>
      </c>
      <c r="I1367" s="3" t="s">
        <v>3784</v>
      </c>
      <c r="J1367" s="7">
        <v>1</v>
      </c>
      <c r="K1367" s="70" t="s">
        <v>53</v>
      </c>
      <c r="L1367" s="9">
        <v>1</v>
      </c>
      <c r="M1367" s="3">
        <v>1082</v>
      </c>
      <c r="N1367" s="6">
        <v>1983</v>
      </c>
      <c r="P1367" s="71"/>
      <c r="R1367" s="6">
        <v>1980</v>
      </c>
      <c r="S1367" s="3" t="s">
        <v>54</v>
      </c>
      <c r="T1367" s="72"/>
      <c r="U1367" s="73"/>
      <c r="W1367" s="2" t="s">
        <v>3785</v>
      </c>
      <c r="X1367" s="10" t="s">
        <v>56</v>
      </c>
      <c r="Y1367" s="10" t="s">
        <v>523</v>
      </c>
      <c r="Z1367" s="75"/>
      <c r="AA1367" s="76">
        <v>30882</v>
      </c>
      <c r="AB1367" s="77"/>
      <c r="AC1367" s="77">
        <v>30882</v>
      </c>
      <c r="AD1367" s="10"/>
      <c r="AE1367" s="7">
        <v>1984</v>
      </c>
      <c r="AF1367" s="7">
        <v>106</v>
      </c>
      <c r="AG1367" s="7">
        <v>1984</v>
      </c>
      <c r="AH1367" s="7">
        <v>1980</v>
      </c>
      <c r="AI1367" s="7"/>
      <c r="AJ1367" s="73"/>
      <c r="AK1367" s="7"/>
      <c r="AL1367" s="16"/>
      <c r="AM1367" s="2" t="s">
        <v>59</v>
      </c>
      <c r="AW1367" s="6">
        <f t="shared" ca="1" si="23"/>
        <v>42</v>
      </c>
    </row>
    <row r="1368" ht="45" hidden="1" customHeight="1" outlineLevel="1">
      <c r="A1368" s="69"/>
      <c r="B1368" s="3" t="s">
        <v>47</v>
      </c>
      <c r="C1368" s="4" t="s">
        <v>1263</v>
      </c>
      <c r="E1368" s="2" t="s">
        <v>83</v>
      </c>
      <c r="F1368" s="6" t="s">
        <v>179</v>
      </c>
      <c r="G1368" s="5" t="s">
        <v>2961</v>
      </c>
      <c r="H1368" s="2" t="s">
        <v>57</v>
      </c>
      <c r="I1368" s="3" t="s">
        <v>3786</v>
      </c>
      <c r="J1368" s="7">
        <v>1</v>
      </c>
      <c r="K1368" s="70"/>
      <c r="L1368" s="9">
        <v>1</v>
      </c>
      <c r="M1368" s="3">
        <v>1083</v>
      </c>
      <c r="N1368" s="6">
        <v>1983</v>
      </c>
      <c r="P1368" s="71"/>
      <c r="R1368" s="6">
        <v>1980</v>
      </c>
      <c r="S1368" s="3" t="s">
        <v>236</v>
      </c>
      <c r="T1368" s="72"/>
      <c r="U1368" s="73"/>
      <c r="W1368" s="2" t="s">
        <v>62</v>
      </c>
      <c r="X1368" s="10" t="s">
        <v>56</v>
      </c>
      <c r="Y1368" s="10" t="s">
        <v>57</v>
      </c>
      <c r="Z1368" s="75"/>
      <c r="AA1368" s="76"/>
      <c r="AB1368" s="77"/>
      <c r="AC1368" s="77"/>
      <c r="AD1368" s="10"/>
      <c r="AI1368" s="7"/>
      <c r="AJ1368" s="95">
        <v>38044</v>
      </c>
      <c r="AK1368" s="7">
        <v>2000</v>
      </c>
      <c r="AL1368" s="16"/>
      <c r="AW1368" s="6">
        <f t="shared" ca="1" si="23"/>
        <v>42</v>
      </c>
    </row>
    <row r="1369" ht="45" hidden="1" customHeight="1">
      <c r="A1369" s="69"/>
      <c r="B1369" s="3" t="s">
        <v>47</v>
      </c>
      <c r="C1369" s="4" t="s">
        <v>2171</v>
      </c>
      <c r="D1369" s="5" t="s">
        <v>3787</v>
      </c>
      <c r="E1369" s="2" t="s">
        <v>63</v>
      </c>
      <c r="F1369" s="6" t="s">
        <v>64</v>
      </c>
      <c r="G1369" s="5" t="s">
        <v>728</v>
      </c>
      <c r="H1369" s="2" t="s">
        <v>288</v>
      </c>
      <c r="I1369" s="3" t="s">
        <v>3788</v>
      </c>
      <c r="J1369" s="7">
        <v>1</v>
      </c>
      <c r="K1369" s="70"/>
      <c r="L1369" s="9">
        <v>1</v>
      </c>
      <c r="M1369" s="3">
        <v>1084</v>
      </c>
      <c r="N1369" s="6">
        <v>1983</v>
      </c>
      <c r="P1369" s="71"/>
      <c r="R1369" s="6">
        <v>1980</v>
      </c>
      <c r="S1369" s="3" t="s">
        <v>236</v>
      </c>
      <c r="T1369" s="72"/>
      <c r="U1369" s="73"/>
      <c r="W1369" s="2" t="s">
        <v>62</v>
      </c>
      <c r="X1369" s="10" t="s">
        <v>56</v>
      </c>
      <c r="Y1369" s="10" t="s">
        <v>288</v>
      </c>
      <c r="Z1369" s="75"/>
      <c r="AA1369" s="76"/>
      <c r="AB1369" s="77"/>
      <c r="AC1369" s="77"/>
      <c r="AD1369" s="10"/>
      <c r="AI1369" s="7"/>
      <c r="AJ1369" s="95">
        <v>41354</v>
      </c>
      <c r="AK1369" s="7">
        <v>2010</v>
      </c>
      <c r="AL1369" s="16"/>
      <c r="AM1369" s="2" t="s">
        <v>59</v>
      </c>
      <c r="AO1369" s="6" t="s">
        <v>59</v>
      </c>
      <c r="AW1369" s="6">
        <f t="shared" ca="1" si="23"/>
        <v>42</v>
      </c>
    </row>
    <row r="1370" ht="45" customHeight="1" outlineLevel="1">
      <c r="A1370" s="69"/>
      <c r="B1370" s="3" t="s">
        <v>47</v>
      </c>
      <c r="E1370" s="2" t="s">
        <v>83</v>
      </c>
      <c r="F1370" s="6" t="s">
        <v>84</v>
      </c>
      <c r="G1370" s="5" t="s">
        <v>85</v>
      </c>
      <c r="H1370" s="2" t="s">
        <v>68</v>
      </c>
      <c r="I1370" s="3" t="s">
        <v>3789</v>
      </c>
      <c r="J1370" s="7">
        <v>1</v>
      </c>
      <c r="K1370" s="70" t="s">
        <v>53</v>
      </c>
      <c r="L1370" s="9">
        <v>1</v>
      </c>
      <c r="M1370" s="3">
        <v>1085</v>
      </c>
      <c r="N1370" s="6">
        <v>1983</v>
      </c>
      <c r="P1370" s="71"/>
      <c r="R1370" s="6">
        <v>1980</v>
      </c>
      <c r="S1370" s="3" t="s">
        <v>54</v>
      </c>
      <c r="T1370" s="72"/>
      <c r="U1370" s="73"/>
      <c r="W1370" s="2" t="s">
        <v>3790</v>
      </c>
      <c r="X1370" s="10" t="s">
        <v>56</v>
      </c>
      <c r="Y1370" s="10" t="s">
        <v>68</v>
      </c>
      <c r="Z1370" s="75"/>
      <c r="AA1370" s="76"/>
      <c r="AB1370" s="77"/>
      <c r="AC1370" s="77">
        <v>31320</v>
      </c>
      <c r="AD1370" s="10"/>
      <c r="AE1370" s="7">
        <v>1985</v>
      </c>
      <c r="AF1370" s="7">
        <v>113</v>
      </c>
      <c r="AG1370" s="7">
        <v>1985</v>
      </c>
      <c r="AH1370" s="7">
        <v>1980</v>
      </c>
      <c r="AI1370" s="7"/>
      <c r="AJ1370" s="73"/>
      <c r="AK1370" s="7"/>
      <c r="AL1370" s="16"/>
      <c r="AM1370" s="2" t="s">
        <v>82</v>
      </c>
      <c r="AW1370" s="6">
        <f t="shared" ca="1" si="23"/>
        <v>42</v>
      </c>
    </row>
    <row r="1371" ht="45" hidden="1" customHeight="1" outlineLevel="1">
      <c r="A1371" s="69"/>
      <c r="B1371" s="3" t="s">
        <v>47</v>
      </c>
      <c r="C1371" s="4" t="s">
        <v>1393</v>
      </c>
      <c r="E1371" s="2" t="s">
        <v>83</v>
      </c>
      <c r="F1371" s="6" t="s">
        <v>179</v>
      </c>
      <c r="G1371" s="5" t="s">
        <v>1857</v>
      </c>
      <c r="H1371" s="2" t="s">
        <v>382</v>
      </c>
      <c r="I1371" s="96" t="s">
        <v>3791</v>
      </c>
      <c r="J1371" s="7">
        <v>1</v>
      </c>
      <c r="K1371" s="70"/>
      <c r="L1371" s="9">
        <v>1</v>
      </c>
      <c r="M1371" s="3">
        <v>1086</v>
      </c>
      <c r="N1371" s="6">
        <v>1983</v>
      </c>
      <c r="P1371" s="71"/>
      <c r="R1371" s="6">
        <v>1980</v>
      </c>
      <c r="S1371" s="3" t="s">
        <v>236</v>
      </c>
      <c r="T1371" s="72"/>
      <c r="U1371" s="73"/>
      <c r="W1371" s="2" t="s">
        <v>62</v>
      </c>
      <c r="X1371" s="10" t="s">
        <v>91</v>
      </c>
      <c r="Y1371" s="10" t="s">
        <v>385</v>
      </c>
      <c r="Z1371" s="75"/>
      <c r="AA1371" s="76"/>
      <c r="AB1371" s="77"/>
      <c r="AC1371" s="77"/>
      <c r="AD1371" s="10"/>
      <c r="AI1371" s="7"/>
      <c r="AJ1371" s="10">
        <v>36283</v>
      </c>
      <c r="AK1371" s="7">
        <v>1990</v>
      </c>
      <c r="AL1371" s="16"/>
      <c r="AW1371" s="6">
        <f t="shared" ca="1" si="23"/>
        <v>42</v>
      </c>
    </row>
    <row r="1372" ht="45" customHeight="1">
      <c r="A1372" s="69"/>
      <c r="B1372" s="3" t="s">
        <v>47</v>
      </c>
      <c r="E1372" s="2" t="s">
        <v>83</v>
      </c>
      <c r="F1372" s="6" t="s">
        <v>179</v>
      </c>
      <c r="G1372" s="5" t="s">
        <v>3792</v>
      </c>
      <c r="H1372" s="2" t="s">
        <v>51</v>
      </c>
      <c r="I1372" s="3" t="s">
        <v>579</v>
      </c>
      <c r="J1372" s="7">
        <v>1</v>
      </c>
      <c r="K1372" s="70" t="s">
        <v>53</v>
      </c>
      <c r="L1372" s="9">
        <v>1</v>
      </c>
      <c r="M1372" s="3">
        <v>1087</v>
      </c>
      <c r="N1372" s="6">
        <v>1983</v>
      </c>
      <c r="P1372" s="71"/>
      <c r="R1372" s="6">
        <v>1980</v>
      </c>
      <c r="S1372" s="3" t="s">
        <v>54</v>
      </c>
      <c r="T1372" s="72"/>
      <c r="U1372" s="73"/>
      <c r="W1372" s="2" t="s">
        <v>3793</v>
      </c>
      <c r="X1372" s="10" t="s">
        <v>56</v>
      </c>
      <c r="Y1372" s="10" t="s">
        <v>57</v>
      </c>
      <c r="Z1372" s="75" t="s">
        <v>58</v>
      </c>
      <c r="AA1372" s="76"/>
      <c r="AB1372" s="77"/>
      <c r="AC1372" s="77">
        <v>30882</v>
      </c>
      <c r="AD1372" s="10"/>
      <c r="AE1372" s="7">
        <v>1984</v>
      </c>
      <c r="AF1372" s="7">
        <v>107</v>
      </c>
      <c r="AG1372" s="7">
        <v>1984</v>
      </c>
      <c r="AH1372" s="7">
        <v>1980</v>
      </c>
      <c r="AI1372" s="7"/>
      <c r="AJ1372" s="73"/>
      <c r="AK1372" s="7"/>
      <c r="AL1372" s="16"/>
      <c r="AM1372" s="2" t="s">
        <v>59</v>
      </c>
      <c r="AW1372" s="6">
        <f t="shared" ca="1" si="23"/>
        <v>42</v>
      </c>
    </row>
    <row r="1373" ht="45" customHeight="1">
      <c r="A1373" s="69"/>
      <c r="B1373" s="3" t="s">
        <v>47</v>
      </c>
      <c r="E1373" s="2" t="s">
        <v>83</v>
      </c>
      <c r="F1373" s="6" t="s">
        <v>179</v>
      </c>
      <c r="G1373" s="5" t="s">
        <v>3792</v>
      </c>
      <c r="H1373" s="2" t="s">
        <v>68</v>
      </c>
      <c r="I1373" s="3" t="s">
        <v>3794</v>
      </c>
      <c r="J1373" s="7">
        <v>1</v>
      </c>
      <c r="K1373" s="70" t="s">
        <v>53</v>
      </c>
      <c r="L1373" s="9">
        <v>1</v>
      </c>
      <c r="M1373" s="3">
        <v>1088</v>
      </c>
      <c r="N1373" s="6">
        <v>1983</v>
      </c>
      <c r="P1373" s="71"/>
      <c r="R1373" s="6">
        <v>1980</v>
      </c>
      <c r="S1373" s="3" t="s">
        <v>54</v>
      </c>
      <c r="T1373" s="72"/>
      <c r="U1373" s="73"/>
      <c r="W1373" s="2" t="s">
        <v>3795</v>
      </c>
      <c r="X1373" s="10" t="s">
        <v>56</v>
      </c>
      <c r="Y1373" s="10" t="s">
        <v>68</v>
      </c>
      <c r="Z1373" s="75"/>
      <c r="AA1373" s="76"/>
      <c r="AB1373" s="77"/>
      <c r="AC1373" s="77">
        <v>34052</v>
      </c>
      <c r="AD1373" s="10"/>
      <c r="AE1373" s="7">
        <v>1985</v>
      </c>
      <c r="AF1373" s="7">
        <v>117</v>
      </c>
      <c r="AG1373" s="7">
        <v>1993</v>
      </c>
      <c r="AH1373" s="7">
        <v>1990</v>
      </c>
      <c r="AI1373" s="7"/>
      <c r="AJ1373" s="73"/>
      <c r="AK1373" s="7"/>
      <c r="AL1373" s="16"/>
      <c r="AM1373" s="2" t="s">
        <v>53</v>
      </c>
      <c r="AW1373" s="6">
        <f t="shared" ca="1" si="23"/>
        <v>42</v>
      </c>
    </row>
    <row r="1374" ht="45" hidden="1" customHeight="1" outlineLevel="1">
      <c r="A1374" s="69"/>
      <c r="B1374" s="3" t="s">
        <v>47</v>
      </c>
      <c r="C1374" s="4" t="s">
        <v>2790</v>
      </c>
      <c r="D1374" s="5" t="s">
        <v>3796</v>
      </c>
      <c r="E1374" s="2" t="s">
        <v>48</v>
      </c>
      <c r="F1374" s="6" t="s">
        <v>49</v>
      </c>
      <c r="G1374" s="5" t="s">
        <v>3797</v>
      </c>
      <c r="H1374" s="2" t="s">
        <v>57</v>
      </c>
      <c r="I1374" s="96" t="s">
        <v>3798</v>
      </c>
      <c r="J1374" s="7">
        <v>1</v>
      </c>
      <c r="K1374" s="70"/>
      <c r="L1374" s="9">
        <v>1</v>
      </c>
      <c r="M1374" s="3">
        <v>1089</v>
      </c>
      <c r="N1374" s="6">
        <v>1983</v>
      </c>
      <c r="P1374" s="71"/>
      <c r="R1374" s="6">
        <v>1980</v>
      </c>
      <c r="S1374" s="3" t="s">
        <v>236</v>
      </c>
      <c r="T1374" s="72"/>
      <c r="U1374" s="73"/>
      <c r="W1374" s="2" t="s">
        <v>62</v>
      </c>
      <c r="X1374" s="10" t="s">
        <v>56</v>
      </c>
      <c r="Y1374" s="10" t="s">
        <v>57</v>
      </c>
      <c r="Z1374" s="75"/>
      <c r="AA1374" s="76"/>
      <c r="AB1374" s="77"/>
      <c r="AC1374" s="77"/>
      <c r="AD1374" s="10"/>
      <c r="AI1374" s="7"/>
      <c r="AJ1374" s="95">
        <v>41551</v>
      </c>
      <c r="AK1374" s="7">
        <v>2010</v>
      </c>
      <c r="AL1374" s="16"/>
      <c r="AW1374" s="6">
        <f t="shared" ca="1" si="23"/>
        <v>42</v>
      </c>
    </row>
    <row r="1375" ht="45" hidden="1" customHeight="1" outlineLevel="1">
      <c r="A1375" s="69"/>
      <c r="B1375" s="3" t="s">
        <v>47</v>
      </c>
      <c r="C1375" s="4" t="s">
        <v>3708</v>
      </c>
      <c r="E1375" s="2" t="s">
        <v>83</v>
      </c>
      <c r="F1375" s="6" t="s">
        <v>84</v>
      </c>
      <c r="G1375" s="5" t="s">
        <v>85</v>
      </c>
      <c r="H1375" s="2" t="s">
        <v>57</v>
      </c>
      <c r="I1375" s="3" t="s">
        <v>3799</v>
      </c>
      <c r="J1375" s="7">
        <v>1</v>
      </c>
      <c r="K1375" s="70"/>
      <c r="L1375" s="9">
        <v>1</v>
      </c>
      <c r="M1375" s="3">
        <v>1090</v>
      </c>
      <c r="N1375" s="6">
        <v>1983</v>
      </c>
      <c r="P1375" s="71"/>
      <c r="R1375" s="6">
        <v>1980</v>
      </c>
      <c r="S1375" s="3" t="s">
        <v>236</v>
      </c>
      <c r="T1375" s="72"/>
      <c r="U1375" s="73"/>
      <c r="W1375" s="2" t="s">
        <v>62</v>
      </c>
      <c r="X1375" s="10" t="s">
        <v>56</v>
      </c>
      <c r="Y1375" s="10" t="s">
        <v>57</v>
      </c>
      <c r="Z1375" s="75"/>
      <c r="AA1375" s="76"/>
      <c r="AB1375" s="77"/>
      <c r="AC1375" s="77"/>
      <c r="AD1375" s="10"/>
      <c r="AI1375" s="7"/>
      <c r="AJ1375" s="95">
        <v>32770</v>
      </c>
      <c r="AK1375" s="7">
        <v>1980</v>
      </c>
      <c r="AL1375" s="16"/>
      <c r="AW1375" s="6">
        <f t="shared" ca="1" si="23"/>
        <v>42</v>
      </c>
    </row>
    <row r="1376" ht="45" hidden="1" customHeight="1" outlineLevel="1">
      <c r="A1376" s="69"/>
      <c r="B1376" s="3" t="s">
        <v>47</v>
      </c>
      <c r="C1376" s="4" t="s">
        <v>3708</v>
      </c>
      <c r="E1376" s="2" t="s">
        <v>694</v>
      </c>
      <c r="F1376" s="6" t="s">
        <v>695</v>
      </c>
      <c r="G1376" s="5" t="s">
        <v>3800</v>
      </c>
      <c r="H1376" s="2" t="s">
        <v>51</v>
      </c>
      <c r="I1376" s="148" t="s">
        <v>3801</v>
      </c>
      <c r="J1376" s="7">
        <v>1</v>
      </c>
      <c r="K1376" s="70"/>
      <c r="L1376" s="9">
        <v>1</v>
      </c>
      <c r="M1376" s="3">
        <v>1091</v>
      </c>
      <c r="N1376" s="6">
        <v>1983</v>
      </c>
      <c r="P1376" s="71"/>
      <c r="R1376" s="6">
        <v>1980</v>
      </c>
      <c r="S1376" s="3" t="s">
        <v>236</v>
      </c>
      <c r="T1376" s="72"/>
      <c r="U1376" s="73"/>
      <c r="W1376" s="2" t="s">
        <v>62</v>
      </c>
      <c r="X1376" s="10" t="s">
        <v>56</v>
      </c>
      <c r="Y1376" s="10" t="s">
        <v>57</v>
      </c>
      <c r="Z1376" s="75" t="s">
        <v>58</v>
      </c>
      <c r="AA1376" s="76"/>
      <c r="AB1376" s="77"/>
      <c r="AC1376" s="77"/>
      <c r="AD1376" s="10"/>
      <c r="AI1376" s="7"/>
      <c r="AJ1376" s="95">
        <v>32770</v>
      </c>
      <c r="AK1376" s="7">
        <v>1980</v>
      </c>
      <c r="AL1376" s="16"/>
      <c r="AW1376" s="6">
        <f t="shared" ca="1" si="23"/>
        <v>42</v>
      </c>
    </row>
    <row r="1377" ht="45" hidden="1" customHeight="1">
      <c r="A1377" s="69"/>
      <c r="B1377" s="3" t="s">
        <v>47</v>
      </c>
      <c r="C1377" s="4" t="s">
        <v>3134</v>
      </c>
      <c r="D1377" s="5" t="s">
        <v>3802</v>
      </c>
      <c r="E1377" s="2" t="s">
        <v>48</v>
      </c>
      <c r="F1377" s="6" t="s">
        <v>49</v>
      </c>
      <c r="G1377" s="5" t="s">
        <v>3803</v>
      </c>
      <c r="H1377" s="2" t="s">
        <v>51</v>
      </c>
      <c r="I1377" s="3" t="s">
        <v>3804</v>
      </c>
      <c r="J1377" s="7">
        <v>1</v>
      </c>
      <c r="K1377" s="70"/>
      <c r="L1377" s="9">
        <v>1</v>
      </c>
      <c r="M1377" s="3">
        <v>1092</v>
      </c>
      <c r="N1377" s="6">
        <v>1983</v>
      </c>
      <c r="P1377" s="71"/>
      <c r="R1377" s="6">
        <v>1980</v>
      </c>
      <c r="S1377" s="3" t="s">
        <v>236</v>
      </c>
      <c r="T1377" s="72"/>
      <c r="U1377" s="73"/>
      <c r="W1377" s="2" t="s">
        <v>62</v>
      </c>
      <c r="X1377" s="10" t="s">
        <v>56</v>
      </c>
      <c r="Y1377" s="10" t="s">
        <v>57</v>
      </c>
      <c r="Z1377" s="75" t="s">
        <v>58</v>
      </c>
      <c r="AA1377" s="76"/>
      <c r="AB1377" s="77"/>
      <c r="AC1377" s="77"/>
      <c r="AD1377" s="10"/>
      <c r="AI1377" s="7"/>
      <c r="AJ1377" s="95">
        <v>41877</v>
      </c>
      <c r="AK1377" s="7">
        <v>2010</v>
      </c>
      <c r="AL1377" s="16"/>
      <c r="AW1377" s="6">
        <f t="shared" ca="1" si="23"/>
        <v>42</v>
      </c>
    </row>
    <row r="1378" ht="45" customHeight="1">
      <c r="A1378" s="69"/>
      <c r="B1378" s="3" t="s">
        <v>47</v>
      </c>
      <c r="E1378" s="2" t="s">
        <v>63</v>
      </c>
      <c r="F1378" s="6" t="s">
        <v>172</v>
      </c>
      <c r="G1378" s="5" t="s">
        <v>173</v>
      </c>
      <c r="H1378" s="2" t="s">
        <v>288</v>
      </c>
      <c r="I1378" s="3" t="s">
        <v>3805</v>
      </c>
      <c r="J1378" s="7">
        <v>1</v>
      </c>
      <c r="K1378" s="70" t="s">
        <v>53</v>
      </c>
      <c r="L1378" s="9">
        <v>1</v>
      </c>
      <c r="M1378" s="3">
        <v>1093</v>
      </c>
      <c r="N1378" s="6">
        <v>1983</v>
      </c>
      <c r="P1378" s="71"/>
      <c r="R1378" s="6">
        <v>1980</v>
      </c>
      <c r="S1378" s="3" t="s">
        <v>54</v>
      </c>
      <c r="T1378" s="72"/>
      <c r="U1378" s="73"/>
      <c r="W1378" s="2" t="s">
        <v>3806</v>
      </c>
      <c r="X1378" s="10" t="s">
        <v>56</v>
      </c>
      <c r="Y1378" s="10" t="s">
        <v>288</v>
      </c>
      <c r="Z1378" s="75"/>
      <c r="AA1378" s="76">
        <v>30882</v>
      </c>
      <c r="AB1378" s="77"/>
      <c r="AC1378" s="77"/>
      <c r="AD1378" s="6"/>
      <c r="AE1378" s="7">
        <v>1983</v>
      </c>
      <c r="AF1378" s="7" t="s">
        <v>3807</v>
      </c>
      <c r="AG1378" s="7">
        <v>1984</v>
      </c>
      <c r="AH1378" s="7">
        <v>1980</v>
      </c>
      <c r="AI1378" s="7">
        <v>1984</v>
      </c>
      <c r="AJ1378" s="73"/>
      <c r="AK1378" s="7"/>
      <c r="AL1378" s="16"/>
      <c r="AM1378" s="2" t="s">
        <v>53</v>
      </c>
      <c r="AW1378" s="6">
        <f t="shared" ca="1" si="23"/>
        <v>42</v>
      </c>
    </row>
    <row r="1379" ht="45" customHeight="1">
      <c r="A1379" s="69"/>
      <c r="B1379" s="3" t="s">
        <v>47</v>
      </c>
      <c r="C1379" s="4" t="s">
        <v>3808</v>
      </c>
      <c r="D1379" s="5" t="s">
        <v>3809</v>
      </c>
      <c r="E1379" s="2" t="s">
        <v>83</v>
      </c>
      <c r="F1379" s="6" t="s">
        <v>84</v>
      </c>
      <c r="G1379" s="5" t="s">
        <v>85</v>
      </c>
      <c r="H1379" s="2" t="s">
        <v>57</v>
      </c>
      <c r="I1379" s="3" t="s">
        <v>3810</v>
      </c>
      <c r="J1379" s="7">
        <v>1</v>
      </c>
      <c r="K1379" s="70" t="s">
        <v>53</v>
      </c>
      <c r="L1379" s="9">
        <v>1</v>
      </c>
      <c r="M1379" s="3">
        <v>1094</v>
      </c>
      <c r="N1379" s="6">
        <v>1983</v>
      </c>
      <c r="P1379" s="71"/>
      <c r="R1379" s="6">
        <v>1980</v>
      </c>
      <c r="S1379" s="3" t="s">
        <v>54</v>
      </c>
      <c r="T1379" s="72"/>
      <c r="U1379" s="73"/>
      <c r="W1379" s="2" t="s">
        <v>3811</v>
      </c>
      <c r="X1379" s="10" t="s">
        <v>56</v>
      </c>
      <c r="Y1379" s="10" t="s">
        <v>57</v>
      </c>
      <c r="Z1379" s="75"/>
      <c r="AA1379" s="76">
        <v>36886</v>
      </c>
      <c r="AB1379" s="77"/>
      <c r="AC1379" s="77"/>
      <c r="AD1379" s="6"/>
      <c r="AE1379" s="7">
        <v>2000</v>
      </c>
      <c r="AF1379" s="7">
        <v>21</v>
      </c>
      <c r="AG1379" s="7">
        <v>2000</v>
      </c>
      <c r="AH1379" s="7">
        <v>2000</v>
      </c>
      <c r="AI1379" s="7"/>
      <c r="AJ1379" s="73"/>
      <c r="AK1379" s="7"/>
      <c r="AL1379" s="16" t="s">
        <v>3812</v>
      </c>
      <c r="AM1379" s="2" t="s">
        <v>59</v>
      </c>
      <c r="AO1379" s="6" t="s">
        <v>53</v>
      </c>
      <c r="AP1379" s="6" t="s">
        <v>73</v>
      </c>
      <c r="AW1379" s="6">
        <f t="shared" ca="1" si="23"/>
        <v>42</v>
      </c>
    </row>
    <row r="1380" ht="45" hidden="1" customHeight="1">
      <c r="A1380" s="69"/>
      <c r="B1380" s="3" t="s">
        <v>47</v>
      </c>
      <c r="C1380" s="4" t="s">
        <v>351</v>
      </c>
      <c r="E1380" s="2" t="s">
        <v>63</v>
      </c>
      <c r="F1380" s="6" t="s">
        <v>1230</v>
      </c>
      <c r="G1380" s="5" t="s">
        <v>1606</v>
      </c>
      <c r="H1380" s="2" t="s">
        <v>51</v>
      </c>
      <c r="I1380" s="96" t="s">
        <v>3813</v>
      </c>
      <c r="J1380" s="7">
        <v>1</v>
      </c>
      <c r="K1380" s="104"/>
      <c r="L1380" s="9">
        <v>1</v>
      </c>
      <c r="M1380" s="3">
        <v>1095</v>
      </c>
      <c r="N1380" s="6">
        <v>1983</v>
      </c>
      <c r="P1380" s="71"/>
      <c r="R1380" s="6">
        <v>1980</v>
      </c>
      <c r="S1380" s="3" t="s">
        <v>236</v>
      </c>
      <c r="T1380" s="72"/>
      <c r="U1380" s="73"/>
      <c r="W1380" s="2" t="s">
        <v>62</v>
      </c>
      <c r="X1380" s="10" t="s">
        <v>56</v>
      </c>
      <c r="Y1380" s="10" t="s">
        <v>57</v>
      </c>
      <c r="Z1380" s="75" t="s">
        <v>58</v>
      </c>
      <c r="AA1380" s="76"/>
      <c r="AB1380" s="77"/>
      <c r="AC1380" s="77"/>
      <c r="AD1380" s="6"/>
      <c r="AI1380" s="7"/>
      <c r="AJ1380" s="95">
        <v>39595</v>
      </c>
      <c r="AK1380" s="7">
        <v>2000</v>
      </c>
      <c r="AL1380" s="16"/>
      <c r="AU1380" s="16" t="s">
        <v>3814</v>
      </c>
      <c r="AW1380" s="6">
        <f t="shared" ca="1" si="23"/>
        <v>42</v>
      </c>
    </row>
    <row r="1381" ht="45" hidden="1" customHeight="1">
      <c r="A1381" s="69"/>
      <c r="B1381" s="3" t="s">
        <v>47</v>
      </c>
      <c r="C1381" s="4" t="s">
        <v>3815</v>
      </c>
      <c r="E1381" s="2" t="s">
        <v>83</v>
      </c>
      <c r="F1381" s="6" t="s">
        <v>179</v>
      </c>
      <c r="G1381" s="5" t="s">
        <v>3816</v>
      </c>
      <c r="H1381" s="2" t="s">
        <v>491</v>
      </c>
      <c r="I1381" s="3" t="s">
        <v>3817</v>
      </c>
      <c r="J1381" s="7">
        <v>1</v>
      </c>
      <c r="K1381" s="104"/>
      <c r="L1381" s="9">
        <v>1</v>
      </c>
      <c r="M1381" s="3">
        <v>1096</v>
      </c>
      <c r="N1381" s="6">
        <v>1983</v>
      </c>
      <c r="P1381" s="71"/>
      <c r="R1381" s="6">
        <v>1980</v>
      </c>
      <c r="S1381" s="3" t="s">
        <v>236</v>
      </c>
      <c r="T1381" s="72"/>
      <c r="U1381" s="73"/>
      <c r="W1381" s="2" t="s">
        <v>62</v>
      </c>
      <c r="X1381" s="10" t="s">
        <v>56</v>
      </c>
      <c r="Y1381" s="10" t="s">
        <v>523</v>
      </c>
      <c r="Z1381" s="75"/>
      <c r="AA1381" s="76"/>
      <c r="AB1381" s="77"/>
      <c r="AC1381" s="77"/>
      <c r="AD1381" s="6"/>
      <c r="AI1381" s="7"/>
      <c r="AJ1381" s="95">
        <v>35636</v>
      </c>
      <c r="AK1381" s="7">
        <v>1990</v>
      </c>
      <c r="AL1381" s="16"/>
      <c r="AW1381" s="6">
        <f t="shared" ca="1" si="23"/>
        <v>42</v>
      </c>
    </row>
    <row r="1382" ht="45" hidden="1" customHeight="1">
      <c r="A1382" s="69"/>
      <c r="B1382" s="3" t="s">
        <v>47</v>
      </c>
      <c r="C1382" s="4" t="s">
        <v>3815</v>
      </c>
      <c r="E1382" s="2" t="s">
        <v>83</v>
      </c>
      <c r="F1382" s="6" t="s">
        <v>179</v>
      </c>
      <c r="G1382" s="5" t="s">
        <v>3818</v>
      </c>
      <c r="H1382" s="2" t="s">
        <v>491</v>
      </c>
      <c r="I1382" s="3" t="s">
        <v>3819</v>
      </c>
      <c r="J1382" s="7">
        <v>1</v>
      </c>
      <c r="K1382" s="104"/>
      <c r="L1382" s="9">
        <v>0</v>
      </c>
      <c r="M1382" s="3">
        <v>1096</v>
      </c>
      <c r="N1382" s="6">
        <v>1983</v>
      </c>
      <c r="P1382" s="71"/>
      <c r="R1382" s="6">
        <v>1980</v>
      </c>
      <c r="S1382" s="3" t="s">
        <v>236</v>
      </c>
      <c r="T1382" s="72"/>
      <c r="U1382" s="73"/>
      <c r="W1382" s="2" t="s">
        <v>62</v>
      </c>
      <c r="X1382" s="10" t="s">
        <v>56</v>
      </c>
      <c r="Y1382" s="10" t="s">
        <v>523</v>
      </c>
      <c r="Z1382" s="75"/>
      <c r="AA1382" s="76"/>
      <c r="AB1382" s="77"/>
      <c r="AC1382" s="77"/>
      <c r="AD1382" s="6"/>
      <c r="AI1382" s="7"/>
      <c r="AJ1382" s="95">
        <v>35636</v>
      </c>
      <c r="AK1382" s="7">
        <v>1990</v>
      </c>
      <c r="AL1382" s="16"/>
      <c r="AW1382" s="6">
        <f t="shared" ca="1" si="23"/>
        <v>42</v>
      </c>
    </row>
    <row r="1383" ht="45" customHeight="1">
      <c r="A1383" s="69"/>
      <c r="B1383" s="3" t="s">
        <v>47</v>
      </c>
      <c r="D1383" s="5" t="s">
        <v>3820</v>
      </c>
      <c r="E1383" s="2" t="s">
        <v>48</v>
      </c>
      <c r="F1383" s="6" t="s">
        <v>140</v>
      </c>
      <c r="G1383" s="5" t="s">
        <v>532</v>
      </c>
      <c r="H1383" s="2" t="s">
        <v>288</v>
      </c>
      <c r="I1383" s="3" t="s">
        <v>3821</v>
      </c>
      <c r="J1383" s="7">
        <v>1</v>
      </c>
      <c r="K1383" s="70" t="s">
        <v>53</v>
      </c>
      <c r="L1383" s="9">
        <v>1</v>
      </c>
      <c r="M1383" s="3">
        <v>1097</v>
      </c>
      <c r="N1383" s="6">
        <v>1983</v>
      </c>
      <c r="P1383" s="71"/>
      <c r="R1383" s="6">
        <v>1980</v>
      </c>
      <c r="S1383" s="3" t="s">
        <v>54</v>
      </c>
      <c r="T1383" s="72"/>
      <c r="U1383" s="73"/>
      <c r="W1383" s="2" t="s">
        <v>3822</v>
      </c>
      <c r="X1383" s="10" t="s">
        <v>56</v>
      </c>
      <c r="Y1383" s="10" t="s">
        <v>288</v>
      </c>
      <c r="Z1383" s="75"/>
      <c r="AB1383" s="77">
        <v>40856</v>
      </c>
      <c r="AC1383" s="77"/>
      <c r="AD1383" s="10"/>
      <c r="AE1383" s="7">
        <v>2009</v>
      </c>
      <c r="AF1383" s="7">
        <v>62</v>
      </c>
      <c r="AG1383" s="7">
        <v>2011</v>
      </c>
      <c r="AH1383" s="7">
        <v>2010</v>
      </c>
      <c r="AI1383" s="7"/>
      <c r="AJ1383" s="73"/>
      <c r="AK1383" s="7"/>
      <c r="AL1383" s="99"/>
      <c r="AM1383" s="2" t="s">
        <v>53</v>
      </c>
      <c r="AN1383" s="6" t="s">
        <v>73</v>
      </c>
      <c r="AO1383" s="6" t="s">
        <v>53</v>
      </c>
      <c r="AP1383" s="6" t="s">
        <v>73</v>
      </c>
      <c r="AQ1383" s="5" t="s">
        <v>73</v>
      </c>
      <c r="AR1383" s="2" t="s">
        <v>104</v>
      </c>
      <c r="AS1383" s="6" t="s">
        <v>104</v>
      </c>
      <c r="AW1383" s="6">
        <f t="shared" ref="AW1383:AW1446" ca="1" si="24">IF(N1383&lt;&gt;0,(YEAR(TODAY())-N1383),(""))</f>
        <v>42</v>
      </c>
    </row>
    <row r="1384" ht="45" hidden="1" customHeight="1">
      <c r="A1384" s="69">
        <v>43683</v>
      </c>
      <c r="B1384" s="3" t="s">
        <v>1926</v>
      </c>
      <c r="C1384" s="4" t="s">
        <v>3823</v>
      </c>
      <c r="D1384" s="5" t="s">
        <v>3824</v>
      </c>
      <c r="E1384" s="2" t="s">
        <v>48</v>
      </c>
      <c r="F1384" s="6" t="s">
        <v>140</v>
      </c>
      <c r="G1384" s="5" t="s">
        <v>532</v>
      </c>
      <c r="H1384" s="2" t="s">
        <v>491</v>
      </c>
      <c r="I1384" s="3" t="s">
        <v>3825</v>
      </c>
      <c r="J1384" s="7">
        <v>1</v>
      </c>
      <c r="K1384" s="70"/>
      <c r="L1384" s="9">
        <v>1</v>
      </c>
      <c r="M1384" s="3">
        <v>1098</v>
      </c>
      <c r="N1384" s="6">
        <v>1983</v>
      </c>
      <c r="P1384" s="71"/>
      <c r="R1384" s="6">
        <v>1980</v>
      </c>
      <c r="S1384" s="3" t="s">
        <v>283</v>
      </c>
      <c r="T1384" s="72" t="s">
        <v>998</v>
      </c>
      <c r="U1384" s="73"/>
      <c r="W1384" s="74" t="s">
        <v>62</v>
      </c>
      <c r="X1384" s="10" t="s">
        <v>56</v>
      </c>
      <c r="Y1384" s="10" t="s">
        <v>523</v>
      </c>
      <c r="Z1384" s="75"/>
      <c r="AB1384" s="77"/>
      <c r="AC1384" s="77"/>
      <c r="AD1384" s="10"/>
      <c r="AI1384" s="7"/>
      <c r="AJ1384" s="73"/>
      <c r="AK1384" s="7"/>
      <c r="AL1384" s="16"/>
      <c r="AW1384" s="6">
        <f t="shared" ca="1" si="24"/>
        <v>42</v>
      </c>
    </row>
    <row r="1385" ht="45" customHeight="1">
      <c r="A1385" s="69"/>
      <c r="B1385" s="3" t="s">
        <v>47</v>
      </c>
      <c r="D1385" s="5" t="s">
        <v>3826</v>
      </c>
      <c r="E1385" s="78" t="s">
        <v>1074</v>
      </c>
      <c r="F1385" s="79" t="s">
        <v>2154</v>
      </c>
      <c r="G1385" s="80" t="s">
        <v>2155</v>
      </c>
      <c r="H1385" s="78" t="s">
        <v>68</v>
      </c>
      <c r="I1385" s="81" t="s">
        <v>3827</v>
      </c>
      <c r="J1385" s="7">
        <v>1</v>
      </c>
      <c r="K1385" s="70" t="s">
        <v>53</v>
      </c>
      <c r="L1385" s="9">
        <v>1</v>
      </c>
      <c r="M1385" s="3">
        <v>1099</v>
      </c>
      <c r="N1385" s="6">
        <v>1983</v>
      </c>
      <c r="P1385" s="71"/>
      <c r="R1385" s="6">
        <v>1980</v>
      </c>
      <c r="S1385" s="3" t="s">
        <v>54</v>
      </c>
      <c r="T1385" s="72"/>
      <c r="U1385" s="73"/>
      <c r="W1385" s="78" t="s">
        <v>3828</v>
      </c>
      <c r="X1385" s="82" t="s">
        <v>56</v>
      </c>
      <c r="Y1385" s="82" t="s">
        <v>68</v>
      </c>
      <c r="Z1385" s="83"/>
      <c r="AB1385" s="77">
        <v>42335</v>
      </c>
      <c r="AC1385" s="77"/>
      <c r="AD1385" s="10"/>
      <c r="AE1385" s="7">
        <v>2015</v>
      </c>
      <c r="AF1385" s="7">
        <v>78</v>
      </c>
      <c r="AG1385" s="7">
        <v>2015</v>
      </c>
      <c r="AH1385" s="7">
        <v>2010</v>
      </c>
      <c r="AI1385" s="7"/>
      <c r="AJ1385" s="73"/>
      <c r="AK1385" s="7"/>
      <c r="AL1385" s="16" t="s">
        <v>3829</v>
      </c>
      <c r="AM1385" s="2" t="s">
        <v>48</v>
      </c>
      <c r="AN1385" s="6" t="s">
        <v>73</v>
      </c>
      <c r="AO1385" s="6" t="s">
        <v>48</v>
      </c>
      <c r="AP1385" s="6" t="s">
        <v>73</v>
      </c>
      <c r="AQ1385" s="5" t="s">
        <v>73</v>
      </c>
      <c r="AU1385" s="16" t="s">
        <v>3830</v>
      </c>
      <c r="AW1385" s="6">
        <f t="shared" ca="1" si="24"/>
        <v>42</v>
      </c>
    </row>
    <row r="1386" ht="45" customHeight="1">
      <c r="A1386" s="69"/>
      <c r="B1386" s="3" t="s">
        <v>47</v>
      </c>
      <c r="E1386" s="2" t="s">
        <v>83</v>
      </c>
      <c r="F1386" s="6" t="s">
        <v>84</v>
      </c>
      <c r="G1386" s="5" t="s">
        <v>85</v>
      </c>
      <c r="H1386" s="2" t="s">
        <v>57</v>
      </c>
      <c r="I1386" s="3" t="s">
        <v>3831</v>
      </c>
      <c r="J1386" s="7">
        <v>1</v>
      </c>
      <c r="K1386" s="70" t="s">
        <v>53</v>
      </c>
      <c r="L1386" s="9">
        <v>1</v>
      </c>
      <c r="M1386" s="3">
        <v>1100</v>
      </c>
      <c r="N1386" s="6">
        <v>1983</v>
      </c>
      <c r="P1386" s="71"/>
      <c r="R1386" s="6">
        <v>1980</v>
      </c>
      <c r="S1386" s="3" t="s">
        <v>54</v>
      </c>
      <c r="T1386" s="72"/>
      <c r="U1386" s="73"/>
      <c r="W1386" s="2" t="s">
        <v>3832</v>
      </c>
      <c r="X1386" s="10" t="s">
        <v>56</v>
      </c>
      <c r="Y1386" s="10" t="s">
        <v>57</v>
      </c>
      <c r="Z1386" s="75"/>
      <c r="AA1386" s="76"/>
      <c r="AB1386" s="77"/>
      <c r="AC1386" s="77">
        <v>30831</v>
      </c>
      <c r="AD1386" s="10"/>
      <c r="AE1386" s="7">
        <v>1984</v>
      </c>
      <c r="AF1386" s="7">
        <v>105</v>
      </c>
      <c r="AG1386" s="7">
        <v>1984</v>
      </c>
      <c r="AH1386" s="7">
        <v>1980</v>
      </c>
      <c r="AI1386" s="7"/>
      <c r="AJ1386" s="73"/>
      <c r="AK1386" s="7"/>
      <c r="AL1386" s="16"/>
      <c r="AM1386" s="2" t="s">
        <v>59</v>
      </c>
      <c r="AW1386" s="6">
        <f t="shared" ca="1" si="24"/>
        <v>42</v>
      </c>
    </row>
    <row r="1387" ht="45" customHeight="1">
      <c r="A1387" s="69"/>
      <c r="B1387" s="3" t="s">
        <v>47</v>
      </c>
      <c r="E1387" s="2" t="s">
        <v>63</v>
      </c>
      <c r="F1387" s="6" t="s">
        <v>64</v>
      </c>
      <c r="G1387" s="5" t="s">
        <v>69</v>
      </c>
      <c r="H1387" s="2" t="s">
        <v>57</v>
      </c>
      <c r="I1387" s="3" t="s">
        <v>3833</v>
      </c>
      <c r="J1387" s="7">
        <v>1</v>
      </c>
      <c r="K1387" s="70" t="s">
        <v>53</v>
      </c>
      <c r="L1387" s="9">
        <v>1</v>
      </c>
      <c r="M1387" s="3">
        <v>1101</v>
      </c>
      <c r="N1387" s="6">
        <v>1983</v>
      </c>
      <c r="P1387" s="71"/>
      <c r="R1387" s="6">
        <v>1980</v>
      </c>
      <c r="S1387" s="3" t="s">
        <v>54</v>
      </c>
      <c r="T1387" s="72"/>
      <c r="U1387" s="73"/>
      <c r="W1387" s="2" t="s">
        <v>3834</v>
      </c>
      <c r="X1387" s="10" t="s">
        <v>56</v>
      </c>
      <c r="Y1387" s="10" t="s">
        <v>57</v>
      </c>
      <c r="Z1387" s="75"/>
      <c r="AA1387" s="76"/>
      <c r="AB1387" s="77"/>
      <c r="AC1387" s="77">
        <v>30882</v>
      </c>
      <c r="AD1387" s="10"/>
      <c r="AE1387" s="7">
        <v>1984</v>
      </c>
      <c r="AF1387" s="7" t="s">
        <v>3835</v>
      </c>
      <c r="AG1387" s="7">
        <v>1984</v>
      </c>
      <c r="AH1387" s="7">
        <v>1980</v>
      </c>
      <c r="AI1387" s="7">
        <v>1984</v>
      </c>
      <c r="AJ1387" s="73"/>
      <c r="AK1387" s="7"/>
      <c r="AL1387" s="16" t="s">
        <v>664</v>
      </c>
      <c r="AM1387" s="2" t="s">
        <v>59</v>
      </c>
      <c r="AW1387" s="6">
        <f t="shared" ca="1" si="24"/>
        <v>42</v>
      </c>
    </row>
    <row r="1388" ht="45" hidden="1" customHeight="1">
      <c r="A1388" s="69"/>
      <c r="B1388" s="3" t="s">
        <v>47</v>
      </c>
      <c r="C1388" s="4" t="s">
        <v>3061</v>
      </c>
      <c r="D1388" s="5" t="s">
        <v>3836</v>
      </c>
      <c r="E1388" s="2" t="s">
        <v>1074</v>
      </c>
      <c r="F1388" s="6" t="s">
        <v>2026</v>
      </c>
      <c r="G1388" s="5" t="s">
        <v>3818</v>
      </c>
      <c r="H1388" s="2" t="s">
        <v>508</v>
      </c>
      <c r="I1388" s="3" t="s">
        <v>3837</v>
      </c>
      <c r="J1388" s="7">
        <v>1</v>
      </c>
      <c r="K1388" s="70"/>
      <c r="L1388" s="9">
        <v>1</v>
      </c>
      <c r="M1388" s="3">
        <v>1102</v>
      </c>
      <c r="N1388" s="6">
        <v>1983</v>
      </c>
      <c r="O1388" s="10">
        <v>30637</v>
      </c>
      <c r="P1388" s="71" t="s">
        <v>3838</v>
      </c>
      <c r="Q1388" s="10" t="s">
        <v>1453</v>
      </c>
      <c r="R1388" s="6">
        <v>1980</v>
      </c>
      <c r="S1388" s="3" t="s">
        <v>236</v>
      </c>
      <c r="T1388" s="72"/>
      <c r="U1388" s="73"/>
      <c r="W1388" s="2" t="s">
        <v>62</v>
      </c>
      <c r="X1388" s="10" t="s">
        <v>504</v>
      </c>
      <c r="Y1388" s="10" t="s">
        <v>511</v>
      </c>
      <c r="Z1388" s="75"/>
      <c r="AA1388" s="76"/>
      <c r="AB1388" s="77"/>
      <c r="AC1388" s="77"/>
      <c r="AD1388" s="10"/>
      <c r="AI1388" s="7"/>
      <c r="AJ1388" s="95">
        <v>41914</v>
      </c>
      <c r="AK1388" s="7">
        <v>2010</v>
      </c>
      <c r="AL1388" s="16"/>
      <c r="AU1388" s="16" t="s">
        <v>3839</v>
      </c>
      <c r="AW1388" s="6">
        <f t="shared" ca="1" si="24"/>
        <v>42</v>
      </c>
    </row>
    <row r="1389" ht="45" hidden="1" customHeight="1">
      <c r="A1389" s="69"/>
      <c r="B1389" s="3" t="s">
        <v>47</v>
      </c>
      <c r="C1389" s="4" t="s">
        <v>3840</v>
      </c>
      <c r="D1389" s="5" t="s">
        <v>3841</v>
      </c>
      <c r="E1389" s="2" t="s">
        <v>1074</v>
      </c>
      <c r="F1389" s="6" t="s">
        <v>3842</v>
      </c>
      <c r="G1389" s="5" t="s">
        <v>3843</v>
      </c>
      <c r="H1389" s="2" t="s">
        <v>508</v>
      </c>
      <c r="I1389" s="3" t="s">
        <v>3844</v>
      </c>
      <c r="J1389" s="7">
        <v>1</v>
      </c>
      <c r="L1389" s="9">
        <v>1</v>
      </c>
      <c r="M1389" s="3">
        <v>1103</v>
      </c>
      <c r="N1389" s="6">
        <v>1983</v>
      </c>
      <c r="P1389" s="71"/>
      <c r="R1389" s="6">
        <v>1980</v>
      </c>
      <c r="S1389" s="3" t="s">
        <v>236</v>
      </c>
      <c r="T1389" s="72"/>
      <c r="U1389" s="73"/>
      <c r="W1389" s="2" t="s">
        <v>62</v>
      </c>
      <c r="X1389" s="10" t="s">
        <v>504</v>
      </c>
      <c r="Y1389" s="10" t="s">
        <v>511</v>
      </c>
      <c r="Z1389" s="75"/>
      <c r="AJ1389" s="10">
        <v>42508</v>
      </c>
      <c r="AK1389" s="6">
        <v>2010</v>
      </c>
      <c r="AL1389" s="16"/>
      <c r="AW1389" s="6">
        <f t="shared" ca="1" si="24"/>
        <v>42</v>
      </c>
    </row>
    <row r="1390" ht="45" hidden="1" customHeight="1">
      <c r="A1390" s="69"/>
      <c r="B1390" s="3" t="s">
        <v>47</v>
      </c>
      <c r="C1390" s="4" t="s">
        <v>2906</v>
      </c>
      <c r="E1390" s="2" t="s">
        <v>83</v>
      </c>
      <c r="F1390" s="6" t="s">
        <v>704</v>
      </c>
      <c r="G1390" s="5" t="s">
        <v>705</v>
      </c>
      <c r="H1390" s="2" t="s">
        <v>88</v>
      </c>
      <c r="I1390" s="3" t="s">
        <v>3845</v>
      </c>
      <c r="J1390" s="7">
        <v>1</v>
      </c>
      <c r="K1390" s="70"/>
      <c r="L1390" s="9">
        <v>1</v>
      </c>
      <c r="M1390" s="3">
        <v>1104</v>
      </c>
      <c r="N1390" s="6">
        <v>1983</v>
      </c>
      <c r="P1390" s="71"/>
      <c r="R1390" s="6">
        <v>1980</v>
      </c>
      <c r="S1390" s="3" t="s">
        <v>236</v>
      </c>
      <c r="T1390" s="72"/>
      <c r="U1390" s="73"/>
      <c r="W1390" s="2" t="s">
        <v>62</v>
      </c>
      <c r="X1390" s="10" t="s">
        <v>91</v>
      </c>
      <c r="Y1390" s="10" t="s">
        <v>92</v>
      </c>
      <c r="Z1390" s="75"/>
      <c r="AA1390" s="76"/>
      <c r="AB1390" s="77"/>
      <c r="AC1390" s="77"/>
      <c r="AD1390" s="10"/>
      <c r="AI1390" s="7"/>
      <c r="AJ1390" s="95">
        <v>38174</v>
      </c>
      <c r="AK1390" s="7">
        <v>2000</v>
      </c>
      <c r="AU1390" s="16" t="s">
        <v>3846</v>
      </c>
      <c r="AW1390" s="6">
        <f t="shared" ca="1" si="24"/>
        <v>42</v>
      </c>
    </row>
    <row r="1391" ht="45" hidden="1" customHeight="1">
      <c r="A1391" s="69"/>
      <c r="B1391" s="3" t="s">
        <v>47</v>
      </c>
      <c r="C1391" s="4" t="s">
        <v>3847</v>
      </c>
      <c r="D1391" s="5" t="s">
        <v>3848</v>
      </c>
      <c r="E1391" s="2" t="s">
        <v>63</v>
      </c>
      <c r="F1391" s="6" t="s">
        <v>428</v>
      </c>
      <c r="G1391" s="5" t="s">
        <v>3721</v>
      </c>
      <c r="H1391" s="2" t="s">
        <v>57</v>
      </c>
      <c r="I1391" s="3" t="s">
        <v>3849</v>
      </c>
      <c r="J1391" s="7">
        <v>1</v>
      </c>
      <c r="K1391" s="70"/>
      <c r="L1391" s="9">
        <v>1</v>
      </c>
      <c r="M1391" s="3">
        <v>1105</v>
      </c>
      <c r="N1391" s="6">
        <v>1983</v>
      </c>
      <c r="P1391" s="71"/>
      <c r="R1391" s="6">
        <v>1980</v>
      </c>
      <c r="S1391" s="3" t="s">
        <v>236</v>
      </c>
      <c r="T1391" s="72"/>
      <c r="U1391" s="73"/>
      <c r="W1391" s="2" t="s">
        <v>62</v>
      </c>
      <c r="X1391" s="10" t="s">
        <v>56</v>
      </c>
      <c r="Y1391" s="10" t="s">
        <v>57</v>
      </c>
      <c r="Z1391" s="75"/>
      <c r="AA1391" s="76"/>
      <c r="AB1391" s="77"/>
      <c r="AC1391" s="77"/>
      <c r="AD1391" s="10"/>
      <c r="AI1391" s="7"/>
      <c r="AJ1391" s="95">
        <v>40436</v>
      </c>
      <c r="AK1391" s="7">
        <v>2010</v>
      </c>
      <c r="AL1391" s="16"/>
      <c r="AW1391" s="6">
        <f t="shared" ca="1" si="24"/>
        <v>42</v>
      </c>
    </row>
    <row r="1392" ht="45" hidden="1" customHeight="1" outlineLevel="1">
      <c r="A1392" s="69"/>
      <c r="B1392" s="3" t="s">
        <v>47</v>
      </c>
      <c r="C1392" s="4" t="s">
        <v>3850</v>
      </c>
      <c r="E1392" s="2" t="s">
        <v>48</v>
      </c>
      <c r="F1392" s="6" t="s">
        <v>49</v>
      </c>
      <c r="G1392" s="5" t="s">
        <v>3803</v>
      </c>
      <c r="H1392" s="2" t="s">
        <v>57</v>
      </c>
      <c r="I1392" s="3" t="s">
        <v>3851</v>
      </c>
      <c r="J1392" s="7">
        <v>1</v>
      </c>
      <c r="K1392" s="70"/>
      <c r="L1392" s="9">
        <v>1</v>
      </c>
      <c r="M1392" s="3">
        <v>1106</v>
      </c>
      <c r="N1392" s="6">
        <v>1983</v>
      </c>
      <c r="P1392" s="71"/>
      <c r="R1392" s="6">
        <v>1980</v>
      </c>
      <c r="S1392" s="3" t="s">
        <v>236</v>
      </c>
      <c r="T1392" s="72"/>
      <c r="U1392" s="73"/>
      <c r="W1392" s="2" t="s">
        <v>62</v>
      </c>
      <c r="X1392" s="10" t="s">
        <v>56</v>
      </c>
      <c r="Y1392" s="10" t="s">
        <v>57</v>
      </c>
      <c r="Z1392" s="75"/>
      <c r="AA1392" s="76"/>
      <c r="AB1392" s="77"/>
      <c r="AC1392" s="77"/>
      <c r="AD1392" s="10"/>
      <c r="AI1392" s="7"/>
      <c r="AJ1392" s="95">
        <v>41653</v>
      </c>
      <c r="AK1392" s="7">
        <v>2010</v>
      </c>
      <c r="AL1392" s="16"/>
      <c r="AW1392" s="6">
        <f t="shared" ca="1" si="24"/>
        <v>42</v>
      </c>
    </row>
    <row r="1393" ht="45" hidden="1" customHeight="1" outlineLevel="1">
      <c r="A1393" s="69"/>
      <c r="B1393" s="3" t="s">
        <v>47</v>
      </c>
      <c r="C1393" s="4" t="s">
        <v>3852</v>
      </c>
      <c r="D1393" s="5" t="s">
        <v>3590</v>
      </c>
      <c r="E1393" s="2" t="s">
        <v>694</v>
      </c>
      <c r="F1393" s="6" t="s">
        <v>695</v>
      </c>
      <c r="G1393" s="5" t="s">
        <v>696</v>
      </c>
      <c r="H1393" s="2" t="s">
        <v>57</v>
      </c>
      <c r="I1393" s="3" t="s">
        <v>3853</v>
      </c>
      <c r="J1393" s="7">
        <v>1</v>
      </c>
      <c r="K1393" s="70"/>
      <c r="L1393" s="9">
        <v>1</v>
      </c>
      <c r="M1393" s="3">
        <v>1107</v>
      </c>
      <c r="N1393" s="6">
        <v>1983</v>
      </c>
      <c r="P1393" s="71"/>
      <c r="R1393" s="6">
        <v>1980</v>
      </c>
      <c r="S1393" s="3" t="s">
        <v>939</v>
      </c>
      <c r="T1393" s="72"/>
      <c r="U1393" s="73"/>
      <c r="W1393" s="2" t="s">
        <v>3854</v>
      </c>
      <c r="X1393" s="10" t="s">
        <v>56</v>
      </c>
      <c r="Y1393" s="10" t="s">
        <v>57</v>
      </c>
      <c r="Z1393" s="75"/>
      <c r="AA1393" s="76"/>
      <c r="AB1393" s="77"/>
      <c r="AC1393" s="77"/>
      <c r="AD1393" s="10"/>
      <c r="AI1393" s="7"/>
      <c r="AJ1393" s="73"/>
      <c r="AK1393" s="7"/>
      <c r="AL1393" s="16" t="s">
        <v>2550</v>
      </c>
      <c r="AW1393" s="6">
        <f t="shared" ca="1" si="24"/>
        <v>42</v>
      </c>
    </row>
    <row r="1394" ht="45" hidden="1" customHeight="1">
      <c r="A1394" s="69"/>
      <c r="B1394" s="3" t="s">
        <v>47</v>
      </c>
      <c r="C1394" s="4" t="s">
        <v>3855</v>
      </c>
      <c r="E1394" s="2" t="s">
        <v>83</v>
      </c>
      <c r="F1394" s="6" t="s">
        <v>704</v>
      </c>
      <c r="G1394" s="5" t="s">
        <v>996</v>
      </c>
      <c r="H1394" s="2" t="s">
        <v>57</v>
      </c>
      <c r="I1394" s="3" t="s">
        <v>3856</v>
      </c>
      <c r="J1394" s="7">
        <v>1</v>
      </c>
      <c r="K1394" s="70"/>
      <c r="L1394" s="9">
        <v>1</v>
      </c>
      <c r="M1394" s="3">
        <v>1108</v>
      </c>
      <c r="N1394" s="6">
        <v>1983</v>
      </c>
      <c r="P1394" s="71"/>
      <c r="R1394" s="6">
        <v>1980</v>
      </c>
      <c r="S1394" s="3" t="s">
        <v>236</v>
      </c>
      <c r="T1394" s="72"/>
      <c r="U1394" s="73"/>
      <c r="W1394" s="2" t="s">
        <v>62</v>
      </c>
      <c r="X1394" s="10" t="s">
        <v>56</v>
      </c>
      <c r="Y1394" s="10" t="s">
        <v>57</v>
      </c>
      <c r="Z1394" s="75"/>
      <c r="AA1394" s="76"/>
      <c r="AB1394" s="77"/>
      <c r="AC1394" s="77"/>
      <c r="AD1394" s="10"/>
      <c r="AE1394" s="7">
        <v>1988</v>
      </c>
      <c r="AF1394" s="7">
        <v>134</v>
      </c>
      <c r="AI1394" s="7"/>
      <c r="AJ1394" s="95">
        <v>32379</v>
      </c>
      <c r="AK1394" s="7">
        <v>1980</v>
      </c>
      <c r="AL1394" s="16"/>
      <c r="AU1394" s="16" t="s">
        <v>3857</v>
      </c>
      <c r="AW1394" s="6">
        <f t="shared" ca="1" si="24"/>
        <v>42</v>
      </c>
    </row>
    <row r="1395" ht="45" customHeight="1">
      <c r="A1395" s="69"/>
      <c r="B1395" s="3" t="s">
        <v>47</v>
      </c>
      <c r="E1395" s="78" t="s">
        <v>83</v>
      </c>
      <c r="F1395" s="79" t="s">
        <v>84</v>
      </c>
      <c r="G1395" s="80" t="s">
        <v>1707</v>
      </c>
      <c r="H1395" s="78" t="s">
        <v>68</v>
      </c>
      <c r="I1395" s="81" t="s">
        <v>3858</v>
      </c>
      <c r="J1395" s="7">
        <v>1</v>
      </c>
      <c r="K1395" s="70" t="s">
        <v>53</v>
      </c>
      <c r="L1395" s="9">
        <v>1</v>
      </c>
      <c r="M1395" s="3">
        <v>1109</v>
      </c>
      <c r="N1395" s="6">
        <v>1984</v>
      </c>
      <c r="P1395" s="71"/>
      <c r="R1395" s="6">
        <v>1980</v>
      </c>
      <c r="S1395" s="3" t="s">
        <v>54</v>
      </c>
      <c r="T1395" s="72"/>
      <c r="U1395" s="73"/>
      <c r="W1395" s="78" t="s">
        <v>3859</v>
      </c>
      <c r="X1395" s="82" t="s">
        <v>56</v>
      </c>
      <c r="Y1395" s="82" t="s">
        <v>57</v>
      </c>
      <c r="Z1395" s="83"/>
      <c r="AA1395" s="76"/>
      <c r="AB1395" s="77"/>
      <c r="AC1395" s="77">
        <v>31320</v>
      </c>
      <c r="AD1395" s="10"/>
      <c r="AG1395" s="7">
        <v>1985</v>
      </c>
      <c r="AH1395" s="7">
        <v>1980</v>
      </c>
      <c r="AI1395" s="7"/>
      <c r="AJ1395" s="73"/>
      <c r="AK1395" s="7"/>
      <c r="AL1395" s="16"/>
      <c r="AM1395" s="2" t="s">
        <v>59</v>
      </c>
      <c r="AO1395" s="6" t="s">
        <v>136</v>
      </c>
      <c r="AQ1395" s="5" t="s">
        <v>104</v>
      </c>
      <c r="AW1395" s="6">
        <f t="shared" ca="1" si="24"/>
        <v>41</v>
      </c>
    </row>
    <row r="1396" ht="45" customHeight="1" outlineLevel="1">
      <c r="A1396" s="69"/>
      <c r="B1396" s="3" t="s">
        <v>47</v>
      </c>
      <c r="E1396" s="2" t="s">
        <v>83</v>
      </c>
      <c r="F1396" s="6" t="s">
        <v>84</v>
      </c>
      <c r="G1396" s="5" t="s">
        <v>85</v>
      </c>
      <c r="H1396" s="2" t="s">
        <v>68</v>
      </c>
      <c r="I1396" s="3" t="s">
        <v>3860</v>
      </c>
      <c r="J1396" s="7">
        <v>1</v>
      </c>
      <c r="K1396" s="70" t="s">
        <v>53</v>
      </c>
      <c r="L1396" s="9">
        <v>1</v>
      </c>
      <c r="M1396" s="3">
        <v>1110</v>
      </c>
      <c r="N1396" s="6">
        <v>1984</v>
      </c>
      <c r="P1396" s="71"/>
      <c r="R1396" s="6">
        <v>1980</v>
      </c>
      <c r="S1396" s="3" t="s">
        <v>54</v>
      </c>
      <c r="T1396" s="72"/>
      <c r="U1396" s="73"/>
      <c r="W1396" s="2" t="s">
        <v>3861</v>
      </c>
      <c r="X1396" s="10" t="s">
        <v>56</v>
      </c>
      <c r="Y1396" s="10" t="s">
        <v>68</v>
      </c>
      <c r="Z1396" s="75"/>
      <c r="AA1396" s="76"/>
      <c r="AB1396" s="77"/>
      <c r="AC1396" s="77">
        <v>31518</v>
      </c>
      <c r="AD1396" s="10"/>
      <c r="AE1396" s="7">
        <v>1985</v>
      </c>
      <c r="AF1396" s="7">
        <v>113</v>
      </c>
      <c r="AG1396" s="7">
        <v>1986</v>
      </c>
      <c r="AH1396" s="7">
        <v>1980</v>
      </c>
      <c r="AI1396" s="7"/>
      <c r="AJ1396" s="73"/>
      <c r="AK1396" s="7"/>
      <c r="AL1396" s="16"/>
      <c r="AW1396" s="6">
        <f t="shared" ca="1" si="24"/>
        <v>41</v>
      </c>
    </row>
    <row r="1397" ht="45" hidden="1" customHeight="1" outlineLevel="1">
      <c r="A1397" s="69"/>
      <c r="B1397" s="3" t="s">
        <v>47</v>
      </c>
      <c r="C1397" s="4" t="s">
        <v>3862</v>
      </c>
      <c r="D1397" s="5" t="s">
        <v>3863</v>
      </c>
      <c r="E1397" s="2" t="s">
        <v>63</v>
      </c>
      <c r="F1397" s="6" t="s">
        <v>1230</v>
      </c>
      <c r="G1397" s="5" t="s">
        <v>3864</v>
      </c>
      <c r="H1397" s="2" t="s">
        <v>288</v>
      </c>
      <c r="I1397" s="3" t="s">
        <v>3865</v>
      </c>
      <c r="J1397" s="7">
        <v>1</v>
      </c>
      <c r="L1397" s="9">
        <v>1</v>
      </c>
      <c r="M1397" s="3">
        <v>1111</v>
      </c>
      <c r="N1397" s="6">
        <v>1984</v>
      </c>
      <c r="P1397" s="71"/>
      <c r="R1397" s="6">
        <v>1980</v>
      </c>
      <c r="S1397" s="3" t="s">
        <v>236</v>
      </c>
      <c r="T1397" s="72"/>
      <c r="U1397" s="73"/>
      <c r="W1397" s="2" t="s">
        <v>62</v>
      </c>
      <c r="X1397" s="10" t="s">
        <v>56</v>
      </c>
      <c r="Y1397" s="10" t="s">
        <v>288</v>
      </c>
      <c r="Z1397" s="75"/>
      <c r="AI1397" s="7"/>
      <c r="AJ1397" s="10">
        <v>42442</v>
      </c>
      <c r="AK1397" s="7">
        <v>2010</v>
      </c>
      <c r="AL1397" s="16"/>
      <c r="AW1397" s="6">
        <f t="shared" ca="1" si="24"/>
        <v>41</v>
      </c>
    </row>
    <row r="1398" ht="45" hidden="1" customHeight="1">
      <c r="A1398" s="69"/>
      <c r="B1398" s="3" t="s">
        <v>47</v>
      </c>
      <c r="C1398" s="4" t="s">
        <v>3866</v>
      </c>
      <c r="E1398" s="2" t="s">
        <v>83</v>
      </c>
      <c r="F1398" s="6" t="s">
        <v>3867</v>
      </c>
      <c r="G1398" s="5" t="s">
        <v>3868</v>
      </c>
      <c r="H1398" s="2" t="s">
        <v>382</v>
      </c>
      <c r="I1398" s="3" t="s">
        <v>3869</v>
      </c>
      <c r="J1398" s="7">
        <v>1</v>
      </c>
      <c r="L1398" s="9">
        <v>1</v>
      </c>
      <c r="M1398" s="3">
        <v>1112</v>
      </c>
      <c r="N1398" s="6">
        <v>1984</v>
      </c>
      <c r="P1398" s="71"/>
      <c r="R1398" s="6">
        <v>1980</v>
      </c>
      <c r="S1398" s="3" t="s">
        <v>236</v>
      </c>
      <c r="T1398" s="72"/>
      <c r="U1398" s="73"/>
      <c r="W1398" s="2" t="s">
        <v>62</v>
      </c>
      <c r="X1398" s="10" t="s">
        <v>91</v>
      </c>
      <c r="Y1398" s="10" t="s">
        <v>385</v>
      </c>
      <c r="Z1398" s="75"/>
      <c r="AE1398" s="7">
        <v>1988</v>
      </c>
      <c r="AF1398" s="7">
        <v>134</v>
      </c>
      <c r="AI1398" s="7"/>
      <c r="AJ1398" s="95">
        <v>32379</v>
      </c>
      <c r="AK1398" s="7">
        <v>1980</v>
      </c>
      <c r="AL1398" s="16"/>
      <c r="AU1398" s="16" t="s">
        <v>3870</v>
      </c>
      <c r="AW1398" s="6">
        <f t="shared" ca="1" si="24"/>
        <v>41</v>
      </c>
    </row>
    <row r="1399" ht="45" customHeight="1">
      <c r="A1399" s="69"/>
      <c r="B1399" s="3" t="s">
        <v>47</v>
      </c>
      <c r="E1399" s="2" t="s">
        <v>48</v>
      </c>
      <c r="F1399" s="6" t="s">
        <v>49</v>
      </c>
      <c r="G1399" s="5" t="s">
        <v>3871</v>
      </c>
      <c r="H1399" s="2" t="s">
        <v>57</v>
      </c>
      <c r="I1399" s="3" t="s">
        <v>3872</v>
      </c>
      <c r="J1399" s="7">
        <v>1</v>
      </c>
      <c r="K1399" s="70" t="s">
        <v>53</v>
      </c>
      <c r="L1399" s="9">
        <v>1</v>
      </c>
      <c r="M1399" s="3">
        <v>1113</v>
      </c>
      <c r="N1399" s="6">
        <v>1984</v>
      </c>
      <c r="P1399" s="71"/>
      <c r="R1399" s="6">
        <v>1980</v>
      </c>
      <c r="S1399" s="3" t="s">
        <v>54</v>
      </c>
      <c r="T1399" s="72"/>
      <c r="U1399" s="73"/>
      <c r="W1399" s="2" t="s">
        <v>3873</v>
      </c>
      <c r="X1399" s="10" t="s">
        <v>56</v>
      </c>
      <c r="Y1399" s="10" t="s">
        <v>57</v>
      </c>
      <c r="Z1399" s="75"/>
      <c r="AA1399" s="76">
        <v>31663</v>
      </c>
      <c r="AB1399" s="77">
        <v>31663</v>
      </c>
      <c r="AC1399" s="77">
        <v>31320</v>
      </c>
      <c r="AD1399" s="10"/>
      <c r="AE1399" s="7">
        <v>1985</v>
      </c>
      <c r="AF1399" s="7">
        <v>113</v>
      </c>
      <c r="AG1399" s="7">
        <v>1986</v>
      </c>
      <c r="AH1399" s="7">
        <v>1980</v>
      </c>
      <c r="AI1399" s="7"/>
      <c r="AJ1399" s="73"/>
      <c r="AK1399" s="7"/>
      <c r="AL1399" s="16"/>
      <c r="AM1399" s="2" t="s">
        <v>59</v>
      </c>
      <c r="AW1399" s="6">
        <f t="shared" ca="1" si="24"/>
        <v>41</v>
      </c>
    </row>
    <row r="1400" ht="45" hidden="1" customHeight="1">
      <c r="A1400" s="69"/>
      <c r="B1400" s="3" t="s">
        <v>47</v>
      </c>
      <c r="C1400" s="4" t="s">
        <v>3874</v>
      </c>
      <c r="E1400" s="2" t="s">
        <v>48</v>
      </c>
      <c r="F1400" s="6" t="s">
        <v>49</v>
      </c>
      <c r="G1400" s="5" t="s">
        <v>87</v>
      </c>
      <c r="H1400" s="2" t="s">
        <v>57</v>
      </c>
      <c r="I1400" s="3" t="s">
        <v>3875</v>
      </c>
      <c r="J1400" s="7">
        <v>1</v>
      </c>
      <c r="K1400" s="70"/>
      <c r="L1400" s="9">
        <v>1</v>
      </c>
      <c r="M1400" s="3">
        <v>1114</v>
      </c>
      <c r="N1400" s="6">
        <v>1984</v>
      </c>
      <c r="P1400" s="71"/>
      <c r="R1400" s="6">
        <v>1980</v>
      </c>
      <c r="S1400" s="3" t="s">
        <v>236</v>
      </c>
      <c r="T1400" s="72"/>
      <c r="U1400" s="73"/>
      <c r="W1400" s="2" t="s">
        <v>62</v>
      </c>
      <c r="X1400" s="10" t="s">
        <v>56</v>
      </c>
      <c r="Y1400" s="10" t="s">
        <v>57</v>
      </c>
      <c r="Z1400" s="75"/>
      <c r="AA1400" s="76"/>
      <c r="AB1400" s="77"/>
      <c r="AC1400" s="77"/>
      <c r="AD1400" s="10"/>
      <c r="AI1400" s="7"/>
      <c r="AJ1400" s="95">
        <v>31636</v>
      </c>
      <c r="AK1400" s="7">
        <v>1980</v>
      </c>
      <c r="AL1400" s="16"/>
      <c r="AW1400" s="6">
        <f t="shared" ca="1" si="24"/>
        <v>41</v>
      </c>
    </row>
    <row r="1401" ht="45" customHeight="1">
      <c r="A1401" s="69"/>
      <c r="B1401" s="3" t="s">
        <v>47</v>
      </c>
      <c r="E1401" s="2" t="s">
        <v>83</v>
      </c>
      <c r="F1401" s="6" t="s">
        <v>179</v>
      </c>
      <c r="G1401" s="5" t="s">
        <v>1343</v>
      </c>
      <c r="H1401" s="2" t="s">
        <v>382</v>
      </c>
      <c r="I1401" s="3" t="s">
        <v>3876</v>
      </c>
      <c r="J1401" s="7">
        <v>1</v>
      </c>
      <c r="K1401" s="70" t="s">
        <v>53</v>
      </c>
      <c r="L1401" s="9">
        <v>1</v>
      </c>
      <c r="M1401" s="3">
        <v>1115</v>
      </c>
      <c r="N1401" s="6">
        <v>1984</v>
      </c>
      <c r="P1401" s="71"/>
      <c r="R1401" s="6">
        <v>1980</v>
      </c>
      <c r="S1401" s="3" t="s">
        <v>54</v>
      </c>
      <c r="T1401" s="72"/>
      <c r="U1401" s="73"/>
      <c r="W1401" s="2" t="s">
        <v>3877</v>
      </c>
      <c r="X1401" s="10" t="s">
        <v>91</v>
      </c>
      <c r="Y1401" s="10" t="s">
        <v>385</v>
      </c>
      <c r="Z1401" s="75"/>
      <c r="AA1401" s="76">
        <v>30882</v>
      </c>
      <c r="AB1401" s="77"/>
      <c r="AC1401" s="77"/>
      <c r="AD1401" s="6"/>
      <c r="AE1401" s="7">
        <v>1984</v>
      </c>
      <c r="AF1401" s="7">
        <v>107</v>
      </c>
      <c r="AG1401" s="7">
        <v>1984</v>
      </c>
      <c r="AH1401" s="7">
        <v>1980</v>
      </c>
      <c r="AI1401" s="7"/>
      <c r="AJ1401" s="73"/>
      <c r="AK1401" s="7"/>
      <c r="AL1401" s="16" t="s">
        <v>3878</v>
      </c>
      <c r="AM1401" s="2" t="s">
        <v>59</v>
      </c>
      <c r="AO1401" s="6" t="s">
        <v>59</v>
      </c>
      <c r="AW1401" s="6">
        <f t="shared" ca="1" si="24"/>
        <v>41</v>
      </c>
    </row>
    <row r="1402" ht="45" customHeight="1">
      <c r="A1402" s="69"/>
      <c r="B1402" s="3" t="s">
        <v>47</v>
      </c>
      <c r="E1402" s="2" t="s">
        <v>48</v>
      </c>
      <c r="F1402" s="6" t="s">
        <v>140</v>
      </c>
      <c r="G1402" s="5" t="s">
        <v>210</v>
      </c>
      <c r="H1402" s="2" t="s">
        <v>57</v>
      </c>
      <c r="I1402" s="3" t="s">
        <v>3879</v>
      </c>
      <c r="J1402" s="7">
        <v>1</v>
      </c>
      <c r="K1402" s="70" t="s">
        <v>53</v>
      </c>
      <c r="L1402" s="9">
        <v>1</v>
      </c>
      <c r="M1402" s="3">
        <v>1116</v>
      </c>
      <c r="N1402" s="6">
        <v>1984</v>
      </c>
      <c r="P1402" s="71"/>
      <c r="R1402" s="6">
        <v>1980</v>
      </c>
      <c r="S1402" s="3" t="s">
        <v>54</v>
      </c>
      <c r="T1402" s="72"/>
      <c r="U1402" s="73"/>
      <c r="W1402" s="2" t="s">
        <v>3880</v>
      </c>
      <c r="X1402" s="10" t="s">
        <v>56</v>
      </c>
      <c r="Y1402" s="10" t="s">
        <v>57</v>
      </c>
      <c r="Z1402" s="75"/>
      <c r="AA1402" s="76"/>
      <c r="AB1402" s="77"/>
      <c r="AC1402" s="77">
        <v>30972</v>
      </c>
      <c r="AD1402" s="10"/>
      <c r="AE1402" s="7">
        <v>1984</v>
      </c>
      <c r="AF1402" s="7">
        <v>109</v>
      </c>
      <c r="AG1402" s="7">
        <v>1984</v>
      </c>
      <c r="AH1402" s="7">
        <v>1980</v>
      </c>
      <c r="AI1402" s="7"/>
      <c r="AJ1402" s="73"/>
      <c r="AK1402" s="7"/>
      <c r="AL1402" s="16"/>
      <c r="AM1402" s="2" t="s">
        <v>59</v>
      </c>
      <c r="AO1402" s="6" t="s">
        <v>136</v>
      </c>
      <c r="AP1402" s="6" t="s">
        <v>104</v>
      </c>
      <c r="AQ1402" s="5" t="s">
        <v>73</v>
      </c>
      <c r="AW1402" s="6">
        <f t="shared" ca="1" si="24"/>
        <v>41</v>
      </c>
    </row>
    <row r="1403" ht="45" customHeight="1">
      <c r="A1403" s="69"/>
      <c r="B1403" s="3" t="s">
        <v>47</v>
      </c>
      <c r="E1403" s="2" t="s">
        <v>694</v>
      </c>
      <c r="F1403" s="6" t="s">
        <v>3842</v>
      </c>
      <c r="G1403" s="5" t="s">
        <v>3881</v>
      </c>
      <c r="H1403" s="2" t="s">
        <v>288</v>
      </c>
      <c r="I1403" s="3" t="s">
        <v>3882</v>
      </c>
      <c r="J1403" s="7">
        <v>1</v>
      </c>
      <c r="K1403" s="70" t="s">
        <v>53</v>
      </c>
      <c r="L1403" s="9">
        <v>1</v>
      </c>
      <c r="M1403" s="3">
        <v>1117</v>
      </c>
      <c r="N1403" s="6">
        <v>1984</v>
      </c>
      <c r="P1403" s="71"/>
      <c r="R1403" s="6">
        <v>1980</v>
      </c>
      <c r="S1403" s="3" t="s">
        <v>54</v>
      </c>
      <c r="T1403" s="72"/>
      <c r="U1403" s="73"/>
      <c r="W1403" s="2" t="s">
        <v>3883</v>
      </c>
      <c r="X1403" s="10" t="s">
        <v>56</v>
      </c>
      <c r="Y1403" s="10" t="s">
        <v>288</v>
      </c>
      <c r="Z1403" s="75"/>
      <c r="AA1403" s="76">
        <v>32066</v>
      </c>
      <c r="AB1403" s="77">
        <v>32066</v>
      </c>
      <c r="AC1403" s="77">
        <v>32066</v>
      </c>
      <c r="AD1403" s="10"/>
      <c r="AE1403" s="7">
        <v>1986</v>
      </c>
      <c r="AF1403" s="7">
        <v>124</v>
      </c>
      <c r="AG1403" s="7">
        <v>1987</v>
      </c>
      <c r="AH1403" s="7">
        <v>1980</v>
      </c>
      <c r="AI1403" s="7"/>
      <c r="AJ1403" s="73"/>
      <c r="AK1403" s="7"/>
      <c r="AL1403" s="16"/>
      <c r="AM1403" s="2" t="s">
        <v>53</v>
      </c>
      <c r="AN1403" s="6" t="s">
        <v>73</v>
      </c>
      <c r="AO1403" s="6" t="s">
        <v>53</v>
      </c>
      <c r="AP1403" s="6" t="s">
        <v>73</v>
      </c>
      <c r="AQ1403" s="5" t="s">
        <v>73</v>
      </c>
      <c r="AR1403" s="2" t="s">
        <v>104</v>
      </c>
      <c r="AU1403" s="16" t="s">
        <v>718</v>
      </c>
      <c r="AW1403" s="6">
        <f t="shared" ca="1" si="24"/>
        <v>41</v>
      </c>
    </row>
    <row r="1404" ht="45" customHeight="1" outlineLevel="1">
      <c r="A1404" s="69"/>
      <c r="B1404" s="3" t="s">
        <v>47</v>
      </c>
      <c r="D1404" s="5" t="s">
        <v>3884</v>
      </c>
      <c r="E1404" s="2" t="s">
        <v>83</v>
      </c>
      <c r="F1404" s="6" t="s">
        <v>704</v>
      </c>
      <c r="G1404" s="5" t="s">
        <v>705</v>
      </c>
      <c r="H1404" s="2" t="s">
        <v>88</v>
      </c>
      <c r="I1404" s="3" t="s">
        <v>3885</v>
      </c>
      <c r="J1404" s="7">
        <v>1</v>
      </c>
      <c r="K1404" s="70" t="s">
        <v>53</v>
      </c>
      <c r="L1404" s="9">
        <v>1</v>
      </c>
      <c r="M1404" s="3">
        <v>1118</v>
      </c>
      <c r="N1404" s="6">
        <v>1984</v>
      </c>
      <c r="P1404" s="71"/>
      <c r="R1404" s="6">
        <v>1980</v>
      </c>
      <c r="S1404" s="3" t="s">
        <v>54</v>
      </c>
      <c r="T1404" s="72"/>
      <c r="U1404" s="73"/>
      <c r="W1404" s="2" t="s">
        <v>3886</v>
      </c>
      <c r="X1404" s="10" t="s">
        <v>91</v>
      </c>
      <c r="Y1404" s="10" t="s">
        <v>214</v>
      </c>
      <c r="Z1404" s="75"/>
      <c r="AA1404" s="76"/>
      <c r="AB1404" s="77"/>
      <c r="AC1404" s="77">
        <v>42258</v>
      </c>
      <c r="AD1404" s="10"/>
      <c r="AE1404" s="7">
        <v>1989</v>
      </c>
      <c r="AF1404" s="7">
        <v>137</v>
      </c>
      <c r="AG1404" s="7">
        <v>2015</v>
      </c>
      <c r="AH1404" s="7">
        <v>2010</v>
      </c>
      <c r="AI1404" s="7"/>
      <c r="AJ1404" s="73"/>
      <c r="AK1404" s="7"/>
      <c r="AM1404" s="2" t="s">
        <v>59</v>
      </c>
      <c r="AO1404" s="6" t="s">
        <v>59</v>
      </c>
      <c r="AW1404" s="6">
        <f t="shared" ca="1" si="24"/>
        <v>41</v>
      </c>
    </row>
    <row r="1405" ht="45" customHeight="1">
      <c r="A1405" s="69"/>
      <c r="B1405" s="3" t="s">
        <v>47</v>
      </c>
      <c r="E1405" s="78" t="s">
        <v>48</v>
      </c>
      <c r="F1405" s="79" t="s">
        <v>140</v>
      </c>
      <c r="G1405" s="80" t="s">
        <v>3887</v>
      </c>
      <c r="H1405" s="78" t="s">
        <v>257</v>
      </c>
      <c r="I1405" s="81" t="s">
        <v>3888</v>
      </c>
      <c r="J1405" s="7">
        <v>1</v>
      </c>
      <c r="K1405" s="70" t="s">
        <v>53</v>
      </c>
      <c r="L1405" s="9">
        <v>1</v>
      </c>
      <c r="M1405" s="3">
        <v>1119</v>
      </c>
      <c r="N1405" s="6">
        <v>1984</v>
      </c>
      <c r="P1405" s="71"/>
      <c r="R1405" s="6">
        <v>1980</v>
      </c>
      <c r="S1405" s="3" t="s">
        <v>54</v>
      </c>
      <c r="T1405" s="72"/>
      <c r="U1405" s="73"/>
      <c r="W1405" s="78" t="s">
        <v>3889</v>
      </c>
      <c r="X1405" s="82" t="s">
        <v>56</v>
      </c>
      <c r="Y1405" s="82" t="s">
        <v>68</v>
      </c>
      <c r="Z1405" s="83" t="s">
        <v>237</v>
      </c>
      <c r="AA1405" s="76"/>
      <c r="AB1405" s="77">
        <v>31161</v>
      </c>
      <c r="AC1405" s="77">
        <v>31161</v>
      </c>
      <c r="AD1405" s="10"/>
      <c r="AE1405" s="7">
        <v>1984</v>
      </c>
      <c r="AF1405" s="7">
        <v>111</v>
      </c>
      <c r="AG1405" s="7">
        <v>1985</v>
      </c>
      <c r="AH1405" s="7">
        <v>1980</v>
      </c>
      <c r="AI1405" s="7"/>
      <c r="AJ1405" s="73"/>
      <c r="AK1405" s="7"/>
      <c r="AL1405" s="16"/>
      <c r="AM1405" s="2" t="s">
        <v>59</v>
      </c>
      <c r="AW1405" s="6">
        <f t="shared" ca="1" si="24"/>
        <v>41</v>
      </c>
    </row>
    <row r="1406" ht="45" customHeight="1">
      <c r="A1406" s="69"/>
      <c r="B1406" s="3" t="s">
        <v>47</v>
      </c>
      <c r="E1406" s="2" t="s">
        <v>48</v>
      </c>
      <c r="F1406" s="6" t="s">
        <v>140</v>
      </c>
      <c r="G1406" s="5" t="s">
        <v>146</v>
      </c>
      <c r="H1406" s="2" t="s">
        <v>57</v>
      </c>
      <c r="I1406" s="3" t="s">
        <v>2921</v>
      </c>
      <c r="J1406" s="7">
        <v>1</v>
      </c>
      <c r="K1406" s="70" t="s">
        <v>53</v>
      </c>
      <c r="L1406" s="9">
        <v>1</v>
      </c>
      <c r="M1406" s="3">
        <v>1120</v>
      </c>
      <c r="N1406" s="6">
        <v>1984</v>
      </c>
      <c r="P1406" s="71"/>
      <c r="R1406" s="6">
        <v>1980</v>
      </c>
      <c r="S1406" s="3" t="s">
        <v>54</v>
      </c>
      <c r="T1406" s="72"/>
      <c r="U1406" s="73"/>
      <c r="W1406" s="2" t="s">
        <v>3890</v>
      </c>
      <c r="X1406" s="10" t="s">
        <v>56</v>
      </c>
      <c r="Y1406" s="10" t="s">
        <v>57</v>
      </c>
      <c r="Z1406" s="75"/>
      <c r="AA1406" s="76"/>
      <c r="AB1406" s="77"/>
      <c r="AC1406" s="77">
        <v>31161</v>
      </c>
      <c r="AD1406" s="10"/>
      <c r="AE1406" s="7">
        <v>1984</v>
      </c>
      <c r="AF1406" s="7">
        <v>111</v>
      </c>
      <c r="AG1406" s="7">
        <v>1985</v>
      </c>
      <c r="AH1406" s="7">
        <v>1980</v>
      </c>
      <c r="AI1406" s="7"/>
      <c r="AJ1406" s="73"/>
      <c r="AK1406" s="7"/>
      <c r="AL1406" s="16"/>
      <c r="AM1406" s="2" t="s">
        <v>59</v>
      </c>
      <c r="AO1406" s="6" t="s">
        <v>59</v>
      </c>
      <c r="AW1406" s="6">
        <f t="shared" ca="1" si="24"/>
        <v>41</v>
      </c>
    </row>
    <row r="1407" ht="45" customHeight="1">
      <c r="A1407" s="69"/>
      <c r="B1407" s="3" t="s">
        <v>47</v>
      </c>
      <c r="E1407" s="2" t="s">
        <v>83</v>
      </c>
      <c r="F1407" s="6" t="s">
        <v>704</v>
      </c>
      <c r="G1407" s="5" t="s">
        <v>705</v>
      </c>
      <c r="H1407" s="2" t="s">
        <v>68</v>
      </c>
      <c r="I1407" s="3" t="s">
        <v>3891</v>
      </c>
      <c r="J1407" s="7">
        <v>1</v>
      </c>
      <c r="K1407" s="70" t="s">
        <v>53</v>
      </c>
      <c r="L1407" s="9">
        <v>1</v>
      </c>
      <c r="M1407" s="3">
        <v>1121</v>
      </c>
      <c r="N1407" s="6">
        <v>1984</v>
      </c>
      <c r="P1407" s="71"/>
      <c r="R1407" s="6">
        <v>1980</v>
      </c>
      <c r="S1407" s="3" t="s">
        <v>54</v>
      </c>
      <c r="T1407" s="72"/>
      <c r="U1407" s="73"/>
      <c r="W1407" s="2" t="s">
        <v>3892</v>
      </c>
      <c r="X1407" s="10" t="s">
        <v>56</v>
      </c>
      <c r="Y1407" s="10" t="s">
        <v>68</v>
      </c>
      <c r="Z1407" s="75" t="s">
        <v>260</v>
      </c>
      <c r="AA1407" s="76">
        <v>31699</v>
      </c>
      <c r="AB1407" s="77"/>
      <c r="AC1407" s="77">
        <v>31699</v>
      </c>
      <c r="AD1407" s="10"/>
      <c r="AE1407" s="7">
        <v>1986</v>
      </c>
      <c r="AF1407" s="7">
        <v>119</v>
      </c>
      <c r="AG1407" s="7">
        <v>1986</v>
      </c>
      <c r="AH1407" s="7">
        <v>1980</v>
      </c>
      <c r="AI1407" s="7"/>
      <c r="AJ1407" s="73"/>
      <c r="AK1407" s="7"/>
      <c r="AL1407" s="16"/>
      <c r="AM1407" s="2" t="s">
        <v>59</v>
      </c>
      <c r="AW1407" s="6">
        <f t="shared" ca="1" si="24"/>
        <v>41</v>
      </c>
    </row>
    <row r="1408" ht="45" customHeight="1">
      <c r="A1408" s="69">
        <v>43075</v>
      </c>
      <c r="B1408" s="3" t="s">
        <v>47</v>
      </c>
      <c r="C1408" s="4" t="s">
        <v>3893</v>
      </c>
      <c r="D1408" s="5" t="s">
        <v>3894</v>
      </c>
      <c r="E1408" s="2" t="s">
        <v>48</v>
      </c>
      <c r="F1408" s="6" t="s">
        <v>564</v>
      </c>
      <c r="G1408" s="5" t="s">
        <v>1901</v>
      </c>
      <c r="H1408" s="2" t="s">
        <v>288</v>
      </c>
      <c r="I1408" s="3" t="s">
        <v>3895</v>
      </c>
      <c r="J1408" s="7">
        <v>1</v>
      </c>
      <c r="K1408" s="70" t="s">
        <v>53</v>
      </c>
      <c r="L1408" s="9">
        <v>1</v>
      </c>
      <c r="M1408" s="3">
        <v>1122</v>
      </c>
      <c r="N1408" s="6">
        <v>1984</v>
      </c>
      <c r="P1408" s="71"/>
      <c r="R1408" s="6">
        <v>1980</v>
      </c>
      <c r="S1408" s="3" t="s">
        <v>54</v>
      </c>
      <c r="T1408" s="72" t="s">
        <v>1136</v>
      </c>
      <c r="U1408" s="73"/>
      <c r="W1408" s="2" t="s">
        <v>3896</v>
      </c>
      <c r="X1408" s="10" t="s">
        <v>56</v>
      </c>
      <c r="Y1408" s="10" t="s">
        <v>288</v>
      </c>
      <c r="Z1408" s="75"/>
      <c r="AA1408" s="76">
        <v>31162</v>
      </c>
      <c r="AB1408" s="77">
        <v>31404</v>
      </c>
      <c r="AC1408" s="77"/>
      <c r="AD1408" s="6"/>
      <c r="AE1408" s="7">
        <v>1984</v>
      </c>
      <c r="AF1408" s="7">
        <v>111</v>
      </c>
      <c r="AG1408" s="7">
        <v>1985</v>
      </c>
      <c r="AH1408" s="7">
        <v>1980</v>
      </c>
      <c r="AI1408" s="7"/>
      <c r="AJ1408" s="73"/>
      <c r="AK1408" s="7"/>
      <c r="AL1408" s="16"/>
      <c r="AM1408" s="2" t="s">
        <v>53</v>
      </c>
      <c r="AN1408" s="6" t="s">
        <v>73</v>
      </c>
      <c r="AO1408" s="6" t="s">
        <v>100</v>
      </c>
      <c r="AP1408" s="6" t="s">
        <v>73</v>
      </c>
      <c r="AQ1408" s="5" t="s">
        <v>73</v>
      </c>
      <c r="AS1408" s="6" t="s">
        <v>73</v>
      </c>
      <c r="AT1408" s="6">
        <v>2016</v>
      </c>
      <c r="AU1408" s="16" t="s">
        <v>3897</v>
      </c>
      <c r="AW1408" s="6">
        <f t="shared" ca="1" si="24"/>
        <v>41</v>
      </c>
    </row>
    <row r="1409" ht="45" customHeight="1" outlineLevel="1">
      <c r="A1409" s="69"/>
      <c r="B1409" s="3" t="s">
        <v>47</v>
      </c>
      <c r="E1409" s="2" t="s">
        <v>1074</v>
      </c>
      <c r="F1409" s="6" t="s">
        <v>1075</v>
      </c>
      <c r="G1409" s="5" t="s">
        <v>3898</v>
      </c>
      <c r="H1409" s="2" t="s">
        <v>57</v>
      </c>
      <c r="I1409" s="3" t="s">
        <v>3899</v>
      </c>
      <c r="J1409" s="7">
        <v>1</v>
      </c>
      <c r="K1409" s="70" t="s">
        <v>53</v>
      </c>
      <c r="L1409" s="9">
        <v>1</v>
      </c>
      <c r="M1409" s="3">
        <v>1123</v>
      </c>
      <c r="N1409" s="6">
        <v>1984</v>
      </c>
      <c r="P1409" s="71"/>
      <c r="R1409" s="6">
        <v>1980</v>
      </c>
      <c r="S1409" s="3" t="s">
        <v>54</v>
      </c>
      <c r="T1409" s="72"/>
      <c r="U1409" s="73"/>
      <c r="W1409" s="2" t="s">
        <v>3900</v>
      </c>
      <c r="X1409" s="10" t="s">
        <v>56</v>
      </c>
      <c r="Y1409" s="10" t="s">
        <v>57</v>
      </c>
      <c r="Z1409" s="75"/>
      <c r="AA1409" s="76"/>
      <c r="AB1409" s="77">
        <v>31525</v>
      </c>
      <c r="AC1409" s="77">
        <v>31525</v>
      </c>
      <c r="AD1409" s="10"/>
      <c r="AE1409" s="7">
        <v>1985</v>
      </c>
      <c r="AF1409" s="7">
        <v>116</v>
      </c>
      <c r="AG1409" s="7">
        <v>1986</v>
      </c>
      <c r="AH1409" s="7">
        <v>1980</v>
      </c>
      <c r="AI1409" s="7"/>
      <c r="AJ1409" s="73"/>
      <c r="AK1409" s="7"/>
      <c r="AL1409" s="16"/>
      <c r="AM1409" s="2" t="s">
        <v>59</v>
      </c>
      <c r="AW1409" s="6">
        <f t="shared" ca="1" si="24"/>
        <v>41</v>
      </c>
    </row>
    <row r="1410" ht="45" customHeight="1">
      <c r="A1410" s="69"/>
      <c r="B1410" s="3" t="s">
        <v>47</v>
      </c>
      <c r="E1410" s="2" t="s">
        <v>83</v>
      </c>
      <c r="F1410" s="6" t="s">
        <v>704</v>
      </c>
      <c r="G1410" s="5" t="s">
        <v>2798</v>
      </c>
      <c r="H1410" s="2" t="s">
        <v>57</v>
      </c>
      <c r="I1410" s="3" t="s">
        <v>3901</v>
      </c>
      <c r="J1410" s="7">
        <v>1</v>
      </c>
      <c r="K1410" s="70" t="s">
        <v>53</v>
      </c>
      <c r="L1410" s="9">
        <v>1</v>
      </c>
      <c r="M1410" s="3">
        <v>1124</v>
      </c>
      <c r="N1410" s="6">
        <v>1984</v>
      </c>
      <c r="P1410" s="71"/>
      <c r="R1410" s="6">
        <v>1980</v>
      </c>
      <c r="S1410" s="3" t="s">
        <v>54</v>
      </c>
      <c r="T1410" s="72"/>
      <c r="U1410" s="73"/>
      <c r="W1410" s="2" t="s">
        <v>3902</v>
      </c>
      <c r="X1410" s="10" t="s">
        <v>56</v>
      </c>
      <c r="Y1410" s="10" t="s">
        <v>57</v>
      </c>
      <c r="Z1410" s="75"/>
      <c r="AA1410" s="76">
        <v>31638</v>
      </c>
      <c r="AB1410" s="77">
        <v>31638</v>
      </c>
      <c r="AC1410" s="77">
        <v>31320</v>
      </c>
      <c r="AD1410" s="10"/>
      <c r="AE1410" s="7">
        <v>1985</v>
      </c>
      <c r="AF1410" s="7">
        <v>113</v>
      </c>
      <c r="AG1410" s="7">
        <v>1986</v>
      </c>
      <c r="AH1410" s="7">
        <v>1980</v>
      </c>
      <c r="AI1410" s="7"/>
      <c r="AJ1410" s="73"/>
      <c r="AK1410" s="7"/>
      <c r="AL1410" s="16"/>
      <c r="AM1410" s="2" t="s">
        <v>59</v>
      </c>
      <c r="AW1410" s="6">
        <f t="shared" ca="1" si="24"/>
        <v>41</v>
      </c>
    </row>
    <row r="1411" ht="45" hidden="1" customHeight="1">
      <c r="A1411" s="69"/>
      <c r="B1411" s="3" t="s">
        <v>47</v>
      </c>
      <c r="C1411" s="4" t="s">
        <v>1705</v>
      </c>
      <c r="E1411" s="2" t="s">
        <v>83</v>
      </c>
      <c r="F1411" s="6" t="s">
        <v>84</v>
      </c>
      <c r="G1411" s="5" t="s">
        <v>85</v>
      </c>
      <c r="H1411" s="2" t="s">
        <v>57</v>
      </c>
      <c r="I1411" s="3" t="s">
        <v>3903</v>
      </c>
      <c r="J1411" s="7">
        <v>1</v>
      </c>
      <c r="K1411" s="70"/>
      <c r="L1411" s="9">
        <v>1</v>
      </c>
      <c r="M1411" s="3">
        <v>1125</v>
      </c>
      <c r="N1411" s="6">
        <v>1984</v>
      </c>
      <c r="P1411" s="71"/>
      <c r="R1411" s="6">
        <v>1980</v>
      </c>
      <c r="S1411" s="3" t="s">
        <v>236</v>
      </c>
      <c r="T1411" s="72"/>
      <c r="U1411" s="73"/>
      <c r="W1411" s="2" t="s">
        <v>62</v>
      </c>
      <c r="X1411" s="10" t="s">
        <v>56</v>
      </c>
      <c r="Y1411" s="10" t="s">
        <v>57</v>
      </c>
      <c r="Z1411" s="75" t="s">
        <v>905</v>
      </c>
      <c r="AA1411" s="76"/>
      <c r="AB1411" s="77"/>
      <c r="AC1411" s="77"/>
      <c r="AD1411" s="10"/>
      <c r="AI1411" s="7"/>
      <c r="AJ1411" s="95">
        <v>38175</v>
      </c>
      <c r="AK1411" s="7">
        <v>2000</v>
      </c>
      <c r="AL1411" s="16"/>
      <c r="AW1411" s="6">
        <f t="shared" ca="1" si="24"/>
        <v>41</v>
      </c>
    </row>
    <row r="1412" ht="45" hidden="1" customHeight="1">
      <c r="A1412" s="69"/>
      <c r="B1412" s="3" t="s">
        <v>190</v>
      </c>
      <c r="C1412" s="4" t="s">
        <v>3904</v>
      </c>
      <c r="D1412" s="5" t="s">
        <v>3905</v>
      </c>
      <c r="E1412" s="2" t="s">
        <v>83</v>
      </c>
      <c r="F1412" s="6" t="s">
        <v>931</v>
      </c>
      <c r="G1412" s="5" t="s">
        <v>3906</v>
      </c>
      <c r="H1412" s="2" t="s">
        <v>51</v>
      </c>
      <c r="I1412" s="3" t="s">
        <v>3907</v>
      </c>
      <c r="J1412" s="7">
        <v>1</v>
      </c>
      <c r="K1412" s="70"/>
      <c r="L1412" s="9">
        <v>1</v>
      </c>
      <c r="M1412" s="3">
        <v>1126</v>
      </c>
      <c r="N1412" s="6">
        <v>1984</v>
      </c>
      <c r="P1412" s="71"/>
      <c r="R1412" s="6">
        <v>1980</v>
      </c>
      <c r="S1412" s="3" t="s">
        <v>283</v>
      </c>
      <c r="T1412" s="72"/>
      <c r="U1412" s="73"/>
      <c r="W1412" s="74" t="s">
        <v>62</v>
      </c>
      <c r="X1412" s="10" t="s">
        <v>56</v>
      </c>
      <c r="Y1412" s="10" t="s">
        <v>57</v>
      </c>
      <c r="Z1412" s="75"/>
      <c r="AA1412" s="76"/>
      <c r="AB1412" s="77"/>
      <c r="AC1412" s="77"/>
      <c r="AD1412" s="10"/>
      <c r="AI1412" s="7"/>
      <c r="AJ1412" s="73"/>
      <c r="AK1412" s="7"/>
      <c r="AL1412" s="16"/>
      <c r="AW1412" s="6">
        <f t="shared" ca="1" si="24"/>
        <v>41</v>
      </c>
    </row>
    <row r="1413" ht="45" customHeight="1">
      <c r="A1413" s="69"/>
      <c r="B1413" s="3" t="s">
        <v>47</v>
      </c>
      <c r="E1413" s="2" t="s">
        <v>694</v>
      </c>
      <c r="F1413" s="6" t="s">
        <v>2495</v>
      </c>
      <c r="G1413" s="5" t="s">
        <v>2496</v>
      </c>
      <c r="H1413" s="2" t="s">
        <v>491</v>
      </c>
      <c r="I1413" s="3" t="s">
        <v>3908</v>
      </c>
      <c r="J1413" s="7">
        <v>1</v>
      </c>
      <c r="K1413" s="70" t="s">
        <v>53</v>
      </c>
      <c r="L1413" s="9">
        <v>1</v>
      </c>
      <c r="M1413" s="3">
        <v>1127</v>
      </c>
      <c r="N1413" s="6">
        <v>1984</v>
      </c>
      <c r="P1413" s="71"/>
      <c r="R1413" s="6">
        <v>1980</v>
      </c>
      <c r="S1413" s="3" t="s">
        <v>54</v>
      </c>
      <c r="T1413" s="72"/>
      <c r="U1413" s="73"/>
      <c r="W1413" s="2" t="s">
        <v>3909</v>
      </c>
      <c r="X1413" s="10" t="s">
        <v>56</v>
      </c>
      <c r="Y1413" s="10" t="s">
        <v>523</v>
      </c>
      <c r="Z1413" s="75"/>
      <c r="AA1413" s="76"/>
      <c r="AB1413" s="77">
        <v>31161</v>
      </c>
      <c r="AC1413" s="77">
        <v>31161</v>
      </c>
      <c r="AD1413" s="10"/>
      <c r="AE1413" s="7">
        <v>1984</v>
      </c>
      <c r="AF1413" s="7">
        <v>112</v>
      </c>
      <c r="AG1413" s="7">
        <v>1985</v>
      </c>
      <c r="AH1413" s="7">
        <v>1980</v>
      </c>
      <c r="AI1413" s="7"/>
      <c r="AJ1413" s="73"/>
      <c r="AK1413" s="7"/>
      <c r="AL1413" s="16"/>
      <c r="AM1413" s="2" t="s">
        <v>59</v>
      </c>
      <c r="AN1413" s="6" t="s">
        <v>73</v>
      </c>
      <c r="AO1413" s="6" t="s">
        <v>100</v>
      </c>
      <c r="AP1413" s="6" t="s">
        <v>73</v>
      </c>
      <c r="AQ1413" s="5" t="s">
        <v>73</v>
      </c>
      <c r="AR1413" s="2" t="s">
        <v>73</v>
      </c>
      <c r="AT1413" s="6">
        <v>2011</v>
      </c>
      <c r="AU1413" s="16" t="s">
        <v>3910</v>
      </c>
      <c r="AW1413" s="6">
        <f t="shared" ca="1" si="24"/>
        <v>41</v>
      </c>
    </row>
    <row r="1414" ht="45" hidden="1" customHeight="1">
      <c r="A1414" s="69"/>
      <c r="B1414" s="3" t="s">
        <v>190</v>
      </c>
      <c r="C1414" s="4" t="s">
        <v>3911</v>
      </c>
      <c r="E1414" s="2" t="s">
        <v>63</v>
      </c>
      <c r="F1414" s="6" t="s">
        <v>172</v>
      </c>
      <c r="G1414" s="5" t="s">
        <v>173</v>
      </c>
      <c r="H1414" s="2" t="s">
        <v>57</v>
      </c>
      <c r="I1414" s="3" t="s">
        <v>3912</v>
      </c>
      <c r="J1414" s="7">
        <v>1</v>
      </c>
      <c r="K1414" s="70"/>
      <c r="L1414" s="9">
        <v>1</v>
      </c>
      <c r="M1414" s="3">
        <v>1128</v>
      </c>
      <c r="N1414" s="6">
        <v>1984</v>
      </c>
      <c r="P1414" s="71"/>
      <c r="R1414" s="6">
        <v>1980</v>
      </c>
      <c r="S1414" s="3" t="s">
        <v>939</v>
      </c>
      <c r="T1414" s="72"/>
      <c r="U1414" s="73"/>
      <c r="W1414" s="74" t="s">
        <v>3913</v>
      </c>
      <c r="X1414" s="10" t="s">
        <v>56</v>
      </c>
      <c r="Y1414" s="10" t="s">
        <v>57</v>
      </c>
      <c r="Z1414" s="75"/>
      <c r="AA1414" s="76"/>
      <c r="AB1414" s="77"/>
      <c r="AC1414" s="77"/>
      <c r="AD1414" s="10"/>
      <c r="AI1414" s="7"/>
      <c r="AJ1414" s="73"/>
      <c r="AK1414" s="7"/>
      <c r="AL1414" s="16"/>
      <c r="AW1414" s="6">
        <f t="shared" ca="1" si="24"/>
        <v>41</v>
      </c>
    </row>
    <row r="1415" ht="45" customHeight="1" outlineLevel="1">
      <c r="A1415" s="69"/>
      <c r="B1415" s="3" t="s">
        <v>47</v>
      </c>
      <c r="C1415" s="97" t="s">
        <v>3914</v>
      </c>
      <c r="E1415" s="2" t="s">
        <v>48</v>
      </c>
      <c r="F1415" s="6" t="s">
        <v>564</v>
      </c>
      <c r="G1415" s="5" t="s">
        <v>565</v>
      </c>
      <c r="H1415" s="2" t="s">
        <v>88</v>
      </c>
      <c r="I1415" s="96" t="s">
        <v>3915</v>
      </c>
      <c r="J1415" s="7">
        <v>1</v>
      </c>
      <c r="K1415" s="70" t="s">
        <v>53</v>
      </c>
      <c r="L1415" s="9">
        <v>1</v>
      </c>
      <c r="M1415" s="3">
        <v>1129</v>
      </c>
      <c r="N1415" s="6">
        <v>1984</v>
      </c>
      <c r="P1415" s="71"/>
      <c r="R1415" s="6">
        <v>1980</v>
      </c>
      <c r="S1415" s="3" t="s">
        <v>54</v>
      </c>
      <c r="T1415" s="72"/>
      <c r="U1415" s="73"/>
      <c r="W1415" s="2" t="s">
        <v>3916</v>
      </c>
      <c r="X1415" s="10" t="s">
        <v>213</v>
      </c>
      <c r="Y1415" s="10" t="s">
        <v>214</v>
      </c>
      <c r="Z1415" s="75"/>
      <c r="AA1415" s="76">
        <v>31520</v>
      </c>
      <c r="AB1415" s="77"/>
      <c r="AC1415" s="77"/>
      <c r="AD1415" s="6"/>
      <c r="AE1415" s="7">
        <v>1984</v>
      </c>
      <c r="AF1415" s="7" t="s">
        <v>3917</v>
      </c>
      <c r="AG1415" s="7">
        <v>1986</v>
      </c>
      <c r="AH1415" s="7">
        <v>1980</v>
      </c>
      <c r="AI1415" s="7">
        <v>1985</v>
      </c>
      <c r="AJ1415" s="73"/>
      <c r="AK1415" s="7"/>
      <c r="AL1415" s="15" t="s">
        <v>3918</v>
      </c>
      <c r="AM1415" s="2" t="s">
        <v>59</v>
      </c>
      <c r="AN1415" s="6" t="s">
        <v>73</v>
      </c>
      <c r="AO1415" s="6" t="s">
        <v>59</v>
      </c>
      <c r="AP1415" s="6" t="s">
        <v>104</v>
      </c>
      <c r="AU1415" s="16" t="s">
        <v>3919</v>
      </c>
      <c r="AW1415" s="6">
        <f t="shared" ca="1" si="24"/>
        <v>41</v>
      </c>
    </row>
    <row r="1416" ht="45" hidden="1" customHeight="1">
      <c r="A1416" s="69"/>
      <c r="B1416" s="3" t="s">
        <v>190</v>
      </c>
      <c r="C1416" s="4" t="s">
        <v>3920</v>
      </c>
      <c r="D1416" s="189" t="s">
        <v>3921</v>
      </c>
      <c r="E1416" s="2" t="s">
        <v>83</v>
      </c>
      <c r="F1416" s="6" t="s">
        <v>84</v>
      </c>
      <c r="G1416" s="5" t="s">
        <v>85</v>
      </c>
      <c r="H1416" s="2" t="s">
        <v>88</v>
      </c>
      <c r="I1416" s="3" t="s">
        <v>3922</v>
      </c>
      <c r="J1416" s="7">
        <v>1</v>
      </c>
      <c r="K1416" s="104"/>
      <c r="L1416" s="9">
        <v>1</v>
      </c>
      <c r="M1416" s="3">
        <v>1130</v>
      </c>
      <c r="N1416" s="6">
        <v>1984</v>
      </c>
      <c r="P1416" s="71"/>
      <c r="R1416" s="6">
        <v>1980</v>
      </c>
      <c r="S1416" s="3" t="s">
        <v>283</v>
      </c>
      <c r="T1416" s="72"/>
      <c r="U1416" s="73"/>
      <c r="W1416" s="74" t="s">
        <v>62</v>
      </c>
      <c r="X1416" s="10" t="s">
        <v>91</v>
      </c>
      <c r="Y1416" s="10" t="s">
        <v>92</v>
      </c>
      <c r="Z1416" s="75"/>
      <c r="AA1416" s="76"/>
      <c r="AB1416" s="77"/>
      <c r="AC1416" s="77"/>
      <c r="AD1416" s="6"/>
      <c r="AI1416" s="7"/>
      <c r="AJ1416" s="73"/>
      <c r="AK1416" s="7"/>
      <c r="AW1416" s="6">
        <f t="shared" ca="1" si="24"/>
        <v>41</v>
      </c>
    </row>
    <row r="1417" ht="45" customHeight="1">
      <c r="A1417" s="69"/>
      <c r="B1417" s="3" t="s">
        <v>47</v>
      </c>
      <c r="D1417" s="5" t="s">
        <v>3923</v>
      </c>
      <c r="E1417" s="2" t="s">
        <v>83</v>
      </c>
      <c r="F1417" s="6" t="s">
        <v>84</v>
      </c>
      <c r="G1417" s="5" t="s">
        <v>85</v>
      </c>
      <c r="H1417" s="2" t="s">
        <v>51</v>
      </c>
      <c r="I1417" s="3" t="s">
        <v>3924</v>
      </c>
      <c r="J1417" s="7">
        <v>1</v>
      </c>
      <c r="K1417" s="70" t="s">
        <v>53</v>
      </c>
      <c r="L1417" s="9">
        <v>1</v>
      </c>
      <c r="M1417" s="3">
        <v>1131</v>
      </c>
      <c r="N1417" s="6">
        <v>1984</v>
      </c>
      <c r="P1417" s="71"/>
      <c r="R1417" s="6">
        <v>1980</v>
      </c>
      <c r="S1417" s="3" t="s">
        <v>54</v>
      </c>
      <c r="T1417" s="72"/>
      <c r="U1417" s="73"/>
      <c r="W1417" s="2" t="s">
        <v>3925</v>
      </c>
      <c r="X1417" s="10" t="s">
        <v>504</v>
      </c>
      <c r="Y1417" s="10" t="s">
        <v>501</v>
      </c>
      <c r="Z1417" s="75"/>
      <c r="AA1417" s="76">
        <v>37837</v>
      </c>
      <c r="AB1417" s="77"/>
      <c r="AC1417" s="77">
        <v>37837</v>
      </c>
      <c r="AD1417" s="10"/>
      <c r="AE1417" s="7" t="s">
        <v>3926</v>
      </c>
      <c r="AF1417" s="7" t="s">
        <v>3927</v>
      </c>
      <c r="AG1417" s="7">
        <v>2003</v>
      </c>
      <c r="AH1417" s="7">
        <v>2000</v>
      </c>
      <c r="AI1417" s="7"/>
      <c r="AJ1417" s="73"/>
      <c r="AK1417" s="7"/>
      <c r="AL1417" s="16" t="s">
        <v>3928</v>
      </c>
      <c r="AM1417" s="2" t="s">
        <v>82</v>
      </c>
      <c r="AW1417" s="6">
        <f t="shared" ca="1" si="24"/>
        <v>41</v>
      </c>
    </row>
    <row r="1418" ht="45" customHeight="1" outlineLevel="1">
      <c r="A1418" s="69"/>
      <c r="B1418" s="3" t="s">
        <v>47</v>
      </c>
      <c r="E1418" s="2" t="s">
        <v>83</v>
      </c>
      <c r="F1418" s="6" t="s">
        <v>84</v>
      </c>
      <c r="G1418" s="5" t="s">
        <v>85</v>
      </c>
      <c r="H1418" s="2" t="s">
        <v>491</v>
      </c>
      <c r="I1418" s="3" t="s">
        <v>3929</v>
      </c>
      <c r="J1418" s="7">
        <v>1</v>
      </c>
      <c r="K1418" s="70" t="s">
        <v>53</v>
      </c>
      <c r="L1418" s="9">
        <v>1</v>
      </c>
      <c r="M1418" s="3">
        <v>1132</v>
      </c>
      <c r="N1418" s="6">
        <v>1984</v>
      </c>
      <c r="P1418" s="71"/>
      <c r="R1418" s="6">
        <v>1980</v>
      </c>
      <c r="S1418" s="3" t="s">
        <v>54</v>
      </c>
      <c r="T1418" s="72"/>
      <c r="U1418" s="73"/>
      <c r="W1418" s="2" t="s">
        <v>3930</v>
      </c>
      <c r="X1418" s="10" t="s">
        <v>56</v>
      </c>
      <c r="Y1418" s="10" t="s">
        <v>494</v>
      </c>
      <c r="Z1418" s="75"/>
      <c r="AA1418" s="76"/>
      <c r="AB1418" s="77"/>
      <c r="AC1418" s="77">
        <v>32925</v>
      </c>
      <c r="AD1418" s="10"/>
      <c r="AE1418" s="7">
        <v>1986</v>
      </c>
      <c r="AF1418" s="7">
        <v>125</v>
      </c>
      <c r="AG1418" s="7">
        <v>1990</v>
      </c>
      <c r="AH1418" s="7">
        <v>1990</v>
      </c>
      <c r="AI1418" s="7"/>
      <c r="AJ1418" s="73"/>
      <c r="AK1418" s="7"/>
      <c r="AL1418" s="16"/>
      <c r="AM1418" s="2" t="s">
        <v>59</v>
      </c>
      <c r="AU1418" s="16" t="s">
        <v>3931</v>
      </c>
      <c r="AW1418" s="6">
        <f t="shared" ca="1" si="24"/>
        <v>41</v>
      </c>
    </row>
    <row r="1419" ht="45" customHeight="1" outlineLevel="1">
      <c r="A1419" s="69"/>
      <c r="B1419" s="3" t="s">
        <v>47</v>
      </c>
      <c r="E1419" s="2" t="s">
        <v>63</v>
      </c>
      <c r="F1419" s="6" t="s">
        <v>64</v>
      </c>
      <c r="G1419" s="5" t="s">
        <v>69</v>
      </c>
      <c r="H1419" s="2" t="s">
        <v>51</v>
      </c>
      <c r="I1419" s="3" t="s">
        <v>3932</v>
      </c>
      <c r="J1419" s="7">
        <v>1</v>
      </c>
      <c r="K1419" s="70" t="s">
        <v>53</v>
      </c>
      <c r="L1419" s="9">
        <v>1</v>
      </c>
      <c r="M1419" s="3">
        <v>1133</v>
      </c>
      <c r="N1419" s="6">
        <v>1984</v>
      </c>
      <c r="P1419" s="71"/>
      <c r="R1419" s="6">
        <v>1980</v>
      </c>
      <c r="S1419" s="3" t="s">
        <v>54</v>
      </c>
      <c r="T1419" s="72"/>
      <c r="U1419" s="73"/>
      <c r="W1419" s="2" t="s">
        <v>3933</v>
      </c>
      <c r="X1419" s="10" t="s">
        <v>56</v>
      </c>
      <c r="Y1419" s="10" t="s">
        <v>57</v>
      </c>
      <c r="Z1419" s="75" t="s">
        <v>58</v>
      </c>
      <c r="AA1419" s="76"/>
      <c r="AB1419" s="77">
        <v>31959</v>
      </c>
      <c r="AC1419" s="77"/>
      <c r="AD1419" s="10"/>
      <c r="AE1419" s="7">
        <v>1986</v>
      </c>
      <c r="AF1419" s="7">
        <v>121</v>
      </c>
      <c r="AG1419" s="7">
        <v>1987</v>
      </c>
      <c r="AH1419" s="7">
        <v>1980</v>
      </c>
      <c r="AI1419" s="7"/>
      <c r="AJ1419" s="73"/>
      <c r="AK1419" s="7"/>
      <c r="AL1419" s="16"/>
      <c r="AM1419" s="2" t="s">
        <v>59</v>
      </c>
      <c r="AO1419" s="6" t="s">
        <v>73</v>
      </c>
      <c r="AU1419" s="16" t="s">
        <v>74</v>
      </c>
      <c r="AW1419" s="6">
        <f t="shared" ca="1" si="24"/>
        <v>41</v>
      </c>
    </row>
    <row r="1420" ht="45" hidden="1" customHeight="1">
      <c r="A1420" s="132">
        <v>44146</v>
      </c>
      <c r="B1420" s="3" t="s">
        <v>47</v>
      </c>
      <c r="C1420" s="144" t="s">
        <v>3934</v>
      </c>
      <c r="D1420" s="117" t="s">
        <v>3935</v>
      </c>
      <c r="E1420" s="2" t="s">
        <v>83</v>
      </c>
      <c r="F1420" s="6" t="s">
        <v>179</v>
      </c>
      <c r="G1420" s="5" t="s">
        <v>294</v>
      </c>
      <c r="H1420" s="2" t="s">
        <v>288</v>
      </c>
      <c r="I1420" s="3" t="s">
        <v>3936</v>
      </c>
      <c r="J1420" s="7">
        <v>1</v>
      </c>
      <c r="K1420" s="133"/>
      <c r="L1420" s="9">
        <v>1</v>
      </c>
      <c r="M1420" s="3">
        <v>1134</v>
      </c>
      <c r="N1420" s="6">
        <v>1984</v>
      </c>
      <c r="P1420" s="71"/>
      <c r="R1420" s="6">
        <v>1980</v>
      </c>
      <c r="S1420" s="3" t="s">
        <v>236</v>
      </c>
      <c r="T1420" s="72" t="s">
        <v>1136</v>
      </c>
      <c r="U1420" s="10">
        <v>44347</v>
      </c>
      <c r="W1420" s="2" t="s">
        <v>62</v>
      </c>
      <c r="X1420" s="10" t="s">
        <v>56</v>
      </c>
      <c r="Y1420" s="10" t="s">
        <v>288</v>
      </c>
      <c r="Z1420" s="75"/>
      <c r="AA1420" s="137"/>
      <c r="AB1420" s="138"/>
      <c r="AC1420" s="138"/>
      <c r="AD1420" s="136"/>
      <c r="AE1420" s="139"/>
      <c r="AG1420" s="139"/>
      <c r="AH1420" s="139"/>
      <c r="AI1420" s="139"/>
      <c r="AJ1420" s="136">
        <v>44357</v>
      </c>
      <c r="AK1420" s="139">
        <v>2020</v>
      </c>
      <c r="AL1420" s="16"/>
      <c r="AO1420" s="141"/>
      <c r="AP1420" s="141"/>
      <c r="AQ1420" s="117"/>
      <c r="AR1420" s="142"/>
      <c r="AS1420" s="141"/>
      <c r="AT1420" s="141"/>
      <c r="AU1420" s="140"/>
      <c r="AV1420" s="143"/>
      <c r="AW1420" s="6">
        <f t="shared" ca="1" si="24"/>
        <v>41</v>
      </c>
    </row>
    <row r="1421" ht="45" hidden="1" customHeight="1">
      <c r="A1421" s="69"/>
      <c r="B1421" s="3" t="s">
        <v>1743</v>
      </c>
      <c r="C1421" s="4" t="s">
        <v>3937</v>
      </c>
      <c r="D1421" s="5" t="s">
        <v>3938</v>
      </c>
      <c r="E1421" s="2" t="s">
        <v>48</v>
      </c>
      <c r="F1421" s="6" t="s">
        <v>564</v>
      </c>
      <c r="G1421" s="5" t="s">
        <v>565</v>
      </c>
      <c r="H1421" s="2" t="s">
        <v>288</v>
      </c>
      <c r="I1421" s="3" t="s">
        <v>3939</v>
      </c>
      <c r="J1421" s="7">
        <v>1</v>
      </c>
      <c r="K1421" s="104"/>
      <c r="L1421" s="9">
        <v>1</v>
      </c>
      <c r="M1421" s="3">
        <v>1135</v>
      </c>
      <c r="N1421" s="6">
        <v>1985</v>
      </c>
      <c r="P1421" s="71"/>
      <c r="R1421" s="6">
        <v>1980</v>
      </c>
      <c r="S1421" s="3" t="s">
        <v>939</v>
      </c>
      <c r="T1421" s="72"/>
      <c r="U1421" s="73"/>
      <c r="W1421" s="74" t="s">
        <v>62</v>
      </c>
      <c r="X1421" s="10" t="s">
        <v>56</v>
      </c>
      <c r="Y1421" s="10" t="s">
        <v>288</v>
      </c>
      <c r="Z1421" s="75"/>
      <c r="AA1421" s="76"/>
      <c r="AB1421" s="77"/>
      <c r="AC1421" s="77"/>
      <c r="AD1421" s="6"/>
      <c r="AI1421" s="7"/>
      <c r="AJ1421" s="73"/>
      <c r="AK1421" s="7"/>
      <c r="AL1421" s="101" t="s">
        <v>3940</v>
      </c>
      <c r="AW1421" s="6">
        <f t="shared" ca="1" si="24"/>
        <v>40</v>
      </c>
    </row>
    <row r="1422" ht="45" customHeight="1" outlineLevel="1">
      <c r="A1422" s="69"/>
      <c r="B1422" s="3" t="s">
        <v>47</v>
      </c>
      <c r="E1422" s="2" t="s">
        <v>48</v>
      </c>
      <c r="F1422" s="6" t="s">
        <v>564</v>
      </c>
      <c r="G1422" s="5" t="s">
        <v>565</v>
      </c>
      <c r="H1422" s="2" t="s">
        <v>57</v>
      </c>
      <c r="I1422" s="3" t="s">
        <v>3941</v>
      </c>
      <c r="J1422" s="7">
        <v>1</v>
      </c>
      <c r="K1422" s="70" t="s">
        <v>53</v>
      </c>
      <c r="L1422" s="9">
        <v>1</v>
      </c>
      <c r="M1422" s="3">
        <v>1136</v>
      </c>
      <c r="N1422" s="6">
        <v>1985</v>
      </c>
      <c r="P1422" s="71"/>
      <c r="R1422" s="6">
        <v>1980</v>
      </c>
      <c r="S1422" s="3" t="s">
        <v>54</v>
      </c>
      <c r="T1422" s="72"/>
      <c r="U1422" s="73"/>
      <c r="W1422" s="2" t="s">
        <v>3942</v>
      </c>
      <c r="X1422" s="10" t="s">
        <v>56</v>
      </c>
      <c r="Y1422" s="10" t="s">
        <v>57</v>
      </c>
      <c r="Z1422" s="75"/>
      <c r="AA1422" s="76"/>
      <c r="AB1422" s="77">
        <v>38182</v>
      </c>
      <c r="AC1422" s="77"/>
      <c r="AD1422" s="6"/>
      <c r="AE1422" s="7" t="s">
        <v>3943</v>
      </c>
      <c r="AF1422" s="7" t="s">
        <v>3944</v>
      </c>
      <c r="AG1422" s="7">
        <v>2004</v>
      </c>
      <c r="AH1422" s="7">
        <v>2000</v>
      </c>
      <c r="AI1422" s="7"/>
      <c r="AJ1422" s="73"/>
      <c r="AK1422" s="7"/>
      <c r="AL1422" s="16"/>
      <c r="AM1422" s="2" t="s">
        <v>59</v>
      </c>
      <c r="AN1422" s="6" t="s">
        <v>73</v>
      </c>
      <c r="AO1422" s="6" t="s">
        <v>53</v>
      </c>
      <c r="AP1422" s="6" t="s">
        <v>73</v>
      </c>
      <c r="AU1422" s="16" t="s">
        <v>3945</v>
      </c>
      <c r="AW1422" s="6">
        <f t="shared" ca="1" si="24"/>
        <v>40</v>
      </c>
    </row>
    <row r="1423" ht="45" customHeight="1" outlineLevel="1">
      <c r="A1423" s="69"/>
      <c r="B1423" s="3" t="s">
        <v>47</v>
      </c>
      <c r="E1423" s="2" t="s">
        <v>48</v>
      </c>
      <c r="F1423" s="6" t="s">
        <v>564</v>
      </c>
      <c r="G1423" s="5" t="s">
        <v>565</v>
      </c>
      <c r="H1423" s="2" t="s">
        <v>491</v>
      </c>
      <c r="I1423" s="3" t="s">
        <v>3946</v>
      </c>
      <c r="J1423" s="7">
        <v>1</v>
      </c>
      <c r="K1423" s="70" t="s">
        <v>53</v>
      </c>
      <c r="L1423" s="9">
        <v>1</v>
      </c>
      <c r="M1423" s="3">
        <v>1137</v>
      </c>
      <c r="N1423" s="6">
        <v>1985</v>
      </c>
      <c r="P1423" s="71"/>
      <c r="R1423" s="6">
        <v>1980</v>
      </c>
      <c r="S1423" s="3" t="s">
        <v>54</v>
      </c>
      <c r="T1423" s="72"/>
      <c r="U1423" s="73"/>
      <c r="W1423" s="2" t="s">
        <v>3947</v>
      </c>
      <c r="X1423" s="10" t="s">
        <v>56</v>
      </c>
      <c r="Y1423" s="10" t="s">
        <v>523</v>
      </c>
      <c r="Z1423" s="75"/>
      <c r="AA1423" s="76"/>
      <c r="AB1423" s="77">
        <v>36012</v>
      </c>
      <c r="AC1423" s="77"/>
      <c r="AD1423" s="6"/>
      <c r="AE1423" s="7" t="s">
        <v>3948</v>
      </c>
      <c r="AF1423" s="7" t="s">
        <v>3949</v>
      </c>
      <c r="AG1423" s="7">
        <v>1998</v>
      </c>
      <c r="AH1423" s="7">
        <v>1990</v>
      </c>
      <c r="AI1423" s="7"/>
      <c r="AJ1423" s="73"/>
      <c r="AK1423" s="7"/>
      <c r="AL1423" s="16" t="s">
        <v>3950</v>
      </c>
      <c r="AM1423" s="2" t="s">
        <v>59</v>
      </c>
      <c r="AN1423" s="6" t="s">
        <v>73</v>
      </c>
      <c r="AO1423" s="6" t="s">
        <v>100</v>
      </c>
      <c r="AP1423" s="6" t="s">
        <v>73</v>
      </c>
      <c r="AU1423" s="16" t="s">
        <v>784</v>
      </c>
      <c r="AW1423" s="6">
        <f t="shared" ca="1" si="24"/>
        <v>40</v>
      </c>
    </row>
    <row r="1424" ht="45" hidden="1" customHeight="1" outlineLevel="1">
      <c r="A1424" s="69"/>
      <c r="B1424" s="3" t="s">
        <v>190</v>
      </c>
      <c r="C1424" s="4" t="s">
        <v>3951</v>
      </c>
      <c r="D1424" s="5" t="s">
        <v>3952</v>
      </c>
      <c r="E1424" s="2" t="s">
        <v>48</v>
      </c>
      <c r="F1424" s="6" t="s">
        <v>564</v>
      </c>
      <c r="G1424" s="5" t="s">
        <v>565</v>
      </c>
      <c r="H1424" s="2" t="s">
        <v>57</v>
      </c>
      <c r="I1424" s="3" t="s">
        <v>3953</v>
      </c>
      <c r="J1424" s="7">
        <v>1</v>
      </c>
      <c r="K1424" s="104"/>
      <c r="L1424" s="9">
        <v>1</v>
      </c>
      <c r="M1424" s="3">
        <v>1138</v>
      </c>
      <c r="N1424" s="6">
        <v>1985</v>
      </c>
      <c r="P1424" s="71"/>
      <c r="R1424" s="6">
        <v>1980</v>
      </c>
      <c r="S1424" s="3" t="s">
        <v>283</v>
      </c>
      <c r="T1424" s="72"/>
      <c r="U1424" s="73"/>
      <c r="W1424" s="74" t="s">
        <v>62</v>
      </c>
      <c r="X1424" s="10" t="s">
        <v>56</v>
      </c>
      <c r="Y1424" s="10" t="s">
        <v>57</v>
      </c>
      <c r="Z1424" s="75"/>
      <c r="AA1424" s="76"/>
      <c r="AB1424" s="77"/>
      <c r="AC1424" s="77"/>
      <c r="AD1424" s="6"/>
      <c r="AI1424" s="7"/>
      <c r="AJ1424" s="73"/>
      <c r="AK1424" s="7"/>
      <c r="AL1424" s="16" t="s">
        <v>3954</v>
      </c>
      <c r="AW1424" s="6">
        <f t="shared" ca="1" si="24"/>
        <v>40</v>
      </c>
    </row>
    <row r="1425" ht="45" hidden="1" customHeight="1">
      <c r="A1425" s="69"/>
      <c r="B1425" s="3" t="s">
        <v>47</v>
      </c>
      <c r="C1425" s="4" t="s">
        <v>3955</v>
      </c>
      <c r="D1425" s="5" t="s">
        <v>3956</v>
      </c>
      <c r="E1425" s="2" t="s">
        <v>48</v>
      </c>
      <c r="F1425" s="6" t="s">
        <v>564</v>
      </c>
      <c r="G1425" s="5" t="s">
        <v>565</v>
      </c>
      <c r="H1425" s="2" t="s">
        <v>57</v>
      </c>
      <c r="I1425" s="3" t="s">
        <v>3957</v>
      </c>
      <c r="J1425" s="7">
        <v>1</v>
      </c>
      <c r="K1425" s="104"/>
      <c r="L1425" s="9">
        <v>1</v>
      </c>
      <c r="M1425" s="3">
        <v>1139</v>
      </c>
      <c r="N1425" s="6">
        <v>1985</v>
      </c>
      <c r="P1425" s="71"/>
      <c r="R1425" s="6">
        <v>1980</v>
      </c>
      <c r="S1425" s="3" t="s">
        <v>236</v>
      </c>
      <c r="T1425" s="72"/>
      <c r="U1425" s="73"/>
      <c r="W1425" s="2" t="s">
        <v>62</v>
      </c>
      <c r="X1425" s="10" t="s">
        <v>56</v>
      </c>
      <c r="Y1425" s="10" t="s">
        <v>57</v>
      </c>
      <c r="Z1425" s="75"/>
      <c r="AA1425" s="76"/>
      <c r="AB1425" s="77"/>
      <c r="AC1425" s="77"/>
      <c r="AD1425" s="6"/>
      <c r="AI1425" s="7"/>
      <c r="AJ1425" s="10">
        <v>42460</v>
      </c>
      <c r="AK1425" s="7">
        <v>2010</v>
      </c>
      <c r="AL1425" s="16" t="s">
        <v>3958</v>
      </c>
      <c r="AW1425" s="6">
        <f t="shared" ca="1" si="24"/>
        <v>40</v>
      </c>
    </row>
    <row r="1426" ht="45" customHeight="1">
      <c r="A1426" s="69"/>
      <c r="B1426" s="3" t="s">
        <v>47</v>
      </c>
      <c r="E1426" s="78" t="s">
        <v>63</v>
      </c>
      <c r="F1426" s="79" t="s">
        <v>64</v>
      </c>
      <c r="G1426" s="80" t="s">
        <v>69</v>
      </c>
      <c r="H1426" s="78" t="s">
        <v>68</v>
      </c>
      <c r="I1426" s="81" t="s">
        <v>3959</v>
      </c>
      <c r="J1426" s="7">
        <v>1</v>
      </c>
      <c r="K1426" s="70" t="s">
        <v>53</v>
      </c>
      <c r="L1426" s="9">
        <v>1</v>
      </c>
      <c r="M1426" s="3">
        <v>1140</v>
      </c>
      <c r="N1426" s="6">
        <v>1985</v>
      </c>
      <c r="P1426" s="71"/>
      <c r="R1426" s="6">
        <v>1980</v>
      </c>
      <c r="S1426" s="3" t="s">
        <v>54</v>
      </c>
      <c r="T1426" s="72"/>
      <c r="U1426" s="73"/>
      <c r="W1426" s="78" t="s">
        <v>3960</v>
      </c>
      <c r="X1426" s="82" t="s">
        <v>56</v>
      </c>
      <c r="Y1426" s="82" t="s">
        <v>68</v>
      </c>
      <c r="Z1426" s="83"/>
      <c r="AA1426" s="76"/>
      <c r="AB1426" s="77"/>
      <c r="AC1426" s="77">
        <v>31959</v>
      </c>
      <c r="AD1426" s="10"/>
      <c r="AE1426" s="7">
        <v>1986</v>
      </c>
      <c r="AF1426" s="7">
        <v>121</v>
      </c>
      <c r="AG1426" s="7">
        <v>1987</v>
      </c>
      <c r="AH1426" s="7">
        <v>1980</v>
      </c>
      <c r="AI1426" s="7"/>
      <c r="AJ1426" s="73"/>
      <c r="AK1426" s="7"/>
      <c r="AL1426" s="16"/>
      <c r="AW1426" s="6">
        <f t="shared" ca="1" si="24"/>
        <v>40</v>
      </c>
    </row>
    <row r="1427" ht="45" customHeight="1">
      <c r="A1427" s="69"/>
      <c r="B1427" s="3" t="s">
        <v>47</v>
      </c>
      <c r="C1427" s="4" t="s">
        <v>3961</v>
      </c>
      <c r="E1427" s="2" t="s">
        <v>48</v>
      </c>
      <c r="F1427" s="6" t="s">
        <v>564</v>
      </c>
      <c r="G1427" s="5" t="s">
        <v>3962</v>
      </c>
      <c r="H1427" s="2" t="s">
        <v>68</v>
      </c>
      <c r="I1427" s="3" t="s">
        <v>3963</v>
      </c>
      <c r="J1427" s="7">
        <v>1</v>
      </c>
      <c r="K1427" s="70" t="s">
        <v>53</v>
      </c>
      <c r="L1427" s="9">
        <v>1</v>
      </c>
      <c r="M1427" s="3">
        <v>1141</v>
      </c>
      <c r="N1427" s="6">
        <v>1985</v>
      </c>
      <c r="P1427" s="71"/>
      <c r="R1427" s="6">
        <v>1980</v>
      </c>
      <c r="S1427" s="3" t="s">
        <v>54</v>
      </c>
      <c r="T1427" s="72"/>
      <c r="U1427" s="73"/>
      <c r="W1427" s="74" t="s">
        <v>3964</v>
      </c>
      <c r="X1427" s="10" t="s">
        <v>56</v>
      </c>
      <c r="Y1427" s="10" t="s">
        <v>68</v>
      </c>
      <c r="Z1427" s="75"/>
      <c r="AA1427" s="76">
        <v>31663</v>
      </c>
      <c r="AB1427" s="77">
        <v>31663</v>
      </c>
      <c r="AC1427" s="77">
        <v>31320</v>
      </c>
      <c r="AD1427" s="10"/>
      <c r="AE1427" s="7">
        <v>1985</v>
      </c>
      <c r="AF1427" s="7">
        <v>113</v>
      </c>
      <c r="AG1427" s="7">
        <v>1986</v>
      </c>
      <c r="AH1427" s="7">
        <v>1980</v>
      </c>
      <c r="AI1427" s="7"/>
      <c r="AJ1427" s="73"/>
      <c r="AK1427" s="7"/>
      <c r="AL1427" s="16"/>
      <c r="AW1427" s="6">
        <f t="shared" ca="1" si="24"/>
        <v>40</v>
      </c>
    </row>
    <row r="1428" ht="45" customHeight="1" outlineLevel="1">
      <c r="A1428" s="69"/>
      <c r="B1428" s="3" t="s">
        <v>47</v>
      </c>
      <c r="E1428" s="2" t="s">
        <v>83</v>
      </c>
      <c r="F1428" s="6" t="s">
        <v>179</v>
      </c>
      <c r="G1428" s="5" t="s">
        <v>3965</v>
      </c>
      <c r="H1428" s="2" t="s">
        <v>57</v>
      </c>
      <c r="I1428" s="3" t="s">
        <v>3966</v>
      </c>
      <c r="J1428" s="7">
        <v>1</v>
      </c>
      <c r="K1428" s="70" t="s">
        <v>53</v>
      </c>
      <c r="L1428" s="9">
        <v>1</v>
      </c>
      <c r="M1428" s="3">
        <v>1142</v>
      </c>
      <c r="N1428" s="6">
        <v>1985</v>
      </c>
      <c r="P1428" s="71"/>
      <c r="R1428" s="6">
        <v>1980</v>
      </c>
      <c r="S1428" s="3" t="s">
        <v>54</v>
      </c>
      <c r="T1428" s="72"/>
      <c r="U1428" s="73"/>
      <c r="W1428" s="2" t="s">
        <v>3967</v>
      </c>
      <c r="X1428" s="10" t="s">
        <v>56</v>
      </c>
      <c r="Y1428" s="10" t="s">
        <v>57</v>
      </c>
      <c r="Z1428" s="75"/>
      <c r="AA1428" s="76"/>
      <c r="AB1428" s="77">
        <v>31320</v>
      </c>
      <c r="AC1428" s="77"/>
      <c r="AD1428" s="6"/>
      <c r="AE1428" s="7">
        <v>1985</v>
      </c>
      <c r="AF1428" s="7">
        <v>115</v>
      </c>
      <c r="AG1428" s="7">
        <v>1985</v>
      </c>
      <c r="AH1428" s="7">
        <v>1980</v>
      </c>
      <c r="AI1428" s="7"/>
      <c r="AJ1428" s="73"/>
      <c r="AK1428" s="7"/>
      <c r="AL1428" s="16"/>
      <c r="AM1428" s="2" t="s">
        <v>59</v>
      </c>
      <c r="AW1428" s="6">
        <f t="shared" ca="1" si="24"/>
        <v>40</v>
      </c>
    </row>
    <row r="1429" ht="45" customHeight="1">
      <c r="A1429" s="69"/>
      <c r="B1429" s="3" t="s">
        <v>47</v>
      </c>
      <c r="E1429" s="2" t="s">
        <v>83</v>
      </c>
      <c r="F1429" s="6" t="s">
        <v>179</v>
      </c>
      <c r="G1429" s="5" t="s">
        <v>3965</v>
      </c>
      <c r="H1429" s="2" t="s">
        <v>57</v>
      </c>
      <c r="I1429" s="3" t="s">
        <v>3968</v>
      </c>
      <c r="J1429" s="7">
        <v>1</v>
      </c>
      <c r="K1429" s="70" t="s">
        <v>53</v>
      </c>
      <c r="L1429" s="9">
        <v>1</v>
      </c>
      <c r="M1429" s="3">
        <v>1143</v>
      </c>
      <c r="N1429" s="6">
        <v>1985</v>
      </c>
      <c r="P1429" s="71"/>
      <c r="R1429" s="6">
        <v>1980</v>
      </c>
      <c r="S1429" s="3" t="s">
        <v>54</v>
      </c>
      <c r="T1429" s="72"/>
      <c r="U1429" s="73"/>
      <c r="W1429" s="2" t="s">
        <v>3969</v>
      </c>
      <c r="X1429" s="10" t="s">
        <v>56</v>
      </c>
      <c r="Y1429" s="10" t="s">
        <v>57</v>
      </c>
      <c r="Z1429" s="75"/>
      <c r="AA1429" s="76"/>
      <c r="AB1429" s="77">
        <v>31320</v>
      </c>
      <c r="AC1429" s="77"/>
      <c r="AD1429" s="6"/>
      <c r="AE1429" s="7">
        <v>1985</v>
      </c>
      <c r="AF1429" s="7">
        <v>115</v>
      </c>
      <c r="AG1429" s="7">
        <v>1985</v>
      </c>
      <c r="AH1429" s="7">
        <v>1980</v>
      </c>
      <c r="AI1429" s="7"/>
      <c r="AJ1429" s="73"/>
      <c r="AK1429" s="7"/>
      <c r="AL1429" s="16"/>
      <c r="AM1429" s="2" t="s">
        <v>59</v>
      </c>
      <c r="AW1429" s="6">
        <f t="shared" ca="1" si="24"/>
        <v>40</v>
      </c>
    </row>
    <row r="1430" ht="45" customHeight="1">
      <c r="A1430" s="69"/>
      <c r="B1430" s="3" t="s">
        <v>47</v>
      </c>
      <c r="E1430" s="2" t="s">
        <v>63</v>
      </c>
      <c r="F1430" s="6" t="s">
        <v>354</v>
      </c>
      <c r="G1430" s="5" t="s">
        <v>971</v>
      </c>
      <c r="H1430" s="2" t="s">
        <v>57</v>
      </c>
      <c r="I1430" s="3" t="s">
        <v>3970</v>
      </c>
      <c r="J1430" s="7">
        <v>1</v>
      </c>
      <c r="K1430" s="70" t="s">
        <v>53</v>
      </c>
      <c r="L1430" s="9">
        <v>1</v>
      </c>
      <c r="M1430" s="3">
        <v>1144</v>
      </c>
      <c r="N1430" s="6">
        <v>1985</v>
      </c>
      <c r="P1430" s="71"/>
      <c r="R1430" s="6">
        <v>1980</v>
      </c>
      <c r="S1430" s="3" t="s">
        <v>54</v>
      </c>
      <c r="T1430" s="72"/>
      <c r="U1430" s="73"/>
      <c r="W1430" s="2" t="s">
        <v>3971</v>
      </c>
      <c r="X1430" s="10" t="s">
        <v>56</v>
      </c>
      <c r="Y1430" s="10" t="s">
        <v>57</v>
      </c>
      <c r="Z1430" s="75"/>
      <c r="AA1430" s="76"/>
      <c r="AB1430" s="77">
        <v>31959</v>
      </c>
      <c r="AC1430" s="77"/>
      <c r="AD1430" s="6"/>
      <c r="AE1430" s="7">
        <v>1986</v>
      </c>
      <c r="AF1430" s="7">
        <v>121</v>
      </c>
      <c r="AG1430" s="7">
        <v>1987</v>
      </c>
      <c r="AH1430" s="7">
        <v>1980</v>
      </c>
      <c r="AI1430" s="7"/>
      <c r="AJ1430" s="73"/>
      <c r="AK1430" s="7"/>
      <c r="AL1430" s="16" t="s">
        <v>2234</v>
      </c>
      <c r="AM1430" s="2" t="s">
        <v>59</v>
      </c>
      <c r="AN1430" s="6" t="s">
        <v>73</v>
      </c>
      <c r="AO1430" s="6" t="s">
        <v>136</v>
      </c>
      <c r="AP1430" s="6" t="s">
        <v>73</v>
      </c>
      <c r="AQ1430" s="5" t="s">
        <v>73</v>
      </c>
      <c r="AU1430" s="16" t="s">
        <v>2234</v>
      </c>
      <c r="AW1430" s="6">
        <f t="shared" ca="1" si="24"/>
        <v>40</v>
      </c>
    </row>
    <row r="1431" ht="45" customHeight="1">
      <c r="A1431" s="69"/>
      <c r="B1431" s="3" t="s">
        <v>47</v>
      </c>
      <c r="E1431" s="2" t="s">
        <v>48</v>
      </c>
      <c r="F1431" s="6" t="s">
        <v>49</v>
      </c>
      <c r="G1431" s="5" t="s">
        <v>3972</v>
      </c>
      <c r="H1431" s="2" t="s">
        <v>57</v>
      </c>
      <c r="I1431" s="3" t="s">
        <v>3973</v>
      </c>
      <c r="J1431" s="7">
        <v>1</v>
      </c>
      <c r="K1431" s="70" t="s">
        <v>53</v>
      </c>
      <c r="L1431" s="9">
        <v>1</v>
      </c>
      <c r="M1431" s="3">
        <v>1145</v>
      </c>
      <c r="N1431" s="6">
        <v>1985</v>
      </c>
      <c r="P1431" s="71"/>
      <c r="R1431" s="6">
        <v>1980</v>
      </c>
      <c r="S1431" s="3" t="s">
        <v>54</v>
      </c>
      <c r="T1431" s="72"/>
      <c r="U1431" s="73"/>
      <c r="W1431" s="2" t="s">
        <v>3974</v>
      </c>
      <c r="X1431" s="10" t="s">
        <v>56</v>
      </c>
      <c r="Y1431" s="10" t="s">
        <v>57</v>
      </c>
      <c r="Z1431" s="75"/>
      <c r="AA1431" s="76"/>
      <c r="AB1431" s="77"/>
      <c r="AC1431" s="77">
        <v>31320</v>
      </c>
      <c r="AD1431" s="10"/>
      <c r="AE1431" s="7">
        <v>1985</v>
      </c>
      <c r="AF1431" s="7">
        <v>115</v>
      </c>
      <c r="AG1431" s="7">
        <v>1985</v>
      </c>
      <c r="AH1431" s="7">
        <v>1980</v>
      </c>
      <c r="AI1431" s="7"/>
      <c r="AJ1431" s="73"/>
      <c r="AK1431" s="7"/>
      <c r="AL1431" s="16"/>
      <c r="AM1431" s="2" t="s">
        <v>59</v>
      </c>
      <c r="AO1431" s="6" t="s">
        <v>136</v>
      </c>
      <c r="AR1431" s="2" t="s">
        <v>104</v>
      </c>
      <c r="AU1431" s="16" t="s">
        <v>3975</v>
      </c>
      <c r="AW1431" s="6">
        <f t="shared" ca="1" si="24"/>
        <v>40</v>
      </c>
    </row>
    <row r="1432" ht="45" customHeight="1">
      <c r="A1432" s="69"/>
      <c r="B1432" s="3" t="s">
        <v>47</v>
      </c>
      <c r="D1432" s="190" t="s">
        <v>3976</v>
      </c>
      <c r="E1432" s="2" t="s">
        <v>83</v>
      </c>
      <c r="F1432" s="6" t="s">
        <v>84</v>
      </c>
      <c r="G1432" s="5" t="s">
        <v>85</v>
      </c>
      <c r="H1432" s="2" t="s">
        <v>57</v>
      </c>
      <c r="I1432" s="3" t="s">
        <v>3977</v>
      </c>
      <c r="J1432" s="7">
        <v>1</v>
      </c>
      <c r="K1432" s="70" t="s">
        <v>53</v>
      </c>
      <c r="L1432" s="9">
        <v>1</v>
      </c>
      <c r="M1432" s="3">
        <v>1146</v>
      </c>
      <c r="N1432" s="6">
        <v>1985</v>
      </c>
      <c r="P1432" s="71"/>
      <c r="R1432" s="6">
        <v>1980</v>
      </c>
      <c r="S1432" s="3" t="s">
        <v>54</v>
      </c>
      <c r="T1432" s="72"/>
      <c r="U1432" s="73"/>
      <c r="W1432" s="2" t="s">
        <v>3978</v>
      </c>
      <c r="X1432" s="10" t="s">
        <v>56</v>
      </c>
      <c r="Y1432" s="10" t="s">
        <v>57</v>
      </c>
      <c r="Z1432" s="75"/>
      <c r="AA1432" s="76"/>
      <c r="AB1432" s="77">
        <v>32307</v>
      </c>
      <c r="AC1432" s="77">
        <v>32307</v>
      </c>
      <c r="AD1432" s="10"/>
      <c r="AE1432" s="7">
        <v>1985</v>
      </c>
      <c r="AF1432" s="7">
        <v>115</v>
      </c>
      <c r="AG1432" s="7">
        <v>1988</v>
      </c>
      <c r="AH1432" s="7">
        <v>1980</v>
      </c>
      <c r="AI1432" s="7"/>
      <c r="AJ1432" s="73"/>
      <c r="AK1432" s="7"/>
      <c r="AL1432" s="16"/>
      <c r="AM1432" s="2" t="s">
        <v>59</v>
      </c>
      <c r="AO1432" s="6" t="s">
        <v>100</v>
      </c>
      <c r="AP1432" s="6" t="s">
        <v>73</v>
      </c>
      <c r="AQ1432" s="5" t="s">
        <v>73</v>
      </c>
      <c r="AR1432" s="2" t="s">
        <v>73</v>
      </c>
      <c r="AT1432" s="6">
        <v>2013</v>
      </c>
      <c r="AU1432" s="16" t="s">
        <v>101</v>
      </c>
      <c r="AW1432" s="6">
        <f t="shared" ca="1" si="24"/>
        <v>40</v>
      </c>
    </row>
    <row r="1433" ht="45" hidden="1" customHeight="1" outlineLevel="1">
      <c r="A1433" s="69"/>
      <c r="B1433" s="3" t="s">
        <v>47</v>
      </c>
      <c r="C1433" s="4" t="s">
        <v>3979</v>
      </c>
      <c r="E1433" s="2" t="s">
        <v>48</v>
      </c>
      <c r="F1433" s="6" t="s">
        <v>49</v>
      </c>
      <c r="G1433" s="5" t="s">
        <v>3972</v>
      </c>
      <c r="H1433" s="2" t="s">
        <v>57</v>
      </c>
      <c r="I1433" s="3" t="s">
        <v>3980</v>
      </c>
      <c r="J1433" s="7">
        <v>1</v>
      </c>
      <c r="K1433" s="70"/>
      <c r="L1433" s="9">
        <v>1</v>
      </c>
      <c r="M1433" s="3">
        <v>1147</v>
      </c>
      <c r="N1433" s="6">
        <v>1985</v>
      </c>
      <c r="P1433" s="71"/>
      <c r="R1433" s="6">
        <v>1980</v>
      </c>
      <c r="S1433" s="3" t="s">
        <v>236</v>
      </c>
      <c r="T1433" s="72"/>
      <c r="U1433" s="73"/>
      <c r="W1433" s="2" t="s">
        <v>62</v>
      </c>
      <c r="X1433" s="10" t="s">
        <v>56</v>
      </c>
      <c r="Y1433" s="10" t="s">
        <v>57</v>
      </c>
      <c r="Z1433" s="75"/>
      <c r="AA1433" s="76"/>
      <c r="AB1433" s="77"/>
      <c r="AC1433" s="77"/>
      <c r="AD1433" s="10"/>
      <c r="AE1433" s="7">
        <v>1985</v>
      </c>
      <c r="AF1433" s="7">
        <v>116</v>
      </c>
      <c r="AI1433" s="7"/>
      <c r="AJ1433" s="95">
        <v>31379</v>
      </c>
      <c r="AK1433" s="7">
        <v>1980</v>
      </c>
      <c r="AL1433" s="16" t="s">
        <v>3981</v>
      </c>
      <c r="AW1433" s="6">
        <f t="shared" ca="1" si="24"/>
        <v>40</v>
      </c>
    </row>
    <row r="1434" ht="45" hidden="1" customHeight="1">
      <c r="A1434" s="69"/>
      <c r="B1434" s="3" t="s">
        <v>190</v>
      </c>
      <c r="C1434" s="4" t="s">
        <v>3982</v>
      </c>
      <c r="D1434" s="5" t="s">
        <v>3983</v>
      </c>
      <c r="E1434" s="2" t="s">
        <v>63</v>
      </c>
      <c r="F1434" s="6" t="s">
        <v>172</v>
      </c>
      <c r="G1434" s="5" t="s">
        <v>173</v>
      </c>
      <c r="H1434" s="2" t="s">
        <v>508</v>
      </c>
      <c r="I1434" s="3" t="s">
        <v>3984</v>
      </c>
      <c r="J1434" s="7">
        <v>1</v>
      </c>
      <c r="K1434" s="70"/>
      <c r="L1434" s="9">
        <v>1</v>
      </c>
      <c r="M1434" s="3">
        <v>1148</v>
      </c>
      <c r="N1434" s="6">
        <v>1985</v>
      </c>
      <c r="P1434" s="71"/>
      <c r="R1434" s="6">
        <v>1980</v>
      </c>
      <c r="S1434" s="3" t="s">
        <v>283</v>
      </c>
      <c r="T1434" s="72"/>
      <c r="U1434" s="73"/>
      <c r="W1434" s="74" t="s">
        <v>62</v>
      </c>
      <c r="X1434" s="10" t="s">
        <v>504</v>
      </c>
      <c r="Y1434" s="10" t="s">
        <v>511</v>
      </c>
      <c r="Z1434" s="75"/>
      <c r="AA1434" s="76"/>
      <c r="AB1434" s="77"/>
      <c r="AC1434" s="77"/>
      <c r="AD1434" s="10"/>
      <c r="AI1434" s="7"/>
      <c r="AJ1434" s="73"/>
      <c r="AK1434" s="7"/>
      <c r="AL1434" s="16"/>
      <c r="AW1434" s="6">
        <f t="shared" ca="1" si="24"/>
        <v>40</v>
      </c>
    </row>
    <row r="1435" ht="45" hidden="1" customHeight="1">
      <c r="A1435" s="69"/>
      <c r="B1435" s="3" t="s">
        <v>47</v>
      </c>
      <c r="C1435" s="4" t="s">
        <v>3061</v>
      </c>
      <c r="D1435" s="5" t="s">
        <v>3985</v>
      </c>
      <c r="E1435" s="2" t="s">
        <v>63</v>
      </c>
      <c r="F1435" s="6" t="s">
        <v>172</v>
      </c>
      <c r="G1435" s="5" t="s">
        <v>3818</v>
      </c>
      <c r="H1435" s="2" t="s">
        <v>977</v>
      </c>
      <c r="I1435" s="3" t="s">
        <v>3986</v>
      </c>
      <c r="J1435" s="7">
        <v>1</v>
      </c>
      <c r="K1435" s="70"/>
      <c r="L1435" s="9">
        <v>1</v>
      </c>
      <c r="M1435" s="3">
        <v>1149</v>
      </c>
      <c r="N1435" s="6">
        <v>1985</v>
      </c>
      <c r="O1435" s="10">
        <v>31091</v>
      </c>
      <c r="P1435" s="71" t="s">
        <v>3987</v>
      </c>
      <c r="Q1435" s="10" t="s">
        <v>1453</v>
      </c>
      <c r="R1435" s="6">
        <v>1980</v>
      </c>
      <c r="S1435" s="3" t="s">
        <v>236</v>
      </c>
      <c r="T1435" s="72"/>
      <c r="U1435" s="73"/>
      <c r="W1435" s="2" t="s">
        <v>62</v>
      </c>
      <c r="X1435" s="10" t="s">
        <v>213</v>
      </c>
      <c r="Y1435" s="10" t="s">
        <v>980</v>
      </c>
      <c r="Z1435" s="75"/>
      <c r="AA1435" s="76"/>
      <c r="AB1435" s="77"/>
      <c r="AC1435" s="77"/>
      <c r="AD1435" s="10"/>
      <c r="AI1435" s="7"/>
      <c r="AJ1435" s="95">
        <v>41914</v>
      </c>
      <c r="AK1435" s="7">
        <v>2010</v>
      </c>
      <c r="AL1435" s="16"/>
      <c r="AU1435" s="16" t="s">
        <v>3988</v>
      </c>
      <c r="AW1435" s="6">
        <f t="shared" ca="1" si="24"/>
        <v>40</v>
      </c>
    </row>
    <row r="1436" ht="45" hidden="1" customHeight="1">
      <c r="A1436" s="69"/>
      <c r="B1436" s="3" t="s">
        <v>47</v>
      </c>
      <c r="C1436" s="4" t="s">
        <v>3989</v>
      </c>
      <c r="D1436" s="5" t="s">
        <v>3990</v>
      </c>
      <c r="E1436" s="2" t="s">
        <v>1074</v>
      </c>
      <c r="F1436" s="6" t="s">
        <v>2092</v>
      </c>
      <c r="G1436" s="5" t="s">
        <v>3991</v>
      </c>
      <c r="H1436" s="2" t="s">
        <v>977</v>
      </c>
      <c r="I1436" s="3" t="s">
        <v>3992</v>
      </c>
      <c r="J1436" s="7">
        <v>1</v>
      </c>
      <c r="K1436" s="70"/>
      <c r="L1436" s="9">
        <v>1</v>
      </c>
      <c r="M1436" s="3">
        <v>1150</v>
      </c>
      <c r="N1436" s="6">
        <v>1985</v>
      </c>
      <c r="O1436" s="10">
        <v>31091</v>
      </c>
      <c r="P1436" s="71" t="s">
        <v>3987</v>
      </c>
      <c r="Q1436" s="10" t="s">
        <v>1453</v>
      </c>
      <c r="R1436" s="6">
        <v>1980</v>
      </c>
      <c r="S1436" s="3" t="s">
        <v>236</v>
      </c>
      <c r="T1436" s="72"/>
      <c r="U1436" s="73"/>
      <c r="W1436" s="2" t="s">
        <v>62</v>
      </c>
      <c r="X1436" s="10" t="s">
        <v>213</v>
      </c>
      <c r="Y1436" s="10" t="s">
        <v>980</v>
      </c>
      <c r="Z1436" s="75"/>
      <c r="AA1436" s="76"/>
      <c r="AB1436" s="77"/>
      <c r="AC1436" s="77"/>
      <c r="AD1436" s="10"/>
      <c r="AI1436" s="7"/>
      <c r="AJ1436" s="95">
        <v>41914</v>
      </c>
      <c r="AK1436" s="7">
        <v>2010</v>
      </c>
      <c r="AL1436" s="16"/>
      <c r="AW1436" s="6">
        <f t="shared" ca="1" si="24"/>
        <v>40</v>
      </c>
    </row>
    <row r="1437" ht="45" hidden="1" customHeight="1">
      <c r="A1437" s="69"/>
      <c r="B1437" s="3" t="s">
        <v>47</v>
      </c>
      <c r="C1437" s="4" t="s">
        <v>3993</v>
      </c>
      <c r="E1437" s="2" t="s">
        <v>63</v>
      </c>
      <c r="F1437" s="6" t="s">
        <v>172</v>
      </c>
      <c r="G1437" s="5" t="s">
        <v>173</v>
      </c>
      <c r="H1437" s="2" t="s">
        <v>3994</v>
      </c>
      <c r="I1437" s="3" t="s">
        <v>3995</v>
      </c>
      <c r="J1437" s="7">
        <v>1</v>
      </c>
      <c r="K1437" s="70"/>
      <c r="L1437" s="9">
        <v>1</v>
      </c>
      <c r="M1437" s="3">
        <v>1151</v>
      </c>
      <c r="N1437" s="6">
        <v>1985</v>
      </c>
      <c r="P1437" s="71"/>
      <c r="R1437" s="6">
        <v>1980</v>
      </c>
      <c r="S1437" s="3" t="s">
        <v>236</v>
      </c>
      <c r="T1437" s="72"/>
      <c r="U1437" s="73"/>
      <c r="W1437" s="2" t="s">
        <v>62</v>
      </c>
      <c r="X1437" s="10"/>
      <c r="Y1437" s="10"/>
      <c r="Z1437" s="75"/>
      <c r="AA1437" s="76"/>
      <c r="AB1437" s="77"/>
      <c r="AC1437" s="77"/>
      <c r="AD1437" s="10"/>
      <c r="AI1437" s="7"/>
      <c r="AJ1437" s="95">
        <v>35692</v>
      </c>
      <c r="AK1437" s="7">
        <v>1990</v>
      </c>
      <c r="AL1437" s="16"/>
      <c r="AW1437" s="6">
        <f t="shared" ca="1" si="24"/>
        <v>40</v>
      </c>
    </row>
    <row r="1438" ht="45" hidden="1" customHeight="1">
      <c r="A1438" s="69"/>
      <c r="B1438" s="3" t="s">
        <v>3996</v>
      </c>
      <c r="C1438" s="4" t="s">
        <v>3997</v>
      </c>
      <c r="G1438" s="5" t="s">
        <v>3818</v>
      </c>
      <c r="H1438" s="2" t="s">
        <v>508</v>
      </c>
      <c r="I1438" s="96" t="s">
        <v>3998</v>
      </c>
      <c r="J1438" s="7">
        <v>1</v>
      </c>
      <c r="K1438" s="70"/>
      <c r="L1438" s="9">
        <v>1</v>
      </c>
      <c r="M1438" s="3">
        <v>1152</v>
      </c>
      <c r="N1438" s="6">
        <v>1985</v>
      </c>
      <c r="P1438" s="71"/>
      <c r="R1438" s="6">
        <v>1980</v>
      </c>
      <c r="S1438" s="3" t="s">
        <v>3999</v>
      </c>
      <c r="T1438" s="72"/>
      <c r="U1438" s="73"/>
      <c r="W1438" s="74" t="s">
        <v>62</v>
      </c>
      <c r="X1438" s="10"/>
      <c r="Y1438" s="10"/>
      <c r="Z1438" s="75"/>
      <c r="AA1438" s="76"/>
      <c r="AB1438" s="77"/>
      <c r="AC1438" s="77"/>
      <c r="AD1438" s="10"/>
      <c r="AI1438" s="7"/>
      <c r="AJ1438" s="73"/>
      <c r="AK1438" s="7"/>
      <c r="AL1438" s="16"/>
      <c r="AW1438" s="6">
        <f t="shared" ca="1" si="24"/>
        <v>40</v>
      </c>
    </row>
    <row r="1439" ht="45" customHeight="1">
      <c r="A1439" s="69"/>
      <c r="B1439" s="3" t="s">
        <v>47</v>
      </c>
      <c r="E1439" s="2" t="s">
        <v>83</v>
      </c>
      <c r="F1439" s="6" t="s">
        <v>704</v>
      </c>
      <c r="G1439" s="5" t="s">
        <v>705</v>
      </c>
      <c r="H1439" s="2" t="s">
        <v>57</v>
      </c>
      <c r="I1439" s="3" t="s">
        <v>4000</v>
      </c>
      <c r="J1439" s="7">
        <v>1</v>
      </c>
      <c r="K1439" s="70" t="s">
        <v>53</v>
      </c>
      <c r="L1439" s="9">
        <v>1</v>
      </c>
      <c r="M1439" s="3">
        <v>1153</v>
      </c>
      <c r="N1439" s="6">
        <v>1985</v>
      </c>
      <c r="P1439" s="71"/>
      <c r="R1439" s="6">
        <v>1980</v>
      </c>
      <c r="S1439" s="3" t="s">
        <v>54</v>
      </c>
      <c r="T1439" s="72"/>
      <c r="U1439" s="73"/>
      <c r="W1439" s="2" t="s">
        <v>4001</v>
      </c>
      <c r="X1439" s="10" t="s">
        <v>56</v>
      </c>
      <c r="Y1439" s="10" t="s">
        <v>57</v>
      </c>
      <c r="Z1439" s="75"/>
      <c r="AA1439" s="76"/>
      <c r="AB1439" s="77"/>
      <c r="AC1439" s="77">
        <v>31638</v>
      </c>
      <c r="AD1439" s="10"/>
      <c r="AE1439" s="7">
        <v>1986</v>
      </c>
      <c r="AF1439" s="7">
        <v>119</v>
      </c>
      <c r="AG1439" s="7">
        <v>1986</v>
      </c>
      <c r="AH1439" s="7">
        <v>1980</v>
      </c>
      <c r="AI1439" s="7"/>
      <c r="AJ1439" s="73"/>
      <c r="AK1439" s="7"/>
      <c r="AL1439" s="16"/>
      <c r="AM1439" s="2" t="s">
        <v>59</v>
      </c>
      <c r="AW1439" s="6">
        <f t="shared" ca="1" si="24"/>
        <v>40</v>
      </c>
    </row>
    <row r="1440" ht="45" customHeight="1">
      <c r="A1440" s="69"/>
      <c r="B1440" s="3" t="s">
        <v>47</v>
      </c>
      <c r="E1440" s="2" t="s">
        <v>83</v>
      </c>
      <c r="F1440" s="6" t="s">
        <v>704</v>
      </c>
      <c r="G1440" s="5" t="s">
        <v>705</v>
      </c>
      <c r="H1440" s="2" t="s">
        <v>57</v>
      </c>
      <c r="I1440" s="3" t="s">
        <v>4002</v>
      </c>
      <c r="J1440" s="7">
        <v>1</v>
      </c>
      <c r="K1440" s="70" t="s">
        <v>53</v>
      </c>
      <c r="L1440" s="9">
        <v>1</v>
      </c>
      <c r="M1440" s="3">
        <v>1154</v>
      </c>
      <c r="N1440" s="6">
        <v>1985</v>
      </c>
      <c r="P1440" s="71"/>
      <c r="R1440" s="6">
        <v>1980</v>
      </c>
      <c r="S1440" s="3" t="s">
        <v>54</v>
      </c>
      <c r="T1440" s="72"/>
      <c r="U1440" s="73"/>
      <c r="W1440" s="2" t="s">
        <v>4003</v>
      </c>
      <c r="X1440" s="10" t="s">
        <v>56</v>
      </c>
      <c r="Y1440" s="10" t="s">
        <v>57</v>
      </c>
      <c r="Z1440" s="75"/>
      <c r="AA1440" s="76"/>
      <c r="AB1440" s="77"/>
      <c r="AC1440" s="77">
        <v>31638</v>
      </c>
      <c r="AD1440" s="10"/>
      <c r="AE1440" s="7">
        <v>1986</v>
      </c>
      <c r="AF1440" s="7">
        <v>119</v>
      </c>
      <c r="AG1440" s="7">
        <v>1986</v>
      </c>
      <c r="AH1440" s="7">
        <v>1980</v>
      </c>
      <c r="AI1440" s="7"/>
      <c r="AJ1440" s="73"/>
      <c r="AK1440" s="7"/>
      <c r="AL1440" s="16"/>
      <c r="AM1440" s="2" t="s">
        <v>59</v>
      </c>
      <c r="AW1440" s="6">
        <f t="shared" ca="1" si="24"/>
        <v>40</v>
      </c>
    </row>
    <row r="1441" ht="45" hidden="1" customHeight="1">
      <c r="A1441" s="69"/>
      <c r="B1441" s="3" t="s">
        <v>47</v>
      </c>
      <c r="C1441" s="4" t="s">
        <v>3134</v>
      </c>
      <c r="D1441" s="5" t="s">
        <v>4004</v>
      </c>
      <c r="E1441" s="2" t="s">
        <v>48</v>
      </c>
      <c r="F1441" s="6" t="s">
        <v>49</v>
      </c>
      <c r="G1441" s="5" t="s">
        <v>3780</v>
      </c>
      <c r="H1441" s="2" t="s">
        <v>68</v>
      </c>
      <c r="I1441" s="3" t="s">
        <v>4005</v>
      </c>
      <c r="J1441" s="7">
        <v>1</v>
      </c>
      <c r="K1441" s="70"/>
      <c r="L1441" s="9">
        <v>1</v>
      </c>
      <c r="M1441" s="3">
        <v>1155</v>
      </c>
      <c r="N1441" s="6">
        <v>1985</v>
      </c>
      <c r="P1441" s="71"/>
      <c r="R1441" s="6">
        <v>1980</v>
      </c>
      <c r="S1441" s="3" t="s">
        <v>236</v>
      </c>
      <c r="T1441" s="72"/>
      <c r="U1441" s="73"/>
      <c r="W1441" s="2" t="s">
        <v>62</v>
      </c>
      <c r="X1441" s="10" t="s">
        <v>56</v>
      </c>
      <c r="Y1441" s="10" t="s">
        <v>68</v>
      </c>
      <c r="Z1441" s="75"/>
      <c r="AA1441" s="76"/>
      <c r="AB1441" s="77"/>
      <c r="AC1441" s="77"/>
      <c r="AD1441" s="10"/>
      <c r="AI1441" s="7"/>
      <c r="AJ1441" s="95">
        <v>41877</v>
      </c>
      <c r="AK1441" s="7">
        <v>2010</v>
      </c>
      <c r="AL1441" s="16"/>
      <c r="AW1441" s="6">
        <f t="shared" ca="1" si="24"/>
        <v>40</v>
      </c>
    </row>
    <row r="1442" ht="45" hidden="1" customHeight="1">
      <c r="A1442" s="69"/>
      <c r="B1442" s="3" t="s">
        <v>47</v>
      </c>
      <c r="C1442" s="4" t="s">
        <v>4006</v>
      </c>
      <c r="D1442" s="5" t="s">
        <v>4007</v>
      </c>
      <c r="E1442" s="2" t="s">
        <v>83</v>
      </c>
      <c r="F1442" s="6" t="s">
        <v>84</v>
      </c>
      <c r="G1442" s="5" t="s">
        <v>3776</v>
      </c>
      <c r="H1442" s="2" t="s">
        <v>501</v>
      </c>
      <c r="I1442" s="3" t="s">
        <v>4008</v>
      </c>
      <c r="J1442" s="7">
        <v>1</v>
      </c>
      <c r="K1442" s="70"/>
      <c r="L1442" s="9">
        <v>1</v>
      </c>
      <c r="M1442" s="3">
        <v>1156</v>
      </c>
      <c r="N1442" s="6">
        <v>1985</v>
      </c>
      <c r="P1442" s="71"/>
      <c r="R1442" s="6">
        <v>1980</v>
      </c>
      <c r="S1442" s="3" t="s">
        <v>236</v>
      </c>
      <c r="T1442" s="72"/>
      <c r="W1442" s="2" t="s">
        <v>62</v>
      </c>
      <c r="X1442" s="10" t="s">
        <v>504</v>
      </c>
      <c r="Y1442" s="10" t="s">
        <v>501</v>
      </c>
      <c r="Z1442" s="75"/>
      <c r="AA1442" s="76"/>
      <c r="AB1442" s="77"/>
      <c r="AC1442" s="77"/>
      <c r="AD1442" s="10"/>
      <c r="AI1442" s="7"/>
      <c r="AJ1442" s="10">
        <v>44439</v>
      </c>
      <c r="AK1442" s="7">
        <v>2020</v>
      </c>
      <c r="AL1442" s="16"/>
      <c r="AW1442" s="6">
        <f t="shared" ca="1" si="24"/>
        <v>40</v>
      </c>
    </row>
    <row r="1443" ht="45" hidden="1" customHeight="1" outlineLevel="1">
      <c r="A1443" s="69"/>
      <c r="B1443" s="3" t="s">
        <v>190</v>
      </c>
      <c r="C1443" s="4" t="s">
        <v>4009</v>
      </c>
      <c r="D1443" s="5" t="s">
        <v>4010</v>
      </c>
      <c r="E1443" s="2" t="s">
        <v>83</v>
      </c>
      <c r="F1443" s="6" t="s">
        <v>179</v>
      </c>
      <c r="G1443" s="5" t="s">
        <v>180</v>
      </c>
      <c r="H1443" s="2" t="s">
        <v>508</v>
      </c>
      <c r="I1443" s="3" t="s">
        <v>4011</v>
      </c>
      <c r="J1443" s="7">
        <v>1</v>
      </c>
      <c r="K1443" s="70"/>
      <c r="L1443" s="9">
        <v>1</v>
      </c>
      <c r="M1443" s="3">
        <v>1157</v>
      </c>
      <c r="N1443" s="6">
        <v>1985</v>
      </c>
      <c r="P1443" s="71"/>
      <c r="R1443" s="6">
        <v>1980</v>
      </c>
      <c r="S1443" s="3" t="s">
        <v>283</v>
      </c>
      <c r="T1443" s="72"/>
      <c r="U1443" s="73"/>
      <c r="W1443" s="74" t="s">
        <v>62</v>
      </c>
      <c r="X1443" s="10" t="s">
        <v>504</v>
      </c>
      <c r="Y1443" s="10" t="s">
        <v>511</v>
      </c>
      <c r="Z1443" s="75"/>
      <c r="AA1443" s="76"/>
      <c r="AB1443" s="77"/>
      <c r="AC1443" s="77"/>
      <c r="AD1443" s="10"/>
      <c r="AI1443" s="7"/>
      <c r="AJ1443" s="73"/>
      <c r="AK1443" s="7"/>
      <c r="AL1443" s="16"/>
      <c r="AW1443" s="6">
        <f t="shared" ca="1" si="24"/>
        <v>40</v>
      </c>
    </row>
    <row r="1444" ht="45" hidden="1" customHeight="1" outlineLevel="1">
      <c r="A1444" s="69"/>
      <c r="B1444" s="3" t="s">
        <v>47</v>
      </c>
      <c r="C1444" s="4" t="s">
        <v>4012</v>
      </c>
      <c r="E1444" s="2" t="s">
        <v>48</v>
      </c>
      <c r="F1444" s="6" t="s">
        <v>49</v>
      </c>
      <c r="G1444" s="5" t="s">
        <v>468</v>
      </c>
      <c r="H1444" s="2" t="s">
        <v>88</v>
      </c>
      <c r="I1444" s="96" t="s">
        <v>4013</v>
      </c>
      <c r="J1444" s="7">
        <v>1</v>
      </c>
      <c r="K1444" s="70"/>
      <c r="L1444" s="9">
        <v>1</v>
      </c>
      <c r="M1444" s="3">
        <v>1158</v>
      </c>
      <c r="N1444" s="6">
        <v>1985</v>
      </c>
      <c r="P1444" s="71"/>
      <c r="R1444" s="6">
        <v>1980</v>
      </c>
      <c r="S1444" s="3" t="s">
        <v>236</v>
      </c>
      <c r="T1444" s="72"/>
      <c r="U1444" s="73"/>
      <c r="W1444" s="2" t="s">
        <v>62</v>
      </c>
      <c r="X1444" s="10" t="s">
        <v>91</v>
      </c>
      <c r="Y1444" s="95" t="s">
        <v>92</v>
      </c>
      <c r="Z1444" s="75"/>
      <c r="AA1444" s="76"/>
      <c r="AB1444" s="77"/>
      <c r="AC1444" s="77"/>
      <c r="AD1444" s="10"/>
      <c r="AE1444" s="7">
        <v>1995</v>
      </c>
      <c r="AF1444" s="7">
        <v>8</v>
      </c>
      <c r="AI1444" s="7"/>
      <c r="AJ1444" s="95">
        <v>36353</v>
      </c>
      <c r="AK1444" s="7">
        <v>1990</v>
      </c>
      <c r="AL1444" s="15" t="s">
        <v>4014</v>
      </c>
      <c r="AW1444" s="6">
        <f t="shared" ca="1" si="24"/>
        <v>40</v>
      </c>
    </row>
    <row r="1445" ht="45" hidden="1" customHeight="1">
      <c r="A1445" s="69"/>
      <c r="B1445" s="3" t="s">
        <v>190</v>
      </c>
      <c r="C1445" s="4" t="s">
        <v>4015</v>
      </c>
      <c r="D1445" s="5" t="s">
        <v>4016</v>
      </c>
      <c r="E1445" s="2" t="s">
        <v>63</v>
      </c>
      <c r="F1445" s="6" t="s">
        <v>217</v>
      </c>
      <c r="G1445" s="5" t="s">
        <v>1137</v>
      </c>
      <c r="H1445" s="2" t="s">
        <v>57</v>
      </c>
      <c r="I1445" s="3" t="s">
        <v>4017</v>
      </c>
      <c r="J1445" s="7">
        <v>1</v>
      </c>
      <c r="K1445" s="70"/>
      <c r="L1445" s="9">
        <v>1</v>
      </c>
      <c r="M1445" s="3">
        <v>1159</v>
      </c>
      <c r="N1445" s="6">
        <v>1985</v>
      </c>
      <c r="P1445" s="71"/>
      <c r="R1445" s="6">
        <v>1980</v>
      </c>
      <c r="S1445" s="3" t="s">
        <v>283</v>
      </c>
      <c r="T1445" s="72"/>
      <c r="U1445" s="73"/>
      <c r="W1445" s="74" t="s">
        <v>62</v>
      </c>
      <c r="X1445" s="10" t="s">
        <v>56</v>
      </c>
      <c r="Y1445" s="10" t="s">
        <v>57</v>
      </c>
      <c r="Z1445" s="75"/>
      <c r="AA1445" s="76"/>
      <c r="AB1445" s="77"/>
      <c r="AC1445" s="77"/>
      <c r="AD1445" s="10"/>
      <c r="AI1445" s="7"/>
      <c r="AJ1445" s="73"/>
      <c r="AK1445" s="7"/>
      <c r="AL1445" s="16"/>
      <c r="AW1445" s="6">
        <f t="shared" ca="1" si="24"/>
        <v>40</v>
      </c>
    </row>
    <row r="1446" ht="45" hidden="1" customHeight="1">
      <c r="A1446" s="69"/>
      <c r="B1446" s="3" t="s">
        <v>47</v>
      </c>
      <c r="C1446" s="4" t="s">
        <v>4018</v>
      </c>
      <c r="D1446" s="5" t="s">
        <v>4019</v>
      </c>
      <c r="E1446" s="2" t="s">
        <v>48</v>
      </c>
      <c r="F1446" s="6" t="s">
        <v>140</v>
      </c>
      <c r="G1446" s="5" t="s">
        <v>210</v>
      </c>
      <c r="H1446" s="2" t="s">
        <v>68</v>
      </c>
      <c r="I1446" s="3" t="s">
        <v>4020</v>
      </c>
      <c r="J1446" s="7">
        <v>1</v>
      </c>
      <c r="K1446" s="70"/>
      <c r="L1446" s="9">
        <v>1</v>
      </c>
      <c r="M1446" s="3">
        <v>1160</v>
      </c>
      <c r="N1446" s="6">
        <v>1985</v>
      </c>
      <c r="P1446" s="71"/>
      <c r="R1446" s="6">
        <v>1980</v>
      </c>
      <c r="S1446" s="3" t="s">
        <v>236</v>
      </c>
      <c r="T1446" s="72"/>
      <c r="U1446" s="73"/>
      <c r="W1446" s="2" t="s">
        <v>62</v>
      </c>
      <c r="X1446" s="10" t="s">
        <v>56</v>
      </c>
      <c r="Y1446" s="10" t="s">
        <v>68</v>
      </c>
      <c r="Z1446" s="75"/>
      <c r="AA1446" s="76"/>
      <c r="AB1446" s="77"/>
      <c r="AC1446" s="77"/>
      <c r="AD1446" s="10"/>
      <c r="AI1446" s="7"/>
      <c r="AJ1446" s="10">
        <v>42291</v>
      </c>
      <c r="AK1446" s="7">
        <v>2010</v>
      </c>
      <c r="AL1446" s="16"/>
      <c r="AW1446" s="6">
        <f t="shared" ca="1" si="24"/>
        <v>40</v>
      </c>
    </row>
    <row r="1447" ht="45" hidden="1" customHeight="1">
      <c r="A1447" s="69"/>
      <c r="B1447" s="3" t="s">
        <v>47</v>
      </c>
      <c r="C1447" s="4" t="s">
        <v>3533</v>
      </c>
      <c r="E1447" s="2" t="s">
        <v>63</v>
      </c>
      <c r="F1447" s="6" t="s">
        <v>428</v>
      </c>
      <c r="G1447" s="5" t="s">
        <v>429</v>
      </c>
      <c r="H1447" s="2" t="s">
        <v>51</v>
      </c>
      <c r="I1447" s="3" t="s">
        <v>4021</v>
      </c>
      <c r="J1447" s="7">
        <v>1</v>
      </c>
      <c r="K1447" s="70"/>
      <c r="L1447" s="9">
        <v>1</v>
      </c>
      <c r="M1447" s="3">
        <v>1161</v>
      </c>
      <c r="N1447" s="6">
        <v>1985</v>
      </c>
      <c r="P1447" s="71"/>
      <c r="R1447" s="6">
        <v>1980</v>
      </c>
      <c r="S1447" s="3" t="s">
        <v>236</v>
      </c>
      <c r="T1447" s="72"/>
      <c r="U1447" s="73"/>
      <c r="W1447" s="2" t="s">
        <v>62</v>
      </c>
      <c r="X1447" s="10" t="s">
        <v>56</v>
      </c>
      <c r="Y1447" s="10" t="s">
        <v>57</v>
      </c>
      <c r="Z1447" s="75" t="s">
        <v>58</v>
      </c>
      <c r="AA1447" s="76"/>
      <c r="AB1447" s="77"/>
      <c r="AC1447" s="77"/>
      <c r="AD1447" s="10"/>
      <c r="AI1447" s="7"/>
      <c r="AJ1447" s="95">
        <v>31632</v>
      </c>
      <c r="AK1447" s="7">
        <v>1980</v>
      </c>
      <c r="AL1447" s="16" t="s">
        <v>4022</v>
      </c>
      <c r="AW1447" s="6">
        <f t="shared" ref="AW1447:AW1510" ca="1" si="25">IF(N1447&lt;&gt;0,(YEAR(TODAY())-N1447),(""))</f>
        <v>40</v>
      </c>
    </row>
    <row r="1448" ht="45" customHeight="1">
      <c r="A1448" s="69"/>
      <c r="B1448" s="3" t="s">
        <v>47</v>
      </c>
      <c r="E1448" s="2" t="s">
        <v>83</v>
      </c>
      <c r="F1448" s="6" t="s">
        <v>179</v>
      </c>
      <c r="G1448" s="5" t="s">
        <v>180</v>
      </c>
      <c r="H1448" s="2" t="s">
        <v>382</v>
      </c>
      <c r="I1448" s="3" t="s">
        <v>4023</v>
      </c>
      <c r="J1448" s="7">
        <v>1</v>
      </c>
      <c r="K1448" s="70" t="s">
        <v>53</v>
      </c>
      <c r="L1448" s="9">
        <v>1</v>
      </c>
      <c r="M1448" s="3">
        <v>1162</v>
      </c>
      <c r="N1448" s="6">
        <v>1985</v>
      </c>
      <c r="P1448" s="71"/>
      <c r="R1448" s="6">
        <v>1980</v>
      </c>
      <c r="S1448" s="3" t="s">
        <v>54</v>
      </c>
      <c r="T1448" s="72"/>
      <c r="U1448" s="73"/>
      <c r="W1448" s="2" t="s">
        <v>4024</v>
      </c>
      <c r="X1448" s="10" t="s">
        <v>91</v>
      </c>
      <c r="Y1448" s="10" t="s">
        <v>385</v>
      </c>
      <c r="Z1448" s="75"/>
      <c r="AA1448" s="76"/>
      <c r="AB1448" s="77"/>
      <c r="AC1448" s="77">
        <v>32064</v>
      </c>
      <c r="AD1448" s="10"/>
      <c r="AE1448" s="7">
        <v>1986</v>
      </c>
      <c r="AF1448" s="7">
        <v>122</v>
      </c>
      <c r="AG1448" s="7">
        <v>1987</v>
      </c>
      <c r="AH1448" s="7">
        <v>1980</v>
      </c>
      <c r="AI1448" s="7"/>
      <c r="AJ1448" s="73"/>
      <c r="AK1448" s="7"/>
      <c r="AL1448" s="16"/>
      <c r="AM1448" s="2" t="s">
        <v>59</v>
      </c>
      <c r="AO1448" s="6" t="s">
        <v>59</v>
      </c>
      <c r="AW1448" s="6">
        <f t="shared" ca="1" si="25"/>
        <v>40</v>
      </c>
    </row>
    <row r="1449" ht="45" customHeight="1" outlineLevel="1">
      <c r="A1449" s="69"/>
      <c r="B1449" s="3" t="s">
        <v>47</v>
      </c>
      <c r="E1449" s="2" t="s">
        <v>48</v>
      </c>
      <c r="F1449" s="6" t="s">
        <v>564</v>
      </c>
      <c r="G1449" s="5" t="s">
        <v>2141</v>
      </c>
      <c r="H1449" s="2" t="s">
        <v>288</v>
      </c>
      <c r="I1449" s="3" t="s">
        <v>4025</v>
      </c>
      <c r="J1449" s="7">
        <v>1</v>
      </c>
      <c r="K1449" s="70" t="s">
        <v>53</v>
      </c>
      <c r="L1449" s="9">
        <v>1</v>
      </c>
      <c r="M1449" s="3">
        <v>1163</v>
      </c>
      <c r="N1449" s="6">
        <v>1985</v>
      </c>
      <c r="P1449" s="71"/>
      <c r="R1449" s="6">
        <v>1980</v>
      </c>
      <c r="S1449" s="3" t="s">
        <v>54</v>
      </c>
      <c r="T1449" s="72"/>
      <c r="U1449" s="73"/>
      <c r="W1449" s="2" t="s">
        <v>4026</v>
      </c>
      <c r="X1449" s="10" t="s">
        <v>56</v>
      </c>
      <c r="Y1449" s="10" t="s">
        <v>288</v>
      </c>
      <c r="Z1449" s="75"/>
      <c r="AA1449" s="76">
        <v>32066</v>
      </c>
      <c r="AB1449" s="77">
        <v>32066</v>
      </c>
      <c r="AC1449" s="77"/>
      <c r="AD1449" s="6"/>
      <c r="AE1449" s="7">
        <v>1986</v>
      </c>
      <c r="AF1449" s="7">
        <v>124</v>
      </c>
      <c r="AG1449" s="7">
        <v>1987</v>
      </c>
      <c r="AH1449" s="7">
        <v>1980</v>
      </c>
      <c r="AI1449" s="7"/>
      <c r="AJ1449" s="73"/>
      <c r="AK1449" s="7"/>
      <c r="AL1449" s="16"/>
      <c r="AM1449" s="2" t="s">
        <v>53</v>
      </c>
      <c r="AN1449" s="6" t="s">
        <v>73</v>
      </c>
      <c r="AO1449" s="6" t="s">
        <v>136</v>
      </c>
      <c r="AQ1449" s="5" t="s">
        <v>73</v>
      </c>
      <c r="AR1449" s="2" t="s">
        <v>104</v>
      </c>
      <c r="AS1449" s="6" t="s">
        <v>73</v>
      </c>
      <c r="AT1449" s="6">
        <v>2011</v>
      </c>
      <c r="AU1449" s="16" t="s">
        <v>4027</v>
      </c>
      <c r="AW1449" s="6">
        <f t="shared" ca="1" si="25"/>
        <v>40</v>
      </c>
    </row>
    <row r="1450" ht="45" hidden="1" customHeight="1">
      <c r="A1450" s="69">
        <v>40406</v>
      </c>
      <c r="B1450" s="3" t="s">
        <v>47</v>
      </c>
      <c r="C1450" s="4" t="s">
        <v>3704</v>
      </c>
      <c r="D1450" s="5" t="s">
        <v>4028</v>
      </c>
      <c r="E1450" s="2" t="s">
        <v>83</v>
      </c>
      <c r="F1450" s="6" t="s">
        <v>704</v>
      </c>
      <c r="G1450" s="5" t="s">
        <v>3818</v>
      </c>
      <c r="H1450" s="2" t="s">
        <v>508</v>
      </c>
      <c r="I1450" s="3" t="s">
        <v>4029</v>
      </c>
      <c r="J1450" s="7">
        <v>1</v>
      </c>
      <c r="K1450" s="104"/>
      <c r="L1450" s="9">
        <v>1</v>
      </c>
      <c r="M1450" s="3">
        <v>1164</v>
      </c>
      <c r="N1450" s="6">
        <v>1985</v>
      </c>
      <c r="P1450" s="71"/>
      <c r="R1450" s="6">
        <v>1980</v>
      </c>
      <c r="S1450" s="3" t="s">
        <v>236</v>
      </c>
      <c r="T1450" s="72"/>
      <c r="W1450" s="2" t="s">
        <v>62</v>
      </c>
      <c r="X1450" s="10" t="s">
        <v>504</v>
      </c>
      <c r="Y1450" s="10" t="s">
        <v>511</v>
      </c>
      <c r="Z1450" s="75"/>
      <c r="AA1450" s="76"/>
      <c r="AB1450" s="77"/>
      <c r="AC1450" s="77"/>
      <c r="AD1450" s="6"/>
      <c r="AI1450" s="7"/>
      <c r="AJ1450" s="10">
        <v>44448</v>
      </c>
      <c r="AK1450" s="7">
        <v>2020</v>
      </c>
      <c r="AL1450" s="16"/>
      <c r="AW1450" s="6">
        <f t="shared" ca="1" si="25"/>
        <v>40</v>
      </c>
    </row>
    <row r="1451" ht="45" customHeight="1">
      <c r="A1451" s="69"/>
      <c r="B1451" s="3" t="s">
        <v>47</v>
      </c>
      <c r="E1451" s="2" t="s">
        <v>48</v>
      </c>
      <c r="F1451" s="6" t="s">
        <v>49</v>
      </c>
      <c r="G1451" s="5" t="s">
        <v>4030</v>
      </c>
      <c r="H1451" s="2" t="s">
        <v>491</v>
      </c>
      <c r="I1451" s="3" t="s">
        <v>4031</v>
      </c>
      <c r="J1451" s="7">
        <v>1</v>
      </c>
      <c r="K1451" s="70" t="s">
        <v>53</v>
      </c>
      <c r="L1451" s="9">
        <v>1</v>
      </c>
      <c r="M1451" s="3">
        <v>1165</v>
      </c>
      <c r="N1451" s="6">
        <v>1985</v>
      </c>
      <c r="P1451" s="71"/>
      <c r="R1451" s="6">
        <v>1980</v>
      </c>
      <c r="S1451" s="3" t="s">
        <v>54</v>
      </c>
      <c r="T1451" s="72"/>
      <c r="U1451" s="73"/>
      <c r="W1451" s="2" t="s">
        <v>4032</v>
      </c>
      <c r="X1451" s="10" t="s">
        <v>56</v>
      </c>
      <c r="Y1451" s="10" t="s">
        <v>523</v>
      </c>
      <c r="Z1451" s="75"/>
      <c r="AA1451" s="76"/>
      <c r="AB1451" s="77">
        <v>32307</v>
      </c>
      <c r="AC1451" s="77"/>
      <c r="AD1451" s="6"/>
      <c r="AE1451" s="7">
        <v>1986</v>
      </c>
      <c r="AF1451" s="7">
        <v>125</v>
      </c>
      <c r="AG1451" s="7">
        <v>1988</v>
      </c>
      <c r="AH1451" s="7">
        <v>1980</v>
      </c>
      <c r="AI1451" s="7"/>
      <c r="AJ1451" s="73"/>
      <c r="AK1451" s="7"/>
      <c r="AL1451" s="16"/>
      <c r="AM1451" s="2" t="s">
        <v>59</v>
      </c>
      <c r="AW1451" s="6">
        <f t="shared" ca="1" si="25"/>
        <v>40</v>
      </c>
    </row>
    <row r="1452" ht="45" hidden="1" customHeight="1">
      <c r="A1452" s="69"/>
      <c r="B1452" s="3" t="s">
        <v>47</v>
      </c>
      <c r="C1452" s="4" t="s">
        <v>4033</v>
      </c>
      <c r="D1452" s="5" t="s">
        <v>4034</v>
      </c>
      <c r="E1452" s="2" t="s">
        <v>48</v>
      </c>
      <c r="F1452" s="6" t="s">
        <v>564</v>
      </c>
      <c r="G1452" s="5" t="s">
        <v>4035</v>
      </c>
      <c r="H1452" s="2" t="s">
        <v>491</v>
      </c>
      <c r="I1452" s="3" t="s">
        <v>4036</v>
      </c>
      <c r="J1452" s="7">
        <v>1</v>
      </c>
      <c r="K1452" s="104"/>
      <c r="L1452" s="9">
        <v>1</v>
      </c>
      <c r="M1452" s="3">
        <v>1166</v>
      </c>
      <c r="N1452" s="6">
        <v>1985</v>
      </c>
      <c r="O1452" s="10">
        <v>31236</v>
      </c>
      <c r="P1452" s="71" t="s">
        <v>4037</v>
      </c>
      <c r="Q1452" s="10">
        <v>31236</v>
      </c>
      <c r="R1452" s="6">
        <v>1980</v>
      </c>
      <c r="S1452" s="3" t="s">
        <v>939</v>
      </c>
      <c r="T1452" s="72"/>
      <c r="U1452" s="73"/>
      <c r="W1452" s="2" t="s">
        <v>1944</v>
      </c>
      <c r="X1452" s="10" t="s">
        <v>56</v>
      </c>
      <c r="Y1452" s="10" t="s">
        <v>523</v>
      </c>
      <c r="Z1452" s="75"/>
      <c r="AA1452" s="76"/>
      <c r="AB1452" s="77"/>
      <c r="AC1452" s="77"/>
      <c r="AD1452" s="6"/>
      <c r="AI1452" s="7"/>
      <c r="AJ1452" s="73">
        <v>42173</v>
      </c>
      <c r="AK1452" s="7"/>
      <c r="AL1452" s="16"/>
      <c r="AW1452" s="6">
        <f t="shared" ca="1" si="25"/>
        <v>40</v>
      </c>
    </row>
    <row r="1453" ht="45" hidden="1" customHeight="1">
      <c r="A1453" s="69">
        <v>43213</v>
      </c>
      <c r="B1453" s="3" t="s">
        <v>47</v>
      </c>
      <c r="C1453" s="4" t="s">
        <v>4038</v>
      </c>
      <c r="D1453" s="5" t="s">
        <v>4039</v>
      </c>
      <c r="E1453" s="2" t="s">
        <v>63</v>
      </c>
      <c r="F1453" s="6" t="s">
        <v>64</v>
      </c>
      <c r="G1453" s="5" t="s">
        <v>69</v>
      </c>
      <c r="H1453" s="2" t="s">
        <v>68</v>
      </c>
      <c r="I1453" s="3" t="s">
        <v>4040</v>
      </c>
      <c r="J1453" s="7">
        <v>1</v>
      </c>
      <c r="K1453" s="104"/>
      <c r="L1453" s="9">
        <v>1</v>
      </c>
      <c r="M1453" s="3">
        <v>1167</v>
      </c>
      <c r="N1453" s="6">
        <v>1985</v>
      </c>
      <c r="O1453" s="10" t="s">
        <v>1453</v>
      </c>
      <c r="P1453" s="71" t="s">
        <v>4041</v>
      </c>
      <c r="Q1453" s="10" t="s">
        <v>1453</v>
      </c>
      <c r="R1453" s="6">
        <v>1980</v>
      </c>
      <c r="S1453" s="3" t="s">
        <v>939</v>
      </c>
      <c r="T1453" s="72"/>
      <c r="U1453" s="73"/>
      <c r="W1453" s="2" t="s">
        <v>62</v>
      </c>
      <c r="X1453" s="10" t="s">
        <v>56</v>
      </c>
      <c r="Y1453" s="10" t="s">
        <v>68</v>
      </c>
      <c r="Z1453" s="75"/>
      <c r="AA1453" s="76"/>
      <c r="AB1453" s="77"/>
      <c r="AC1453" s="77"/>
      <c r="AD1453" s="6"/>
      <c r="AI1453" s="7"/>
      <c r="AJ1453" s="73"/>
      <c r="AK1453" s="7"/>
      <c r="AL1453" s="16"/>
      <c r="AW1453" s="6">
        <f t="shared" ca="1" si="25"/>
        <v>40</v>
      </c>
    </row>
    <row r="1454" ht="45" customHeight="1">
      <c r="A1454" s="69"/>
      <c r="B1454" s="3" t="s">
        <v>190</v>
      </c>
      <c r="C1454" s="4" t="s">
        <v>4042</v>
      </c>
      <c r="D1454" s="5" t="s">
        <v>4043</v>
      </c>
      <c r="E1454" s="2" t="s">
        <v>63</v>
      </c>
      <c r="F1454" s="6" t="s">
        <v>64</v>
      </c>
      <c r="G1454" s="5" t="s">
        <v>69</v>
      </c>
      <c r="H1454" s="2" t="s">
        <v>288</v>
      </c>
      <c r="I1454" s="3" t="s">
        <v>4044</v>
      </c>
      <c r="J1454" s="7">
        <v>1</v>
      </c>
      <c r="K1454" s="70" t="s">
        <v>53</v>
      </c>
      <c r="L1454" s="9">
        <v>1</v>
      </c>
      <c r="M1454" s="3">
        <v>1168</v>
      </c>
      <c r="N1454" s="6">
        <v>1985</v>
      </c>
      <c r="P1454" s="71"/>
      <c r="R1454" s="6">
        <v>1980</v>
      </c>
      <c r="S1454" s="3" t="s">
        <v>195</v>
      </c>
      <c r="T1454" s="72"/>
      <c r="U1454" s="73"/>
      <c r="W1454" s="74" t="s">
        <v>4045</v>
      </c>
      <c r="X1454" s="10" t="s">
        <v>56</v>
      </c>
      <c r="Y1454" s="10" t="s">
        <v>288</v>
      </c>
      <c r="Z1454" s="75"/>
      <c r="AA1454" s="76">
        <v>36144</v>
      </c>
      <c r="AB1454" s="77"/>
      <c r="AC1454" s="77">
        <v>36144</v>
      </c>
      <c r="AD1454" s="10"/>
      <c r="AE1454" s="7">
        <v>1998</v>
      </c>
      <c r="AF1454" s="7">
        <v>13</v>
      </c>
      <c r="AG1454" s="7">
        <v>1998</v>
      </c>
      <c r="AH1454" s="7">
        <v>1990</v>
      </c>
      <c r="AI1454" s="7"/>
      <c r="AJ1454" s="73"/>
      <c r="AK1454" s="7"/>
      <c r="AL1454" s="16"/>
      <c r="AM1454" s="2" t="s">
        <v>53</v>
      </c>
      <c r="AR1454" s="87"/>
      <c r="AS1454" s="88" t="s">
        <v>73</v>
      </c>
      <c r="AT1454" s="88">
        <v>1998</v>
      </c>
      <c r="AU1454" s="89" t="s">
        <v>4046</v>
      </c>
      <c r="AV1454" s="90"/>
      <c r="AW1454" s="6">
        <f t="shared" ca="1" si="25"/>
        <v>40</v>
      </c>
    </row>
    <row r="1455" ht="45" customHeight="1" outlineLevel="1">
      <c r="A1455" s="69"/>
      <c r="B1455" s="3" t="s">
        <v>47</v>
      </c>
      <c r="E1455" s="2" t="s">
        <v>83</v>
      </c>
      <c r="F1455" s="6" t="s">
        <v>179</v>
      </c>
      <c r="G1455" s="5" t="s">
        <v>2553</v>
      </c>
      <c r="H1455" s="2" t="s">
        <v>57</v>
      </c>
      <c r="I1455" s="3" t="s">
        <v>4047</v>
      </c>
      <c r="J1455" s="7">
        <v>1</v>
      </c>
      <c r="K1455" s="70" t="s">
        <v>53</v>
      </c>
      <c r="L1455" s="9">
        <v>1</v>
      </c>
      <c r="M1455" s="3">
        <v>1169</v>
      </c>
      <c r="N1455" s="6">
        <v>1985</v>
      </c>
      <c r="P1455" s="71"/>
      <c r="R1455" s="6">
        <v>1980</v>
      </c>
      <c r="S1455" s="3" t="s">
        <v>54</v>
      </c>
      <c r="T1455" s="72"/>
      <c r="U1455" s="73"/>
      <c r="W1455" s="2" t="s">
        <v>4048</v>
      </c>
      <c r="X1455" s="10" t="s">
        <v>56</v>
      </c>
      <c r="Y1455" s="10" t="s">
        <v>57</v>
      </c>
      <c r="Z1455" s="75"/>
      <c r="AA1455" s="76"/>
      <c r="AB1455" s="77">
        <v>32307</v>
      </c>
      <c r="AC1455" s="77">
        <v>32307</v>
      </c>
      <c r="AD1455" s="10"/>
      <c r="AE1455" s="7">
        <v>1986</v>
      </c>
      <c r="AF1455" s="7">
        <v>121</v>
      </c>
      <c r="AG1455" s="7">
        <v>1988</v>
      </c>
      <c r="AH1455" s="7">
        <v>1980</v>
      </c>
      <c r="AI1455" s="7"/>
      <c r="AJ1455" s="73"/>
      <c r="AK1455" s="7"/>
      <c r="AL1455" s="16"/>
      <c r="AM1455" s="2" t="s">
        <v>59</v>
      </c>
      <c r="AW1455" s="6">
        <f t="shared" ca="1" si="25"/>
        <v>40</v>
      </c>
    </row>
    <row r="1456" ht="45" hidden="1" customHeight="1">
      <c r="A1456" s="69"/>
      <c r="B1456" s="3" t="s">
        <v>47</v>
      </c>
      <c r="C1456" s="4" t="s">
        <v>4049</v>
      </c>
      <c r="E1456" s="2" t="s">
        <v>63</v>
      </c>
      <c r="F1456" s="6" t="s">
        <v>1230</v>
      </c>
      <c r="G1456" s="5" t="s">
        <v>4050</v>
      </c>
      <c r="H1456" s="2" t="s">
        <v>51</v>
      </c>
      <c r="I1456" s="3" t="s">
        <v>4051</v>
      </c>
      <c r="J1456" s="7">
        <v>1</v>
      </c>
      <c r="K1456" s="70"/>
      <c r="L1456" s="9">
        <v>1</v>
      </c>
      <c r="M1456" s="3">
        <v>1170</v>
      </c>
      <c r="N1456" s="6">
        <v>1985</v>
      </c>
      <c r="P1456" s="71"/>
      <c r="R1456" s="6">
        <v>1980</v>
      </c>
      <c r="S1456" s="3" t="s">
        <v>236</v>
      </c>
      <c r="T1456" s="72"/>
      <c r="U1456" s="73"/>
      <c r="W1456" s="2" t="s">
        <v>62</v>
      </c>
      <c r="X1456" s="10" t="s">
        <v>56</v>
      </c>
      <c r="Y1456" s="10" t="s">
        <v>57</v>
      </c>
      <c r="Z1456" s="75" t="s">
        <v>58</v>
      </c>
      <c r="AA1456" s="76"/>
      <c r="AB1456" s="77"/>
      <c r="AC1456" s="77"/>
      <c r="AD1456" s="10"/>
      <c r="AI1456" s="7"/>
      <c r="AJ1456" s="95">
        <v>31525</v>
      </c>
      <c r="AK1456" s="7">
        <v>1980</v>
      </c>
      <c r="AL1456" s="16"/>
      <c r="AW1456" s="6">
        <f t="shared" ca="1" si="25"/>
        <v>40</v>
      </c>
    </row>
    <row r="1457" ht="45" customHeight="1" outlineLevel="1">
      <c r="A1457" s="69"/>
      <c r="B1457" s="3" t="s">
        <v>47</v>
      </c>
      <c r="E1457" s="2" t="s">
        <v>48</v>
      </c>
      <c r="F1457" s="6" t="s">
        <v>564</v>
      </c>
      <c r="G1457" s="5" t="s">
        <v>565</v>
      </c>
      <c r="H1457" s="2" t="s">
        <v>382</v>
      </c>
      <c r="I1457" s="3" t="s">
        <v>4052</v>
      </c>
      <c r="J1457" s="7">
        <v>1</v>
      </c>
      <c r="K1457" s="70" t="s">
        <v>53</v>
      </c>
      <c r="L1457" s="9">
        <v>1</v>
      </c>
      <c r="M1457" s="3">
        <v>1171</v>
      </c>
      <c r="N1457" s="6">
        <v>1985</v>
      </c>
      <c r="P1457" s="71"/>
      <c r="R1457" s="6">
        <v>1980</v>
      </c>
      <c r="S1457" s="3" t="s">
        <v>54</v>
      </c>
      <c r="T1457" s="72"/>
      <c r="U1457" s="73"/>
      <c r="W1457" s="2" t="s">
        <v>4053</v>
      </c>
      <c r="X1457" s="10" t="s">
        <v>91</v>
      </c>
      <c r="Y1457" s="10" t="s">
        <v>385</v>
      </c>
      <c r="Z1457" s="75"/>
      <c r="AA1457" s="76"/>
      <c r="AB1457" s="77"/>
      <c r="AC1457" s="77">
        <v>31518</v>
      </c>
      <c r="AD1457" s="10"/>
      <c r="AE1457" s="7">
        <v>1985</v>
      </c>
      <c r="AF1457" s="7">
        <v>117</v>
      </c>
      <c r="AG1457" s="7">
        <v>1986</v>
      </c>
      <c r="AH1457" s="7">
        <v>1980</v>
      </c>
      <c r="AI1457" s="7"/>
      <c r="AJ1457" s="73"/>
      <c r="AK1457" s="7"/>
      <c r="AL1457" s="16"/>
      <c r="AM1457" s="2" t="s">
        <v>59</v>
      </c>
      <c r="AN1457" s="6" t="s">
        <v>73</v>
      </c>
      <c r="AO1457" s="6" t="s">
        <v>59</v>
      </c>
      <c r="AP1457" s="6" t="s">
        <v>104</v>
      </c>
      <c r="AW1457" s="6">
        <f t="shared" ca="1" si="25"/>
        <v>40</v>
      </c>
    </row>
    <row r="1458" ht="45" hidden="1" customHeight="1" outlineLevel="1">
      <c r="A1458" s="69"/>
      <c r="B1458" s="3" t="s">
        <v>47</v>
      </c>
      <c r="C1458" s="4" t="s">
        <v>4054</v>
      </c>
      <c r="E1458" s="2" t="s">
        <v>83</v>
      </c>
      <c r="F1458" s="6" t="s">
        <v>84</v>
      </c>
      <c r="G1458" s="5" t="s">
        <v>85</v>
      </c>
      <c r="H1458" s="2" t="s">
        <v>57</v>
      </c>
      <c r="I1458" s="3" t="s">
        <v>4055</v>
      </c>
      <c r="J1458" s="7">
        <v>1</v>
      </c>
      <c r="K1458" s="70"/>
      <c r="L1458" s="9">
        <v>1</v>
      </c>
      <c r="M1458" s="3">
        <v>1172</v>
      </c>
      <c r="N1458" s="6">
        <v>1985</v>
      </c>
      <c r="P1458" s="71"/>
      <c r="R1458" s="6">
        <v>1980</v>
      </c>
      <c r="S1458" s="3" t="s">
        <v>236</v>
      </c>
      <c r="T1458" s="72"/>
      <c r="U1458" s="73"/>
      <c r="W1458" s="2" t="s">
        <v>62</v>
      </c>
      <c r="X1458" s="10" t="s">
        <v>56</v>
      </c>
      <c r="Y1458" s="10" t="s">
        <v>57</v>
      </c>
      <c r="Z1458" s="75"/>
      <c r="AA1458" s="76"/>
      <c r="AB1458" s="77"/>
      <c r="AC1458" s="77"/>
      <c r="AD1458" s="10"/>
      <c r="AI1458" s="7"/>
      <c r="AJ1458" s="95">
        <v>31295</v>
      </c>
      <c r="AK1458" s="7">
        <v>1980</v>
      </c>
      <c r="AL1458" s="16"/>
      <c r="AW1458" s="6">
        <f t="shared" ca="1" si="25"/>
        <v>40</v>
      </c>
    </row>
    <row r="1459" ht="45" customHeight="1" outlineLevel="1">
      <c r="A1459" s="69"/>
      <c r="B1459" s="3" t="s">
        <v>47</v>
      </c>
      <c r="E1459" s="2" t="s">
        <v>83</v>
      </c>
      <c r="F1459" s="6" t="s">
        <v>84</v>
      </c>
      <c r="G1459" s="5" t="s">
        <v>85</v>
      </c>
      <c r="H1459" s="2" t="s">
        <v>382</v>
      </c>
      <c r="I1459" s="3" t="s">
        <v>4056</v>
      </c>
      <c r="J1459" s="7">
        <v>1</v>
      </c>
      <c r="K1459" s="70" t="s">
        <v>53</v>
      </c>
      <c r="L1459" s="9">
        <v>1</v>
      </c>
      <c r="M1459" s="3">
        <v>1173</v>
      </c>
      <c r="N1459" s="6">
        <v>1985</v>
      </c>
      <c r="P1459" s="71"/>
      <c r="R1459" s="6">
        <v>1980</v>
      </c>
      <c r="S1459" s="3" t="s">
        <v>54</v>
      </c>
      <c r="T1459" s="72"/>
      <c r="U1459" s="73"/>
      <c r="W1459" s="2" t="s">
        <v>4057</v>
      </c>
      <c r="X1459" s="10" t="s">
        <v>91</v>
      </c>
      <c r="Y1459" s="10" t="s">
        <v>385</v>
      </c>
      <c r="Z1459" s="75"/>
      <c r="AA1459" s="76"/>
      <c r="AB1459" s="77">
        <v>36223</v>
      </c>
      <c r="AC1459" s="77">
        <v>36223</v>
      </c>
      <c r="AD1459" s="10"/>
      <c r="AE1459" s="7">
        <v>1998</v>
      </c>
      <c r="AF1459" s="7">
        <v>15</v>
      </c>
      <c r="AG1459" s="7">
        <v>1999</v>
      </c>
      <c r="AH1459" s="7">
        <v>1990</v>
      </c>
      <c r="AI1459" s="7"/>
      <c r="AJ1459" s="73"/>
      <c r="AK1459" s="7"/>
      <c r="AL1459" s="16"/>
      <c r="AM1459" s="2" t="s">
        <v>59</v>
      </c>
      <c r="AO1459" s="6" t="s">
        <v>59</v>
      </c>
      <c r="AW1459" s="6">
        <f t="shared" ca="1" si="25"/>
        <v>40</v>
      </c>
    </row>
    <row r="1460" ht="45" hidden="1" customHeight="1" outlineLevel="1">
      <c r="A1460" s="69">
        <v>42637</v>
      </c>
      <c r="B1460" s="3" t="s">
        <v>190</v>
      </c>
      <c r="C1460" s="4" t="s">
        <v>4058</v>
      </c>
      <c r="D1460" s="5" t="s">
        <v>4059</v>
      </c>
      <c r="E1460" s="2" t="s">
        <v>83</v>
      </c>
      <c r="F1460" s="6" t="s">
        <v>704</v>
      </c>
      <c r="G1460" s="5" t="s">
        <v>915</v>
      </c>
      <c r="H1460" s="2" t="s">
        <v>57</v>
      </c>
      <c r="I1460" s="3" t="s">
        <v>4060</v>
      </c>
      <c r="J1460" s="7">
        <v>1</v>
      </c>
      <c r="K1460" s="70"/>
      <c r="L1460" s="9">
        <v>1</v>
      </c>
      <c r="M1460" s="3">
        <v>1174</v>
      </c>
      <c r="N1460" s="6">
        <v>1985</v>
      </c>
      <c r="P1460" s="71"/>
      <c r="R1460" s="6">
        <v>1980</v>
      </c>
      <c r="S1460" s="3" t="s">
        <v>283</v>
      </c>
      <c r="T1460" s="72" t="s">
        <v>998</v>
      </c>
      <c r="U1460" s="73"/>
      <c r="W1460" s="74" t="s">
        <v>62</v>
      </c>
      <c r="X1460" s="10" t="s">
        <v>56</v>
      </c>
      <c r="Y1460" s="10" t="s">
        <v>57</v>
      </c>
      <c r="Z1460" s="75"/>
      <c r="AA1460" s="76"/>
      <c r="AB1460" s="77"/>
      <c r="AC1460" s="77"/>
      <c r="AD1460" s="10"/>
      <c r="AI1460" s="7"/>
      <c r="AJ1460" s="73"/>
      <c r="AK1460" s="7"/>
      <c r="AL1460" s="16"/>
      <c r="AW1460" s="6">
        <f t="shared" ca="1" si="25"/>
        <v>40</v>
      </c>
    </row>
    <row r="1461" ht="45" hidden="1" customHeight="1">
      <c r="A1461" s="69">
        <v>43402</v>
      </c>
      <c r="B1461" s="3" t="s">
        <v>47</v>
      </c>
      <c r="C1461" s="4" t="s">
        <v>4061</v>
      </c>
      <c r="D1461" s="5" t="s">
        <v>4062</v>
      </c>
      <c r="E1461" s="2" t="s">
        <v>63</v>
      </c>
      <c r="F1461" s="6" t="s">
        <v>64</v>
      </c>
      <c r="G1461" s="5" t="s">
        <v>69</v>
      </c>
      <c r="H1461" s="2" t="s">
        <v>68</v>
      </c>
      <c r="I1461" s="3" t="s">
        <v>4063</v>
      </c>
      <c r="J1461" s="7">
        <v>1</v>
      </c>
      <c r="K1461" s="70"/>
      <c r="L1461" s="9">
        <v>1</v>
      </c>
      <c r="M1461" s="3">
        <v>1175</v>
      </c>
      <c r="N1461" s="6">
        <v>1985</v>
      </c>
      <c r="P1461" s="71"/>
      <c r="R1461" s="6">
        <v>1980</v>
      </c>
      <c r="S1461" s="3" t="s">
        <v>236</v>
      </c>
      <c r="T1461" s="72" t="s">
        <v>1136</v>
      </c>
      <c r="W1461" s="2" t="s">
        <v>62</v>
      </c>
      <c r="X1461" s="10" t="s">
        <v>56</v>
      </c>
      <c r="Y1461" s="10" t="s">
        <v>68</v>
      </c>
      <c r="Z1461" s="75"/>
      <c r="AA1461" s="76"/>
      <c r="AB1461" s="77"/>
      <c r="AC1461" s="77"/>
      <c r="AD1461" s="10"/>
      <c r="AI1461" s="7"/>
      <c r="AJ1461" s="10">
        <v>43991</v>
      </c>
      <c r="AK1461" s="7">
        <v>2020</v>
      </c>
      <c r="AL1461" s="16"/>
      <c r="AW1461" s="6">
        <f t="shared" ca="1" si="25"/>
        <v>40</v>
      </c>
    </row>
    <row r="1462" ht="45" customHeight="1">
      <c r="A1462" s="69"/>
      <c r="B1462" s="3" t="s">
        <v>47</v>
      </c>
      <c r="E1462" s="2" t="s">
        <v>83</v>
      </c>
      <c r="F1462" s="6" t="s">
        <v>704</v>
      </c>
      <c r="G1462" s="5" t="s">
        <v>915</v>
      </c>
      <c r="H1462" s="2" t="s">
        <v>382</v>
      </c>
      <c r="I1462" s="3" t="s">
        <v>4064</v>
      </c>
      <c r="J1462" s="7">
        <v>1</v>
      </c>
      <c r="K1462" s="70" t="s">
        <v>53</v>
      </c>
      <c r="L1462" s="9">
        <v>1</v>
      </c>
      <c r="M1462" s="3">
        <v>1176</v>
      </c>
      <c r="N1462" s="6">
        <v>1985</v>
      </c>
      <c r="P1462" s="71"/>
      <c r="R1462" s="6">
        <v>1980</v>
      </c>
      <c r="S1462" s="3" t="s">
        <v>54</v>
      </c>
      <c r="T1462" s="72"/>
      <c r="U1462" s="73"/>
      <c r="W1462" s="2" t="s">
        <v>4065</v>
      </c>
      <c r="X1462" s="10" t="s">
        <v>91</v>
      </c>
      <c r="Y1462" s="10" t="s">
        <v>385</v>
      </c>
      <c r="Z1462" s="75"/>
      <c r="AA1462" s="76"/>
      <c r="AB1462" s="77">
        <v>36297</v>
      </c>
      <c r="AC1462" s="77">
        <v>36297</v>
      </c>
      <c r="AD1462" s="10"/>
      <c r="AE1462" s="7">
        <v>1996</v>
      </c>
      <c r="AF1462" s="7">
        <v>10</v>
      </c>
      <c r="AG1462" s="7">
        <v>1999</v>
      </c>
      <c r="AH1462" s="7">
        <v>1990</v>
      </c>
      <c r="AI1462" s="7"/>
      <c r="AJ1462" s="73"/>
      <c r="AK1462" s="7"/>
      <c r="AL1462" s="16"/>
      <c r="AM1462" s="2" t="s">
        <v>59</v>
      </c>
      <c r="AO1462" s="6" t="s">
        <v>59</v>
      </c>
      <c r="AW1462" s="6">
        <f t="shared" ca="1" si="25"/>
        <v>40</v>
      </c>
    </row>
    <row r="1463" ht="45" customHeight="1">
      <c r="A1463" s="69"/>
      <c r="B1463" s="3" t="s">
        <v>47</v>
      </c>
      <c r="E1463" s="2" t="s">
        <v>83</v>
      </c>
      <c r="F1463" s="6" t="s">
        <v>704</v>
      </c>
      <c r="G1463" s="5" t="s">
        <v>705</v>
      </c>
      <c r="H1463" s="2" t="s">
        <v>51</v>
      </c>
      <c r="I1463" s="3" t="s">
        <v>4066</v>
      </c>
      <c r="J1463" s="7">
        <v>1</v>
      </c>
      <c r="K1463" s="70" t="s">
        <v>53</v>
      </c>
      <c r="L1463" s="9">
        <v>0</v>
      </c>
      <c r="M1463" s="3">
        <v>1176</v>
      </c>
      <c r="N1463" s="6">
        <v>1985</v>
      </c>
      <c r="P1463" s="71"/>
      <c r="R1463" s="6">
        <v>1980</v>
      </c>
      <c r="S1463" s="3" t="s">
        <v>54</v>
      </c>
      <c r="T1463" s="72"/>
      <c r="U1463" s="73"/>
      <c r="W1463" s="2" t="s">
        <v>4067</v>
      </c>
      <c r="X1463" s="10" t="s">
        <v>56</v>
      </c>
      <c r="Y1463" s="10" t="s">
        <v>57</v>
      </c>
      <c r="Z1463" s="75" t="s">
        <v>58</v>
      </c>
      <c r="AA1463" s="76"/>
      <c r="AB1463" s="77">
        <v>36297</v>
      </c>
      <c r="AC1463" s="77">
        <v>36297</v>
      </c>
      <c r="AD1463" s="10"/>
      <c r="AE1463" s="7">
        <v>1996</v>
      </c>
      <c r="AF1463" s="7">
        <v>10</v>
      </c>
      <c r="AG1463" s="7">
        <v>1999</v>
      </c>
      <c r="AH1463" s="7">
        <v>1990</v>
      </c>
      <c r="AI1463" s="7"/>
      <c r="AJ1463" s="73"/>
      <c r="AK1463" s="7"/>
      <c r="AL1463" s="16"/>
      <c r="AM1463" s="2" t="s">
        <v>59</v>
      </c>
      <c r="AW1463" s="6">
        <f t="shared" ca="1" si="25"/>
        <v>40</v>
      </c>
    </row>
    <row r="1464" ht="45" hidden="1" customHeight="1" outlineLevel="1">
      <c r="A1464" s="69"/>
      <c r="B1464" s="3" t="s">
        <v>47</v>
      </c>
      <c r="C1464" s="4" t="s">
        <v>4068</v>
      </c>
      <c r="E1464" s="2" t="s">
        <v>63</v>
      </c>
      <c r="F1464" s="6" t="s">
        <v>172</v>
      </c>
      <c r="G1464" s="5" t="s">
        <v>173</v>
      </c>
      <c r="H1464" s="2" t="s">
        <v>57</v>
      </c>
      <c r="I1464" s="3" t="s">
        <v>4069</v>
      </c>
      <c r="J1464" s="7">
        <v>1</v>
      </c>
      <c r="K1464" s="70"/>
      <c r="L1464" s="9">
        <v>1</v>
      </c>
      <c r="M1464" s="3">
        <v>1177</v>
      </c>
      <c r="N1464" s="6">
        <v>1985</v>
      </c>
      <c r="P1464" s="71"/>
      <c r="R1464" s="6">
        <v>1980</v>
      </c>
      <c r="S1464" s="3" t="s">
        <v>236</v>
      </c>
      <c r="T1464" s="72"/>
      <c r="U1464" s="73"/>
      <c r="W1464" s="2" t="s">
        <v>62</v>
      </c>
      <c r="X1464" s="10" t="s">
        <v>56</v>
      </c>
      <c r="Y1464" s="10" t="s">
        <v>57</v>
      </c>
      <c r="Z1464" s="75"/>
      <c r="AA1464" s="76"/>
      <c r="AB1464" s="77"/>
      <c r="AC1464" s="77"/>
      <c r="AD1464" s="10"/>
      <c r="AI1464" s="7"/>
      <c r="AJ1464" s="95">
        <v>31322</v>
      </c>
      <c r="AK1464" s="7">
        <v>1980</v>
      </c>
      <c r="AL1464" s="16"/>
      <c r="AW1464" s="6">
        <f t="shared" ca="1" si="25"/>
        <v>40</v>
      </c>
    </row>
    <row r="1465" ht="45" hidden="1" customHeight="1">
      <c r="A1465" s="69"/>
      <c r="B1465" s="3" t="s">
        <v>47</v>
      </c>
      <c r="C1465" s="4" t="s">
        <v>4070</v>
      </c>
      <c r="E1465" s="2" t="s">
        <v>83</v>
      </c>
      <c r="F1465" s="6" t="s">
        <v>179</v>
      </c>
      <c r="G1465" s="5" t="s">
        <v>4071</v>
      </c>
      <c r="H1465" s="2" t="s">
        <v>57</v>
      </c>
      <c r="I1465" s="3" t="s">
        <v>4072</v>
      </c>
      <c r="J1465" s="7">
        <v>1</v>
      </c>
      <c r="K1465" s="70"/>
      <c r="L1465" s="9">
        <v>1</v>
      </c>
      <c r="M1465" s="3">
        <v>1178</v>
      </c>
      <c r="N1465" s="6">
        <v>1985</v>
      </c>
      <c r="P1465" s="71"/>
      <c r="R1465" s="6">
        <v>1980</v>
      </c>
      <c r="S1465" s="3" t="s">
        <v>236</v>
      </c>
      <c r="T1465" s="72"/>
      <c r="U1465" s="73"/>
      <c r="W1465" s="2" t="s">
        <v>62</v>
      </c>
      <c r="X1465" s="10" t="s">
        <v>56</v>
      </c>
      <c r="Y1465" s="10" t="s">
        <v>57</v>
      </c>
      <c r="Z1465" s="75"/>
      <c r="AA1465" s="76"/>
      <c r="AB1465" s="77"/>
      <c r="AC1465" s="77"/>
      <c r="AD1465" s="10"/>
      <c r="AI1465" s="7"/>
      <c r="AJ1465" s="95">
        <v>33004</v>
      </c>
      <c r="AK1465" s="7">
        <v>1990</v>
      </c>
      <c r="AL1465" s="16"/>
      <c r="AU1465" s="16" t="s">
        <v>4073</v>
      </c>
      <c r="AW1465" s="6">
        <f t="shared" ca="1" si="25"/>
        <v>40</v>
      </c>
    </row>
    <row r="1466" ht="45" customHeight="1">
      <c r="A1466" s="69"/>
      <c r="B1466" s="3" t="s">
        <v>47</v>
      </c>
      <c r="E1466" s="2" t="s">
        <v>694</v>
      </c>
      <c r="F1466" s="6" t="s">
        <v>2495</v>
      </c>
      <c r="G1466" s="5" t="s">
        <v>2496</v>
      </c>
      <c r="H1466" s="2" t="s">
        <v>68</v>
      </c>
      <c r="I1466" s="3" t="s">
        <v>4074</v>
      </c>
      <c r="J1466" s="7">
        <v>1</v>
      </c>
      <c r="K1466" s="70" t="s">
        <v>53</v>
      </c>
      <c r="L1466" s="9">
        <v>1</v>
      </c>
      <c r="M1466" s="3">
        <v>1179</v>
      </c>
      <c r="N1466" s="6">
        <v>1985</v>
      </c>
      <c r="P1466" s="71"/>
      <c r="R1466" s="6">
        <v>1980</v>
      </c>
      <c r="S1466" s="3" t="s">
        <v>54</v>
      </c>
      <c r="T1466" s="72"/>
      <c r="U1466" s="73"/>
      <c r="W1466" s="2" t="s">
        <v>4075</v>
      </c>
      <c r="X1466" s="10" t="s">
        <v>56</v>
      </c>
      <c r="Y1466" s="10" t="s">
        <v>68</v>
      </c>
      <c r="Z1466" s="75" t="s">
        <v>260</v>
      </c>
      <c r="AA1466" s="76"/>
      <c r="AB1466" s="77">
        <v>31959</v>
      </c>
      <c r="AC1466" s="77">
        <v>31959</v>
      </c>
      <c r="AD1466" s="10"/>
      <c r="AE1466" s="7">
        <v>1986</v>
      </c>
      <c r="AF1466" s="7">
        <v>122</v>
      </c>
      <c r="AG1466" s="7">
        <v>1987</v>
      </c>
      <c r="AH1466" s="7">
        <v>1980</v>
      </c>
      <c r="AI1466" s="7"/>
      <c r="AJ1466" s="73"/>
      <c r="AK1466" s="7"/>
      <c r="AL1466" s="16"/>
      <c r="AM1466" s="2" t="s">
        <v>59</v>
      </c>
      <c r="AN1466" s="6" t="s">
        <v>73</v>
      </c>
      <c r="AO1466" s="6" t="s">
        <v>59</v>
      </c>
      <c r="AP1466" s="6" t="s">
        <v>73</v>
      </c>
      <c r="AQ1466" s="5" t="s">
        <v>73</v>
      </c>
      <c r="AW1466" s="6">
        <f t="shared" ca="1" si="25"/>
        <v>40</v>
      </c>
    </row>
    <row r="1467" ht="45" customHeight="1">
      <c r="A1467" s="69"/>
      <c r="B1467" s="3" t="s">
        <v>47</v>
      </c>
      <c r="E1467" s="2" t="s">
        <v>1074</v>
      </c>
      <c r="F1467" s="6" t="s">
        <v>2092</v>
      </c>
      <c r="G1467" s="5" t="s">
        <v>2099</v>
      </c>
      <c r="H1467" s="2" t="s">
        <v>288</v>
      </c>
      <c r="I1467" s="3" t="s">
        <v>4076</v>
      </c>
      <c r="J1467" s="7">
        <v>1</v>
      </c>
      <c r="K1467" s="70" t="s">
        <v>53</v>
      </c>
      <c r="L1467" s="9">
        <v>1</v>
      </c>
      <c r="M1467" s="3">
        <v>1180</v>
      </c>
      <c r="N1467" s="6">
        <v>1985</v>
      </c>
      <c r="P1467" s="71"/>
      <c r="R1467" s="6">
        <v>1980</v>
      </c>
      <c r="S1467" s="3" t="s">
        <v>54</v>
      </c>
      <c r="T1467" s="72"/>
      <c r="U1467" s="73"/>
      <c r="W1467" s="2" t="s">
        <v>4077</v>
      </c>
      <c r="X1467" s="10" t="s">
        <v>56</v>
      </c>
      <c r="Y1467" s="10" t="s">
        <v>288</v>
      </c>
      <c r="Z1467" s="75"/>
      <c r="AA1467" s="76">
        <v>34052</v>
      </c>
      <c r="AB1467" s="77">
        <v>34052</v>
      </c>
      <c r="AC1467" s="77">
        <v>34052</v>
      </c>
      <c r="AD1467" s="10"/>
      <c r="AE1467" s="7">
        <v>1988</v>
      </c>
      <c r="AF1467" s="7">
        <v>134</v>
      </c>
      <c r="AG1467" s="7">
        <v>1993</v>
      </c>
      <c r="AH1467" s="7">
        <v>1990</v>
      </c>
      <c r="AI1467" s="7"/>
      <c r="AJ1467" s="73"/>
      <c r="AK1467" s="7"/>
      <c r="AL1467" s="16"/>
      <c r="AM1467" s="2" t="s">
        <v>53</v>
      </c>
      <c r="AN1467" s="6" t="s">
        <v>73</v>
      </c>
      <c r="AO1467" s="6" t="s">
        <v>48</v>
      </c>
      <c r="AP1467" s="6" t="s">
        <v>73</v>
      </c>
      <c r="AQ1467" s="5" t="s">
        <v>73</v>
      </c>
      <c r="AR1467" s="2" t="s">
        <v>104</v>
      </c>
      <c r="AU1467" s="16" t="s">
        <v>718</v>
      </c>
      <c r="AW1467" s="6">
        <f t="shared" ca="1" si="25"/>
        <v>40</v>
      </c>
    </row>
    <row r="1468" ht="45" customHeight="1">
      <c r="A1468" s="69"/>
      <c r="B1468" s="3" t="s">
        <v>47</v>
      </c>
      <c r="E1468" s="2" t="s">
        <v>1074</v>
      </c>
      <c r="F1468" s="6" t="s">
        <v>1075</v>
      </c>
      <c r="G1468" s="5" t="s">
        <v>1076</v>
      </c>
      <c r="H1468" s="2" t="s">
        <v>288</v>
      </c>
      <c r="I1468" s="3" t="s">
        <v>4078</v>
      </c>
      <c r="J1468" s="7">
        <v>1</v>
      </c>
      <c r="K1468" s="70" t="s">
        <v>53</v>
      </c>
      <c r="L1468" s="9">
        <v>1</v>
      </c>
      <c r="M1468" s="3">
        <v>1181</v>
      </c>
      <c r="N1468" s="6">
        <v>1985</v>
      </c>
      <c r="P1468" s="71"/>
      <c r="R1468" s="6">
        <v>1980</v>
      </c>
      <c r="S1468" s="3" t="s">
        <v>54</v>
      </c>
      <c r="T1468" s="72"/>
      <c r="U1468" s="73"/>
      <c r="W1468" s="2" t="s">
        <v>4079</v>
      </c>
      <c r="X1468" s="10" t="s">
        <v>56</v>
      </c>
      <c r="Y1468" s="10" t="s">
        <v>288</v>
      </c>
      <c r="Z1468" s="75"/>
      <c r="AA1468" s="76">
        <v>32883</v>
      </c>
      <c r="AB1468" s="77">
        <v>32883</v>
      </c>
      <c r="AC1468" s="77"/>
      <c r="AD1468" s="6"/>
      <c r="AE1468" s="7">
        <v>1988</v>
      </c>
      <c r="AF1468" s="7">
        <v>135</v>
      </c>
      <c r="AG1468" s="7">
        <v>1990</v>
      </c>
      <c r="AH1468" s="7">
        <v>1990</v>
      </c>
      <c r="AI1468" s="7"/>
      <c r="AJ1468" s="73"/>
      <c r="AK1468" s="7"/>
      <c r="AL1468" s="16"/>
      <c r="AM1468" s="2" t="s">
        <v>53</v>
      </c>
      <c r="AN1468" s="6" t="s">
        <v>73</v>
      </c>
      <c r="AO1468" s="6" t="s">
        <v>53</v>
      </c>
      <c r="AP1468" s="6" t="s">
        <v>73</v>
      </c>
      <c r="AQ1468" s="5" t="s">
        <v>73</v>
      </c>
      <c r="AR1468" s="2" t="s">
        <v>73</v>
      </c>
      <c r="AS1468" s="6" t="s">
        <v>73</v>
      </c>
      <c r="AT1468" s="6" t="s">
        <v>4080</v>
      </c>
      <c r="AU1468" s="16" t="s">
        <v>4081</v>
      </c>
      <c r="AW1468" s="6">
        <f t="shared" ca="1" si="25"/>
        <v>40</v>
      </c>
    </row>
    <row r="1469" ht="45" customHeight="1">
      <c r="A1469" s="69"/>
      <c r="B1469" s="3" t="s">
        <v>47</v>
      </c>
      <c r="E1469" s="2" t="s">
        <v>1074</v>
      </c>
      <c r="F1469" s="6" t="s">
        <v>2026</v>
      </c>
      <c r="G1469" s="5" t="s">
        <v>3139</v>
      </c>
      <c r="H1469" s="2" t="s">
        <v>288</v>
      </c>
      <c r="I1469" s="3" t="s">
        <v>4082</v>
      </c>
      <c r="J1469" s="7">
        <v>1</v>
      </c>
      <c r="K1469" s="70" t="s">
        <v>53</v>
      </c>
      <c r="L1469" s="9">
        <v>1</v>
      </c>
      <c r="M1469" s="3">
        <v>1182</v>
      </c>
      <c r="N1469" s="6">
        <v>1985</v>
      </c>
      <c r="P1469" s="71"/>
      <c r="R1469" s="6">
        <v>1980</v>
      </c>
      <c r="S1469" s="3" t="s">
        <v>54</v>
      </c>
      <c r="T1469" s="72"/>
      <c r="U1469" s="73"/>
      <c r="W1469" s="2" t="s">
        <v>4083</v>
      </c>
      <c r="X1469" s="10" t="s">
        <v>56</v>
      </c>
      <c r="Y1469" s="10" t="s">
        <v>288</v>
      </c>
      <c r="Z1469" s="75"/>
      <c r="AA1469" s="76">
        <v>34240</v>
      </c>
      <c r="AB1469" s="77">
        <v>34240</v>
      </c>
      <c r="AC1469" s="77">
        <v>34240</v>
      </c>
      <c r="AD1469" s="10"/>
      <c r="AE1469" s="7">
        <v>1992</v>
      </c>
      <c r="AF1469" s="7">
        <v>2</v>
      </c>
      <c r="AG1469" s="7">
        <v>1993</v>
      </c>
      <c r="AH1469" s="7">
        <v>1990</v>
      </c>
      <c r="AI1469" s="7"/>
      <c r="AJ1469" s="73"/>
      <c r="AK1469" s="7"/>
      <c r="AL1469" s="16"/>
      <c r="AM1469" s="2" t="s">
        <v>53</v>
      </c>
      <c r="AN1469" s="6" t="s">
        <v>73</v>
      </c>
      <c r="AO1469" s="6" t="s">
        <v>53</v>
      </c>
      <c r="AP1469" s="6" t="s">
        <v>73</v>
      </c>
      <c r="AQ1469" s="5" t="s">
        <v>73</v>
      </c>
      <c r="AS1469" s="6" t="s">
        <v>73</v>
      </c>
      <c r="AU1469" s="16" t="s">
        <v>4084</v>
      </c>
      <c r="AW1469" s="6">
        <f t="shared" ca="1" si="25"/>
        <v>40</v>
      </c>
    </row>
    <row r="1470" ht="45" customHeight="1">
      <c r="A1470" s="69"/>
      <c r="B1470" s="3" t="s">
        <v>47</v>
      </c>
      <c r="E1470" s="2" t="s">
        <v>83</v>
      </c>
      <c r="F1470" s="6" t="s">
        <v>704</v>
      </c>
      <c r="G1470" s="5" t="s">
        <v>3063</v>
      </c>
      <c r="H1470" s="2" t="s">
        <v>257</v>
      </c>
      <c r="I1470" s="3" t="s">
        <v>4085</v>
      </c>
      <c r="J1470" s="7">
        <v>1</v>
      </c>
      <c r="K1470" s="70" t="s">
        <v>53</v>
      </c>
      <c r="L1470" s="9">
        <v>1</v>
      </c>
      <c r="M1470" s="3">
        <v>1183</v>
      </c>
      <c r="N1470" s="6">
        <v>1985</v>
      </c>
      <c r="P1470" s="71"/>
      <c r="R1470" s="6">
        <v>1980</v>
      </c>
      <c r="S1470" s="3" t="s">
        <v>54</v>
      </c>
      <c r="T1470" s="72"/>
      <c r="U1470" s="73"/>
      <c r="W1470" s="2" t="s">
        <v>4086</v>
      </c>
      <c r="X1470" s="10" t="s">
        <v>56</v>
      </c>
      <c r="Y1470" s="10" t="s">
        <v>68</v>
      </c>
      <c r="Z1470" s="75" t="s">
        <v>260</v>
      </c>
      <c r="AA1470" s="76">
        <v>32064</v>
      </c>
      <c r="AB1470" s="77">
        <v>32064</v>
      </c>
      <c r="AC1470" s="77">
        <v>32064</v>
      </c>
      <c r="AD1470" s="10"/>
      <c r="AE1470" s="7">
        <v>1986</v>
      </c>
      <c r="AF1470" s="7">
        <v>122</v>
      </c>
      <c r="AG1470" s="7">
        <v>1987</v>
      </c>
      <c r="AH1470" s="7">
        <v>1980</v>
      </c>
      <c r="AI1470" s="7"/>
      <c r="AJ1470" s="73"/>
      <c r="AK1470" s="7"/>
      <c r="AL1470" s="16"/>
      <c r="AM1470" s="2" t="s">
        <v>59</v>
      </c>
      <c r="AW1470" s="6">
        <f t="shared" ca="1" si="25"/>
        <v>40</v>
      </c>
    </row>
    <row r="1471" ht="45" hidden="1" customHeight="1">
      <c r="A1471" s="69"/>
      <c r="B1471" s="3" t="s">
        <v>47</v>
      </c>
      <c r="C1471" s="4" t="s">
        <v>4087</v>
      </c>
      <c r="D1471" s="5" t="s">
        <v>4034</v>
      </c>
      <c r="E1471" s="2" t="s">
        <v>48</v>
      </c>
      <c r="F1471" s="6" t="s">
        <v>564</v>
      </c>
      <c r="G1471" s="5" t="s">
        <v>4035</v>
      </c>
      <c r="H1471" s="2" t="s">
        <v>491</v>
      </c>
      <c r="I1471" s="3" t="s">
        <v>4088</v>
      </c>
      <c r="J1471" s="7">
        <v>1</v>
      </c>
      <c r="K1471" s="70"/>
      <c r="L1471" s="9">
        <v>1</v>
      </c>
      <c r="M1471" s="3">
        <v>1184</v>
      </c>
      <c r="N1471" s="6">
        <v>1985</v>
      </c>
      <c r="O1471" s="10" t="s">
        <v>4089</v>
      </c>
      <c r="P1471" s="71" t="s">
        <v>4090</v>
      </c>
      <c r="Q1471" s="10">
        <v>31385</v>
      </c>
      <c r="R1471" s="6">
        <v>1980</v>
      </c>
      <c r="S1471" s="3" t="s">
        <v>236</v>
      </c>
      <c r="T1471" s="72"/>
      <c r="U1471" s="73"/>
      <c r="W1471" s="2" t="s">
        <v>62</v>
      </c>
      <c r="X1471" s="10" t="s">
        <v>56</v>
      </c>
      <c r="Y1471" s="10" t="s">
        <v>523</v>
      </c>
      <c r="Z1471" s="75"/>
      <c r="AA1471" s="76"/>
      <c r="AB1471" s="77"/>
      <c r="AC1471" s="77"/>
      <c r="AD1471" s="10"/>
      <c r="AI1471" s="7"/>
      <c r="AJ1471" s="10">
        <v>42173</v>
      </c>
      <c r="AK1471" s="7">
        <v>2010</v>
      </c>
      <c r="AL1471" s="16"/>
      <c r="AW1471" s="6">
        <f t="shared" ca="1" si="25"/>
        <v>40</v>
      </c>
    </row>
    <row r="1472" ht="45" customHeight="1">
      <c r="A1472" s="69"/>
      <c r="B1472" s="3" t="s">
        <v>47</v>
      </c>
      <c r="E1472" s="2" t="s">
        <v>83</v>
      </c>
      <c r="F1472" s="6" t="s">
        <v>179</v>
      </c>
      <c r="G1472" s="5" t="s">
        <v>2824</v>
      </c>
      <c r="H1472" s="2" t="s">
        <v>68</v>
      </c>
      <c r="I1472" s="3" t="s">
        <v>4091</v>
      </c>
      <c r="J1472" s="7">
        <v>1</v>
      </c>
      <c r="K1472" s="70" t="s">
        <v>53</v>
      </c>
      <c r="L1472" s="9">
        <v>1</v>
      </c>
      <c r="M1472" s="3">
        <v>1185</v>
      </c>
      <c r="N1472" s="6">
        <v>1985</v>
      </c>
      <c r="P1472" s="71"/>
      <c r="R1472" s="6">
        <v>1980</v>
      </c>
      <c r="S1472" s="3" t="s">
        <v>54</v>
      </c>
      <c r="T1472" s="72"/>
      <c r="U1472" s="73"/>
      <c r="W1472" s="2" t="s">
        <v>4092</v>
      </c>
      <c r="X1472" s="112" t="s">
        <v>56</v>
      </c>
      <c r="Y1472" s="112" t="s">
        <v>68</v>
      </c>
      <c r="Z1472" s="113"/>
      <c r="AA1472" s="76"/>
      <c r="AB1472" s="77">
        <v>32723</v>
      </c>
      <c r="AC1472" s="77">
        <v>32723</v>
      </c>
      <c r="AD1472" s="10"/>
      <c r="AE1472" s="7">
        <v>1986</v>
      </c>
      <c r="AF1472" s="7">
        <v>124</v>
      </c>
      <c r="AG1472" s="7">
        <v>1989</v>
      </c>
      <c r="AH1472" s="7">
        <v>1980</v>
      </c>
      <c r="AI1472" s="7"/>
      <c r="AJ1472" s="73"/>
      <c r="AK1472" s="7"/>
      <c r="AL1472" s="16"/>
      <c r="AS1472" s="6" t="s">
        <v>73</v>
      </c>
      <c r="AT1472" s="6">
        <v>1994</v>
      </c>
      <c r="AU1472" s="5" t="s">
        <v>4093</v>
      </c>
      <c r="AV1472" s="111"/>
      <c r="AW1472" s="6">
        <f t="shared" ca="1" si="25"/>
        <v>40</v>
      </c>
    </row>
    <row r="1473" ht="45" customHeight="1">
      <c r="A1473" s="69"/>
      <c r="B1473" s="3" t="s">
        <v>47</v>
      </c>
      <c r="E1473" s="2" t="s">
        <v>83</v>
      </c>
      <c r="F1473" s="6" t="s">
        <v>84</v>
      </c>
      <c r="G1473" s="5" t="s">
        <v>85</v>
      </c>
      <c r="H1473" s="2" t="s">
        <v>57</v>
      </c>
      <c r="I1473" s="3" t="s">
        <v>4094</v>
      </c>
      <c r="J1473" s="7">
        <v>1</v>
      </c>
      <c r="K1473" s="70" t="s">
        <v>53</v>
      </c>
      <c r="L1473" s="9">
        <v>1</v>
      </c>
      <c r="M1473" s="3">
        <v>1186</v>
      </c>
      <c r="N1473" s="6">
        <v>1985</v>
      </c>
      <c r="P1473" s="71"/>
      <c r="R1473" s="6">
        <v>1980</v>
      </c>
      <c r="S1473" s="3" t="s">
        <v>54</v>
      </c>
      <c r="T1473" s="72"/>
      <c r="U1473" s="73"/>
      <c r="W1473" s="2" t="s">
        <v>4095</v>
      </c>
      <c r="X1473" s="10" t="s">
        <v>56</v>
      </c>
      <c r="Y1473" s="10" t="s">
        <v>57</v>
      </c>
      <c r="Z1473" s="75"/>
      <c r="AA1473" s="76"/>
      <c r="AB1473" s="77">
        <v>31638</v>
      </c>
      <c r="AC1473" s="77">
        <v>31638</v>
      </c>
      <c r="AD1473" s="10"/>
      <c r="AE1473" s="7">
        <v>1986</v>
      </c>
      <c r="AF1473" s="7">
        <v>120</v>
      </c>
      <c r="AG1473" s="7">
        <v>1986</v>
      </c>
      <c r="AH1473" s="7">
        <v>1980</v>
      </c>
      <c r="AI1473" s="7"/>
      <c r="AJ1473" s="73"/>
      <c r="AK1473" s="7"/>
      <c r="AL1473" s="16"/>
      <c r="AM1473" s="2" t="s">
        <v>59</v>
      </c>
      <c r="AW1473" s="6">
        <f t="shared" ca="1" si="25"/>
        <v>40</v>
      </c>
    </row>
    <row r="1474" ht="45" customHeight="1">
      <c r="A1474" s="69"/>
      <c r="B1474" s="3" t="s">
        <v>47</v>
      </c>
      <c r="E1474" s="2" t="s">
        <v>1074</v>
      </c>
      <c r="F1474" s="6" t="s">
        <v>2154</v>
      </c>
      <c r="G1474" s="5" t="s">
        <v>2155</v>
      </c>
      <c r="H1474" s="2" t="s">
        <v>382</v>
      </c>
      <c r="I1474" s="3" t="s">
        <v>4096</v>
      </c>
      <c r="J1474" s="7">
        <v>1</v>
      </c>
      <c r="K1474" s="70" t="s">
        <v>53</v>
      </c>
      <c r="L1474" s="9">
        <v>1</v>
      </c>
      <c r="M1474" s="3">
        <v>1187</v>
      </c>
      <c r="N1474" s="6">
        <v>1985</v>
      </c>
      <c r="P1474" s="71"/>
      <c r="R1474" s="6">
        <v>1980</v>
      </c>
      <c r="S1474" s="3" t="s">
        <v>54</v>
      </c>
      <c r="T1474" s="72"/>
      <c r="U1474" s="73"/>
      <c r="W1474" s="2" t="s">
        <v>4097</v>
      </c>
      <c r="X1474" s="10" t="s">
        <v>91</v>
      </c>
      <c r="Y1474" s="10" t="s">
        <v>385</v>
      </c>
      <c r="Z1474" s="75"/>
      <c r="AA1474" s="76"/>
      <c r="AB1474" s="77">
        <v>31638</v>
      </c>
      <c r="AC1474" s="77"/>
      <c r="AD1474" s="6"/>
      <c r="AE1474" s="7">
        <v>1986</v>
      </c>
      <c r="AF1474" s="7">
        <v>119</v>
      </c>
      <c r="AG1474" s="7">
        <v>1986</v>
      </c>
      <c r="AH1474" s="7">
        <v>1980</v>
      </c>
      <c r="AI1474" s="7"/>
      <c r="AJ1474" s="73"/>
      <c r="AK1474" s="7"/>
      <c r="AL1474" s="16"/>
      <c r="AM1474" s="2" t="s">
        <v>59</v>
      </c>
      <c r="AO1474" s="6" t="s">
        <v>59</v>
      </c>
      <c r="AW1474" s="6">
        <f t="shared" ca="1" si="25"/>
        <v>40</v>
      </c>
    </row>
    <row r="1475" ht="45" hidden="1" customHeight="1">
      <c r="A1475" s="132"/>
      <c r="B1475" s="3" t="s">
        <v>190</v>
      </c>
      <c r="C1475" s="144" t="s">
        <v>4098</v>
      </c>
      <c r="D1475" s="117" t="s">
        <v>4099</v>
      </c>
      <c r="E1475" s="2" t="s">
        <v>83</v>
      </c>
      <c r="F1475" s="6" t="s">
        <v>179</v>
      </c>
      <c r="G1475" s="5" t="s">
        <v>4100</v>
      </c>
      <c r="H1475" s="2" t="s">
        <v>257</v>
      </c>
      <c r="I1475" s="3" t="s">
        <v>4101</v>
      </c>
      <c r="J1475" s="7">
        <v>1</v>
      </c>
      <c r="K1475" s="145"/>
      <c r="L1475" s="9">
        <v>1</v>
      </c>
      <c r="M1475" s="3">
        <v>1188</v>
      </c>
      <c r="N1475" s="6">
        <v>1986</v>
      </c>
      <c r="P1475" s="71"/>
      <c r="R1475" s="6">
        <v>1980</v>
      </c>
      <c r="S1475" s="3" t="s">
        <v>283</v>
      </c>
      <c r="T1475" s="72"/>
      <c r="U1475" s="73"/>
      <c r="W1475" s="74" t="s">
        <v>62</v>
      </c>
      <c r="X1475" s="10" t="s">
        <v>56</v>
      </c>
      <c r="Y1475" s="10" t="s">
        <v>68</v>
      </c>
      <c r="Z1475" s="75" t="s">
        <v>260</v>
      </c>
      <c r="AA1475" s="137"/>
      <c r="AB1475" s="138"/>
      <c r="AC1475" s="138"/>
      <c r="AD1475" s="141"/>
      <c r="AE1475" s="139"/>
      <c r="AG1475" s="139"/>
      <c r="AH1475" s="139"/>
      <c r="AI1475" s="139"/>
      <c r="AJ1475" s="160"/>
      <c r="AK1475" s="139"/>
      <c r="AL1475" s="16"/>
      <c r="AO1475" s="141"/>
      <c r="AP1475" s="141"/>
      <c r="AQ1475" s="117"/>
      <c r="AR1475" s="142"/>
      <c r="AS1475" s="141"/>
      <c r="AT1475" s="141"/>
      <c r="AU1475" s="140"/>
      <c r="AV1475" s="143"/>
      <c r="AW1475" s="6">
        <f t="shared" ca="1" si="25"/>
        <v>39</v>
      </c>
    </row>
    <row r="1476" ht="45" hidden="1" customHeight="1">
      <c r="A1476" s="69"/>
      <c r="B1476" s="3" t="s">
        <v>47</v>
      </c>
      <c r="C1476" s="4" t="s">
        <v>4102</v>
      </c>
      <c r="D1476" s="5" t="s">
        <v>4103</v>
      </c>
      <c r="E1476" s="2" t="s">
        <v>83</v>
      </c>
      <c r="F1476" s="6" t="s">
        <v>179</v>
      </c>
      <c r="G1476" s="5" t="s">
        <v>4104</v>
      </c>
      <c r="H1476" s="2" t="s">
        <v>508</v>
      </c>
      <c r="I1476" s="3" t="s">
        <v>4105</v>
      </c>
      <c r="J1476" s="7">
        <v>1</v>
      </c>
      <c r="K1476" s="104"/>
      <c r="L1476" s="9">
        <v>1</v>
      </c>
      <c r="M1476" s="3">
        <v>1189</v>
      </c>
      <c r="N1476" s="6">
        <v>1986</v>
      </c>
      <c r="P1476" s="71"/>
      <c r="R1476" s="6">
        <v>1980</v>
      </c>
      <c r="S1476" s="3" t="s">
        <v>236</v>
      </c>
      <c r="T1476" s="72"/>
      <c r="U1476" s="73"/>
      <c r="W1476" s="2" t="s">
        <v>62</v>
      </c>
      <c r="X1476" s="10" t="s">
        <v>504</v>
      </c>
      <c r="Y1476" s="10" t="s">
        <v>511</v>
      </c>
      <c r="Z1476" s="75"/>
      <c r="AA1476" s="76"/>
      <c r="AB1476" s="77"/>
      <c r="AC1476" s="77"/>
      <c r="AD1476" s="6"/>
      <c r="AI1476" s="7"/>
      <c r="AK1476" s="7"/>
      <c r="AL1476" s="16"/>
      <c r="AW1476" s="6">
        <f t="shared" ca="1" si="25"/>
        <v>39</v>
      </c>
    </row>
    <row r="1477" ht="45" hidden="1" customHeight="1">
      <c r="A1477" s="69"/>
      <c r="B1477" s="3" t="s">
        <v>47</v>
      </c>
      <c r="C1477" s="4" t="s">
        <v>4106</v>
      </c>
      <c r="D1477" s="5" t="s">
        <v>4107</v>
      </c>
      <c r="E1477" s="2" t="s">
        <v>83</v>
      </c>
      <c r="F1477" s="6" t="s">
        <v>704</v>
      </c>
      <c r="G1477" s="5" t="s">
        <v>4108</v>
      </c>
      <c r="H1477" s="2" t="s">
        <v>57</v>
      </c>
      <c r="I1477" s="3" t="s">
        <v>4109</v>
      </c>
      <c r="J1477" s="7">
        <v>1</v>
      </c>
      <c r="K1477" s="104"/>
      <c r="L1477" s="9">
        <v>1</v>
      </c>
      <c r="M1477" s="3">
        <v>1190</v>
      </c>
      <c r="N1477" s="6">
        <v>1986</v>
      </c>
      <c r="P1477" s="71"/>
      <c r="R1477" s="6">
        <v>1980</v>
      </c>
      <c r="S1477" s="3" t="s">
        <v>236</v>
      </c>
      <c r="T1477" s="72"/>
      <c r="U1477" s="73"/>
      <c r="W1477" s="2" t="s">
        <v>62</v>
      </c>
      <c r="X1477" s="10" t="s">
        <v>56</v>
      </c>
      <c r="Y1477" s="10" t="s">
        <v>57</v>
      </c>
      <c r="Z1477" s="75"/>
      <c r="AA1477" s="76"/>
      <c r="AB1477" s="77"/>
      <c r="AC1477" s="77"/>
      <c r="AD1477" s="6"/>
      <c r="AI1477" s="7"/>
      <c r="AJ1477" s="10">
        <v>43515</v>
      </c>
      <c r="AK1477" s="7">
        <v>2010</v>
      </c>
      <c r="AL1477" s="16"/>
      <c r="AW1477" s="6">
        <f t="shared" ca="1" si="25"/>
        <v>39</v>
      </c>
    </row>
    <row r="1478" ht="45" customHeight="1">
      <c r="A1478" s="69"/>
      <c r="B1478" s="3" t="s">
        <v>47</v>
      </c>
      <c r="E1478" s="2" t="s">
        <v>83</v>
      </c>
      <c r="F1478" s="6" t="s">
        <v>179</v>
      </c>
      <c r="G1478" s="5" t="s">
        <v>2553</v>
      </c>
      <c r="H1478" s="2" t="s">
        <v>51</v>
      </c>
      <c r="I1478" s="3" t="s">
        <v>4110</v>
      </c>
      <c r="J1478" s="7">
        <v>1</v>
      </c>
      <c r="K1478" s="70" t="s">
        <v>53</v>
      </c>
      <c r="L1478" s="9">
        <v>1</v>
      </c>
      <c r="M1478" s="3">
        <v>1191</v>
      </c>
      <c r="N1478" s="6">
        <v>1986</v>
      </c>
      <c r="P1478" s="71"/>
      <c r="R1478" s="6">
        <v>1980</v>
      </c>
      <c r="S1478" s="3" t="s">
        <v>54</v>
      </c>
      <c r="T1478" s="72"/>
      <c r="U1478" s="73"/>
      <c r="W1478" s="2" t="s">
        <v>4111</v>
      </c>
      <c r="X1478" s="10" t="s">
        <v>56</v>
      </c>
      <c r="Y1478" s="10" t="s">
        <v>57</v>
      </c>
      <c r="Z1478" s="75" t="s">
        <v>58</v>
      </c>
      <c r="AA1478" s="76"/>
      <c r="AB1478" s="77">
        <v>32307</v>
      </c>
      <c r="AC1478" s="77">
        <v>32307</v>
      </c>
      <c r="AD1478" s="10"/>
      <c r="AE1478" s="7">
        <v>1986</v>
      </c>
      <c r="AF1478" s="7">
        <v>125</v>
      </c>
      <c r="AG1478" s="7">
        <v>1988</v>
      </c>
      <c r="AH1478" s="7">
        <v>1980</v>
      </c>
      <c r="AI1478" s="7"/>
      <c r="AJ1478" s="73"/>
      <c r="AK1478" s="7"/>
      <c r="AL1478" s="16"/>
      <c r="AM1478" s="2" t="s">
        <v>59</v>
      </c>
      <c r="AU1478" s="16" t="s">
        <v>2559</v>
      </c>
      <c r="AW1478" s="6">
        <f t="shared" ca="1" si="25"/>
        <v>39</v>
      </c>
    </row>
    <row r="1479" ht="45" customHeight="1">
      <c r="A1479" s="69"/>
      <c r="B1479" s="3" t="s">
        <v>47</v>
      </c>
      <c r="E1479" s="2" t="s">
        <v>694</v>
      </c>
      <c r="F1479" s="6" t="s">
        <v>2495</v>
      </c>
      <c r="G1479" s="5" t="s">
        <v>2496</v>
      </c>
      <c r="H1479" s="2" t="s">
        <v>68</v>
      </c>
      <c r="I1479" s="3" t="s">
        <v>4112</v>
      </c>
      <c r="J1479" s="7">
        <v>1</v>
      </c>
      <c r="K1479" s="70" t="s">
        <v>53</v>
      </c>
      <c r="L1479" s="9">
        <v>1</v>
      </c>
      <c r="M1479" s="3">
        <v>1192</v>
      </c>
      <c r="N1479" s="6">
        <v>1986</v>
      </c>
      <c r="P1479" s="71"/>
      <c r="R1479" s="6">
        <v>1980</v>
      </c>
      <c r="S1479" s="3" t="s">
        <v>54</v>
      </c>
      <c r="T1479" s="72"/>
      <c r="U1479" s="73"/>
      <c r="W1479" s="2" t="s">
        <v>4113</v>
      </c>
      <c r="X1479" s="10" t="s">
        <v>56</v>
      </c>
      <c r="Y1479" s="10" t="s">
        <v>68</v>
      </c>
      <c r="Z1479" s="75"/>
      <c r="AA1479" s="76">
        <v>32064</v>
      </c>
      <c r="AB1479" s="77"/>
      <c r="AC1479" s="77">
        <v>32064</v>
      </c>
      <c r="AD1479" s="10"/>
      <c r="AE1479" s="7">
        <v>1986</v>
      </c>
      <c r="AF1479" s="7">
        <v>124</v>
      </c>
      <c r="AG1479" s="7">
        <v>1987</v>
      </c>
      <c r="AH1479" s="7">
        <v>1980</v>
      </c>
      <c r="AI1479" s="7"/>
      <c r="AJ1479" s="73"/>
      <c r="AK1479" s="7"/>
      <c r="AL1479" s="16"/>
      <c r="AM1479" s="2" t="s">
        <v>53</v>
      </c>
      <c r="AN1479" s="6" t="s">
        <v>73</v>
      </c>
      <c r="AO1479" s="6" t="s">
        <v>59</v>
      </c>
      <c r="AP1479" s="6" t="s">
        <v>73</v>
      </c>
      <c r="AQ1479" s="5" t="s">
        <v>73</v>
      </c>
      <c r="AW1479" s="6">
        <f t="shared" ca="1" si="25"/>
        <v>39</v>
      </c>
    </row>
    <row r="1480" ht="45" customHeight="1" outlineLevel="1">
      <c r="A1480" s="69">
        <v>42465</v>
      </c>
      <c r="B1480" s="3" t="s">
        <v>1926</v>
      </c>
      <c r="C1480" s="4" t="s">
        <v>4114</v>
      </c>
      <c r="D1480" s="5" t="s">
        <v>4115</v>
      </c>
      <c r="E1480" s="2" t="s">
        <v>63</v>
      </c>
      <c r="F1480" s="6" t="s">
        <v>217</v>
      </c>
      <c r="G1480" s="5" t="s">
        <v>221</v>
      </c>
      <c r="H1480" s="2" t="s">
        <v>508</v>
      </c>
      <c r="I1480" s="3" t="s">
        <v>4116</v>
      </c>
      <c r="J1480" s="7">
        <v>1</v>
      </c>
      <c r="K1480" s="70" t="s">
        <v>1978</v>
      </c>
      <c r="L1480" s="9">
        <v>1</v>
      </c>
      <c r="M1480" s="3">
        <v>1193</v>
      </c>
      <c r="N1480" s="6">
        <v>1986</v>
      </c>
      <c r="O1480" s="10">
        <v>31436</v>
      </c>
      <c r="P1480" s="71" t="s">
        <v>4117</v>
      </c>
      <c r="Q1480" s="10">
        <v>31482</v>
      </c>
      <c r="R1480" s="6">
        <v>1980</v>
      </c>
      <c r="S1480" s="3" t="s">
        <v>1980</v>
      </c>
      <c r="T1480" s="72" t="s">
        <v>998</v>
      </c>
      <c r="U1480" s="73"/>
      <c r="V1480" s="12">
        <v>40627</v>
      </c>
      <c r="W1480" s="2" t="s">
        <v>4118</v>
      </c>
      <c r="X1480" s="10" t="s">
        <v>504</v>
      </c>
      <c r="Y1480" s="10" t="s">
        <v>511</v>
      </c>
      <c r="Z1480" s="75"/>
      <c r="AA1480" s="76"/>
      <c r="AB1480" s="77"/>
      <c r="AC1480" s="77"/>
      <c r="AD1480" s="10"/>
      <c r="AI1480" s="7"/>
      <c r="AJ1480" s="73"/>
      <c r="AK1480" s="7"/>
      <c r="AL1480" s="16"/>
      <c r="AW1480" s="6">
        <f t="shared" ca="1" si="25"/>
        <v>39</v>
      </c>
    </row>
    <row r="1481" ht="45" hidden="1" customHeight="1">
      <c r="A1481" s="69">
        <v>43810</v>
      </c>
      <c r="B1481" s="3" t="s">
        <v>47</v>
      </c>
      <c r="C1481" s="4" t="s">
        <v>4119</v>
      </c>
      <c r="D1481" s="5" t="s">
        <v>4120</v>
      </c>
      <c r="E1481" s="2" t="s">
        <v>83</v>
      </c>
      <c r="F1481" s="6" t="s">
        <v>84</v>
      </c>
      <c r="G1481" s="5" t="s">
        <v>85</v>
      </c>
      <c r="H1481" s="2" t="s">
        <v>57</v>
      </c>
      <c r="I1481" s="3" t="s">
        <v>4121</v>
      </c>
      <c r="J1481" s="7">
        <v>1</v>
      </c>
      <c r="K1481" s="70"/>
      <c r="L1481" s="9">
        <v>1</v>
      </c>
      <c r="M1481" s="3">
        <v>1194</v>
      </c>
      <c r="N1481" s="6">
        <v>1986</v>
      </c>
      <c r="O1481" s="10">
        <v>31467</v>
      </c>
      <c r="P1481" s="71" t="s">
        <v>4122</v>
      </c>
      <c r="R1481" s="6">
        <v>1980</v>
      </c>
      <c r="S1481" s="3" t="s">
        <v>236</v>
      </c>
      <c r="T1481" s="72" t="s">
        <v>1136</v>
      </c>
      <c r="U1481" s="10">
        <v>44014</v>
      </c>
      <c r="W1481" s="2" t="s">
        <v>62</v>
      </c>
      <c r="X1481" s="10" t="s">
        <v>56</v>
      </c>
      <c r="Y1481" s="10" t="s">
        <v>57</v>
      </c>
      <c r="Z1481" s="75"/>
      <c r="AA1481" s="76"/>
      <c r="AB1481" s="77"/>
      <c r="AC1481" s="77"/>
      <c r="AD1481" s="10"/>
      <c r="AI1481" s="7"/>
      <c r="AJ1481" s="10">
        <v>44014</v>
      </c>
      <c r="AK1481" s="7">
        <v>2020</v>
      </c>
      <c r="AL1481" s="16"/>
      <c r="AW1481" s="6">
        <f t="shared" ca="1" si="25"/>
        <v>39</v>
      </c>
    </row>
    <row r="1482" ht="45" customHeight="1" outlineLevel="1">
      <c r="A1482" s="69"/>
      <c r="B1482" s="3" t="s">
        <v>47</v>
      </c>
      <c r="E1482" s="2" t="s">
        <v>83</v>
      </c>
      <c r="F1482" s="6" t="s">
        <v>84</v>
      </c>
      <c r="G1482" s="5" t="s">
        <v>850</v>
      </c>
      <c r="H1482" s="2" t="s">
        <v>57</v>
      </c>
      <c r="I1482" s="3" t="s">
        <v>4123</v>
      </c>
      <c r="J1482" s="7">
        <v>1</v>
      </c>
      <c r="K1482" s="70" t="s">
        <v>53</v>
      </c>
      <c r="L1482" s="9">
        <v>1</v>
      </c>
      <c r="M1482" s="3">
        <v>1195</v>
      </c>
      <c r="N1482" s="6">
        <v>1986</v>
      </c>
      <c r="P1482" s="71"/>
      <c r="R1482" s="6">
        <v>1980</v>
      </c>
      <c r="S1482" s="3" t="s">
        <v>54</v>
      </c>
      <c r="T1482" s="72"/>
      <c r="U1482" s="73"/>
      <c r="W1482" s="2" t="s">
        <v>4124</v>
      </c>
      <c r="X1482" s="10" t="s">
        <v>56</v>
      </c>
      <c r="Y1482" s="10" t="s">
        <v>57</v>
      </c>
      <c r="Z1482" s="75"/>
      <c r="AA1482" s="76"/>
      <c r="AB1482" s="77">
        <v>31959</v>
      </c>
      <c r="AC1482" s="77"/>
      <c r="AD1482" s="6"/>
      <c r="AE1482" s="7">
        <v>1986</v>
      </c>
      <c r="AF1482" s="7">
        <v>122</v>
      </c>
      <c r="AG1482" s="7">
        <v>1987</v>
      </c>
      <c r="AH1482" s="7">
        <v>1980</v>
      </c>
      <c r="AJ1482" s="73"/>
      <c r="AL1482" s="16"/>
      <c r="AM1482" s="2" t="s">
        <v>59</v>
      </c>
      <c r="AO1482" s="6" t="s">
        <v>100</v>
      </c>
      <c r="AP1482" s="6" t="s">
        <v>104</v>
      </c>
      <c r="AQ1482" s="5" t="s">
        <v>104</v>
      </c>
      <c r="AT1482" s="6">
        <v>1996</v>
      </c>
      <c r="AU1482" s="16" t="s">
        <v>4125</v>
      </c>
      <c r="AW1482" s="6">
        <f t="shared" ca="1" si="25"/>
        <v>39</v>
      </c>
    </row>
    <row r="1483" ht="45" hidden="1" customHeight="1">
      <c r="A1483" s="69"/>
      <c r="B1483" s="3" t="s">
        <v>190</v>
      </c>
      <c r="C1483" s="4" t="s">
        <v>4009</v>
      </c>
      <c r="D1483" s="5" t="s">
        <v>4126</v>
      </c>
      <c r="E1483" s="2" t="s">
        <v>83</v>
      </c>
      <c r="F1483" s="6" t="s">
        <v>179</v>
      </c>
      <c r="G1483" s="5" t="s">
        <v>4127</v>
      </c>
      <c r="H1483" s="2" t="s">
        <v>508</v>
      </c>
      <c r="I1483" s="3" t="s">
        <v>4128</v>
      </c>
      <c r="J1483" s="7">
        <v>1</v>
      </c>
      <c r="K1483" s="104"/>
      <c r="L1483" s="9">
        <v>1</v>
      </c>
      <c r="M1483" s="3">
        <v>1196</v>
      </c>
      <c r="N1483" s="6">
        <v>1986</v>
      </c>
      <c r="P1483" s="71"/>
      <c r="R1483" s="6">
        <v>1980</v>
      </c>
      <c r="S1483" s="3" t="s">
        <v>283</v>
      </c>
      <c r="T1483" s="72"/>
      <c r="U1483" s="73"/>
      <c r="W1483" s="74" t="s">
        <v>62</v>
      </c>
      <c r="X1483" s="10" t="s">
        <v>504</v>
      </c>
      <c r="Y1483" s="10" t="s">
        <v>511</v>
      </c>
      <c r="Z1483" s="75"/>
      <c r="AA1483" s="76"/>
      <c r="AB1483" s="77"/>
      <c r="AC1483" s="77"/>
      <c r="AD1483" s="6"/>
      <c r="AI1483" s="7"/>
      <c r="AJ1483" s="73"/>
      <c r="AK1483" s="7"/>
      <c r="AL1483" s="16"/>
      <c r="AW1483" s="6">
        <f t="shared" ca="1" si="25"/>
        <v>39</v>
      </c>
    </row>
    <row r="1484" ht="45" hidden="1" customHeight="1">
      <c r="A1484" s="69"/>
      <c r="B1484" s="3" t="s">
        <v>47</v>
      </c>
      <c r="C1484" s="4" t="s">
        <v>4129</v>
      </c>
      <c r="E1484" s="2" t="s">
        <v>83</v>
      </c>
      <c r="F1484" s="6" t="s">
        <v>84</v>
      </c>
      <c r="G1484" s="5" t="s">
        <v>797</v>
      </c>
      <c r="H1484" s="2" t="s">
        <v>57</v>
      </c>
      <c r="I1484" s="3" t="s">
        <v>4130</v>
      </c>
      <c r="J1484" s="7">
        <v>1</v>
      </c>
      <c r="K1484" s="104"/>
      <c r="L1484" s="9">
        <v>1</v>
      </c>
      <c r="M1484" s="3">
        <v>1197</v>
      </c>
      <c r="N1484" s="6">
        <v>1986</v>
      </c>
      <c r="P1484" s="71"/>
      <c r="R1484" s="6">
        <v>1980</v>
      </c>
      <c r="S1484" s="3" t="s">
        <v>236</v>
      </c>
      <c r="T1484" s="72"/>
      <c r="U1484" s="73"/>
      <c r="W1484" s="2" t="s">
        <v>62</v>
      </c>
      <c r="X1484" s="10" t="s">
        <v>56</v>
      </c>
      <c r="Y1484" s="10" t="s">
        <v>57</v>
      </c>
      <c r="Z1484" s="75"/>
      <c r="AA1484" s="76"/>
      <c r="AB1484" s="77"/>
      <c r="AC1484" s="77"/>
      <c r="AD1484" s="6"/>
      <c r="AI1484" s="7"/>
      <c r="AJ1484" s="95">
        <v>31526</v>
      </c>
      <c r="AK1484" s="7">
        <v>1980</v>
      </c>
      <c r="AL1484" s="16"/>
      <c r="AW1484" s="6">
        <f t="shared" ca="1" si="25"/>
        <v>39</v>
      </c>
    </row>
    <row r="1485" ht="45" hidden="1" customHeight="1">
      <c r="A1485" s="69"/>
      <c r="B1485" s="3" t="s">
        <v>47</v>
      </c>
      <c r="C1485" s="4" t="s">
        <v>4131</v>
      </c>
      <c r="D1485" s="5" t="s">
        <v>4132</v>
      </c>
      <c r="E1485" s="2" t="s">
        <v>83</v>
      </c>
      <c r="F1485" s="6" t="s">
        <v>704</v>
      </c>
      <c r="G1485" s="5" t="s">
        <v>4133</v>
      </c>
      <c r="H1485" s="2" t="s">
        <v>57</v>
      </c>
      <c r="I1485" s="3" t="s">
        <v>4134</v>
      </c>
      <c r="J1485" s="7">
        <v>1</v>
      </c>
      <c r="K1485" s="104"/>
      <c r="L1485" s="9">
        <v>1</v>
      </c>
      <c r="M1485" s="3">
        <v>1198</v>
      </c>
      <c r="N1485" s="6">
        <v>1986</v>
      </c>
      <c r="P1485" s="71"/>
      <c r="R1485" s="6">
        <v>1980</v>
      </c>
      <c r="S1485" s="3" t="s">
        <v>236</v>
      </c>
      <c r="T1485" s="72"/>
      <c r="U1485" s="73">
        <v>43454</v>
      </c>
      <c r="W1485" s="2" t="s">
        <v>62</v>
      </c>
      <c r="X1485" s="10" t="s">
        <v>56</v>
      </c>
      <c r="Y1485" s="10" t="s">
        <v>57</v>
      </c>
      <c r="Z1485" s="75"/>
      <c r="AA1485" s="76"/>
      <c r="AB1485" s="77"/>
      <c r="AC1485" s="77"/>
      <c r="AD1485" s="6"/>
      <c r="AI1485" s="7"/>
      <c r="AK1485" s="7"/>
      <c r="AL1485" s="16"/>
      <c r="AW1485" s="6">
        <f t="shared" ca="1" si="25"/>
        <v>39</v>
      </c>
    </row>
    <row r="1486" ht="45" hidden="1" customHeight="1">
      <c r="A1486" s="69">
        <v>43550</v>
      </c>
      <c r="B1486" s="3" t="s">
        <v>47</v>
      </c>
      <c r="C1486" s="4" t="s">
        <v>4135</v>
      </c>
      <c r="D1486" s="5" t="s">
        <v>4136</v>
      </c>
      <c r="E1486" s="2" t="s">
        <v>83</v>
      </c>
      <c r="F1486" s="6" t="s">
        <v>84</v>
      </c>
      <c r="G1486" s="5" t="s">
        <v>85</v>
      </c>
      <c r="H1486" s="2" t="s">
        <v>501</v>
      </c>
      <c r="I1486" s="3" t="s">
        <v>4137</v>
      </c>
      <c r="J1486" s="7">
        <v>1</v>
      </c>
      <c r="K1486" s="104"/>
      <c r="L1486" s="9">
        <v>1</v>
      </c>
      <c r="M1486" s="3">
        <v>1199</v>
      </c>
      <c r="N1486" s="6">
        <v>1986</v>
      </c>
      <c r="P1486" s="71"/>
      <c r="R1486" s="6">
        <v>1980</v>
      </c>
      <c r="S1486" s="3" t="s">
        <v>236</v>
      </c>
      <c r="T1486" s="94" t="s">
        <v>998</v>
      </c>
      <c r="W1486" s="2" t="s">
        <v>62</v>
      </c>
      <c r="X1486" s="10" t="s">
        <v>56</v>
      </c>
      <c r="Y1486" s="10" t="s">
        <v>501</v>
      </c>
      <c r="Z1486" s="75"/>
      <c r="AA1486" s="76"/>
      <c r="AB1486" s="77"/>
      <c r="AC1486" s="77"/>
      <c r="AD1486" s="6"/>
      <c r="AI1486" s="7"/>
      <c r="AJ1486" s="10">
        <v>44487</v>
      </c>
      <c r="AK1486" s="7">
        <v>2020</v>
      </c>
      <c r="AL1486" s="16"/>
      <c r="AW1486" s="6">
        <f t="shared" ca="1" si="25"/>
        <v>39</v>
      </c>
    </row>
    <row r="1487" ht="45" hidden="1" customHeight="1">
      <c r="A1487" s="69">
        <v>44715</v>
      </c>
      <c r="B1487" s="3" t="s">
        <v>1926</v>
      </c>
      <c r="D1487" s="189" t="s">
        <v>4138</v>
      </c>
      <c r="E1487" s="2" t="s">
        <v>83</v>
      </c>
      <c r="F1487" s="6" t="s">
        <v>84</v>
      </c>
      <c r="G1487" s="5" t="s">
        <v>4139</v>
      </c>
      <c r="H1487" s="2" t="s">
        <v>57</v>
      </c>
      <c r="I1487" s="3" t="s">
        <v>4140</v>
      </c>
      <c r="J1487" s="7">
        <v>1</v>
      </c>
      <c r="K1487" s="104"/>
      <c r="L1487" s="9">
        <v>1</v>
      </c>
      <c r="M1487" s="3">
        <v>1200</v>
      </c>
      <c r="N1487" s="6">
        <v>1986</v>
      </c>
      <c r="P1487" s="71"/>
      <c r="R1487" s="6">
        <v>1980</v>
      </c>
      <c r="S1487" s="3" t="s">
        <v>283</v>
      </c>
      <c r="T1487" s="94" t="s">
        <v>998</v>
      </c>
      <c r="U1487" s="73"/>
      <c r="W1487" s="74" t="s">
        <v>62</v>
      </c>
      <c r="X1487" s="10" t="s">
        <v>56</v>
      </c>
      <c r="Y1487" s="10" t="s">
        <v>57</v>
      </c>
      <c r="Z1487" s="75"/>
      <c r="AA1487" s="76"/>
      <c r="AB1487" s="77"/>
      <c r="AC1487" s="77"/>
      <c r="AD1487" s="6"/>
      <c r="AI1487" s="7"/>
      <c r="AJ1487" s="73"/>
      <c r="AK1487" s="7"/>
      <c r="AL1487" s="16"/>
      <c r="AW1487" s="6">
        <f t="shared" ca="1" si="25"/>
        <v>39</v>
      </c>
    </row>
    <row r="1488" ht="45" customHeight="1">
      <c r="A1488" s="69"/>
      <c r="B1488" s="3" t="s">
        <v>47</v>
      </c>
      <c r="E1488" s="2" t="s">
        <v>63</v>
      </c>
      <c r="F1488" s="6" t="s">
        <v>1230</v>
      </c>
      <c r="G1488" s="5" t="s">
        <v>1231</v>
      </c>
      <c r="H1488" s="2" t="s">
        <v>288</v>
      </c>
      <c r="I1488" s="3" t="s">
        <v>4141</v>
      </c>
      <c r="J1488" s="7">
        <v>1</v>
      </c>
      <c r="K1488" s="70" t="s">
        <v>53</v>
      </c>
      <c r="L1488" s="9">
        <v>1</v>
      </c>
      <c r="M1488" s="3">
        <v>1201</v>
      </c>
      <c r="N1488" s="6">
        <v>1986</v>
      </c>
      <c r="P1488" s="71"/>
      <c r="R1488" s="6">
        <v>1980</v>
      </c>
      <c r="S1488" s="3" t="s">
        <v>54</v>
      </c>
      <c r="T1488" s="94"/>
      <c r="U1488" s="73"/>
      <c r="W1488" s="2" t="s">
        <v>4142</v>
      </c>
      <c r="X1488" s="10" t="s">
        <v>56</v>
      </c>
      <c r="Y1488" s="10" t="s">
        <v>288</v>
      </c>
      <c r="Z1488" s="75"/>
      <c r="AA1488" s="13">
        <v>35368</v>
      </c>
      <c r="AB1488" s="14">
        <v>35368</v>
      </c>
      <c r="AG1488" s="7">
        <v>1996</v>
      </c>
      <c r="AH1488" s="7">
        <v>1990</v>
      </c>
      <c r="AI1488" s="7"/>
      <c r="AJ1488" s="73"/>
      <c r="AK1488" s="7"/>
      <c r="AL1488" s="16"/>
      <c r="AM1488" s="2" t="s">
        <v>53</v>
      </c>
      <c r="AO1488" s="6" t="s">
        <v>53</v>
      </c>
      <c r="AR1488" s="2" t="s">
        <v>104</v>
      </c>
      <c r="AS1488" s="6" t="s">
        <v>73</v>
      </c>
      <c r="AT1488" s="6">
        <v>2011</v>
      </c>
      <c r="AU1488" s="16" t="s">
        <v>4143</v>
      </c>
      <c r="AW1488" s="6">
        <f t="shared" ca="1" si="25"/>
        <v>39</v>
      </c>
    </row>
    <row r="1489" ht="45" customHeight="1">
      <c r="A1489" s="69"/>
      <c r="B1489" s="3" t="s">
        <v>47</v>
      </c>
      <c r="E1489" s="78" t="s">
        <v>63</v>
      </c>
      <c r="F1489" s="79" t="s">
        <v>354</v>
      </c>
      <c r="G1489" s="80" t="s">
        <v>4144</v>
      </c>
      <c r="H1489" s="78" t="s">
        <v>68</v>
      </c>
      <c r="I1489" s="81" t="s">
        <v>4145</v>
      </c>
      <c r="J1489" s="7">
        <v>1</v>
      </c>
      <c r="K1489" s="70" t="s">
        <v>53</v>
      </c>
      <c r="L1489" s="9">
        <v>1</v>
      </c>
      <c r="M1489" s="3">
        <v>1202</v>
      </c>
      <c r="N1489" s="6">
        <v>1986</v>
      </c>
      <c r="P1489" s="71"/>
      <c r="R1489" s="6">
        <v>1980</v>
      </c>
      <c r="S1489" s="3" t="s">
        <v>54</v>
      </c>
      <c r="T1489" s="94"/>
      <c r="U1489" s="73"/>
      <c r="W1489" s="78" t="s">
        <v>4146</v>
      </c>
      <c r="X1489" s="82" t="s">
        <v>56</v>
      </c>
      <c r="Y1489" s="82" t="s">
        <v>68</v>
      </c>
      <c r="Z1489" s="83" t="s">
        <v>237</v>
      </c>
      <c r="AA1489" s="76"/>
      <c r="AB1489" s="77">
        <v>36132</v>
      </c>
      <c r="AC1489" s="77"/>
      <c r="AD1489" s="6"/>
      <c r="AE1489" s="7">
        <v>1997</v>
      </c>
      <c r="AF1489" s="7">
        <v>12</v>
      </c>
      <c r="AG1489" s="7">
        <v>1998</v>
      </c>
      <c r="AH1489" s="7">
        <v>1990</v>
      </c>
      <c r="AI1489" s="7"/>
      <c r="AJ1489" s="73"/>
      <c r="AK1489" s="7"/>
      <c r="AL1489" s="16"/>
      <c r="AM1489" s="2" t="s">
        <v>59</v>
      </c>
      <c r="AN1489" s="6" t="s">
        <v>73</v>
      </c>
      <c r="AO1489" s="6" t="s">
        <v>53</v>
      </c>
      <c r="AP1489" s="6" t="s">
        <v>73</v>
      </c>
      <c r="AQ1489" s="5" t="s">
        <v>73</v>
      </c>
      <c r="AW1489" s="6">
        <f t="shared" ca="1" si="25"/>
        <v>39</v>
      </c>
    </row>
    <row r="1490" ht="45" hidden="1" customHeight="1" outlineLevel="1">
      <c r="A1490" s="69">
        <v>42934</v>
      </c>
      <c r="B1490" s="3" t="s">
        <v>47</v>
      </c>
      <c r="C1490" s="4" t="s">
        <v>4147</v>
      </c>
      <c r="D1490" s="5" t="s">
        <v>4148</v>
      </c>
      <c r="E1490" s="2" t="s">
        <v>1074</v>
      </c>
      <c r="F1490" s="6" t="s">
        <v>1075</v>
      </c>
      <c r="G1490" s="5" t="s">
        <v>1076</v>
      </c>
      <c r="H1490" s="2" t="s">
        <v>508</v>
      </c>
      <c r="I1490" s="3" t="s">
        <v>4149</v>
      </c>
      <c r="J1490" s="7">
        <v>1</v>
      </c>
      <c r="K1490" s="104"/>
      <c r="L1490" s="9">
        <v>1</v>
      </c>
      <c r="M1490" s="3">
        <v>1203</v>
      </c>
      <c r="N1490" s="6">
        <v>1986</v>
      </c>
      <c r="P1490" s="71"/>
      <c r="R1490" s="6">
        <v>1980</v>
      </c>
      <c r="S1490" s="3" t="s">
        <v>236</v>
      </c>
      <c r="T1490" s="72" t="s">
        <v>1136</v>
      </c>
      <c r="W1490" s="2" t="s">
        <v>62</v>
      </c>
      <c r="X1490" s="10" t="s">
        <v>504</v>
      </c>
      <c r="Y1490" s="10" t="s">
        <v>511</v>
      </c>
      <c r="Z1490" s="75"/>
      <c r="AA1490" s="76"/>
      <c r="AB1490" s="77"/>
      <c r="AC1490" s="77"/>
      <c r="AD1490" s="6"/>
      <c r="AI1490" s="7"/>
      <c r="AJ1490" s="10">
        <v>44636</v>
      </c>
      <c r="AK1490" s="7">
        <v>2020</v>
      </c>
      <c r="AL1490" s="16"/>
      <c r="AW1490" s="6">
        <f t="shared" ca="1" si="25"/>
        <v>39</v>
      </c>
    </row>
    <row r="1491" ht="45" hidden="1" customHeight="1">
      <c r="A1491" s="132"/>
      <c r="B1491" s="3" t="s">
        <v>47</v>
      </c>
      <c r="C1491" s="144" t="s">
        <v>4150</v>
      </c>
      <c r="D1491" s="117" t="s">
        <v>4151</v>
      </c>
      <c r="E1491" s="2" t="s">
        <v>83</v>
      </c>
      <c r="F1491" s="6" t="s">
        <v>179</v>
      </c>
      <c r="G1491" s="5" t="s">
        <v>3868</v>
      </c>
      <c r="H1491" s="2" t="s">
        <v>57</v>
      </c>
      <c r="I1491" s="3" t="s">
        <v>4152</v>
      </c>
      <c r="J1491" s="7">
        <v>1</v>
      </c>
      <c r="K1491" s="145"/>
      <c r="L1491" s="9">
        <v>1</v>
      </c>
      <c r="M1491" s="3">
        <v>1204</v>
      </c>
      <c r="N1491" s="6">
        <v>1986</v>
      </c>
      <c r="P1491" s="71"/>
      <c r="R1491" s="6">
        <v>1980</v>
      </c>
      <c r="S1491" s="3" t="s">
        <v>236</v>
      </c>
      <c r="T1491" s="72"/>
      <c r="U1491" s="10">
        <v>43837</v>
      </c>
      <c r="W1491" s="2" t="s">
        <v>62</v>
      </c>
      <c r="X1491" s="10" t="s">
        <v>56</v>
      </c>
      <c r="Y1491" s="10" t="s">
        <v>57</v>
      </c>
      <c r="Z1491" s="75"/>
      <c r="AA1491" s="137"/>
      <c r="AB1491" s="138"/>
      <c r="AC1491" s="138"/>
      <c r="AD1491" s="141"/>
      <c r="AE1491" s="139"/>
      <c r="AG1491" s="139"/>
      <c r="AH1491" s="139"/>
      <c r="AI1491" s="139"/>
      <c r="AJ1491" s="136">
        <v>43836</v>
      </c>
      <c r="AK1491" s="7">
        <v>2020</v>
      </c>
      <c r="AL1491" s="16"/>
      <c r="AO1491" s="141"/>
      <c r="AP1491" s="141"/>
      <c r="AQ1491" s="117"/>
      <c r="AR1491" s="142"/>
      <c r="AS1491" s="141"/>
      <c r="AT1491" s="141"/>
      <c r="AU1491" s="140"/>
      <c r="AV1491" s="143"/>
      <c r="AW1491" s="6">
        <f t="shared" ca="1" si="25"/>
        <v>39</v>
      </c>
    </row>
    <row r="1492" ht="45" hidden="1" customHeight="1">
      <c r="A1492" s="69">
        <v>43865</v>
      </c>
      <c r="B1492" s="3" t="s">
        <v>47</v>
      </c>
      <c r="C1492" s="4" t="s">
        <v>4153</v>
      </c>
      <c r="D1492" s="5" t="s">
        <v>4154</v>
      </c>
      <c r="E1492" s="2" t="s">
        <v>83</v>
      </c>
      <c r="F1492" s="6" t="s">
        <v>179</v>
      </c>
      <c r="G1492" s="5" t="s">
        <v>339</v>
      </c>
      <c r="H1492" s="2" t="s">
        <v>57</v>
      </c>
      <c r="I1492" s="3" t="s">
        <v>4155</v>
      </c>
      <c r="J1492" s="7">
        <v>1</v>
      </c>
      <c r="K1492" s="104"/>
      <c r="L1492" s="9">
        <v>1</v>
      </c>
      <c r="M1492" s="3">
        <v>1205</v>
      </c>
      <c r="N1492" s="6">
        <v>1986</v>
      </c>
      <c r="P1492" s="71"/>
      <c r="R1492" s="6">
        <v>1980</v>
      </c>
      <c r="S1492" s="3" t="s">
        <v>236</v>
      </c>
      <c r="T1492" s="72" t="s">
        <v>1136</v>
      </c>
      <c r="W1492" s="2" t="s">
        <v>62</v>
      </c>
      <c r="X1492" s="10" t="s">
        <v>56</v>
      </c>
      <c r="Y1492" s="10" t="s">
        <v>57</v>
      </c>
      <c r="Z1492" s="75"/>
      <c r="AA1492" s="76"/>
      <c r="AB1492" s="77"/>
      <c r="AC1492" s="77"/>
      <c r="AD1492" s="6"/>
      <c r="AI1492" s="7"/>
      <c r="AJ1492" s="10">
        <v>44419</v>
      </c>
      <c r="AK1492" s="7">
        <v>2020</v>
      </c>
      <c r="AL1492" s="16"/>
      <c r="AW1492" s="6">
        <f t="shared" ca="1" si="25"/>
        <v>39</v>
      </c>
    </row>
    <row r="1493" ht="45" customHeight="1">
      <c r="A1493" s="69"/>
      <c r="B1493" s="3" t="s">
        <v>47</v>
      </c>
      <c r="E1493" s="2" t="s">
        <v>63</v>
      </c>
      <c r="F1493" s="6" t="s">
        <v>64</v>
      </c>
      <c r="G1493" s="5" t="s">
        <v>69</v>
      </c>
      <c r="H1493" s="2" t="s">
        <v>57</v>
      </c>
      <c r="I1493" s="3" t="s">
        <v>4156</v>
      </c>
      <c r="J1493" s="7">
        <v>1</v>
      </c>
      <c r="K1493" s="70" t="s">
        <v>53</v>
      </c>
      <c r="L1493" s="9">
        <v>1</v>
      </c>
      <c r="M1493" s="3">
        <v>1206</v>
      </c>
      <c r="N1493" s="6">
        <v>1986</v>
      </c>
      <c r="P1493" s="71"/>
      <c r="R1493" s="6">
        <v>1980</v>
      </c>
      <c r="S1493" s="3" t="s">
        <v>54</v>
      </c>
      <c r="T1493" s="72"/>
      <c r="U1493" s="73"/>
      <c r="W1493" s="2" t="s">
        <v>4157</v>
      </c>
      <c r="X1493" s="10" t="s">
        <v>56</v>
      </c>
      <c r="Y1493" s="10" t="s">
        <v>57</v>
      </c>
      <c r="Z1493" s="75"/>
      <c r="AA1493" s="76"/>
      <c r="AB1493" s="77"/>
      <c r="AC1493" s="77">
        <v>35972</v>
      </c>
      <c r="AD1493" s="10"/>
      <c r="AG1493" s="7">
        <v>1998</v>
      </c>
      <c r="AH1493" s="7">
        <v>1990</v>
      </c>
      <c r="AI1493" s="7"/>
      <c r="AJ1493" s="73"/>
      <c r="AK1493" s="7"/>
      <c r="AL1493" s="16"/>
      <c r="AM1493" s="2" t="s">
        <v>59</v>
      </c>
      <c r="AW1493" s="6">
        <f t="shared" ca="1" si="25"/>
        <v>39</v>
      </c>
    </row>
    <row r="1494" ht="45" hidden="1" customHeight="1">
      <c r="A1494" s="69"/>
      <c r="B1494" s="3" t="s">
        <v>47</v>
      </c>
      <c r="C1494" s="4" t="s">
        <v>4158</v>
      </c>
      <c r="D1494" s="5" t="s">
        <v>4159</v>
      </c>
      <c r="E1494" s="2" t="s">
        <v>1074</v>
      </c>
      <c r="F1494" s="6" t="s">
        <v>1075</v>
      </c>
      <c r="G1494" s="5" t="s">
        <v>2059</v>
      </c>
      <c r="H1494" s="2" t="s">
        <v>51</v>
      </c>
      <c r="I1494" s="3" t="s">
        <v>4160</v>
      </c>
      <c r="J1494" s="7">
        <v>1</v>
      </c>
      <c r="K1494" s="104"/>
      <c r="L1494" s="9">
        <v>1</v>
      </c>
      <c r="M1494" s="3">
        <v>1207</v>
      </c>
      <c r="N1494" s="6">
        <v>1986</v>
      </c>
      <c r="P1494" s="71"/>
      <c r="R1494" s="6">
        <v>1980</v>
      </c>
      <c r="S1494" s="191" t="s">
        <v>236</v>
      </c>
      <c r="T1494" s="72"/>
      <c r="U1494" s="73"/>
      <c r="W1494" s="2" t="s">
        <v>1944</v>
      </c>
      <c r="X1494" s="10" t="s">
        <v>56</v>
      </c>
      <c r="Y1494" s="10" t="s">
        <v>57</v>
      </c>
      <c r="Z1494" s="75" t="s">
        <v>58</v>
      </c>
      <c r="AA1494" s="76"/>
      <c r="AB1494" s="77"/>
      <c r="AC1494" s="77"/>
      <c r="AD1494" s="6"/>
      <c r="AI1494" s="7"/>
      <c r="AK1494" s="7"/>
      <c r="AL1494" s="16"/>
      <c r="AU1494" s="16" t="s">
        <v>4161</v>
      </c>
      <c r="AW1494" s="6">
        <f t="shared" ca="1" si="25"/>
        <v>39</v>
      </c>
    </row>
    <row r="1495" ht="45" hidden="1" customHeight="1">
      <c r="A1495" s="69"/>
      <c r="B1495" s="3" t="s">
        <v>47</v>
      </c>
      <c r="C1495" s="4" t="s">
        <v>4162</v>
      </c>
      <c r="E1495" s="2" t="s">
        <v>63</v>
      </c>
      <c r="F1495" s="6" t="s">
        <v>83</v>
      </c>
      <c r="G1495" s="5" t="s">
        <v>4163</v>
      </c>
      <c r="H1495" s="2" t="s">
        <v>288</v>
      </c>
      <c r="I1495" s="3" t="s">
        <v>4164</v>
      </c>
      <c r="J1495" s="7">
        <v>1</v>
      </c>
      <c r="K1495" s="104"/>
      <c r="L1495" s="9">
        <v>1</v>
      </c>
      <c r="M1495" s="3">
        <v>1208</v>
      </c>
      <c r="N1495" s="6">
        <v>1986</v>
      </c>
      <c r="P1495" s="71"/>
      <c r="R1495" s="6">
        <v>1980</v>
      </c>
      <c r="S1495" s="3" t="s">
        <v>236</v>
      </c>
      <c r="T1495" s="72"/>
      <c r="U1495" s="73"/>
      <c r="W1495" s="2" t="s">
        <v>62</v>
      </c>
      <c r="X1495" s="10" t="s">
        <v>56</v>
      </c>
      <c r="Y1495" s="10" t="s">
        <v>288</v>
      </c>
      <c r="Z1495" s="75"/>
      <c r="AA1495" s="76"/>
      <c r="AB1495" s="77"/>
      <c r="AC1495" s="77"/>
      <c r="AD1495" s="6"/>
      <c r="AI1495" s="7"/>
      <c r="AJ1495" s="95">
        <v>35466</v>
      </c>
      <c r="AK1495" s="7">
        <v>1990</v>
      </c>
      <c r="AL1495" s="16"/>
      <c r="AW1495" s="6">
        <f t="shared" ca="1" si="25"/>
        <v>39</v>
      </c>
    </row>
    <row r="1496" ht="45" hidden="1" customHeight="1" outlineLevel="1">
      <c r="A1496" s="69">
        <v>44587</v>
      </c>
      <c r="B1496" s="3" t="s">
        <v>190</v>
      </c>
      <c r="C1496" s="4" t="s">
        <v>4165</v>
      </c>
      <c r="D1496" s="187" t="s">
        <v>4166</v>
      </c>
      <c r="E1496" s="2" t="s">
        <v>63</v>
      </c>
      <c r="F1496" s="6" t="s">
        <v>64</v>
      </c>
      <c r="G1496" s="5" t="s">
        <v>69</v>
      </c>
      <c r="H1496" s="2" t="s">
        <v>57</v>
      </c>
      <c r="I1496" s="3" t="s">
        <v>4167</v>
      </c>
      <c r="J1496" s="7">
        <v>1</v>
      </c>
      <c r="K1496" s="104"/>
      <c r="L1496" s="9">
        <v>1</v>
      </c>
      <c r="M1496" s="3">
        <v>1209</v>
      </c>
      <c r="N1496" s="6">
        <v>1986</v>
      </c>
      <c r="O1496" s="10" t="s">
        <v>4168</v>
      </c>
      <c r="P1496" s="71" t="s">
        <v>4169</v>
      </c>
      <c r="Q1496" s="10">
        <v>31574</v>
      </c>
      <c r="R1496" s="6">
        <v>1980</v>
      </c>
      <c r="S1496" s="3" t="s">
        <v>283</v>
      </c>
      <c r="T1496" s="72" t="s">
        <v>998</v>
      </c>
      <c r="U1496" s="73"/>
      <c r="W1496" s="74" t="s">
        <v>62</v>
      </c>
      <c r="X1496" s="10" t="s">
        <v>56</v>
      </c>
      <c r="Y1496" s="10" t="s">
        <v>57</v>
      </c>
      <c r="Z1496" s="75"/>
      <c r="AA1496" s="76"/>
      <c r="AB1496" s="77"/>
      <c r="AC1496" s="77"/>
      <c r="AD1496" s="6"/>
      <c r="AI1496" s="7"/>
      <c r="AJ1496" s="192">
        <v>32151</v>
      </c>
      <c r="AK1496" s="7">
        <v>1980</v>
      </c>
      <c r="AL1496" s="16"/>
      <c r="AW1496" s="6">
        <f t="shared" ca="1" si="25"/>
        <v>39</v>
      </c>
    </row>
    <row r="1497" ht="45" hidden="1" customHeight="1">
      <c r="A1497" s="69"/>
      <c r="B1497" s="3" t="s">
        <v>47</v>
      </c>
      <c r="C1497" s="4" t="s">
        <v>4170</v>
      </c>
      <c r="D1497" s="5" t="s">
        <v>4171</v>
      </c>
      <c r="E1497" s="2" t="s">
        <v>83</v>
      </c>
      <c r="F1497" s="6" t="s">
        <v>84</v>
      </c>
      <c r="G1497" s="5" t="s">
        <v>85</v>
      </c>
      <c r="H1497" s="2" t="s">
        <v>57</v>
      </c>
      <c r="I1497" s="3" t="s">
        <v>4172</v>
      </c>
      <c r="J1497" s="7">
        <v>1</v>
      </c>
      <c r="K1497" s="104"/>
      <c r="L1497" s="9">
        <v>1</v>
      </c>
      <c r="M1497" s="3">
        <v>1210</v>
      </c>
      <c r="N1497" s="6">
        <v>1986</v>
      </c>
      <c r="P1497" s="71"/>
      <c r="R1497" s="6">
        <v>1980</v>
      </c>
      <c r="S1497" s="3" t="s">
        <v>236</v>
      </c>
      <c r="T1497" s="72"/>
      <c r="U1497" s="73">
        <v>42520</v>
      </c>
      <c r="W1497" s="2" t="s">
        <v>62</v>
      </c>
      <c r="X1497" s="10" t="s">
        <v>56</v>
      </c>
      <c r="Y1497" s="10" t="s">
        <v>57</v>
      </c>
      <c r="Z1497" s="75"/>
      <c r="AA1497" s="76"/>
      <c r="AB1497" s="77"/>
      <c r="AC1497" s="77"/>
      <c r="AD1497" s="6"/>
      <c r="AI1497" s="7"/>
      <c r="AJ1497" s="10">
        <v>42520</v>
      </c>
      <c r="AK1497" s="7">
        <v>2010</v>
      </c>
      <c r="AL1497" s="99" t="s">
        <v>4173</v>
      </c>
      <c r="AW1497" s="6">
        <f t="shared" ca="1" si="25"/>
        <v>39</v>
      </c>
    </row>
    <row r="1498" ht="45" hidden="1" customHeight="1">
      <c r="A1498" s="69"/>
      <c r="B1498" s="3" t="s">
        <v>47</v>
      </c>
      <c r="C1498" s="4" t="s">
        <v>2600</v>
      </c>
      <c r="D1498" s="5" t="s">
        <v>4174</v>
      </c>
      <c r="E1498" s="2" t="s">
        <v>63</v>
      </c>
      <c r="F1498" s="6" t="s">
        <v>64</v>
      </c>
      <c r="G1498" s="5" t="s">
        <v>802</v>
      </c>
      <c r="H1498" s="2" t="s">
        <v>68</v>
      </c>
      <c r="I1498" s="3" t="s">
        <v>4175</v>
      </c>
      <c r="J1498" s="7">
        <v>1</v>
      </c>
      <c r="K1498" s="104"/>
      <c r="L1498" s="9">
        <v>1</v>
      </c>
      <c r="M1498" s="3">
        <v>1211</v>
      </c>
      <c r="N1498" s="6">
        <v>1986</v>
      </c>
      <c r="P1498" s="71"/>
      <c r="R1498" s="6">
        <v>1980</v>
      </c>
      <c r="S1498" s="3" t="s">
        <v>236</v>
      </c>
      <c r="T1498" s="72"/>
      <c r="U1498" s="73"/>
      <c r="W1498" s="2" t="s">
        <v>62</v>
      </c>
      <c r="X1498" s="10" t="s">
        <v>56</v>
      </c>
      <c r="Y1498" s="10" t="s">
        <v>68</v>
      </c>
      <c r="Z1498" s="75"/>
      <c r="AA1498" s="76"/>
      <c r="AB1498" s="77"/>
      <c r="AC1498" s="77"/>
      <c r="AD1498" s="6"/>
      <c r="AI1498" s="7"/>
      <c r="AJ1498" s="95">
        <v>35643</v>
      </c>
      <c r="AK1498" s="7">
        <v>1990</v>
      </c>
      <c r="AL1498" s="16"/>
      <c r="AW1498" s="6">
        <f t="shared" ca="1" si="25"/>
        <v>39</v>
      </c>
    </row>
    <row r="1499" ht="45" hidden="1" customHeight="1">
      <c r="A1499" s="69">
        <v>45531</v>
      </c>
      <c r="B1499" s="3" t="s">
        <v>1926</v>
      </c>
      <c r="C1499" s="4" t="s">
        <v>4176</v>
      </c>
      <c r="D1499" s="5" t="s">
        <v>4177</v>
      </c>
      <c r="E1499" s="2" t="s">
        <v>1074</v>
      </c>
      <c r="F1499" s="6" t="s">
        <v>1075</v>
      </c>
      <c r="G1499" s="5" t="s">
        <v>4178</v>
      </c>
      <c r="H1499" s="2" t="s">
        <v>977</v>
      </c>
      <c r="I1499" s="3" t="s">
        <v>4179</v>
      </c>
      <c r="J1499" s="7">
        <v>1</v>
      </c>
      <c r="K1499" s="104"/>
      <c r="L1499" s="9">
        <v>1</v>
      </c>
      <c r="M1499" s="3">
        <v>1212</v>
      </c>
      <c r="N1499" s="6">
        <v>1986</v>
      </c>
      <c r="O1499" s="10">
        <v>31715</v>
      </c>
      <c r="P1499" s="71" t="s">
        <v>4180</v>
      </c>
      <c r="R1499" s="6">
        <v>1980</v>
      </c>
      <c r="S1499" s="3" t="s">
        <v>283</v>
      </c>
      <c r="T1499" s="72" t="s">
        <v>998</v>
      </c>
      <c r="U1499" s="73"/>
      <c r="W1499" s="74" t="s">
        <v>62</v>
      </c>
      <c r="X1499" s="10" t="s">
        <v>56</v>
      </c>
      <c r="Y1499" s="10" t="s">
        <v>57</v>
      </c>
      <c r="Z1499" s="75"/>
      <c r="AA1499" s="76"/>
      <c r="AB1499" s="77"/>
      <c r="AC1499" s="77"/>
      <c r="AD1499" s="10"/>
      <c r="AE1499" s="7">
        <v>1976</v>
      </c>
      <c r="AF1499" s="7">
        <v>74</v>
      </c>
      <c r="AI1499" s="7"/>
      <c r="AJ1499" s="192"/>
      <c r="AK1499" s="7">
        <v>1970</v>
      </c>
      <c r="AL1499" s="16" t="s">
        <v>4181</v>
      </c>
      <c r="AW1499" s="6">
        <f t="shared" ca="1" si="25"/>
        <v>39</v>
      </c>
    </row>
    <row r="1500" ht="45" customHeight="1">
      <c r="A1500" s="69"/>
      <c r="B1500" s="3" t="s">
        <v>47</v>
      </c>
      <c r="E1500" s="2" t="s">
        <v>83</v>
      </c>
      <c r="F1500" s="6" t="s">
        <v>84</v>
      </c>
      <c r="G1500" s="5" t="s">
        <v>85</v>
      </c>
      <c r="H1500" s="2" t="s">
        <v>288</v>
      </c>
      <c r="I1500" s="3" t="s">
        <v>4182</v>
      </c>
      <c r="J1500" s="7">
        <v>1</v>
      </c>
      <c r="K1500" s="70" t="s">
        <v>53</v>
      </c>
      <c r="L1500" s="9">
        <v>1</v>
      </c>
      <c r="M1500" s="3">
        <v>1213</v>
      </c>
      <c r="N1500" s="6">
        <v>1986</v>
      </c>
      <c r="P1500" s="71"/>
      <c r="R1500" s="6">
        <v>1980</v>
      </c>
      <c r="S1500" s="3" t="s">
        <v>54</v>
      </c>
      <c r="T1500" s="72"/>
      <c r="U1500" s="73"/>
      <c r="W1500" s="2" t="s">
        <v>4183</v>
      </c>
      <c r="X1500" s="10" t="s">
        <v>56</v>
      </c>
      <c r="Y1500" s="10" t="s">
        <v>288</v>
      </c>
      <c r="Z1500" s="75"/>
      <c r="AA1500" s="76">
        <v>32933</v>
      </c>
      <c r="AB1500" s="77">
        <v>32933</v>
      </c>
      <c r="AC1500" s="77">
        <v>32933</v>
      </c>
      <c r="AD1500" s="6"/>
      <c r="AE1500" s="7">
        <v>1990</v>
      </c>
      <c r="AF1500" s="7">
        <v>138</v>
      </c>
      <c r="AG1500" s="7">
        <v>1990</v>
      </c>
      <c r="AH1500" s="7">
        <v>1990</v>
      </c>
      <c r="AI1500" s="7"/>
      <c r="AJ1500" s="73"/>
      <c r="AK1500" s="7"/>
      <c r="AL1500" s="16"/>
      <c r="AM1500" s="2" t="s">
        <v>53</v>
      </c>
      <c r="AN1500" s="6" t="s">
        <v>73</v>
      </c>
      <c r="AO1500" s="6" t="s">
        <v>136</v>
      </c>
      <c r="AP1500" s="6" t="s">
        <v>73</v>
      </c>
      <c r="AQ1500" s="5" t="s">
        <v>73</v>
      </c>
      <c r="AU1500" s="16" t="s">
        <v>4184</v>
      </c>
      <c r="AW1500" s="6">
        <f t="shared" ca="1" si="25"/>
        <v>39</v>
      </c>
    </row>
    <row r="1501" ht="45" hidden="1" customHeight="1">
      <c r="A1501" s="69"/>
      <c r="B1501" s="3" t="s">
        <v>190</v>
      </c>
      <c r="C1501" s="4" t="s">
        <v>4185</v>
      </c>
      <c r="D1501" s="5" t="s">
        <v>4186</v>
      </c>
      <c r="E1501" s="2" t="s">
        <v>63</v>
      </c>
      <c r="F1501" s="6" t="s">
        <v>428</v>
      </c>
      <c r="G1501" s="5" t="s">
        <v>4187</v>
      </c>
      <c r="H1501" s="2" t="s">
        <v>51</v>
      </c>
      <c r="I1501" s="3" t="s">
        <v>4188</v>
      </c>
      <c r="J1501" s="7">
        <v>1</v>
      </c>
      <c r="K1501" s="104"/>
      <c r="L1501" s="9">
        <v>1</v>
      </c>
      <c r="M1501" s="3">
        <v>1214</v>
      </c>
      <c r="N1501" s="6">
        <v>1986</v>
      </c>
      <c r="P1501" s="71"/>
      <c r="R1501" s="6">
        <v>1980</v>
      </c>
      <c r="S1501" s="3" t="s">
        <v>283</v>
      </c>
      <c r="T1501" s="72"/>
      <c r="U1501" s="73"/>
      <c r="W1501" s="74" t="s">
        <v>62</v>
      </c>
      <c r="X1501" s="10" t="s">
        <v>56</v>
      </c>
      <c r="Y1501" s="10" t="s">
        <v>57</v>
      </c>
      <c r="Z1501" s="75" t="s">
        <v>58</v>
      </c>
      <c r="AA1501" s="76"/>
      <c r="AB1501" s="77"/>
      <c r="AC1501" s="77"/>
      <c r="AD1501" s="6"/>
      <c r="AI1501" s="7"/>
      <c r="AJ1501" s="73"/>
      <c r="AK1501" s="7"/>
      <c r="AL1501" s="16"/>
      <c r="AW1501" s="6">
        <f t="shared" ca="1" si="25"/>
        <v>39</v>
      </c>
    </row>
    <row r="1502" ht="45" hidden="1" customHeight="1" outlineLevel="1">
      <c r="A1502" s="69"/>
      <c r="B1502" s="3" t="s">
        <v>1743</v>
      </c>
      <c r="C1502" s="4" t="s">
        <v>4189</v>
      </c>
      <c r="D1502" s="5" t="s">
        <v>4190</v>
      </c>
      <c r="E1502" s="2" t="s">
        <v>48</v>
      </c>
      <c r="F1502" s="6" t="s">
        <v>564</v>
      </c>
      <c r="G1502" s="5" t="s">
        <v>565</v>
      </c>
      <c r="H1502" s="2" t="s">
        <v>288</v>
      </c>
      <c r="I1502" s="3" t="s">
        <v>4191</v>
      </c>
      <c r="J1502" s="7">
        <v>1</v>
      </c>
      <c r="K1502" s="104"/>
      <c r="L1502" s="9">
        <v>1</v>
      </c>
      <c r="M1502" s="3">
        <v>1215</v>
      </c>
      <c r="N1502" s="6">
        <v>1986</v>
      </c>
      <c r="P1502" s="71"/>
      <c r="R1502" s="6">
        <v>1980</v>
      </c>
      <c r="S1502" s="3" t="s">
        <v>939</v>
      </c>
      <c r="T1502" s="72"/>
      <c r="U1502" s="73"/>
      <c r="W1502" s="74" t="s">
        <v>4192</v>
      </c>
      <c r="X1502" s="10" t="s">
        <v>56</v>
      </c>
      <c r="Y1502" s="10" t="s">
        <v>288</v>
      </c>
      <c r="Z1502" s="75"/>
      <c r="AA1502" s="76"/>
      <c r="AB1502" s="77"/>
      <c r="AC1502" s="77"/>
      <c r="AD1502" s="6"/>
      <c r="AI1502" s="7"/>
      <c r="AJ1502" s="73"/>
      <c r="AK1502" s="7"/>
      <c r="AL1502" s="16"/>
      <c r="AW1502" s="6">
        <f t="shared" ca="1" si="25"/>
        <v>39</v>
      </c>
    </row>
    <row r="1503" ht="45" hidden="1" customHeight="1">
      <c r="A1503" s="69"/>
      <c r="B1503" s="3" t="s">
        <v>47</v>
      </c>
      <c r="C1503" s="4" t="s">
        <v>3061</v>
      </c>
      <c r="D1503" s="5" t="s">
        <v>4193</v>
      </c>
      <c r="E1503" s="2" t="s">
        <v>83</v>
      </c>
      <c r="F1503" s="6" t="s">
        <v>84</v>
      </c>
      <c r="G1503" s="5" t="s">
        <v>797</v>
      </c>
      <c r="H1503" s="2" t="s">
        <v>977</v>
      </c>
      <c r="I1503" s="3" t="s">
        <v>4194</v>
      </c>
      <c r="J1503" s="7">
        <v>1</v>
      </c>
      <c r="K1503" s="104"/>
      <c r="L1503" s="9">
        <v>1</v>
      </c>
      <c r="M1503" s="3">
        <v>1216</v>
      </c>
      <c r="N1503" s="6">
        <v>1987</v>
      </c>
      <c r="O1503" s="10">
        <v>31724</v>
      </c>
      <c r="P1503" s="71" t="s">
        <v>4195</v>
      </c>
      <c r="Q1503" s="10" t="s">
        <v>1453</v>
      </c>
      <c r="R1503" s="6">
        <v>1980</v>
      </c>
      <c r="S1503" s="3" t="s">
        <v>236</v>
      </c>
      <c r="T1503" s="72"/>
      <c r="U1503" s="73"/>
      <c r="W1503" s="2" t="s">
        <v>62</v>
      </c>
      <c r="X1503" s="10" t="s">
        <v>213</v>
      </c>
      <c r="Y1503" s="10" t="s">
        <v>980</v>
      </c>
      <c r="Z1503" s="75"/>
      <c r="AA1503" s="76"/>
      <c r="AB1503" s="77"/>
      <c r="AC1503" s="77"/>
      <c r="AD1503" s="6"/>
      <c r="AI1503" s="7"/>
      <c r="AJ1503" s="95">
        <v>41914</v>
      </c>
      <c r="AK1503" s="7">
        <v>2010</v>
      </c>
      <c r="AL1503" s="16"/>
      <c r="AW1503" s="6">
        <f t="shared" ca="1" si="25"/>
        <v>38</v>
      </c>
    </row>
    <row r="1504" ht="45" customHeight="1" outlineLevel="1">
      <c r="A1504" s="69"/>
      <c r="B1504" s="3" t="s">
        <v>47</v>
      </c>
      <c r="E1504" s="2" t="s">
        <v>83</v>
      </c>
      <c r="F1504" s="6" t="s">
        <v>704</v>
      </c>
      <c r="G1504" s="5" t="s">
        <v>705</v>
      </c>
      <c r="H1504" s="2" t="s">
        <v>88</v>
      </c>
      <c r="I1504" s="3" t="s">
        <v>4196</v>
      </c>
      <c r="J1504" s="7">
        <v>1</v>
      </c>
      <c r="K1504" s="70" t="s">
        <v>53</v>
      </c>
      <c r="L1504" s="9">
        <v>1</v>
      </c>
      <c r="M1504" s="3">
        <v>1217</v>
      </c>
      <c r="N1504" s="6">
        <v>1987</v>
      </c>
      <c r="P1504" s="71"/>
      <c r="R1504" s="6">
        <v>1980</v>
      </c>
      <c r="S1504" s="3" t="s">
        <v>54</v>
      </c>
      <c r="T1504" s="72"/>
      <c r="U1504" s="73"/>
      <c r="W1504" s="2" t="s">
        <v>4197</v>
      </c>
      <c r="X1504" s="10" t="s">
        <v>91</v>
      </c>
      <c r="Y1504" s="10" t="s">
        <v>214</v>
      </c>
      <c r="Z1504" s="75"/>
      <c r="AA1504" s="76">
        <v>35334</v>
      </c>
      <c r="AB1504" s="77">
        <v>35334</v>
      </c>
      <c r="AC1504" s="77">
        <v>35334</v>
      </c>
      <c r="AD1504" s="10"/>
      <c r="AE1504" s="7">
        <v>1995</v>
      </c>
      <c r="AF1504" s="7">
        <v>8</v>
      </c>
      <c r="AG1504" s="7">
        <v>1996</v>
      </c>
      <c r="AH1504" s="7">
        <v>1990</v>
      </c>
      <c r="AI1504" s="7"/>
      <c r="AJ1504" s="73"/>
      <c r="AK1504" s="7"/>
      <c r="AM1504" s="2" t="s">
        <v>59</v>
      </c>
      <c r="AO1504" s="6" t="s">
        <v>59</v>
      </c>
      <c r="AW1504" s="6">
        <f t="shared" ca="1" si="25"/>
        <v>38</v>
      </c>
    </row>
    <row r="1505" ht="45" hidden="1" customHeight="1" outlineLevel="1">
      <c r="A1505" s="69"/>
      <c r="B1505" s="3" t="s">
        <v>190</v>
      </c>
      <c r="C1505" s="4" t="s">
        <v>4198</v>
      </c>
      <c r="D1505" s="5" t="s">
        <v>4199</v>
      </c>
      <c r="E1505" s="2" t="s">
        <v>83</v>
      </c>
      <c r="F1505" s="6" t="s">
        <v>84</v>
      </c>
      <c r="G1505" s="5" t="s">
        <v>850</v>
      </c>
      <c r="H1505" s="2" t="s">
        <v>68</v>
      </c>
      <c r="I1505" s="3" t="s">
        <v>4200</v>
      </c>
      <c r="J1505" s="7">
        <v>1</v>
      </c>
      <c r="K1505" s="70"/>
      <c r="L1505" s="9">
        <v>1</v>
      </c>
      <c r="M1505" s="3">
        <v>1218</v>
      </c>
      <c r="N1505" s="6">
        <v>1987</v>
      </c>
      <c r="P1505" s="71"/>
      <c r="R1505" s="6">
        <v>1980</v>
      </c>
      <c r="S1505" s="3" t="s">
        <v>283</v>
      </c>
      <c r="T1505" s="72"/>
      <c r="U1505" s="73"/>
      <c r="W1505" s="74" t="s">
        <v>62</v>
      </c>
      <c r="X1505" s="10" t="s">
        <v>56</v>
      </c>
      <c r="Y1505" s="10" t="s">
        <v>68</v>
      </c>
      <c r="Z1505" s="75"/>
      <c r="AA1505" s="76"/>
      <c r="AB1505" s="77"/>
      <c r="AC1505" s="77"/>
      <c r="AD1505" s="10"/>
      <c r="AI1505" s="7"/>
      <c r="AJ1505" s="73"/>
      <c r="AK1505" s="7"/>
      <c r="AL1505" s="16"/>
      <c r="AW1505" s="6">
        <f t="shared" ca="1" si="25"/>
        <v>38</v>
      </c>
    </row>
    <row r="1506" ht="45" hidden="1" customHeight="1" outlineLevel="1">
      <c r="A1506" s="69"/>
      <c r="B1506" s="3" t="s">
        <v>47</v>
      </c>
      <c r="C1506" s="4" t="s">
        <v>4201</v>
      </c>
      <c r="D1506" s="5" t="s">
        <v>4202</v>
      </c>
      <c r="E1506" s="2" t="s">
        <v>83</v>
      </c>
      <c r="F1506" s="6" t="s">
        <v>179</v>
      </c>
      <c r="G1506" s="5" t="s">
        <v>3868</v>
      </c>
      <c r="H1506" s="2" t="s">
        <v>491</v>
      </c>
      <c r="I1506" s="3" t="s">
        <v>4203</v>
      </c>
      <c r="J1506" s="7">
        <v>1</v>
      </c>
      <c r="K1506" s="70"/>
      <c r="L1506" s="9">
        <v>1</v>
      </c>
      <c r="M1506" s="3">
        <v>1219</v>
      </c>
      <c r="N1506" s="6">
        <v>1987</v>
      </c>
      <c r="P1506" s="71"/>
      <c r="R1506" s="6">
        <v>1980</v>
      </c>
      <c r="S1506" s="3" t="s">
        <v>236</v>
      </c>
      <c r="T1506" s="72"/>
      <c r="U1506" s="73"/>
      <c r="W1506" s="2" t="s">
        <v>62</v>
      </c>
      <c r="X1506" s="10" t="s">
        <v>56</v>
      </c>
      <c r="Y1506" s="10" t="s">
        <v>523</v>
      </c>
      <c r="Z1506" s="75"/>
      <c r="AA1506" s="76"/>
      <c r="AB1506" s="77"/>
      <c r="AC1506" s="77"/>
      <c r="AD1506" s="10"/>
      <c r="AI1506" s="7"/>
      <c r="AJ1506" s="10">
        <v>42236</v>
      </c>
      <c r="AK1506" s="7">
        <v>2010</v>
      </c>
      <c r="AL1506" s="16"/>
      <c r="AW1506" s="6">
        <f t="shared" ca="1" si="25"/>
        <v>38</v>
      </c>
    </row>
    <row r="1507" ht="45" customHeight="1" outlineLevel="1">
      <c r="A1507" s="69"/>
      <c r="B1507" s="3" t="s">
        <v>190</v>
      </c>
      <c r="C1507" s="4" t="s">
        <v>4204</v>
      </c>
      <c r="D1507" s="5" t="s">
        <v>4205</v>
      </c>
      <c r="E1507" s="78" t="s">
        <v>694</v>
      </c>
      <c r="F1507" s="79" t="s">
        <v>1487</v>
      </c>
      <c r="G1507" s="80" t="s">
        <v>4206</v>
      </c>
      <c r="H1507" s="78" t="s">
        <v>68</v>
      </c>
      <c r="I1507" s="81" t="s">
        <v>4207</v>
      </c>
      <c r="J1507" s="7">
        <v>1</v>
      </c>
      <c r="K1507" s="70" t="s">
        <v>53</v>
      </c>
      <c r="L1507" s="9">
        <v>1</v>
      </c>
      <c r="M1507" s="3">
        <v>1220</v>
      </c>
      <c r="N1507" s="6">
        <v>1987</v>
      </c>
      <c r="P1507" s="71"/>
      <c r="R1507" s="6">
        <v>1980</v>
      </c>
      <c r="S1507" s="3" t="s">
        <v>195</v>
      </c>
      <c r="T1507" s="72"/>
      <c r="U1507" s="73"/>
      <c r="W1507" s="180" t="s">
        <v>4208</v>
      </c>
      <c r="X1507" s="82" t="s">
        <v>56</v>
      </c>
      <c r="Y1507" s="82" t="s">
        <v>68</v>
      </c>
      <c r="Z1507" s="83"/>
      <c r="AA1507" s="76">
        <v>39454</v>
      </c>
      <c r="AB1507" s="77">
        <v>39454</v>
      </c>
      <c r="AC1507" s="77"/>
      <c r="AD1507" s="6"/>
      <c r="AE1507" s="7">
        <v>2005</v>
      </c>
      <c r="AF1507" s="7">
        <v>48</v>
      </c>
      <c r="AG1507" s="7">
        <v>2008</v>
      </c>
      <c r="AH1507" s="7">
        <v>2000</v>
      </c>
      <c r="AI1507" s="7"/>
      <c r="AJ1507" s="73"/>
      <c r="AK1507" s="7"/>
      <c r="AL1507" s="16"/>
      <c r="AM1507" s="2" t="s">
        <v>53</v>
      </c>
      <c r="AN1507" s="6" t="s">
        <v>73</v>
      </c>
      <c r="AO1507" s="6" t="s">
        <v>100</v>
      </c>
      <c r="AP1507" s="6" t="s">
        <v>73</v>
      </c>
      <c r="AQ1507" s="5" t="s">
        <v>73</v>
      </c>
      <c r="AR1507" s="2" t="s">
        <v>73</v>
      </c>
      <c r="AT1507" s="6">
        <v>2007</v>
      </c>
      <c r="AU1507" s="16" t="s">
        <v>4209</v>
      </c>
      <c r="AW1507" s="6">
        <f t="shared" ca="1" si="25"/>
        <v>38</v>
      </c>
    </row>
    <row r="1508" ht="45" hidden="1" customHeight="1" outlineLevel="1">
      <c r="A1508" s="69"/>
      <c r="B1508" s="3" t="s">
        <v>47</v>
      </c>
      <c r="C1508" s="4" t="s">
        <v>4210</v>
      </c>
      <c r="E1508" s="2" t="s">
        <v>63</v>
      </c>
      <c r="F1508" s="6" t="s">
        <v>64</v>
      </c>
      <c r="G1508" s="5" t="s">
        <v>679</v>
      </c>
      <c r="H1508" s="2" t="s">
        <v>57</v>
      </c>
      <c r="I1508" s="96" t="s">
        <v>4211</v>
      </c>
      <c r="J1508" s="7">
        <v>1</v>
      </c>
      <c r="K1508" s="104"/>
      <c r="L1508" s="9">
        <v>1</v>
      </c>
      <c r="M1508" s="3">
        <v>1221</v>
      </c>
      <c r="N1508" s="6">
        <v>1987</v>
      </c>
      <c r="P1508" s="71"/>
      <c r="R1508" s="6">
        <v>1980</v>
      </c>
      <c r="S1508" s="3" t="s">
        <v>236</v>
      </c>
      <c r="T1508" s="72"/>
      <c r="U1508" s="73"/>
      <c r="W1508" s="2" t="s">
        <v>62</v>
      </c>
      <c r="X1508" s="10" t="s">
        <v>56</v>
      </c>
      <c r="Y1508" s="10" t="s">
        <v>57</v>
      </c>
      <c r="Z1508" s="75"/>
      <c r="AA1508" s="76"/>
      <c r="AB1508" s="77"/>
      <c r="AC1508" s="77"/>
      <c r="AD1508" s="6"/>
      <c r="AI1508" s="7"/>
      <c r="AJ1508" s="95">
        <v>36292</v>
      </c>
      <c r="AK1508" s="7">
        <v>1990</v>
      </c>
      <c r="AL1508" s="16"/>
      <c r="AW1508" s="6">
        <f t="shared" ca="1" si="25"/>
        <v>38</v>
      </c>
    </row>
    <row r="1509" ht="45" hidden="1" customHeight="1" outlineLevel="1">
      <c r="A1509" s="69"/>
      <c r="B1509" s="3" t="s">
        <v>47</v>
      </c>
      <c r="C1509" s="4" t="s">
        <v>4212</v>
      </c>
      <c r="E1509" s="2" t="s">
        <v>83</v>
      </c>
      <c r="F1509" s="6" t="s">
        <v>704</v>
      </c>
      <c r="G1509" s="5" t="s">
        <v>2623</v>
      </c>
      <c r="H1509" s="2" t="s">
        <v>57</v>
      </c>
      <c r="I1509" s="3" t="s">
        <v>4213</v>
      </c>
      <c r="J1509" s="7">
        <v>1</v>
      </c>
      <c r="K1509" s="104"/>
      <c r="L1509" s="9">
        <v>1</v>
      </c>
      <c r="M1509" s="3">
        <v>1222</v>
      </c>
      <c r="N1509" s="6">
        <v>1987</v>
      </c>
      <c r="P1509" s="71"/>
      <c r="R1509" s="6">
        <v>1980</v>
      </c>
      <c r="S1509" s="3" t="s">
        <v>236</v>
      </c>
      <c r="T1509" s="72"/>
      <c r="U1509" s="73"/>
      <c r="W1509" s="2" t="s">
        <v>62</v>
      </c>
      <c r="X1509" s="10" t="s">
        <v>56</v>
      </c>
      <c r="Y1509" s="10" t="s">
        <v>57</v>
      </c>
      <c r="Z1509" s="75"/>
      <c r="AA1509" s="76"/>
      <c r="AB1509" s="77"/>
      <c r="AC1509" s="77"/>
      <c r="AD1509" s="6"/>
      <c r="AE1509" s="7">
        <v>1989</v>
      </c>
      <c r="AF1509" s="7">
        <v>136</v>
      </c>
      <c r="AI1509" s="7"/>
      <c r="AJ1509" s="95">
        <v>32643</v>
      </c>
      <c r="AK1509" s="7">
        <v>1980</v>
      </c>
      <c r="AL1509" s="16"/>
      <c r="AW1509" s="6">
        <f t="shared" ca="1" si="25"/>
        <v>38</v>
      </c>
    </row>
    <row r="1510" ht="45" customHeight="1" outlineLevel="1">
      <c r="A1510" s="69"/>
      <c r="B1510" s="3" t="s">
        <v>47</v>
      </c>
      <c r="C1510" s="4" t="s">
        <v>4214</v>
      </c>
      <c r="E1510" s="2" t="s">
        <v>83</v>
      </c>
      <c r="F1510" s="6" t="s">
        <v>179</v>
      </c>
      <c r="G1510" s="5" t="s">
        <v>2236</v>
      </c>
      <c r="H1510" s="2" t="s">
        <v>68</v>
      </c>
      <c r="I1510" s="3" t="s">
        <v>4215</v>
      </c>
      <c r="J1510" s="7">
        <v>1</v>
      </c>
      <c r="K1510" s="70" t="s">
        <v>53</v>
      </c>
      <c r="L1510" s="9">
        <v>1</v>
      </c>
      <c r="M1510" s="3">
        <v>1223</v>
      </c>
      <c r="N1510" s="6">
        <v>1987</v>
      </c>
      <c r="P1510" s="71"/>
      <c r="R1510" s="6">
        <v>1980</v>
      </c>
      <c r="S1510" s="3" t="s">
        <v>54</v>
      </c>
      <c r="T1510" s="72"/>
      <c r="U1510" s="73"/>
      <c r="W1510" s="2" t="s">
        <v>4216</v>
      </c>
      <c r="X1510" s="10" t="s">
        <v>56</v>
      </c>
      <c r="Y1510" s="10" t="s">
        <v>68</v>
      </c>
      <c r="Z1510" s="75" t="s">
        <v>58</v>
      </c>
      <c r="AA1510" s="76">
        <v>35369</v>
      </c>
      <c r="AB1510" s="77">
        <v>35369</v>
      </c>
      <c r="AC1510" s="77">
        <v>35369</v>
      </c>
      <c r="AD1510" s="10"/>
      <c r="AE1510" s="7">
        <v>1995</v>
      </c>
      <c r="AF1510" s="7">
        <v>8</v>
      </c>
      <c r="AG1510" s="7">
        <v>1996</v>
      </c>
      <c r="AH1510" s="7">
        <v>1990</v>
      </c>
      <c r="AI1510" s="7"/>
      <c r="AJ1510" s="73"/>
      <c r="AK1510" s="7"/>
      <c r="AL1510" s="16"/>
      <c r="AW1510" s="6">
        <f t="shared" ca="1" si="25"/>
        <v>38</v>
      </c>
    </row>
    <row r="1511" ht="45" hidden="1" customHeight="1" outlineLevel="1">
      <c r="A1511" s="69">
        <v>45329</v>
      </c>
      <c r="B1511" s="3" t="s">
        <v>47</v>
      </c>
      <c r="C1511" s="4" t="s">
        <v>4217</v>
      </c>
      <c r="D1511" s="5" t="s">
        <v>4218</v>
      </c>
      <c r="E1511" s="2" t="s">
        <v>63</v>
      </c>
      <c r="F1511" s="6" t="s">
        <v>64</v>
      </c>
      <c r="G1511" s="5" t="s">
        <v>4219</v>
      </c>
      <c r="H1511" s="2" t="s">
        <v>57</v>
      </c>
      <c r="I1511" s="3" t="s">
        <v>4220</v>
      </c>
      <c r="J1511" s="7">
        <v>1</v>
      </c>
      <c r="K1511" s="70"/>
      <c r="L1511" s="9">
        <v>1</v>
      </c>
      <c r="M1511" s="3">
        <v>1224</v>
      </c>
      <c r="N1511" s="6">
        <v>1987</v>
      </c>
      <c r="O1511" s="10">
        <v>31677</v>
      </c>
      <c r="P1511" s="71" t="s">
        <v>4221</v>
      </c>
      <c r="R1511" s="6">
        <v>1980</v>
      </c>
      <c r="S1511" s="3" t="s">
        <v>236</v>
      </c>
      <c r="T1511" s="72" t="s">
        <v>1136</v>
      </c>
      <c r="X1511" s="10" t="s">
        <v>56</v>
      </c>
      <c r="Y1511" s="10" t="s">
        <v>57</v>
      </c>
      <c r="Z1511" s="75"/>
      <c r="AA1511" s="76"/>
      <c r="AB1511" s="77"/>
      <c r="AC1511" s="77"/>
      <c r="AD1511" s="10"/>
      <c r="AI1511" s="7"/>
      <c r="AJ1511" s="10">
        <v>45323</v>
      </c>
      <c r="AK1511" s="7">
        <v>2020</v>
      </c>
      <c r="AL1511" s="16" t="s">
        <v>4222</v>
      </c>
      <c r="AW1511" s="6">
        <f t="shared" ref="AW1511:AW1574" ca="1" si="26">IF(N1511&lt;&gt;0,(YEAR(TODAY())-N1511),(""))</f>
        <v>38</v>
      </c>
    </row>
    <row r="1512" ht="45" hidden="1" customHeight="1" outlineLevel="1">
      <c r="A1512" s="69">
        <v>42548</v>
      </c>
      <c r="B1512" s="3" t="s">
        <v>190</v>
      </c>
      <c r="C1512" s="4" t="s">
        <v>4223</v>
      </c>
      <c r="D1512" s="5" t="s">
        <v>4224</v>
      </c>
      <c r="E1512" s="2" t="s">
        <v>48</v>
      </c>
      <c r="F1512" s="6" t="s">
        <v>140</v>
      </c>
      <c r="G1512" s="5" t="s">
        <v>4225</v>
      </c>
      <c r="H1512" s="2" t="s">
        <v>257</v>
      </c>
      <c r="I1512" s="3" t="s">
        <v>4226</v>
      </c>
      <c r="J1512" s="7">
        <v>1</v>
      </c>
      <c r="K1512" s="70"/>
      <c r="L1512" s="9">
        <v>1</v>
      </c>
      <c r="M1512" s="3">
        <v>1225</v>
      </c>
      <c r="N1512" s="6">
        <v>1987</v>
      </c>
      <c r="P1512" s="71"/>
      <c r="R1512" s="6">
        <v>1980</v>
      </c>
      <c r="S1512" s="3" t="s">
        <v>283</v>
      </c>
      <c r="T1512" s="72" t="s">
        <v>998</v>
      </c>
      <c r="U1512" s="73"/>
      <c r="W1512" s="74" t="s">
        <v>62</v>
      </c>
      <c r="X1512" s="10" t="s">
        <v>56</v>
      </c>
      <c r="Y1512" s="10" t="s">
        <v>68</v>
      </c>
      <c r="Z1512" s="75" t="s">
        <v>260</v>
      </c>
      <c r="AA1512" s="76"/>
      <c r="AB1512" s="77"/>
      <c r="AC1512" s="77"/>
      <c r="AD1512" s="10"/>
      <c r="AI1512" s="7"/>
      <c r="AJ1512" s="73"/>
      <c r="AK1512" s="7"/>
      <c r="AL1512" s="16"/>
      <c r="AW1512" s="6">
        <f t="shared" ca="1" si="26"/>
        <v>38</v>
      </c>
    </row>
    <row r="1513" ht="45" hidden="1" customHeight="1" outlineLevel="1">
      <c r="A1513" s="69"/>
      <c r="B1513" s="3" t="s">
        <v>47</v>
      </c>
      <c r="C1513" s="4" t="s">
        <v>4227</v>
      </c>
      <c r="D1513" s="85" t="s">
        <v>4228</v>
      </c>
      <c r="E1513" s="2" t="s">
        <v>1074</v>
      </c>
      <c r="F1513" s="6" t="s">
        <v>2092</v>
      </c>
      <c r="G1513" s="5" t="s">
        <v>4229</v>
      </c>
      <c r="H1513" s="2" t="s">
        <v>57</v>
      </c>
      <c r="I1513" s="3" t="s">
        <v>4230</v>
      </c>
      <c r="J1513" s="7">
        <v>1</v>
      </c>
      <c r="K1513" s="70"/>
      <c r="L1513" s="9">
        <v>1</v>
      </c>
      <c r="M1513" s="3">
        <v>1226</v>
      </c>
      <c r="N1513" s="6">
        <v>1987</v>
      </c>
      <c r="P1513" s="71"/>
      <c r="R1513" s="6">
        <v>1980</v>
      </c>
      <c r="S1513" s="3" t="s">
        <v>236</v>
      </c>
      <c r="T1513" s="72"/>
      <c r="W1513" s="2" t="s">
        <v>62</v>
      </c>
      <c r="X1513" s="10" t="s">
        <v>56</v>
      </c>
      <c r="Y1513" s="10" t="s">
        <v>57</v>
      </c>
      <c r="Z1513" s="75"/>
      <c r="AA1513" s="76"/>
      <c r="AB1513" s="77"/>
      <c r="AC1513" s="77"/>
      <c r="AD1513" s="10"/>
      <c r="AE1513" s="7">
        <v>1989</v>
      </c>
      <c r="AF1513" s="7">
        <v>136</v>
      </c>
      <c r="AI1513" s="7"/>
      <c r="AJ1513" s="95">
        <v>44839</v>
      </c>
      <c r="AK1513" s="7">
        <v>2020</v>
      </c>
      <c r="AL1513" s="16"/>
      <c r="AU1513" s="16" t="s">
        <v>4231</v>
      </c>
      <c r="AW1513" s="6">
        <f t="shared" ca="1" si="26"/>
        <v>38</v>
      </c>
    </row>
    <row r="1514" ht="45" customHeight="1" outlineLevel="1">
      <c r="A1514" s="69"/>
      <c r="B1514" s="3" t="s">
        <v>47</v>
      </c>
      <c r="C1514" s="4" t="s">
        <v>4232</v>
      </c>
      <c r="D1514" s="5" t="s">
        <v>4233</v>
      </c>
      <c r="E1514" s="2" t="s">
        <v>48</v>
      </c>
      <c r="F1514" s="6" t="s">
        <v>564</v>
      </c>
      <c r="G1514" s="5" t="s">
        <v>4234</v>
      </c>
      <c r="H1514" s="2" t="s">
        <v>51</v>
      </c>
      <c r="I1514" s="3" t="s">
        <v>4235</v>
      </c>
      <c r="J1514" s="7">
        <v>1</v>
      </c>
      <c r="K1514" s="70" t="s">
        <v>53</v>
      </c>
      <c r="L1514" s="9">
        <v>1</v>
      </c>
      <c r="M1514" s="3">
        <v>1227</v>
      </c>
      <c r="N1514" s="6">
        <v>1987</v>
      </c>
      <c r="P1514" s="71"/>
      <c r="R1514" s="6">
        <v>1980</v>
      </c>
      <c r="S1514" s="3" t="s">
        <v>54</v>
      </c>
      <c r="T1514" s="72"/>
      <c r="U1514" s="73"/>
      <c r="W1514" s="2" t="s">
        <v>4236</v>
      </c>
      <c r="X1514" s="10" t="s">
        <v>56</v>
      </c>
      <c r="Y1514" s="10" t="s">
        <v>57</v>
      </c>
      <c r="Z1514" s="75"/>
      <c r="AA1514" s="76">
        <v>44718</v>
      </c>
      <c r="AB1514" s="77">
        <v>44718</v>
      </c>
      <c r="AC1514" s="77"/>
      <c r="AD1514" s="10"/>
      <c r="AI1514" s="7"/>
      <c r="AJ1514" s="73"/>
      <c r="AK1514" s="7"/>
      <c r="AL1514" s="16"/>
      <c r="AM1514" s="2" t="s">
        <v>53</v>
      </c>
      <c r="AW1514" s="6">
        <f t="shared" ca="1" si="26"/>
        <v>38</v>
      </c>
    </row>
    <row r="1515" ht="45" hidden="1" customHeight="1" outlineLevel="1">
      <c r="A1515" s="69">
        <v>44052</v>
      </c>
      <c r="B1515" s="3" t="s">
        <v>47</v>
      </c>
      <c r="C1515" s="4" t="s">
        <v>4237</v>
      </c>
      <c r="D1515" s="5" t="s">
        <v>4238</v>
      </c>
      <c r="E1515" s="2" t="s">
        <v>1074</v>
      </c>
      <c r="F1515" s="6" t="s">
        <v>1075</v>
      </c>
      <c r="G1515" s="5" t="s">
        <v>4239</v>
      </c>
      <c r="H1515" s="2" t="s">
        <v>977</v>
      </c>
      <c r="I1515" s="3" t="s">
        <v>4240</v>
      </c>
      <c r="J1515" s="7">
        <v>1</v>
      </c>
      <c r="K1515" s="70"/>
      <c r="L1515" s="9">
        <v>1</v>
      </c>
      <c r="M1515" s="3">
        <v>1228</v>
      </c>
      <c r="N1515" s="6">
        <v>1987</v>
      </c>
      <c r="P1515" s="71"/>
      <c r="R1515" s="6">
        <v>1980</v>
      </c>
      <c r="S1515" s="3" t="s">
        <v>236</v>
      </c>
      <c r="T1515" s="72"/>
      <c r="W1515" s="2" t="s">
        <v>62</v>
      </c>
      <c r="X1515" s="10" t="s">
        <v>504</v>
      </c>
      <c r="Y1515" s="10" t="s">
        <v>511</v>
      </c>
      <c r="Z1515" s="75"/>
      <c r="AI1515" s="7"/>
      <c r="AJ1515" s="10">
        <v>44382</v>
      </c>
      <c r="AK1515" s="7">
        <v>2020</v>
      </c>
      <c r="AL1515" s="16"/>
      <c r="AW1515" s="6">
        <f t="shared" ca="1" si="26"/>
        <v>38</v>
      </c>
    </row>
    <row r="1516" ht="45" hidden="1" customHeight="1" outlineLevel="1">
      <c r="A1516" s="69"/>
      <c r="B1516" s="3" t="s">
        <v>47</v>
      </c>
      <c r="C1516" s="4" t="s">
        <v>4241</v>
      </c>
      <c r="D1516" s="5" t="s">
        <v>4242</v>
      </c>
      <c r="E1516" s="2" t="s">
        <v>83</v>
      </c>
      <c r="F1516" s="6" t="s">
        <v>84</v>
      </c>
      <c r="G1516" s="5" t="s">
        <v>1993</v>
      </c>
      <c r="H1516" s="2" t="s">
        <v>501</v>
      </c>
      <c r="I1516" s="3" t="s">
        <v>4243</v>
      </c>
      <c r="J1516" s="7">
        <v>1</v>
      </c>
      <c r="K1516" s="70"/>
      <c r="L1516" s="9">
        <v>1</v>
      </c>
      <c r="M1516" s="3">
        <v>1229</v>
      </c>
      <c r="N1516" s="6">
        <v>1987</v>
      </c>
      <c r="P1516" s="71"/>
      <c r="R1516" s="6">
        <v>1980</v>
      </c>
      <c r="S1516" s="3" t="s">
        <v>236</v>
      </c>
      <c r="T1516" s="72"/>
      <c r="W1516" s="2" t="s">
        <v>62</v>
      </c>
      <c r="X1516" s="10" t="s">
        <v>504</v>
      </c>
      <c r="Y1516" s="10" t="s">
        <v>501</v>
      </c>
      <c r="Z1516" s="75"/>
      <c r="AA1516" s="76"/>
      <c r="AB1516" s="77"/>
      <c r="AC1516" s="77"/>
      <c r="AD1516" s="10"/>
      <c r="AI1516" s="7"/>
      <c r="AJ1516" s="10">
        <v>44654</v>
      </c>
      <c r="AK1516" s="7">
        <v>2020</v>
      </c>
      <c r="AL1516" s="16"/>
      <c r="AW1516" s="6">
        <f t="shared" ca="1" si="26"/>
        <v>38</v>
      </c>
    </row>
    <row r="1517" ht="45" hidden="1" customHeight="1">
      <c r="A1517" s="69"/>
      <c r="B1517" s="3" t="s">
        <v>47</v>
      </c>
      <c r="C1517" s="4" t="s">
        <v>4244</v>
      </c>
      <c r="D1517" s="85" t="s">
        <v>4245</v>
      </c>
      <c r="E1517" s="2" t="s">
        <v>83</v>
      </c>
      <c r="F1517" s="6" t="s">
        <v>84</v>
      </c>
      <c r="G1517" s="5" t="s">
        <v>1993</v>
      </c>
      <c r="H1517" s="2" t="s">
        <v>57</v>
      </c>
      <c r="I1517" s="3" t="s">
        <v>4246</v>
      </c>
      <c r="J1517" s="7">
        <v>1</v>
      </c>
      <c r="K1517" s="70"/>
      <c r="L1517" s="9">
        <v>1</v>
      </c>
      <c r="M1517" s="3">
        <v>1230</v>
      </c>
      <c r="N1517" s="6">
        <v>1987</v>
      </c>
      <c r="P1517" s="71"/>
      <c r="R1517" s="6">
        <v>1980</v>
      </c>
      <c r="S1517" s="3" t="s">
        <v>236</v>
      </c>
      <c r="T1517" s="72"/>
      <c r="W1517" s="2" t="s">
        <v>62</v>
      </c>
      <c r="X1517" s="10" t="s">
        <v>56</v>
      </c>
      <c r="Y1517" s="10" t="s">
        <v>57</v>
      </c>
      <c r="Z1517" s="75"/>
      <c r="AA1517" s="76"/>
      <c r="AB1517" s="77"/>
      <c r="AC1517" s="77"/>
      <c r="AD1517" s="10"/>
      <c r="AI1517" s="7"/>
      <c r="AJ1517" s="10">
        <v>44654</v>
      </c>
      <c r="AK1517" s="7">
        <v>2020</v>
      </c>
      <c r="AL1517" s="16"/>
      <c r="AW1517" s="6">
        <f t="shared" ca="1" si="26"/>
        <v>38</v>
      </c>
    </row>
    <row r="1518" ht="45" hidden="1" customHeight="1">
      <c r="A1518" s="69"/>
      <c r="B1518" s="3" t="s">
        <v>47</v>
      </c>
      <c r="C1518" s="4" t="s">
        <v>4247</v>
      </c>
      <c r="D1518" s="5" t="s">
        <v>4248</v>
      </c>
      <c r="E1518" s="2" t="s">
        <v>83</v>
      </c>
      <c r="F1518" s="6" t="s">
        <v>84</v>
      </c>
      <c r="G1518" s="5" t="s">
        <v>1993</v>
      </c>
      <c r="H1518" s="2" t="s">
        <v>57</v>
      </c>
      <c r="I1518" s="3" t="s">
        <v>4249</v>
      </c>
      <c r="J1518" s="7">
        <v>1</v>
      </c>
      <c r="K1518" s="70"/>
      <c r="L1518" s="9">
        <v>1</v>
      </c>
      <c r="M1518" s="3">
        <v>1231</v>
      </c>
      <c r="N1518" s="6">
        <v>1987</v>
      </c>
      <c r="O1518" s="10">
        <v>31586</v>
      </c>
      <c r="P1518" s="71" t="s">
        <v>4250</v>
      </c>
      <c r="R1518" s="6">
        <v>1980</v>
      </c>
      <c r="S1518" s="3" t="s">
        <v>236</v>
      </c>
      <c r="T1518" s="72"/>
      <c r="W1518" s="2" t="s">
        <v>62</v>
      </c>
      <c r="X1518" s="10" t="s">
        <v>56</v>
      </c>
      <c r="Y1518" s="10" t="s">
        <v>57</v>
      </c>
      <c r="Z1518" s="75"/>
      <c r="AA1518" s="76"/>
      <c r="AB1518" s="77"/>
      <c r="AC1518" s="77"/>
      <c r="AD1518" s="10"/>
      <c r="AI1518" s="7"/>
      <c r="AJ1518" s="10">
        <v>44698</v>
      </c>
      <c r="AK1518" s="7">
        <v>2020</v>
      </c>
      <c r="AL1518" s="16"/>
      <c r="AW1518" s="6">
        <f t="shared" ca="1" si="26"/>
        <v>38</v>
      </c>
    </row>
    <row r="1519" ht="45" hidden="1" customHeight="1">
      <c r="A1519" s="69">
        <v>44567</v>
      </c>
      <c r="B1519" s="3" t="s">
        <v>190</v>
      </c>
      <c r="C1519" s="4" t="s">
        <v>4251</v>
      </c>
      <c r="D1519" s="5" t="s">
        <v>4252</v>
      </c>
      <c r="E1519" s="2" t="s">
        <v>83</v>
      </c>
      <c r="F1519" s="6" t="s">
        <v>84</v>
      </c>
      <c r="G1519" s="5" t="s">
        <v>1993</v>
      </c>
      <c r="H1519" s="2" t="s">
        <v>257</v>
      </c>
      <c r="I1519" s="3" t="s">
        <v>4253</v>
      </c>
      <c r="J1519" s="7">
        <v>1</v>
      </c>
      <c r="K1519" s="70"/>
      <c r="L1519" s="9">
        <v>1</v>
      </c>
      <c r="M1519" s="3">
        <v>1232</v>
      </c>
      <c r="N1519" s="6">
        <v>1987</v>
      </c>
      <c r="P1519" s="71"/>
      <c r="R1519" s="6">
        <v>1980</v>
      </c>
      <c r="S1519" s="3" t="s">
        <v>283</v>
      </c>
      <c r="T1519" s="72"/>
      <c r="U1519" s="73"/>
      <c r="W1519" s="74" t="s">
        <v>62</v>
      </c>
      <c r="X1519" s="10" t="s">
        <v>56</v>
      </c>
      <c r="Y1519" s="10" t="s">
        <v>68</v>
      </c>
      <c r="Z1519" s="75" t="s">
        <v>260</v>
      </c>
      <c r="AA1519" s="76"/>
      <c r="AB1519" s="77"/>
      <c r="AC1519" s="77"/>
      <c r="AD1519" s="10"/>
      <c r="AI1519" s="7"/>
      <c r="AJ1519" s="73"/>
      <c r="AK1519" s="7"/>
      <c r="AL1519" s="16"/>
      <c r="AW1519" s="6">
        <f t="shared" ca="1" si="26"/>
        <v>38</v>
      </c>
    </row>
    <row r="1520" ht="45" hidden="1" customHeight="1">
      <c r="A1520" s="69"/>
      <c r="B1520" s="3" t="s">
        <v>47</v>
      </c>
      <c r="C1520" s="4" t="s">
        <v>4254</v>
      </c>
      <c r="D1520" s="5" t="s">
        <v>4255</v>
      </c>
      <c r="E1520" s="2" t="s">
        <v>83</v>
      </c>
      <c r="F1520" s="6" t="s">
        <v>84</v>
      </c>
      <c r="G1520" s="5" t="s">
        <v>85</v>
      </c>
      <c r="H1520" s="2" t="s">
        <v>508</v>
      </c>
      <c r="I1520" s="3" t="s">
        <v>4256</v>
      </c>
      <c r="J1520" s="7">
        <v>1</v>
      </c>
      <c r="K1520" s="70"/>
      <c r="L1520" s="9">
        <v>1</v>
      </c>
      <c r="M1520" s="3">
        <v>1233</v>
      </c>
      <c r="N1520" s="6">
        <v>1987</v>
      </c>
      <c r="P1520" s="71"/>
      <c r="R1520" s="6">
        <v>1980</v>
      </c>
      <c r="S1520" s="3" t="s">
        <v>236</v>
      </c>
      <c r="T1520" s="72"/>
      <c r="U1520" s="73">
        <v>42075</v>
      </c>
      <c r="W1520" s="2" t="s">
        <v>62</v>
      </c>
      <c r="X1520" s="10" t="s">
        <v>504</v>
      </c>
      <c r="Y1520" s="10" t="s">
        <v>511</v>
      </c>
      <c r="Z1520" s="75"/>
      <c r="AA1520" s="76"/>
      <c r="AB1520" s="77"/>
      <c r="AC1520" s="77"/>
      <c r="AD1520" s="10"/>
      <c r="AI1520" s="7"/>
      <c r="AJ1520" s="95">
        <v>42039</v>
      </c>
      <c r="AK1520" s="7">
        <v>2010</v>
      </c>
      <c r="AL1520" s="16"/>
      <c r="AW1520" s="6">
        <f t="shared" ca="1" si="26"/>
        <v>38</v>
      </c>
    </row>
    <row r="1521" ht="45" hidden="1" customHeight="1">
      <c r="A1521" s="69"/>
      <c r="B1521" s="3" t="s">
        <v>47</v>
      </c>
      <c r="C1521" s="4" t="s">
        <v>1694</v>
      </c>
      <c r="E1521" s="2" t="s">
        <v>63</v>
      </c>
      <c r="F1521" s="6" t="s">
        <v>172</v>
      </c>
      <c r="G1521" s="5" t="s">
        <v>4257</v>
      </c>
      <c r="H1521" s="2" t="s">
        <v>508</v>
      </c>
      <c r="I1521" s="3" t="s">
        <v>4258</v>
      </c>
      <c r="J1521" s="7">
        <v>1</v>
      </c>
      <c r="K1521" s="70"/>
      <c r="L1521" s="9">
        <v>1</v>
      </c>
      <c r="M1521" s="3">
        <v>1234</v>
      </c>
      <c r="N1521" s="6">
        <v>1987</v>
      </c>
      <c r="P1521" s="71"/>
      <c r="R1521" s="6">
        <v>1980</v>
      </c>
      <c r="S1521" s="3" t="s">
        <v>236</v>
      </c>
      <c r="T1521" s="72"/>
      <c r="U1521" s="73"/>
      <c r="W1521" s="2" t="s">
        <v>62</v>
      </c>
      <c r="X1521" s="10" t="s">
        <v>504</v>
      </c>
      <c r="Y1521" s="10" t="s">
        <v>511</v>
      </c>
      <c r="Z1521" s="75"/>
      <c r="AA1521" s="76"/>
      <c r="AB1521" s="77"/>
      <c r="AC1521" s="77"/>
      <c r="AD1521" s="10"/>
      <c r="AI1521" s="7"/>
      <c r="AJ1521" s="95">
        <v>32244</v>
      </c>
      <c r="AK1521" s="7">
        <v>1980</v>
      </c>
      <c r="AL1521" s="16"/>
      <c r="AW1521" s="6">
        <f t="shared" ca="1" si="26"/>
        <v>38</v>
      </c>
    </row>
    <row r="1522" ht="45" hidden="1" customHeight="1">
      <c r="A1522" s="69"/>
      <c r="B1522" s="3" t="s">
        <v>47</v>
      </c>
      <c r="C1522" s="4" t="s">
        <v>1393</v>
      </c>
      <c r="E1522" s="2" t="s">
        <v>83</v>
      </c>
      <c r="F1522" s="6" t="s">
        <v>84</v>
      </c>
      <c r="G1522" s="5" t="s">
        <v>85</v>
      </c>
      <c r="H1522" s="2" t="s">
        <v>88</v>
      </c>
      <c r="I1522" s="3" t="s">
        <v>4259</v>
      </c>
      <c r="J1522" s="7">
        <v>1</v>
      </c>
      <c r="K1522" s="70"/>
      <c r="L1522" s="9">
        <v>1</v>
      </c>
      <c r="M1522" s="3">
        <v>1235</v>
      </c>
      <c r="N1522" s="6">
        <v>1987</v>
      </c>
      <c r="P1522" s="71"/>
      <c r="R1522" s="6">
        <v>1980</v>
      </c>
      <c r="S1522" s="3" t="s">
        <v>236</v>
      </c>
      <c r="T1522" s="72"/>
      <c r="U1522" s="73"/>
      <c r="W1522" s="2" t="s">
        <v>62</v>
      </c>
      <c r="X1522" s="10" t="s">
        <v>91</v>
      </c>
      <c r="Y1522" s="10" t="s">
        <v>92</v>
      </c>
      <c r="Z1522" s="75"/>
      <c r="AA1522" s="76"/>
      <c r="AB1522" s="77"/>
      <c r="AC1522" s="77"/>
      <c r="AD1522" s="10"/>
      <c r="AI1522" s="7"/>
      <c r="AJ1522" s="95">
        <v>36283</v>
      </c>
      <c r="AK1522" s="7">
        <v>1990</v>
      </c>
      <c r="AW1522" s="6">
        <f t="shared" ca="1" si="26"/>
        <v>38</v>
      </c>
    </row>
    <row r="1523" ht="45" hidden="1" customHeight="1">
      <c r="A1523" s="69">
        <v>42989</v>
      </c>
      <c r="B1523" s="3" t="s">
        <v>47</v>
      </c>
      <c r="C1523" s="4" t="s">
        <v>2353</v>
      </c>
      <c r="D1523" s="5" t="s">
        <v>4260</v>
      </c>
      <c r="E1523" s="2" t="s">
        <v>83</v>
      </c>
      <c r="F1523" s="6" t="s">
        <v>84</v>
      </c>
      <c r="G1523" s="5" t="s">
        <v>85</v>
      </c>
      <c r="H1523" s="2" t="s">
        <v>88</v>
      </c>
      <c r="I1523" s="3" t="s">
        <v>4261</v>
      </c>
      <c r="J1523" s="7">
        <v>1</v>
      </c>
      <c r="K1523" s="70"/>
      <c r="L1523" s="9">
        <v>1</v>
      </c>
      <c r="M1523" s="3">
        <v>1236</v>
      </c>
      <c r="N1523" s="6">
        <v>1987</v>
      </c>
      <c r="P1523" s="71"/>
      <c r="R1523" s="6">
        <v>1980</v>
      </c>
      <c r="S1523" s="3" t="s">
        <v>236</v>
      </c>
      <c r="T1523" s="72" t="s">
        <v>998</v>
      </c>
      <c r="W1523" s="2" t="s">
        <v>62</v>
      </c>
      <c r="X1523" s="10" t="s">
        <v>91</v>
      </c>
      <c r="Y1523" s="10" t="s">
        <v>92</v>
      </c>
      <c r="Z1523" s="75"/>
      <c r="AA1523" s="76"/>
      <c r="AB1523" s="77"/>
      <c r="AC1523" s="77"/>
      <c r="AD1523" s="10"/>
      <c r="AI1523" s="7"/>
      <c r="AJ1523" s="10">
        <v>44438</v>
      </c>
      <c r="AK1523" s="7">
        <v>2020</v>
      </c>
      <c r="AW1523" s="6">
        <f t="shared" ca="1" si="26"/>
        <v>38</v>
      </c>
    </row>
    <row r="1524" ht="45" hidden="1" customHeight="1">
      <c r="A1524" s="69"/>
      <c r="B1524" s="3" t="s">
        <v>47</v>
      </c>
      <c r="C1524" s="4" t="s">
        <v>4262</v>
      </c>
      <c r="D1524" s="5" t="s">
        <v>4263</v>
      </c>
      <c r="E1524" s="2" t="s">
        <v>83</v>
      </c>
      <c r="F1524" s="6" t="s">
        <v>84</v>
      </c>
      <c r="G1524" s="5" t="s">
        <v>85</v>
      </c>
      <c r="H1524" s="2" t="s">
        <v>57</v>
      </c>
      <c r="I1524" s="96" t="s">
        <v>4264</v>
      </c>
      <c r="J1524" s="7">
        <v>1</v>
      </c>
      <c r="K1524" s="70"/>
      <c r="L1524" s="9">
        <v>1</v>
      </c>
      <c r="M1524" s="3">
        <v>1237</v>
      </c>
      <c r="N1524" s="6">
        <v>1987</v>
      </c>
      <c r="P1524" s="71"/>
      <c r="R1524" s="6">
        <v>1980</v>
      </c>
      <c r="S1524" s="3" t="s">
        <v>236</v>
      </c>
      <c r="T1524" s="72"/>
      <c r="U1524" s="73"/>
      <c r="W1524" s="2" t="s">
        <v>62</v>
      </c>
      <c r="X1524" s="10" t="s">
        <v>56</v>
      </c>
      <c r="Y1524" s="10" t="s">
        <v>57</v>
      </c>
      <c r="Z1524" s="75"/>
      <c r="AA1524" s="76"/>
      <c r="AB1524" s="77"/>
      <c r="AC1524" s="77"/>
      <c r="AD1524" s="10"/>
      <c r="AI1524" s="7"/>
      <c r="AJ1524" s="95">
        <v>40632</v>
      </c>
      <c r="AK1524" s="7">
        <v>2010</v>
      </c>
      <c r="AL1524" s="16"/>
      <c r="AW1524" s="6">
        <f t="shared" ca="1" si="26"/>
        <v>38</v>
      </c>
    </row>
    <row r="1525" ht="45" hidden="1" customHeight="1">
      <c r="A1525" s="69"/>
      <c r="B1525" s="3" t="s">
        <v>47</v>
      </c>
      <c r="C1525" s="4" t="s">
        <v>4265</v>
      </c>
      <c r="D1525" s="5" t="s">
        <v>4266</v>
      </c>
      <c r="E1525" s="2" t="s">
        <v>63</v>
      </c>
      <c r="F1525" s="6" t="s">
        <v>83</v>
      </c>
      <c r="G1525" s="5" t="s">
        <v>4163</v>
      </c>
      <c r="H1525" s="2" t="s">
        <v>88</v>
      </c>
      <c r="I1525" s="3" t="s">
        <v>4267</v>
      </c>
      <c r="J1525" s="7">
        <v>1</v>
      </c>
      <c r="K1525" s="70"/>
      <c r="L1525" s="9">
        <v>1</v>
      </c>
      <c r="M1525" s="3">
        <v>1238</v>
      </c>
      <c r="N1525" s="6">
        <v>1987</v>
      </c>
      <c r="P1525" s="71"/>
      <c r="R1525" s="6">
        <v>1980</v>
      </c>
      <c r="S1525" s="3" t="s">
        <v>236</v>
      </c>
      <c r="T1525" s="72"/>
      <c r="U1525" s="73"/>
      <c r="W1525" s="2" t="s">
        <v>62</v>
      </c>
      <c r="X1525" s="10" t="s">
        <v>91</v>
      </c>
      <c r="Y1525" s="10" t="s">
        <v>92</v>
      </c>
      <c r="Z1525" s="75"/>
      <c r="AA1525" s="76"/>
      <c r="AB1525" s="77"/>
      <c r="AC1525" s="77"/>
      <c r="AD1525" s="10"/>
      <c r="AI1525" s="7"/>
      <c r="AJ1525" s="10">
        <v>42437</v>
      </c>
      <c r="AK1525" s="7">
        <v>2010</v>
      </c>
      <c r="AW1525" s="6">
        <f t="shared" ca="1" si="26"/>
        <v>38</v>
      </c>
    </row>
    <row r="1526" ht="45" hidden="1" customHeight="1">
      <c r="A1526" s="132">
        <v>43663</v>
      </c>
      <c r="B1526" s="3" t="s">
        <v>47</v>
      </c>
      <c r="C1526" s="144"/>
      <c r="D1526" s="117" t="s">
        <v>4268</v>
      </c>
      <c r="E1526" s="2" t="s">
        <v>83</v>
      </c>
      <c r="F1526" s="6" t="s">
        <v>179</v>
      </c>
      <c r="G1526" s="5" t="s">
        <v>1683</v>
      </c>
      <c r="H1526" s="2" t="s">
        <v>257</v>
      </c>
      <c r="I1526" s="3" t="s">
        <v>4269</v>
      </c>
      <c r="J1526" s="7">
        <v>1</v>
      </c>
      <c r="K1526" s="133"/>
      <c r="L1526" s="9">
        <v>1</v>
      </c>
      <c r="M1526" s="3">
        <v>1239</v>
      </c>
      <c r="N1526" s="6">
        <v>1987</v>
      </c>
      <c r="P1526" s="71"/>
      <c r="R1526" s="6">
        <v>1980</v>
      </c>
      <c r="S1526" s="3" t="s">
        <v>236</v>
      </c>
      <c r="T1526" s="72" t="s">
        <v>1136</v>
      </c>
      <c r="U1526" s="73"/>
      <c r="W1526" s="2" t="s">
        <v>62</v>
      </c>
      <c r="X1526" s="10" t="s">
        <v>56</v>
      </c>
      <c r="Y1526" s="10" t="s">
        <v>68</v>
      </c>
      <c r="Z1526" s="75"/>
      <c r="AA1526" s="137"/>
      <c r="AB1526" s="138"/>
      <c r="AC1526" s="138"/>
      <c r="AD1526" s="136"/>
      <c r="AE1526" s="139"/>
      <c r="AG1526" s="139"/>
      <c r="AH1526" s="139"/>
      <c r="AI1526" s="139"/>
      <c r="AJ1526" s="136"/>
      <c r="AK1526" s="139"/>
      <c r="AL1526" s="16"/>
      <c r="AO1526" s="141"/>
      <c r="AP1526" s="141"/>
      <c r="AQ1526" s="117"/>
      <c r="AR1526" s="142"/>
      <c r="AS1526" s="141"/>
      <c r="AT1526" s="141"/>
      <c r="AU1526" s="140"/>
      <c r="AV1526" s="143"/>
      <c r="AW1526" s="6">
        <f t="shared" ca="1" si="26"/>
        <v>38</v>
      </c>
    </row>
    <row r="1527" ht="45" hidden="1" customHeight="1">
      <c r="A1527" s="69"/>
      <c r="B1527" s="3" t="s">
        <v>47</v>
      </c>
      <c r="C1527" s="4" t="s">
        <v>4270</v>
      </c>
      <c r="D1527" s="5" t="s">
        <v>4271</v>
      </c>
      <c r="E1527" s="2" t="s">
        <v>63</v>
      </c>
      <c r="F1527" s="6" t="s">
        <v>172</v>
      </c>
      <c r="G1527" s="5" t="s">
        <v>4272</v>
      </c>
      <c r="H1527" s="2" t="s">
        <v>288</v>
      </c>
      <c r="I1527" s="3" t="s">
        <v>4273</v>
      </c>
      <c r="J1527" s="7">
        <v>1</v>
      </c>
      <c r="K1527" s="70"/>
      <c r="L1527" s="9">
        <v>1</v>
      </c>
      <c r="M1527" s="3">
        <v>1240</v>
      </c>
      <c r="N1527" s="6">
        <v>1987</v>
      </c>
      <c r="P1527" s="71"/>
      <c r="R1527" s="6">
        <v>1980</v>
      </c>
      <c r="S1527" s="3" t="s">
        <v>236</v>
      </c>
      <c r="T1527" s="72"/>
      <c r="U1527" s="73"/>
      <c r="W1527" s="2" t="s">
        <v>62</v>
      </c>
      <c r="X1527" s="10" t="s">
        <v>56</v>
      </c>
      <c r="Y1527" s="10" t="s">
        <v>288</v>
      </c>
      <c r="Z1527" s="75"/>
      <c r="AA1527" s="76"/>
      <c r="AB1527" s="77"/>
      <c r="AC1527" s="77"/>
      <c r="AD1527" s="10"/>
      <c r="AI1527" s="7"/>
      <c r="AJ1527" s="10">
        <v>42529</v>
      </c>
      <c r="AK1527" s="7">
        <v>2010</v>
      </c>
      <c r="AL1527" s="16"/>
      <c r="AW1527" s="6">
        <f t="shared" ca="1" si="26"/>
        <v>38</v>
      </c>
    </row>
    <row r="1528" ht="45" hidden="1" customHeight="1">
      <c r="A1528" s="69"/>
      <c r="B1528" s="3" t="s">
        <v>47</v>
      </c>
      <c r="C1528" s="4" t="s">
        <v>2600</v>
      </c>
      <c r="E1528" s="2" t="s">
        <v>83</v>
      </c>
      <c r="F1528" s="6" t="s">
        <v>704</v>
      </c>
      <c r="G1528" s="5" t="s">
        <v>4274</v>
      </c>
      <c r="H1528" s="2" t="s">
        <v>257</v>
      </c>
      <c r="I1528" s="96" t="s">
        <v>4275</v>
      </c>
      <c r="J1528" s="7">
        <v>1</v>
      </c>
      <c r="K1528" s="70"/>
      <c r="L1528" s="9">
        <v>1</v>
      </c>
      <c r="M1528" s="3">
        <v>1241</v>
      </c>
      <c r="N1528" s="6">
        <v>1987</v>
      </c>
      <c r="P1528" s="71"/>
      <c r="R1528" s="6">
        <v>1980</v>
      </c>
      <c r="S1528" s="3" t="s">
        <v>236</v>
      </c>
      <c r="T1528" s="72"/>
      <c r="U1528" s="73"/>
      <c r="W1528" s="2" t="s">
        <v>62</v>
      </c>
      <c r="X1528" s="10" t="s">
        <v>56</v>
      </c>
      <c r="Y1528" s="10" t="s">
        <v>68</v>
      </c>
      <c r="Z1528" s="75" t="s">
        <v>260</v>
      </c>
      <c r="AA1528" s="76"/>
      <c r="AB1528" s="77"/>
      <c r="AC1528" s="77"/>
      <c r="AD1528" s="10"/>
      <c r="AI1528" s="7"/>
      <c r="AJ1528" s="95">
        <v>35643</v>
      </c>
      <c r="AK1528" s="7">
        <v>1990</v>
      </c>
      <c r="AL1528" s="16"/>
      <c r="AW1528" s="6">
        <f t="shared" ca="1" si="26"/>
        <v>38</v>
      </c>
    </row>
    <row r="1529" ht="45" hidden="1" customHeight="1">
      <c r="A1529" s="69"/>
      <c r="B1529" s="3" t="s">
        <v>190</v>
      </c>
      <c r="C1529" s="4" t="s">
        <v>4276</v>
      </c>
      <c r="D1529" s="5" t="s">
        <v>4277</v>
      </c>
      <c r="E1529" s="2" t="s">
        <v>63</v>
      </c>
      <c r="F1529" s="6" t="s">
        <v>1230</v>
      </c>
      <c r="G1529" s="5" t="s">
        <v>2511</v>
      </c>
      <c r="H1529" s="2" t="s">
        <v>288</v>
      </c>
      <c r="I1529" s="3" t="s">
        <v>4278</v>
      </c>
      <c r="J1529" s="7">
        <v>1</v>
      </c>
      <c r="L1529" s="9">
        <v>1</v>
      </c>
      <c r="M1529" s="3">
        <v>1242</v>
      </c>
      <c r="N1529" s="6">
        <v>1987</v>
      </c>
      <c r="P1529" s="71"/>
      <c r="R1529" s="6">
        <v>1980</v>
      </c>
      <c r="S1529" s="3" t="s">
        <v>283</v>
      </c>
      <c r="T1529" s="72"/>
      <c r="U1529" s="73"/>
      <c r="W1529" s="74" t="s">
        <v>62</v>
      </c>
      <c r="X1529" s="10" t="s">
        <v>56</v>
      </c>
      <c r="Y1529" s="10" t="s">
        <v>288</v>
      </c>
      <c r="Z1529" s="75"/>
      <c r="AI1529" s="7"/>
      <c r="AJ1529" s="73"/>
      <c r="AK1529" s="7"/>
      <c r="AL1529" s="16"/>
      <c r="AW1529" s="6">
        <f t="shared" ca="1" si="26"/>
        <v>38</v>
      </c>
    </row>
    <row r="1530" ht="45" hidden="1" customHeight="1">
      <c r="A1530" s="69"/>
      <c r="B1530" s="3" t="s">
        <v>47</v>
      </c>
      <c r="C1530" s="4" t="s">
        <v>4279</v>
      </c>
      <c r="E1530" s="2" t="s">
        <v>63</v>
      </c>
      <c r="F1530" s="6" t="s">
        <v>354</v>
      </c>
      <c r="G1530" s="5" t="s">
        <v>4280</v>
      </c>
      <c r="H1530" s="2" t="s">
        <v>257</v>
      </c>
      <c r="I1530" s="3" t="s">
        <v>4281</v>
      </c>
      <c r="J1530" s="7">
        <v>1</v>
      </c>
      <c r="K1530" s="70"/>
      <c r="L1530" s="9">
        <v>1</v>
      </c>
      <c r="M1530" s="3">
        <v>1243</v>
      </c>
      <c r="N1530" s="6">
        <v>1987</v>
      </c>
      <c r="P1530" s="71"/>
      <c r="R1530" s="6">
        <v>1980</v>
      </c>
      <c r="S1530" s="3" t="s">
        <v>236</v>
      </c>
      <c r="T1530" s="72"/>
      <c r="U1530" s="73"/>
      <c r="W1530" s="2" t="s">
        <v>62</v>
      </c>
      <c r="X1530" s="10" t="s">
        <v>56</v>
      </c>
      <c r="Y1530" s="10" t="s">
        <v>68</v>
      </c>
      <c r="Z1530" s="75" t="s">
        <v>260</v>
      </c>
      <c r="AA1530" s="76"/>
      <c r="AB1530" s="77"/>
      <c r="AC1530" s="77"/>
      <c r="AD1530" s="10"/>
      <c r="AI1530" s="7"/>
      <c r="AJ1530" s="95">
        <v>33931</v>
      </c>
      <c r="AK1530" s="7">
        <v>1990</v>
      </c>
      <c r="AL1530" s="16"/>
      <c r="AW1530" s="6">
        <f t="shared" ca="1" si="26"/>
        <v>38</v>
      </c>
    </row>
    <row r="1531" ht="45" hidden="1" customHeight="1">
      <c r="A1531" s="69"/>
      <c r="B1531" s="3" t="s">
        <v>47</v>
      </c>
      <c r="C1531" s="4" t="s">
        <v>4282</v>
      </c>
      <c r="E1531" s="2" t="s">
        <v>83</v>
      </c>
      <c r="F1531" s="6" t="s">
        <v>84</v>
      </c>
      <c r="G1531" s="5" t="s">
        <v>85</v>
      </c>
      <c r="H1531" s="2" t="s">
        <v>57</v>
      </c>
      <c r="I1531" s="3" t="s">
        <v>4283</v>
      </c>
      <c r="J1531" s="7">
        <v>1</v>
      </c>
      <c r="K1531" s="70"/>
      <c r="L1531" s="9">
        <v>1</v>
      </c>
      <c r="M1531" s="3">
        <v>1244</v>
      </c>
      <c r="N1531" s="6">
        <v>1987</v>
      </c>
      <c r="P1531" s="71"/>
      <c r="R1531" s="6">
        <v>1980</v>
      </c>
      <c r="S1531" s="3" t="s">
        <v>236</v>
      </c>
      <c r="T1531" s="72"/>
      <c r="U1531" s="73"/>
      <c r="W1531" s="2" t="s">
        <v>62</v>
      </c>
      <c r="X1531" s="10" t="s">
        <v>56</v>
      </c>
      <c r="Y1531" s="10" t="s">
        <v>57</v>
      </c>
      <c r="Z1531" s="75"/>
      <c r="AA1531" s="76"/>
      <c r="AB1531" s="77"/>
      <c r="AC1531" s="77"/>
      <c r="AD1531" s="10"/>
      <c r="AE1531" s="7">
        <v>1989</v>
      </c>
      <c r="AF1531" s="7">
        <v>136</v>
      </c>
      <c r="AI1531" s="7"/>
      <c r="AJ1531" s="95">
        <v>32598</v>
      </c>
      <c r="AK1531" s="7">
        <v>1980</v>
      </c>
      <c r="AL1531" s="16" t="s">
        <v>4284</v>
      </c>
      <c r="AW1531" s="6">
        <f t="shared" ca="1" si="26"/>
        <v>38</v>
      </c>
    </row>
    <row r="1532" ht="45" customHeight="1">
      <c r="A1532" s="69"/>
      <c r="B1532" s="3" t="s">
        <v>47</v>
      </c>
      <c r="E1532" s="78" t="s">
        <v>63</v>
      </c>
      <c r="F1532" s="79" t="s">
        <v>64</v>
      </c>
      <c r="G1532" s="80" t="s">
        <v>69</v>
      </c>
      <c r="H1532" s="78" t="s">
        <v>257</v>
      </c>
      <c r="I1532" s="81" t="s">
        <v>4285</v>
      </c>
      <c r="J1532" s="7">
        <v>1</v>
      </c>
      <c r="K1532" s="70" t="s">
        <v>53</v>
      </c>
      <c r="L1532" s="9">
        <v>1</v>
      </c>
      <c r="M1532" s="3">
        <v>1245</v>
      </c>
      <c r="N1532" s="6">
        <v>1987</v>
      </c>
      <c r="P1532" s="71"/>
      <c r="R1532" s="6">
        <v>1980</v>
      </c>
      <c r="S1532" s="3" t="s">
        <v>54</v>
      </c>
      <c r="T1532" s="72"/>
      <c r="U1532" s="73"/>
      <c r="W1532" s="78" t="s">
        <v>4286</v>
      </c>
      <c r="X1532" s="82" t="s">
        <v>56</v>
      </c>
      <c r="Y1532" s="82" t="s">
        <v>68</v>
      </c>
      <c r="Z1532" s="83" t="s">
        <v>260</v>
      </c>
      <c r="AA1532" s="76">
        <v>32468</v>
      </c>
      <c r="AB1532" s="77">
        <v>32468</v>
      </c>
      <c r="AC1532" s="77"/>
      <c r="AD1532" s="6"/>
      <c r="AE1532" s="7">
        <v>1988</v>
      </c>
      <c r="AF1532" s="7">
        <v>133</v>
      </c>
      <c r="AG1532" s="7">
        <v>1988</v>
      </c>
      <c r="AH1532" s="7">
        <v>1980</v>
      </c>
      <c r="AI1532" s="7"/>
      <c r="AJ1532" s="73"/>
      <c r="AK1532" s="7"/>
      <c r="AL1532" s="16"/>
      <c r="AM1532" s="2" t="s">
        <v>59</v>
      </c>
      <c r="AU1532" s="16" t="s">
        <v>4287</v>
      </c>
      <c r="AW1532" s="6">
        <f t="shared" ca="1" si="26"/>
        <v>38</v>
      </c>
    </row>
    <row r="1533" ht="45" hidden="1" customHeight="1">
      <c r="A1533" s="69">
        <v>43934</v>
      </c>
      <c r="B1533" s="3" t="s">
        <v>47</v>
      </c>
      <c r="C1533" s="4" t="s">
        <v>4288</v>
      </c>
      <c r="D1533" s="5" t="s">
        <v>4289</v>
      </c>
      <c r="E1533" s="2" t="s">
        <v>83</v>
      </c>
      <c r="F1533" s="6" t="s">
        <v>179</v>
      </c>
      <c r="G1533" s="5" t="s">
        <v>2322</v>
      </c>
      <c r="H1533" s="2" t="s">
        <v>508</v>
      </c>
      <c r="I1533" s="3" t="s">
        <v>4290</v>
      </c>
      <c r="J1533" s="7">
        <v>1</v>
      </c>
      <c r="K1533" s="104"/>
      <c r="L1533" s="9">
        <v>1</v>
      </c>
      <c r="M1533" s="3">
        <v>1246</v>
      </c>
      <c r="N1533" s="6">
        <v>1987</v>
      </c>
      <c r="P1533" s="71"/>
      <c r="R1533" s="6">
        <v>1980</v>
      </c>
      <c r="S1533" s="3" t="s">
        <v>236</v>
      </c>
      <c r="T1533" s="72" t="s">
        <v>1136</v>
      </c>
      <c r="W1533" s="2" t="s">
        <v>62</v>
      </c>
      <c r="X1533" s="10" t="s">
        <v>504</v>
      </c>
      <c r="Y1533" s="10" t="s">
        <v>511</v>
      </c>
      <c r="Z1533" s="75"/>
      <c r="AA1533" s="76"/>
      <c r="AB1533" s="77"/>
      <c r="AC1533" s="77"/>
      <c r="AD1533" s="6"/>
      <c r="AI1533" s="7"/>
      <c r="AJ1533" s="10">
        <v>44427</v>
      </c>
      <c r="AK1533" s="7">
        <v>2020</v>
      </c>
      <c r="AL1533" s="16" t="s">
        <v>4291</v>
      </c>
      <c r="AW1533" s="6">
        <f t="shared" ca="1" si="26"/>
        <v>38</v>
      </c>
    </row>
    <row r="1534" ht="45" hidden="1" customHeight="1">
      <c r="A1534" s="69"/>
      <c r="B1534" s="3" t="s">
        <v>47</v>
      </c>
      <c r="C1534" s="4" t="s">
        <v>4292</v>
      </c>
      <c r="D1534" s="5" t="s">
        <v>4293</v>
      </c>
      <c r="E1534" s="2" t="s">
        <v>83</v>
      </c>
      <c r="F1534" s="6" t="s">
        <v>179</v>
      </c>
      <c r="G1534" s="5" t="s">
        <v>180</v>
      </c>
      <c r="H1534" s="2" t="s">
        <v>508</v>
      </c>
      <c r="I1534" s="3" t="s">
        <v>4294</v>
      </c>
      <c r="J1534" s="7">
        <v>1</v>
      </c>
      <c r="K1534" s="104"/>
      <c r="L1534" s="9">
        <v>1</v>
      </c>
      <c r="M1534" s="3">
        <v>1247</v>
      </c>
      <c r="N1534" s="6">
        <v>1987</v>
      </c>
      <c r="P1534" s="71"/>
      <c r="R1534" s="6">
        <v>1980</v>
      </c>
      <c r="S1534" s="3" t="s">
        <v>236</v>
      </c>
      <c r="T1534" s="72"/>
      <c r="W1534" s="2" t="s">
        <v>62</v>
      </c>
      <c r="X1534" s="10" t="s">
        <v>213</v>
      </c>
      <c r="Y1534" s="10" t="s">
        <v>980</v>
      </c>
      <c r="Z1534" s="75"/>
      <c r="AA1534" s="76"/>
      <c r="AB1534" s="77"/>
      <c r="AC1534" s="77"/>
      <c r="AD1534" s="6"/>
      <c r="AI1534" s="7"/>
      <c r="AJ1534" s="10">
        <v>44383</v>
      </c>
      <c r="AK1534" s="7">
        <v>2020</v>
      </c>
      <c r="AL1534" s="16"/>
      <c r="AW1534" s="6">
        <f t="shared" ca="1" si="26"/>
        <v>38</v>
      </c>
    </row>
    <row r="1535" ht="45" customHeight="1">
      <c r="A1535" s="69"/>
      <c r="B1535" s="3" t="s">
        <v>47</v>
      </c>
      <c r="E1535" s="2" t="s">
        <v>48</v>
      </c>
      <c r="F1535" s="6" t="s">
        <v>49</v>
      </c>
      <c r="G1535" s="5" t="s">
        <v>3972</v>
      </c>
      <c r="H1535" s="2" t="s">
        <v>68</v>
      </c>
      <c r="I1535" s="3" t="s">
        <v>4295</v>
      </c>
      <c r="J1535" s="7">
        <v>1</v>
      </c>
      <c r="K1535" s="70" t="s">
        <v>53</v>
      </c>
      <c r="L1535" s="9">
        <v>1</v>
      </c>
      <c r="M1535" s="3">
        <v>1248</v>
      </c>
      <c r="N1535" s="6">
        <v>1987</v>
      </c>
      <c r="P1535" s="71"/>
      <c r="R1535" s="6">
        <v>1980</v>
      </c>
      <c r="S1535" s="3" t="s">
        <v>54</v>
      </c>
      <c r="T1535" s="72"/>
      <c r="U1535" s="73"/>
      <c r="W1535" s="2" t="s">
        <v>4296</v>
      </c>
      <c r="X1535" s="10" t="s">
        <v>56</v>
      </c>
      <c r="Y1535" s="10" t="s">
        <v>68</v>
      </c>
      <c r="Z1535" s="75"/>
      <c r="AA1535" s="76">
        <v>32883</v>
      </c>
      <c r="AB1535" s="77">
        <v>32883</v>
      </c>
      <c r="AC1535" s="77"/>
      <c r="AD1535" s="6"/>
      <c r="AE1535" s="7">
        <v>1988</v>
      </c>
      <c r="AF1535" s="7">
        <v>135</v>
      </c>
      <c r="AG1535" s="7">
        <v>1990</v>
      </c>
      <c r="AH1535" s="7">
        <v>1990</v>
      </c>
      <c r="AI1535" s="7"/>
      <c r="AJ1535" s="73"/>
      <c r="AK1535" s="7"/>
      <c r="AL1535" s="16" t="s">
        <v>4297</v>
      </c>
      <c r="AM1535" s="2" t="s">
        <v>82</v>
      </c>
      <c r="AO1535" s="6" t="s">
        <v>136</v>
      </c>
      <c r="AR1535" s="2" t="s">
        <v>104</v>
      </c>
      <c r="AS1535" s="6" t="s">
        <v>73</v>
      </c>
      <c r="AT1535" s="6" t="s">
        <v>4298</v>
      </c>
      <c r="AU1535" s="16" t="s">
        <v>4299</v>
      </c>
      <c r="AW1535" s="6">
        <f t="shared" ca="1" si="26"/>
        <v>38</v>
      </c>
    </row>
    <row r="1536" ht="45" hidden="1" customHeight="1" outlineLevel="1">
      <c r="A1536" s="69"/>
      <c r="B1536" s="3" t="s">
        <v>47</v>
      </c>
      <c r="C1536" s="4" t="s">
        <v>1393</v>
      </c>
      <c r="E1536" s="2" t="s">
        <v>63</v>
      </c>
      <c r="F1536" s="6" t="s">
        <v>64</v>
      </c>
      <c r="G1536" s="5" t="s">
        <v>802</v>
      </c>
      <c r="H1536" s="2" t="s">
        <v>51</v>
      </c>
      <c r="I1536" s="148" t="s">
        <v>4300</v>
      </c>
      <c r="J1536" s="7">
        <v>1</v>
      </c>
      <c r="K1536" s="104"/>
      <c r="L1536" s="9">
        <v>1</v>
      </c>
      <c r="M1536" s="3">
        <v>1249</v>
      </c>
      <c r="N1536" s="6">
        <v>1987</v>
      </c>
      <c r="P1536" s="71"/>
      <c r="R1536" s="6">
        <v>1980</v>
      </c>
      <c r="S1536" s="3" t="s">
        <v>236</v>
      </c>
      <c r="T1536" s="72"/>
      <c r="U1536" s="73"/>
      <c r="W1536" s="2" t="s">
        <v>62</v>
      </c>
      <c r="X1536" s="10" t="s">
        <v>56</v>
      </c>
      <c r="Y1536" s="10" t="s">
        <v>57</v>
      </c>
      <c r="Z1536" s="75" t="s">
        <v>58</v>
      </c>
      <c r="AA1536" s="76"/>
      <c r="AB1536" s="77"/>
      <c r="AC1536" s="77"/>
      <c r="AD1536" s="6"/>
      <c r="AI1536" s="7"/>
      <c r="AJ1536" s="95">
        <v>36283</v>
      </c>
      <c r="AK1536" s="7">
        <v>1990</v>
      </c>
      <c r="AL1536" s="16"/>
      <c r="AW1536" s="6">
        <f t="shared" ca="1" si="26"/>
        <v>38</v>
      </c>
    </row>
    <row r="1537" ht="45" hidden="1" customHeight="1">
      <c r="A1537" s="69"/>
      <c r="B1537" s="3" t="s">
        <v>47</v>
      </c>
      <c r="C1537" s="4" t="s">
        <v>1393</v>
      </c>
      <c r="E1537" s="2" t="s">
        <v>63</v>
      </c>
      <c r="F1537" s="6" t="s">
        <v>64</v>
      </c>
      <c r="G1537" s="5" t="s">
        <v>802</v>
      </c>
      <c r="H1537" s="2" t="s">
        <v>257</v>
      </c>
      <c r="I1537" s="148" t="s">
        <v>4301</v>
      </c>
      <c r="J1537" s="7">
        <v>1</v>
      </c>
      <c r="K1537" s="104"/>
      <c r="L1537" s="9">
        <v>0</v>
      </c>
      <c r="M1537" s="3">
        <v>1249</v>
      </c>
      <c r="N1537" s="6">
        <v>1987</v>
      </c>
      <c r="P1537" s="71"/>
      <c r="R1537" s="6">
        <v>1980</v>
      </c>
      <c r="S1537" s="3" t="s">
        <v>236</v>
      </c>
      <c r="T1537" s="72"/>
      <c r="U1537" s="73"/>
      <c r="W1537" s="2" t="s">
        <v>62</v>
      </c>
      <c r="X1537" s="10" t="s">
        <v>56</v>
      </c>
      <c r="Y1537" s="10" t="s">
        <v>68</v>
      </c>
      <c r="Z1537" s="75" t="s">
        <v>237</v>
      </c>
      <c r="AA1537" s="76"/>
      <c r="AB1537" s="77"/>
      <c r="AC1537" s="77"/>
      <c r="AD1537" s="6"/>
      <c r="AI1537" s="7"/>
      <c r="AJ1537" s="95">
        <v>36283</v>
      </c>
      <c r="AK1537" s="7">
        <v>1990</v>
      </c>
      <c r="AL1537" s="16"/>
      <c r="AW1537" s="6">
        <f t="shared" ca="1" si="26"/>
        <v>38</v>
      </c>
    </row>
    <row r="1538" ht="45" hidden="1" customHeight="1">
      <c r="A1538" s="69"/>
      <c r="B1538" s="3" t="s">
        <v>190</v>
      </c>
      <c r="C1538" s="4" t="s">
        <v>4302</v>
      </c>
      <c r="D1538" s="5" t="s">
        <v>4303</v>
      </c>
      <c r="E1538" s="2" t="s">
        <v>83</v>
      </c>
      <c r="F1538" s="6" t="s">
        <v>704</v>
      </c>
      <c r="G1538" s="5" t="s">
        <v>705</v>
      </c>
      <c r="H1538" s="2" t="s">
        <v>288</v>
      </c>
      <c r="I1538" s="3" t="s">
        <v>4304</v>
      </c>
      <c r="J1538" s="7">
        <v>1</v>
      </c>
      <c r="K1538" s="104"/>
      <c r="L1538" s="9">
        <v>1</v>
      </c>
      <c r="M1538" s="3">
        <v>1250</v>
      </c>
      <c r="N1538" s="6">
        <v>1987</v>
      </c>
      <c r="P1538" s="71"/>
      <c r="R1538" s="6">
        <v>1980</v>
      </c>
      <c r="S1538" s="3" t="s">
        <v>283</v>
      </c>
      <c r="T1538" s="72"/>
      <c r="U1538" s="73"/>
      <c r="X1538" s="10" t="s">
        <v>56</v>
      </c>
      <c r="Y1538" s="10" t="s">
        <v>288</v>
      </c>
      <c r="Z1538" s="75"/>
      <c r="AA1538" s="76"/>
      <c r="AB1538" s="77"/>
      <c r="AC1538" s="77"/>
      <c r="AD1538" s="6"/>
      <c r="AI1538" s="7"/>
      <c r="AJ1538" s="73"/>
      <c r="AK1538" s="7"/>
      <c r="AL1538" s="16"/>
      <c r="AW1538" s="6">
        <f t="shared" ca="1" si="26"/>
        <v>38</v>
      </c>
    </row>
    <row r="1539" ht="45" hidden="1" customHeight="1">
      <c r="A1539" s="69"/>
      <c r="B1539" s="3" t="s">
        <v>190</v>
      </c>
      <c r="C1539" s="4" t="s">
        <v>4305</v>
      </c>
      <c r="D1539" s="5" t="s">
        <v>995</v>
      </c>
      <c r="E1539" s="2" t="s">
        <v>83</v>
      </c>
      <c r="F1539" s="6" t="s">
        <v>704</v>
      </c>
      <c r="G1539" s="5" t="s">
        <v>996</v>
      </c>
      <c r="H1539" s="2" t="s">
        <v>51</v>
      </c>
      <c r="I1539" s="3" t="s">
        <v>4306</v>
      </c>
      <c r="J1539" s="7">
        <v>1</v>
      </c>
      <c r="K1539" s="104"/>
      <c r="L1539" s="9">
        <v>1</v>
      </c>
      <c r="M1539" s="3">
        <v>1251</v>
      </c>
      <c r="N1539" s="6">
        <v>1987</v>
      </c>
      <c r="P1539" s="71"/>
      <c r="R1539" s="6">
        <v>1980</v>
      </c>
      <c r="S1539" s="3" t="s">
        <v>283</v>
      </c>
      <c r="T1539" s="72" t="s">
        <v>998</v>
      </c>
      <c r="U1539" s="73"/>
      <c r="W1539" s="193" t="s">
        <v>4307</v>
      </c>
      <c r="X1539" s="10" t="s">
        <v>56</v>
      </c>
      <c r="Y1539" s="10" t="s">
        <v>57</v>
      </c>
      <c r="Z1539" s="75" t="s">
        <v>58</v>
      </c>
      <c r="AA1539" s="76"/>
      <c r="AB1539" s="77"/>
      <c r="AC1539" s="77"/>
      <c r="AD1539" s="6"/>
      <c r="AI1539" s="7"/>
      <c r="AJ1539" s="73"/>
      <c r="AK1539" s="7"/>
      <c r="AL1539" s="16" t="s">
        <v>4308</v>
      </c>
      <c r="AW1539" s="6">
        <f t="shared" ca="1" si="26"/>
        <v>38</v>
      </c>
    </row>
    <row r="1540" ht="45" customHeight="1">
      <c r="A1540" s="69"/>
      <c r="B1540" s="3" t="s">
        <v>47</v>
      </c>
      <c r="D1540" s="5" t="s">
        <v>4309</v>
      </c>
      <c r="E1540" s="2" t="s">
        <v>83</v>
      </c>
      <c r="F1540" s="6" t="s">
        <v>704</v>
      </c>
      <c r="G1540" s="5" t="s">
        <v>4310</v>
      </c>
      <c r="H1540" s="2" t="s">
        <v>288</v>
      </c>
      <c r="I1540" s="3" t="s">
        <v>4311</v>
      </c>
      <c r="J1540" s="7">
        <v>1</v>
      </c>
      <c r="K1540" s="70" t="s">
        <v>53</v>
      </c>
      <c r="L1540" s="9">
        <v>1</v>
      </c>
      <c r="M1540" s="3">
        <v>1252</v>
      </c>
      <c r="N1540" s="6">
        <v>1987</v>
      </c>
      <c r="P1540" s="71"/>
      <c r="R1540" s="6">
        <v>1980</v>
      </c>
      <c r="S1540" s="3" t="s">
        <v>54</v>
      </c>
      <c r="T1540" s="72"/>
      <c r="U1540" s="73"/>
      <c r="W1540" s="2" t="s">
        <v>4312</v>
      </c>
      <c r="X1540" s="10" t="s">
        <v>56</v>
      </c>
      <c r="Y1540" s="10" t="s">
        <v>288</v>
      </c>
      <c r="Z1540" s="75"/>
      <c r="AA1540" s="2"/>
      <c r="AB1540" s="77">
        <v>39721</v>
      </c>
      <c r="AC1540" s="6"/>
      <c r="AD1540" s="6"/>
      <c r="AE1540" s="7">
        <v>2002</v>
      </c>
      <c r="AF1540" s="7">
        <v>35</v>
      </c>
      <c r="AG1540" s="7">
        <v>2008</v>
      </c>
      <c r="AH1540" s="7">
        <v>2000</v>
      </c>
      <c r="AI1540" s="7"/>
      <c r="AJ1540" s="73"/>
      <c r="AK1540" s="7"/>
      <c r="AL1540" s="16"/>
      <c r="AM1540" s="2" t="s">
        <v>53</v>
      </c>
      <c r="AN1540" s="6" t="s">
        <v>73</v>
      </c>
      <c r="AO1540" s="6" t="s">
        <v>53</v>
      </c>
      <c r="AP1540" s="6" t="s">
        <v>73</v>
      </c>
      <c r="AQ1540" s="5" t="s">
        <v>73</v>
      </c>
      <c r="AS1540" s="6" t="s">
        <v>73</v>
      </c>
      <c r="AT1540" s="6" t="s">
        <v>3994</v>
      </c>
      <c r="AU1540" s="16" t="s">
        <v>4313</v>
      </c>
      <c r="AW1540" s="6">
        <f t="shared" ca="1" si="26"/>
        <v>38</v>
      </c>
    </row>
    <row r="1541" ht="45" hidden="1" customHeight="1">
      <c r="A1541" s="69"/>
      <c r="B1541" s="3" t="s">
        <v>47</v>
      </c>
      <c r="C1541" s="4" t="s">
        <v>4314</v>
      </c>
      <c r="D1541" s="5" t="s">
        <v>4315</v>
      </c>
      <c r="E1541" s="2" t="s">
        <v>1074</v>
      </c>
      <c r="F1541" s="6" t="s">
        <v>1075</v>
      </c>
      <c r="G1541" s="5" t="s">
        <v>1310</v>
      </c>
      <c r="H1541" s="2" t="s">
        <v>508</v>
      </c>
      <c r="I1541" s="3" t="s">
        <v>4316</v>
      </c>
      <c r="J1541" s="7">
        <v>1</v>
      </c>
      <c r="L1541" s="9">
        <v>1</v>
      </c>
      <c r="M1541" s="3">
        <v>1253</v>
      </c>
      <c r="N1541" s="6">
        <v>1987</v>
      </c>
      <c r="P1541" s="71" t="s">
        <v>4317</v>
      </c>
      <c r="R1541" s="6">
        <v>1980</v>
      </c>
      <c r="S1541" s="3" t="s">
        <v>236</v>
      </c>
      <c r="T1541" s="72"/>
      <c r="U1541" s="73">
        <v>42020</v>
      </c>
      <c r="W1541" s="2" t="s">
        <v>62</v>
      </c>
      <c r="X1541" s="10" t="s">
        <v>504</v>
      </c>
      <c r="Y1541" s="10" t="s">
        <v>511</v>
      </c>
      <c r="Z1541" s="75"/>
      <c r="AI1541" s="7"/>
      <c r="AJ1541" s="95">
        <v>42020</v>
      </c>
      <c r="AK1541" s="7">
        <v>2010</v>
      </c>
      <c r="AL1541" s="16"/>
      <c r="AW1541" s="6">
        <f t="shared" ca="1" si="26"/>
        <v>38</v>
      </c>
    </row>
    <row r="1542" ht="45" hidden="1" customHeight="1">
      <c r="A1542" s="69"/>
      <c r="B1542" s="3" t="s">
        <v>47</v>
      </c>
      <c r="C1542" s="4" t="s">
        <v>4318</v>
      </c>
      <c r="D1542" s="5" t="s">
        <v>4319</v>
      </c>
      <c r="E1542" s="2" t="s">
        <v>83</v>
      </c>
      <c r="F1542" s="6" t="s">
        <v>84</v>
      </c>
      <c r="G1542" s="5" t="s">
        <v>85</v>
      </c>
      <c r="H1542" s="2" t="s">
        <v>508</v>
      </c>
      <c r="I1542" s="3" t="s">
        <v>4320</v>
      </c>
      <c r="J1542" s="7">
        <v>1</v>
      </c>
      <c r="L1542" s="9">
        <v>1</v>
      </c>
      <c r="M1542" s="3">
        <v>1254</v>
      </c>
      <c r="N1542" s="6">
        <v>1987</v>
      </c>
      <c r="P1542" s="71"/>
      <c r="R1542" s="6">
        <v>1980</v>
      </c>
      <c r="S1542" s="3" t="s">
        <v>236</v>
      </c>
      <c r="T1542" s="178"/>
      <c r="W1542" s="2" t="s">
        <v>62</v>
      </c>
      <c r="X1542" s="10" t="s">
        <v>213</v>
      </c>
      <c r="Y1542" s="10" t="s">
        <v>980</v>
      </c>
      <c r="Z1542" s="75"/>
      <c r="AA1542" s="76"/>
      <c r="AB1542" s="77"/>
      <c r="AC1542" s="77"/>
      <c r="AD1542" s="10"/>
      <c r="AI1542" s="7"/>
      <c r="AJ1542" s="10">
        <v>44384</v>
      </c>
      <c r="AK1542" s="7">
        <v>2020</v>
      </c>
      <c r="AL1542" s="16"/>
      <c r="AW1542" s="6">
        <f t="shared" ca="1" si="26"/>
        <v>38</v>
      </c>
    </row>
    <row r="1543" ht="45" hidden="1" customHeight="1">
      <c r="A1543" s="69">
        <v>44818</v>
      </c>
      <c r="B1543" s="3" t="s">
        <v>1926</v>
      </c>
      <c r="C1543" s="4" t="s">
        <v>4321</v>
      </c>
      <c r="D1543" s="5" t="s">
        <v>4322</v>
      </c>
      <c r="E1543" s="2" t="s">
        <v>63</v>
      </c>
      <c r="F1543" s="6" t="s">
        <v>64</v>
      </c>
      <c r="G1543" s="5" t="s">
        <v>728</v>
      </c>
      <c r="H1543" s="2" t="s">
        <v>51</v>
      </c>
      <c r="I1543" s="3" t="s">
        <v>4323</v>
      </c>
      <c r="J1543" s="7">
        <v>1</v>
      </c>
      <c r="L1543" s="9">
        <v>1</v>
      </c>
      <c r="M1543" s="3">
        <v>1255</v>
      </c>
      <c r="N1543" s="6">
        <v>1987</v>
      </c>
      <c r="P1543" s="71"/>
      <c r="Q1543" s="10">
        <v>32484</v>
      </c>
      <c r="R1543" s="6">
        <v>1980</v>
      </c>
      <c r="S1543" s="3" t="s">
        <v>283</v>
      </c>
      <c r="T1543" s="72" t="s">
        <v>998</v>
      </c>
      <c r="U1543" s="73"/>
      <c r="W1543" s="74" t="s">
        <v>62</v>
      </c>
      <c r="X1543" s="10" t="s">
        <v>56</v>
      </c>
      <c r="Y1543" s="10" t="s">
        <v>57</v>
      </c>
      <c r="Z1543" s="75" t="s">
        <v>58</v>
      </c>
      <c r="AI1543" s="7"/>
      <c r="AJ1543" s="73"/>
      <c r="AK1543" s="7"/>
      <c r="AL1543" s="16"/>
      <c r="AW1543" s="6">
        <f t="shared" ca="1" si="26"/>
        <v>38</v>
      </c>
    </row>
    <row r="1544" ht="45" hidden="1" customHeight="1">
      <c r="A1544" s="69"/>
      <c r="B1544" s="3" t="s">
        <v>47</v>
      </c>
      <c r="C1544" s="4" t="s">
        <v>4324</v>
      </c>
      <c r="D1544" s="5" t="s">
        <v>4325</v>
      </c>
      <c r="E1544" s="2" t="s">
        <v>83</v>
      </c>
      <c r="F1544" s="6" t="s">
        <v>84</v>
      </c>
      <c r="G1544" s="5" t="s">
        <v>3013</v>
      </c>
      <c r="H1544" s="2" t="s">
        <v>508</v>
      </c>
      <c r="I1544" s="3" t="s">
        <v>4326</v>
      </c>
      <c r="J1544" s="7">
        <v>1</v>
      </c>
      <c r="L1544" s="9">
        <v>1</v>
      </c>
      <c r="M1544" s="3">
        <v>1256</v>
      </c>
      <c r="N1544" s="6">
        <v>1987</v>
      </c>
      <c r="P1544" s="71"/>
      <c r="R1544" s="6">
        <v>1980</v>
      </c>
      <c r="S1544" s="3" t="s">
        <v>236</v>
      </c>
      <c r="T1544" s="72"/>
      <c r="U1544" s="73"/>
      <c r="W1544" s="2" t="s">
        <v>62</v>
      </c>
      <c r="X1544" s="10" t="s">
        <v>504</v>
      </c>
      <c r="Y1544" s="10" t="s">
        <v>511</v>
      </c>
      <c r="Z1544" s="75"/>
      <c r="AI1544" s="7"/>
      <c r="AJ1544" s="10">
        <v>42999</v>
      </c>
      <c r="AK1544" s="7">
        <v>2010</v>
      </c>
      <c r="AL1544" s="16"/>
      <c r="AW1544" s="6">
        <f t="shared" ca="1" si="26"/>
        <v>38</v>
      </c>
    </row>
    <row r="1545" ht="45" hidden="1" customHeight="1">
      <c r="A1545" s="69"/>
      <c r="B1545" s="3" t="s">
        <v>190</v>
      </c>
      <c r="C1545" s="4" t="s">
        <v>4327</v>
      </c>
      <c r="D1545" s="5" t="s">
        <v>4328</v>
      </c>
      <c r="E1545" s="2" t="s">
        <v>63</v>
      </c>
      <c r="F1545" s="6" t="s">
        <v>172</v>
      </c>
      <c r="G1545" s="5" t="s">
        <v>4329</v>
      </c>
      <c r="H1545" s="2" t="s">
        <v>51</v>
      </c>
      <c r="I1545" s="3" t="s">
        <v>4330</v>
      </c>
      <c r="J1545" s="7">
        <v>1</v>
      </c>
      <c r="L1545" s="9">
        <v>1</v>
      </c>
      <c r="M1545" s="3">
        <v>1257</v>
      </c>
      <c r="N1545" s="6">
        <v>1987</v>
      </c>
      <c r="P1545" s="71"/>
      <c r="R1545" s="6">
        <v>1980</v>
      </c>
      <c r="S1545" s="3" t="s">
        <v>283</v>
      </c>
      <c r="T1545" s="72" t="s">
        <v>998</v>
      </c>
      <c r="U1545" s="73"/>
      <c r="W1545" s="74" t="s">
        <v>62</v>
      </c>
      <c r="X1545" s="10" t="s">
        <v>56</v>
      </c>
      <c r="Y1545" s="10" t="s">
        <v>57</v>
      </c>
      <c r="Z1545" s="75" t="s">
        <v>58</v>
      </c>
      <c r="AI1545" s="7"/>
      <c r="AJ1545" s="73"/>
      <c r="AK1545" s="7"/>
      <c r="AL1545" s="16"/>
      <c r="AW1545" s="6">
        <f t="shared" ca="1" si="26"/>
        <v>38</v>
      </c>
    </row>
    <row r="1546" ht="45" hidden="1" customHeight="1">
      <c r="A1546" s="69"/>
      <c r="B1546" s="3" t="s">
        <v>47</v>
      </c>
      <c r="C1546" s="4" t="s">
        <v>4331</v>
      </c>
      <c r="D1546" s="5" t="s">
        <v>4332</v>
      </c>
      <c r="E1546" s="2" t="s">
        <v>83</v>
      </c>
      <c r="F1546" s="6" t="s">
        <v>84</v>
      </c>
      <c r="G1546" s="5" t="s">
        <v>1938</v>
      </c>
      <c r="H1546" s="2" t="s">
        <v>288</v>
      </c>
      <c r="I1546" s="3" t="s">
        <v>4333</v>
      </c>
      <c r="J1546" s="7">
        <v>1</v>
      </c>
      <c r="L1546" s="9">
        <v>1</v>
      </c>
      <c r="M1546" s="3">
        <v>1258</v>
      </c>
      <c r="N1546" s="6">
        <v>1987</v>
      </c>
      <c r="P1546" s="71"/>
      <c r="R1546" s="6">
        <v>1980</v>
      </c>
      <c r="S1546" s="3" t="s">
        <v>236</v>
      </c>
      <c r="T1546" s="72" t="s">
        <v>1136</v>
      </c>
      <c r="W1546" s="2" t="s">
        <v>62</v>
      </c>
      <c r="X1546" s="10" t="s">
        <v>56</v>
      </c>
      <c r="Y1546" s="10" t="s">
        <v>288</v>
      </c>
      <c r="Z1546" s="75"/>
      <c r="AI1546" s="7"/>
      <c r="AJ1546" s="10">
        <v>44519</v>
      </c>
      <c r="AK1546" s="7">
        <v>2020</v>
      </c>
      <c r="AL1546" s="16"/>
      <c r="AW1546" s="6">
        <f t="shared" ca="1" si="26"/>
        <v>38</v>
      </c>
    </row>
    <row r="1547" ht="45" hidden="1" customHeight="1">
      <c r="A1547" s="69"/>
      <c r="B1547" s="3" t="s">
        <v>190</v>
      </c>
      <c r="C1547" s="4" t="s">
        <v>4334</v>
      </c>
      <c r="D1547" s="5" t="s">
        <v>4335</v>
      </c>
      <c r="E1547" s="2" t="s">
        <v>48</v>
      </c>
      <c r="F1547" s="6" t="s">
        <v>49</v>
      </c>
      <c r="G1547" s="5" t="s">
        <v>4336</v>
      </c>
      <c r="H1547" s="2" t="s">
        <v>4337</v>
      </c>
      <c r="I1547" s="3" t="s">
        <v>4338</v>
      </c>
      <c r="J1547" s="7">
        <v>1</v>
      </c>
      <c r="L1547" s="9">
        <v>1</v>
      </c>
      <c r="M1547" s="3">
        <v>1259</v>
      </c>
      <c r="N1547" s="6">
        <v>1987</v>
      </c>
      <c r="P1547" s="71"/>
      <c r="R1547" s="6">
        <v>1980</v>
      </c>
      <c r="S1547" s="3" t="s">
        <v>283</v>
      </c>
      <c r="T1547" s="72"/>
      <c r="U1547" s="73"/>
      <c r="W1547" s="74" t="s">
        <v>62</v>
      </c>
      <c r="X1547" s="10" t="s">
        <v>4339</v>
      </c>
      <c r="Y1547" s="10" t="s">
        <v>980</v>
      </c>
      <c r="Z1547" s="75"/>
      <c r="AI1547" s="7"/>
      <c r="AJ1547" s="73"/>
      <c r="AK1547" s="7"/>
      <c r="AL1547" s="16"/>
      <c r="AW1547" s="6">
        <f t="shared" ca="1" si="26"/>
        <v>38</v>
      </c>
    </row>
    <row r="1548" ht="45" hidden="1" customHeight="1" outlineLevel="1">
      <c r="A1548" s="69">
        <v>42989</v>
      </c>
      <c r="B1548" s="3" t="s">
        <v>190</v>
      </c>
      <c r="C1548" s="4" t="s">
        <v>4340</v>
      </c>
      <c r="D1548" s="5" t="s">
        <v>4341</v>
      </c>
      <c r="E1548" s="2" t="s">
        <v>83</v>
      </c>
      <c r="F1548" s="6" t="s">
        <v>84</v>
      </c>
      <c r="G1548" s="5" t="s">
        <v>85</v>
      </c>
      <c r="H1548" s="2" t="s">
        <v>88</v>
      </c>
      <c r="I1548" s="3" t="s">
        <v>4342</v>
      </c>
      <c r="J1548" s="7">
        <v>1</v>
      </c>
      <c r="K1548" s="104"/>
      <c r="L1548" s="9">
        <v>1</v>
      </c>
      <c r="M1548" s="3">
        <v>1260</v>
      </c>
      <c r="N1548" s="6">
        <v>1988</v>
      </c>
      <c r="P1548" s="71"/>
      <c r="R1548" s="6">
        <v>1980</v>
      </c>
      <c r="S1548" s="3" t="s">
        <v>283</v>
      </c>
      <c r="T1548" s="72" t="s">
        <v>998</v>
      </c>
      <c r="U1548" s="73"/>
      <c r="W1548" s="74" t="s">
        <v>62</v>
      </c>
      <c r="X1548" s="10" t="s">
        <v>91</v>
      </c>
      <c r="Y1548" s="10" t="s">
        <v>92</v>
      </c>
      <c r="Z1548" s="75"/>
      <c r="AA1548" s="2"/>
      <c r="AB1548" s="77"/>
      <c r="AC1548" s="6"/>
      <c r="AD1548" s="6"/>
      <c r="AI1548" s="7"/>
      <c r="AJ1548" s="73"/>
      <c r="AK1548" s="7"/>
      <c r="AW1548" s="6">
        <f t="shared" ca="1" si="26"/>
        <v>37</v>
      </c>
    </row>
    <row r="1549" ht="45" hidden="1" customHeight="1">
      <c r="A1549" s="69"/>
      <c r="B1549" s="3" t="s">
        <v>47</v>
      </c>
      <c r="C1549" s="4" t="s">
        <v>4343</v>
      </c>
      <c r="E1549" s="2" t="s">
        <v>48</v>
      </c>
      <c r="F1549" s="6" t="s">
        <v>140</v>
      </c>
      <c r="G1549" s="5" t="s">
        <v>532</v>
      </c>
      <c r="H1549" s="2" t="s">
        <v>288</v>
      </c>
      <c r="I1549" s="3" t="s">
        <v>4344</v>
      </c>
      <c r="J1549" s="7">
        <v>1</v>
      </c>
      <c r="K1549" s="104"/>
      <c r="L1549" s="9">
        <v>1</v>
      </c>
      <c r="M1549" s="3">
        <v>1261</v>
      </c>
      <c r="N1549" s="6">
        <v>1988</v>
      </c>
      <c r="P1549" s="71"/>
      <c r="R1549" s="6">
        <v>1980</v>
      </c>
      <c r="S1549" s="3" t="s">
        <v>236</v>
      </c>
      <c r="T1549" s="72"/>
      <c r="U1549" s="73"/>
      <c r="W1549" s="2" t="s">
        <v>62</v>
      </c>
      <c r="X1549" s="10" t="s">
        <v>56</v>
      </c>
      <c r="Y1549" s="10" t="s">
        <v>288</v>
      </c>
      <c r="Z1549" s="75"/>
      <c r="AA1549" s="2"/>
      <c r="AB1549" s="77"/>
      <c r="AC1549" s="6"/>
      <c r="AD1549" s="6"/>
      <c r="AI1549" s="7"/>
      <c r="AJ1549" s="95"/>
      <c r="AK1549" s="114"/>
      <c r="AL1549" s="16"/>
      <c r="AW1549" s="6">
        <f t="shared" ca="1" si="26"/>
        <v>37</v>
      </c>
    </row>
    <row r="1550" ht="45" customHeight="1">
      <c r="A1550" s="69"/>
      <c r="B1550" s="3" t="s">
        <v>47</v>
      </c>
      <c r="C1550" s="4" t="s">
        <v>4345</v>
      </c>
      <c r="D1550" s="5" t="s">
        <v>4346</v>
      </c>
      <c r="E1550" s="2" t="s">
        <v>48</v>
      </c>
      <c r="F1550" s="6" t="s">
        <v>49</v>
      </c>
      <c r="G1550" s="5" t="s">
        <v>468</v>
      </c>
      <c r="H1550" s="2" t="s">
        <v>57</v>
      </c>
      <c r="I1550" s="3" t="s">
        <v>4347</v>
      </c>
      <c r="J1550" s="7">
        <v>1</v>
      </c>
      <c r="K1550" s="70" t="s">
        <v>53</v>
      </c>
      <c r="L1550" s="9">
        <v>1</v>
      </c>
      <c r="M1550" s="3">
        <v>1262</v>
      </c>
      <c r="N1550" s="6">
        <v>1988</v>
      </c>
      <c r="P1550" s="71"/>
      <c r="R1550" s="6">
        <v>1980</v>
      </c>
      <c r="S1550" s="3" t="s">
        <v>54</v>
      </c>
      <c r="T1550" s="72"/>
      <c r="U1550" s="73"/>
      <c r="W1550" s="2" t="s">
        <v>4348</v>
      </c>
      <c r="X1550" s="10" t="s">
        <v>56</v>
      </c>
      <c r="Y1550" s="10" t="s">
        <v>57</v>
      </c>
      <c r="Z1550" s="75"/>
      <c r="AA1550" s="76"/>
      <c r="AB1550" s="77"/>
      <c r="AC1550" s="77">
        <v>32946</v>
      </c>
      <c r="AD1550" s="10"/>
      <c r="AG1550" s="7">
        <v>1990</v>
      </c>
      <c r="AH1550" s="7">
        <v>1990</v>
      </c>
      <c r="AI1550" s="7"/>
      <c r="AJ1550" s="73"/>
      <c r="AK1550" s="7"/>
      <c r="AL1550" s="99"/>
      <c r="AM1550" s="2" t="s">
        <v>59</v>
      </c>
      <c r="AO1550" s="6" t="s">
        <v>73</v>
      </c>
      <c r="AR1550" s="2" t="s">
        <v>73</v>
      </c>
      <c r="AT1550" s="6">
        <v>2014</v>
      </c>
      <c r="AU1550" s="16" t="s">
        <v>4349</v>
      </c>
      <c r="AW1550" s="6">
        <f t="shared" ca="1" si="26"/>
        <v>37</v>
      </c>
    </row>
    <row r="1551" ht="45" hidden="1" customHeight="1">
      <c r="A1551" s="69"/>
      <c r="B1551" s="3" t="s">
        <v>47</v>
      </c>
      <c r="C1551" s="4" t="s">
        <v>4350</v>
      </c>
      <c r="D1551" s="5" t="s">
        <v>4351</v>
      </c>
      <c r="E1551" s="2" t="s">
        <v>63</v>
      </c>
      <c r="F1551" s="6" t="s">
        <v>428</v>
      </c>
      <c r="G1551" s="5" t="s">
        <v>4352</v>
      </c>
      <c r="H1551" s="2" t="s">
        <v>57</v>
      </c>
      <c r="I1551" s="3" t="s">
        <v>4353</v>
      </c>
      <c r="J1551" s="7">
        <v>1</v>
      </c>
      <c r="K1551" s="70"/>
      <c r="L1551" s="9">
        <v>1</v>
      </c>
      <c r="M1551" s="3">
        <v>1263</v>
      </c>
      <c r="N1551" s="6">
        <v>1988</v>
      </c>
      <c r="O1551" s="10">
        <v>32111</v>
      </c>
      <c r="P1551" s="71" t="s">
        <v>4354</v>
      </c>
      <c r="R1551" s="6">
        <v>1980</v>
      </c>
      <c r="S1551" s="3" t="s">
        <v>236</v>
      </c>
      <c r="T1551" s="72"/>
      <c r="U1551" s="73"/>
      <c r="W1551" s="2" t="s">
        <v>62</v>
      </c>
      <c r="X1551" s="10" t="s">
        <v>56</v>
      </c>
      <c r="Y1551" s="10" t="s">
        <v>57</v>
      </c>
      <c r="Z1551" s="75"/>
      <c r="AA1551" s="76"/>
      <c r="AB1551" s="77"/>
      <c r="AC1551" s="77"/>
      <c r="AD1551" s="10"/>
      <c r="AI1551" s="7"/>
      <c r="AJ1551" s="10">
        <v>42495</v>
      </c>
      <c r="AK1551" s="7">
        <v>2010</v>
      </c>
      <c r="AL1551" s="16"/>
      <c r="AW1551" s="6">
        <f t="shared" ca="1" si="26"/>
        <v>37</v>
      </c>
    </row>
    <row r="1552" ht="45" hidden="1" customHeight="1">
      <c r="A1552" s="69"/>
      <c r="B1552" s="3" t="s">
        <v>47</v>
      </c>
      <c r="C1552" s="4" t="s">
        <v>4355</v>
      </c>
      <c r="D1552" s="5" t="s">
        <v>4356</v>
      </c>
      <c r="E1552" s="2" t="s">
        <v>1074</v>
      </c>
      <c r="F1552" s="6" t="s">
        <v>1075</v>
      </c>
      <c r="G1552" s="5" t="s">
        <v>1949</v>
      </c>
      <c r="H1552" s="2" t="s">
        <v>51</v>
      </c>
      <c r="I1552" s="3" t="s">
        <v>4357</v>
      </c>
      <c r="J1552" s="7">
        <v>1</v>
      </c>
      <c r="K1552" s="70"/>
      <c r="L1552" s="9">
        <v>1</v>
      </c>
      <c r="M1552" s="3">
        <v>1264</v>
      </c>
      <c r="N1552" s="6">
        <v>1988</v>
      </c>
      <c r="P1552" s="71"/>
      <c r="R1552" s="6">
        <v>1980</v>
      </c>
      <c r="S1552" s="3" t="s">
        <v>236</v>
      </c>
      <c r="T1552" s="72"/>
      <c r="W1552" s="2" t="s">
        <v>62</v>
      </c>
      <c r="X1552" s="10" t="s">
        <v>56</v>
      </c>
      <c r="Y1552" s="10" t="s">
        <v>57</v>
      </c>
      <c r="Z1552" s="75" t="s">
        <v>58</v>
      </c>
      <c r="AA1552" s="76"/>
      <c r="AB1552" s="77"/>
      <c r="AC1552" s="77"/>
      <c r="AD1552" s="10"/>
      <c r="AI1552" s="7"/>
      <c r="AJ1552" s="10">
        <v>44028</v>
      </c>
      <c r="AK1552" s="7">
        <v>2020</v>
      </c>
      <c r="AL1552" s="16"/>
      <c r="AW1552" s="6">
        <f t="shared" ca="1" si="26"/>
        <v>37</v>
      </c>
    </row>
    <row r="1553" ht="45" hidden="1" customHeight="1">
      <c r="A1553" s="69"/>
      <c r="B1553" s="3" t="s">
        <v>47</v>
      </c>
      <c r="C1553" s="4" t="s">
        <v>4358</v>
      </c>
      <c r="E1553" s="2" t="s">
        <v>83</v>
      </c>
      <c r="F1553" s="6" t="s">
        <v>84</v>
      </c>
      <c r="G1553" s="5" t="s">
        <v>1783</v>
      </c>
      <c r="H1553" s="2" t="s">
        <v>57</v>
      </c>
      <c r="I1553" s="3" t="s">
        <v>4359</v>
      </c>
      <c r="J1553" s="7">
        <v>1</v>
      </c>
      <c r="K1553" s="70"/>
      <c r="L1553" s="9">
        <v>1</v>
      </c>
      <c r="M1553" s="3">
        <v>1265</v>
      </c>
      <c r="N1553" s="6">
        <v>1988</v>
      </c>
      <c r="P1553" s="71"/>
      <c r="R1553" s="6">
        <v>1980</v>
      </c>
      <c r="S1553" s="3" t="s">
        <v>236</v>
      </c>
      <c r="T1553" s="72"/>
      <c r="U1553" s="73"/>
      <c r="W1553" s="2" t="s">
        <v>62</v>
      </c>
      <c r="X1553" s="10" t="s">
        <v>56</v>
      </c>
      <c r="Y1553" s="10" t="s">
        <v>57</v>
      </c>
      <c r="Z1553" s="75"/>
      <c r="AA1553" s="76"/>
      <c r="AB1553" s="77"/>
      <c r="AC1553" s="77"/>
      <c r="AD1553" s="10"/>
      <c r="AI1553" s="7"/>
      <c r="AJ1553" s="95">
        <v>39595</v>
      </c>
      <c r="AK1553" s="7">
        <v>2000</v>
      </c>
      <c r="AL1553" s="16" t="s">
        <v>4360</v>
      </c>
      <c r="AW1553" s="6">
        <f t="shared" ca="1" si="26"/>
        <v>37</v>
      </c>
    </row>
    <row r="1554" ht="45" hidden="1" customHeight="1" outlineLevel="1">
      <c r="A1554" s="69"/>
      <c r="B1554" s="3" t="s">
        <v>47</v>
      </c>
      <c r="C1554" s="4" t="s">
        <v>4361</v>
      </c>
      <c r="E1554" s="2" t="s">
        <v>63</v>
      </c>
      <c r="F1554" s="6" t="s">
        <v>354</v>
      </c>
      <c r="G1554" s="5" t="s">
        <v>1585</v>
      </c>
      <c r="H1554" s="2" t="s">
        <v>57</v>
      </c>
      <c r="I1554" s="148" t="s">
        <v>4362</v>
      </c>
      <c r="J1554" s="7">
        <v>1</v>
      </c>
      <c r="K1554" s="70"/>
      <c r="L1554" s="9">
        <v>1</v>
      </c>
      <c r="M1554" s="3">
        <v>1266</v>
      </c>
      <c r="N1554" s="6">
        <v>1988</v>
      </c>
      <c r="P1554" s="71"/>
      <c r="R1554" s="6">
        <v>1981</v>
      </c>
      <c r="S1554" s="3" t="s">
        <v>236</v>
      </c>
      <c r="T1554" s="72"/>
      <c r="U1554" s="73"/>
      <c r="W1554" s="2" t="s">
        <v>62</v>
      </c>
      <c r="X1554" s="10" t="s">
        <v>56</v>
      </c>
      <c r="Y1554" s="10" t="s">
        <v>57</v>
      </c>
      <c r="Z1554" s="75"/>
      <c r="AA1554" s="76"/>
      <c r="AB1554" s="77"/>
      <c r="AC1554" s="77"/>
      <c r="AD1554" s="10"/>
      <c r="AE1554" s="7">
        <v>1988</v>
      </c>
      <c r="AF1554" s="7">
        <v>134</v>
      </c>
      <c r="AI1554" s="7"/>
      <c r="AJ1554" s="95">
        <v>32392</v>
      </c>
      <c r="AK1554" s="7">
        <v>1980</v>
      </c>
      <c r="AL1554" s="16" t="s">
        <v>4363</v>
      </c>
      <c r="AW1554" s="6">
        <f t="shared" ca="1" si="26"/>
        <v>37</v>
      </c>
    </row>
    <row r="1555" ht="45" hidden="1" customHeight="1">
      <c r="A1555" s="69">
        <v>43181</v>
      </c>
      <c r="B1555" s="3" t="s">
        <v>47</v>
      </c>
      <c r="C1555" s="4" t="s">
        <v>4364</v>
      </c>
      <c r="D1555" s="5" t="s">
        <v>4365</v>
      </c>
      <c r="E1555" s="2" t="s">
        <v>63</v>
      </c>
      <c r="F1555" s="6" t="s">
        <v>64</v>
      </c>
      <c r="G1555" s="5" t="s">
        <v>69</v>
      </c>
      <c r="H1555" s="2" t="s">
        <v>508</v>
      </c>
      <c r="I1555" s="3" t="s">
        <v>4366</v>
      </c>
      <c r="J1555" s="7">
        <v>1</v>
      </c>
      <c r="K1555" s="70"/>
      <c r="L1555" s="9">
        <v>1</v>
      </c>
      <c r="M1555" s="3">
        <v>1267</v>
      </c>
      <c r="N1555" s="6">
        <v>1988</v>
      </c>
      <c r="P1555" s="71"/>
      <c r="R1555" s="6">
        <v>1980</v>
      </c>
      <c r="S1555" s="3" t="s">
        <v>236</v>
      </c>
      <c r="T1555" s="72"/>
      <c r="W1555" s="2" t="s">
        <v>62</v>
      </c>
      <c r="X1555" s="10" t="s">
        <v>56</v>
      </c>
      <c r="Y1555" s="10" t="s">
        <v>57</v>
      </c>
      <c r="Z1555" s="75"/>
      <c r="AA1555" s="76"/>
      <c r="AB1555" s="77"/>
      <c r="AC1555" s="77"/>
      <c r="AD1555" s="6"/>
      <c r="AI1555" s="7"/>
      <c r="AJ1555" s="10">
        <v>44411</v>
      </c>
      <c r="AK1555" s="7">
        <v>2020</v>
      </c>
      <c r="AL1555" s="16"/>
      <c r="AW1555" s="6">
        <f t="shared" ca="1" si="26"/>
        <v>37</v>
      </c>
    </row>
    <row r="1556" ht="45" hidden="1" customHeight="1" outlineLevel="1">
      <c r="A1556" s="69"/>
      <c r="B1556" s="3" t="s">
        <v>47</v>
      </c>
      <c r="C1556" s="4" t="s">
        <v>4367</v>
      </c>
      <c r="D1556" s="5" t="s">
        <v>4368</v>
      </c>
      <c r="E1556" s="2" t="s">
        <v>63</v>
      </c>
      <c r="F1556" s="6" t="s">
        <v>83</v>
      </c>
      <c r="G1556" s="5" t="s">
        <v>4163</v>
      </c>
      <c r="H1556" s="2" t="s">
        <v>57</v>
      </c>
      <c r="I1556" s="3" t="s">
        <v>4369</v>
      </c>
      <c r="J1556" s="7">
        <v>1</v>
      </c>
      <c r="K1556" s="104"/>
      <c r="L1556" s="9">
        <v>1</v>
      </c>
      <c r="M1556" s="3">
        <v>1268</v>
      </c>
      <c r="N1556" s="6">
        <v>1988</v>
      </c>
      <c r="P1556" s="71"/>
      <c r="R1556" s="6">
        <v>1980</v>
      </c>
      <c r="S1556" s="3" t="s">
        <v>236</v>
      </c>
      <c r="T1556" s="72"/>
      <c r="U1556" s="73"/>
      <c r="W1556" s="2" t="s">
        <v>62</v>
      </c>
      <c r="X1556" s="10" t="s">
        <v>56</v>
      </c>
      <c r="Y1556" s="10" t="s">
        <v>57</v>
      </c>
      <c r="Z1556" s="75"/>
      <c r="AA1556" s="76"/>
      <c r="AB1556" s="77"/>
      <c r="AC1556" s="77"/>
      <c r="AD1556" s="6"/>
      <c r="AI1556" s="7"/>
      <c r="AJ1556" s="95">
        <v>41410</v>
      </c>
      <c r="AK1556" s="7">
        <v>2010</v>
      </c>
      <c r="AL1556" s="16"/>
      <c r="AW1556" s="6">
        <f t="shared" ca="1" si="26"/>
        <v>37</v>
      </c>
    </row>
    <row r="1557" ht="45" customHeight="1" outlineLevel="1">
      <c r="A1557" s="69"/>
      <c r="B1557" s="3" t="s">
        <v>47</v>
      </c>
      <c r="D1557" s="5" t="s">
        <v>4370</v>
      </c>
      <c r="E1557" s="2" t="s">
        <v>1074</v>
      </c>
      <c r="F1557" s="6" t="s">
        <v>1075</v>
      </c>
      <c r="G1557" s="5" t="s">
        <v>4371</v>
      </c>
      <c r="H1557" s="2" t="s">
        <v>288</v>
      </c>
      <c r="I1557" s="3" t="s">
        <v>4372</v>
      </c>
      <c r="J1557" s="7">
        <v>1</v>
      </c>
      <c r="K1557" s="70" t="s">
        <v>53</v>
      </c>
      <c r="L1557" s="9">
        <v>1</v>
      </c>
      <c r="M1557" s="3">
        <v>1269</v>
      </c>
      <c r="N1557" s="6">
        <v>1988</v>
      </c>
      <c r="P1557" s="71"/>
      <c r="R1557" s="6">
        <v>1980</v>
      </c>
      <c r="S1557" s="3" t="s">
        <v>54</v>
      </c>
      <c r="T1557" s="72"/>
      <c r="U1557" s="73"/>
      <c r="W1557" s="2" t="s">
        <v>4373</v>
      </c>
      <c r="X1557" s="10" t="s">
        <v>56</v>
      </c>
      <c r="Y1557" s="10" t="s">
        <v>288</v>
      </c>
      <c r="Z1557" s="75"/>
      <c r="AA1557" s="76">
        <v>39721</v>
      </c>
      <c r="AB1557" s="6"/>
      <c r="AC1557" s="6"/>
      <c r="AD1557" s="6"/>
      <c r="AE1557" s="7">
        <v>2000</v>
      </c>
      <c r="AF1557" s="7">
        <v>22</v>
      </c>
      <c r="AG1557" s="7">
        <v>2008</v>
      </c>
      <c r="AH1557" s="7">
        <v>2000</v>
      </c>
      <c r="AI1557" s="7"/>
      <c r="AJ1557" s="73"/>
      <c r="AK1557" s="7"/>
      <c r="AL1557" s="16"/>
      <c r="AM1557" s="2" t="s">
        <v>53</v>
      </c>
      <c r="AN1557" s="6" t="s">
        <v>73</v>
      </c>
      <c r="AO1557" s="6" t="s">
        <v>100</v>
      </c>
      <c r="AP1557" s="6" t="s">
        <v>73</v>
      </c>
      <c r="AQ1557" s="5" t="s">
        <v>73</v>
      </c>
      <c r="AR1557" s="2" t="s">
        <v>73</v>
      </c>
      <c r="AT1557" s="6">
        <v>2013</v>
      </c>
      <c r="AU1557" s="16" t="s">
        <v>4374</v>
      </c>
      <c r="AW1557" s="6">
        <f t="shared" ca="1" si="26"/>
        <v>37</v>
      </c>
    </row>
    <row r="1558" ht="45" hidden="1" customHeight="1" outlineLevel="1">
      <c r="A1558" s="132"/>
      <c r="B1558" s="3" t="s">
        <v>47</v>
      </c>
      <c r="C1558" s="144" t="s">
        <v>4375</v>
      </c>
      <c r="D1558" s="117" t="s">
        <v>4376</v>
      </c>
      <c r="E1558" s="2" t="s">
        <v>83</v>
      </c>
      <c r="F1558" s="141" t="s">
        <v>179</v>
      </c>
      <c r="G1558" s="117" t="s">
        <v>2824</v>
      </c>
      <c r="H1558" s="2" t="s">
        <v>88</v>
      </c>
      <c r="I1558" s="194" t="s">
        <v>4377</v>
      </c>
      <c r="J1558" s="7">
        <v>1</v>
      </c>
      <c r="K1558" s="145"/>
      <c r="L1558" s="9">
        <v>1</v>
      </c>
      <c r="M1558" s="194">
        <v>1270</v>
      </c>
      <c r="N1558" s="141">
        <v>1988</v>
      </c>
      <c r="P1558" s="71"/>
      <c r="R1558" s="6">
        <v>1980</v>
      </c>
      <c r="S1558" s="3" t="s">
        <v>236</v>
      </c>
      <c r="T1558" s="72"/>
      <c r="U1558" s="73"/>
      <c r="W1558" s="2" t="s">
        <v>62</v>
      </c>
      <c r="X1558" s="10" t="s">
        <v>91</v>
      </c>
      <c r="Y1558" s="10" t="s">
        <v>92</v>
      </c>
      <c r="Z1558" s="75"/>
      <c r="AA1558" s="137"/>
      <c r="AB1558" s="141"/>
      <c r="AC1558" s="141"/>
      <c r="AD1558" s="141"/>
      <c r="AE1558" s="139"/>
      <c r="AG1558" s="139"/>
      <c r="AH1558" s="139"/>
      <c r="AI1558" s="139"/>
      <c r="AJ1558" s="136">
        <v>43497</v>
      </c>
      <c r="AK1558" s="139">
        <v>2019</v>
      </c>
      <c r="AO1558" s="141"/>
      <c r="AP1558" s="141"/>
      <c r="AQ1558" s="117"/>
      <c r="AR1558" s="142"/>
      <c r="AS1558" s="141"/>
      <c r="AT1558" s="141"/>
      <c r="AU1558" s="140"/>
      <c r="AV1558" s="143"/>
      <c r="AW1558" s="6">
        <f t="shared" ca="1" si="26"/>
        <v>37</v>
      </c>
    </row>
    <row r="1559" ht="45" hidden="1" customHeight="1" outlineLevel="1">
      <c r="A1559" s="69">
        <v>43237</v>
      </c>
      <c r="B1559" s="3" t="s">
        <v>47</v>
      </c>
      <c r="C1559" s="4" t="s">
        <v>4378</v>
      </c>
      <c r="D1559" s="5" t="s">
        <v>4379</v>
      </c>
      <c r="E1559" s="2" t="s">
        <v>83</v>
      </c>
      <c r="F1559" s="6" t="s">
        <v>704</v>
      </c>
      <c r="G1559" s="5" t="s">
        <v>4380</v>
      </c>
      <c r="H1559" s="2" t="s">
        <v>257</v>
      </c>
      <c r="I1559" s="3" t="s">
        <v>4381</v>
      </c>
      <c r="J1559" s="7">
        <v>1</v>
      </c>
      <c r="K1559" s="104"/>
      <c r="L1559" s="9">
        <v>1</v>
      </c>
      <c r="M1559" s="3">
        <v>1271</v>
      </c>
      <c r="N1559" s="6">
        <v>1988</v>
      </c>
      <c r="P1559" s="71"/>
      <c r="R1559" s="6">
        <v>1980</v>
      </c>
      <c r="S1559" s="3" t="s">
        <v>236</v>
      </c>
      <c r="T1559" s="72" t="s">
        <v>1136</v>
      </c>
      <c r="W1559" s="2" t="s">
        <v>62</v>
      </c>
      <c r="X1559" s="10" t="s">
        <v>56</v>
      </c>
      <c r="Y1559" s="10" t="s">
        <v>68</v>
      </c>
      <c r="Z1559" s="75"/>
      <c r="AA1559" s="76"/>
      <c r="AB1559" s="6"/>
      <c r="AC1559" s="6"/>
      <c r="AD1559" s="6"/>
      <c r="AI1559" s="7"/>
      <c r="AJ1559" s="10">
        <v>44460</v>
      </c>
      <c r="AK1559" s="7">
        <v>2020</v>
      </c>
      <c r="AL1559" s="16"/>
      <c r="AW1559" s="6">
        <f t="shared" ca="1" si="26"/>
        <v>37</v>
      </c>
    </row>
    <row r="1560" ht="45" hidden="1" customHeight="1" outlineLevel="1">
      <c r="A1560" s="69"/>
      <c r="B1560" s="3" t="s">
        <v>47</v>
      </c>
      <c r="C1560" s="4" t="s">
        <v>4382</v>
      </c>
      <c r="D1560" s="5" t="s">
        <v>4383</v>
      </c>
      <c r="E1560" s="2" t="s">
        <v>63</v>
      </c>
      <c r="F1560" s="6" t="s">
        <v>172</v>
      </c>
      <c r="G1560" s="5" t="s">
        <v>4384</v>
      </c>
      <c r="H1560" s="2" t="s">
        <v>382</v>
      </c>
      <c r="I1560" s="3" t="s">
        <v>4385</v>
      </c>
      <c r="J1560" s="7">
        <v>1</v>
      </c>
      <c r="K1560" s="104"/>
      <c r="L1560" s="9">
        <v>1</v>
      </c>
      <c r="M1560" s="3">
        <v>1272</v>
      </c>
      <c r="N1560" s="6">
        <v>1988</v>
      </c>
      <c r="P1560" s="71"/>
      <c r="R1560" s="6">
        <v>1980</v>
      </c>
      <c r="S1560" s="3" t="s">
        <v>236</v>
      </c>
      <c r="T1560" s="72"/>
      <c r="U1560" s="10">
        <v>43734</v>
      </c>
      <c r="W1560" s="2" t="s">
        <v>62</v>
      </c>
      <c r="X1560" s="10" t="s">
        <v>56</v>
      </c>
      <c r="Y1560" s="10" t="s">
        <v>57</v>
      </c>
      <c r="Z1560" s="75"/>
      <c r="AA1560" s="76"/>
      <c r="AB1560" s="77"/>
      <c r="AC1560" s="77"/>
      <c r="AD1560" s="6"/>
      <c r="AI1560" s="7"/>
      <c r="AJ1560" s="10">
        <v>44386</v>
      </c>
      <c r="AK1560" s="7">
        <v>2020</v>
      </c>
      <c r="AL1560" s="16"/>
      <c r="AW1560" s="6">
        <f t="shared" ca="1" si="26"/>
        <v>37</v>
      </c>
    </row>
    <row r="1561" ht="45" customHeight="1" outlineLevel="1">
      <c r="A1561" s="69">
        <v>44776</v>
      </c>
      <c r="B1561" s="3" t="s">
        <v>1743</v>
      </c>
      <c r="C1561" s="4" t="s">
        <v>4386</v>
      </c>
      <c r="D1561" s="5" t="s">
        <v>3938</v>
      </c>
      <c r="E1561" s="2" t="s">
        <v>48</v>
      </c>
      <c r="F1561" s="6" t="s">
        <v>564</v>
      </c>
      <c r="G1561" s="5" t="s">
        <v>565</v>
      </c>
      <c r="H1561" s="2" t="s">
        <v>288</v>
      </c>
      <c r="I1561" s="195" t="s">
        <v>4387</v>
      </c>
      <c r="J1561" s="7">
        <v>1</v>
      </c>
      <c r="K1561" s="104" t="s">
        <v>1978</v>
      </c>
      <c r="L1561" s="9">
        <v>1</v>
      </c>
      <c r="M1561" s="3">
        <v>1273</v>
      </c>
      <c r="N1561" s="6">
        <v>1988</v>
      </c>
      <c r="O1561" s="10">
        <v>32317</v>
      </c>
      <c r="P1561" s="71" t="s">
        <v>4388</v>
      </c>
      <c r="R1561" s="6">
        <v>1980</v>
      </c>
      <c r="S1561" s="3" t="s">
        <v>1980</v>
      </c>
      <c r="T1561" s="72"/>
      <c r="U1561" s="73"/>
      <c r="V1561" s="12">
        <v>42678</v>
      </c>
      <c r="W1561" s="74" t="s">
        <v>4389</v>
      </c>
      <c r="X1561" s="10" t="s">
        <v>56</v>
      </c>
      <c r="Y1561" s="10" t="s">
        <v>288</v>
      </c>
      <c r="Z1561" s="75"/>
      <c r="AA1561" s="76"/>
      <c r="AB1561" s="77"/>
      <c r="AC1561" s="77"/>
      <c r="AD1561" s="6"/>
      <c r="AI1561" s="7"/>
      <c r="AJ1561" s="73"/>
      <c r="AK1561" s="7"/>
      <c r="AL1561" s="16"/>
      <c r="AM1561" s="2" t="s">
        <v>53</v>
      </c>
      <c r="AW1561" s="6">
        <f t="shared" ca="1" si="26"/>
        <v>37</v>
      </c>
    </row>
    <row r="1562" ht="45" customHeight="1" outlineLevel="1">
      <c r="A1562" s="69">
        <v>44776</v>
      </c>
      <c r="B1562" s="3" t="s">
        <v>1743</v>
      </c>
      <c r="C1562" s="4" t="s">
        <v>4390</v>
      </c>
      <c r="D1562" s="5" t="s">
        <v>3938</v>
      </c>
      <c r="E1562" s="2" t="s">
        <v>48</v>
      </c>
      <c r="F1562" s="6" t="s">
        <v>564</v>
      </c>
      <c r="G1562" s="5" t="s">
        <v>565</v>
      </c>
      <c r="H1562" s="2" t="s">
        <v>288</v>
      </c>
      <c r="I1562" s="195" t="s">
        <v>4391</v>
      </c>
      <c r="J1562" s="7">
        <v>1</v>
      </c>
      <c r="K1562" s="104" t="s">
        <v>1978</v>
      </c>
      <c r="L1562" s="9">
        <v>0</v>
      </c>
      <c r="M1562" s="3">
        <v>1273</v>
      </c>
      <c r="N1562" s="6">
        <v>1988</v>
      </c>
      <c r="O1562" s="10">
        <v>32317</v>
      </c>
      <c r="P1562" s="71" t="s">
        <v>4388</v>
      </c>
      <c r="R1562" s="6">
        <v>1980</v>
      </c>
      <c r="S1562" s="3" t="s">
        <v>1980</v>
      </c>
      <c r="T1562" s="72"/>
      <c r="U1562" s="73"/>
      <c r="V1562" s="12">
        <v>42678</v>
      </c>
      <c r="W1562" s="74" t="s">
        <v>4392</v>
      </c>
      <c r="X1562" s="10" t="s">
        <v>56</v>
      </c>
      <c r="Y1562" s="10" t="s">
        <v>288</v>
      </c>
      <c r="Z1562" s="75"/>
      <c r="AA1562" s="76"/>
      <c r="AB1562" s="77"/>
      <c r="AC1562" s="77"/>
      <c r="AD1562" s="6"/>
      <c r="AI1562" s="7"/>
      <c r="AJ1562" s="73"/>
      <c r="AK1562" s="7"/>
      <c r="AL1562" s="16"/>
      <c r="AM1562" s="2" t="s">
        <v>53</v>
      </c>
      <c r="AW1562" s="6"/>
    </row>
    <row r="1563" ht="45" customHeight="1" outlineLevel="1">
      <c r="A1563" s="69">
        <v>44776</v>
      </c>
      <c r="B1563" s="3" t="s">
        <v>1743</v>
      </c>
      <c r="C1563" s="4" t="s">
        <v>4393</v>
      </c>
      <c r="D1563" s="5" t="s">
        <v>3938</v>
      </c>
      <c r="E1563" s="2" t="s">
        <v>48</v>
      </c>
      <c r="F1563" s="6" t="s">
        <v>564</v>
      </c>
      <c r="G1563" s="5" t="s">
        <v>565</v>
      </c>
      <c r="H1563" s="2" t="s">
        <v>57</v>
      </c>
      <c r="I1563" s="195" t="s">
        <v>4394</v>
      </c>
      <c r="J1563" s="7">
        <v>1</v>
      </c>
      <c r="K1563" s="104" t="s">
        <v>1978</v>
      </c>
      <c r="L1563" s="9">
        <v>0</v>
      </c>
      <c r="M1563" s="3">
        <v>1273</v>
      </c>
      <c r="N1563" s="6">
        <v>1988</v>
      </c>
      <c r="O1563" s="10">
        <v>32317</v>
      </c>
      <c r="P1563" s="71" t="s">
        <v>4388</v>
      </c>
      <c r="R1563" s="6">
        <v>1980</v>
      </c>
      <c r="S1563" s="3" t="s">
        <v>1980</v>
      </c>
      <c r="T1563" s="72"/>
      <c r="U1563" s="73"/>
      <c r="V1563" s="12">
        <v>42678</v>
      </c>
      <c r="W1563" s="74" t="s">
        <v>4392</v>
      </c>
      <c r="X1563" s="10" t="s">
        <v>56</v>
      </c>
      <c r="Y1563" s="10" t="s">
        <v>288</v>
      </c>
      <c r="Z1563" s="75"/>
      <c r="AA1563" s="76"/>
      <c r="AB1563" s="77"/>
      <c r="AC1563" s="77"/>
      <c r="AD1563" s="6"/>
      <c r="AI1563" s="7"/>
      <c r="AJ1563" s="73"/>
      <c r="AK1563" s="7"/>
      <c r="AL1563" s="16"/>
      <c r="AM1563" s="2" t="s">
        <v>53</v>
      </c>
      <c r="AW1563" s="6">
        <f t="shared" ca="1" si="26"/>
        <v>37</v>
      </c>
    </row>
    <row r="1564" ht="45" hidden="1" customHeight="1" outlineLevel="1">
      <c r="A1564" s="69"/>
      <c r="B1564" s="3" t="s">
        <v>47</v>
      </c>
      <c r="C1564" s="4" t="s">
        <v>2600</v>
      </c>
      <c r="E1564" s="2" t="s">
        <v>1074</v>
      </c>
      <c r="F1564" s="6" t="s">
        <v>1075</v>
      </c>
      <c r="G1564" s="5" t="s">
        <v>4395</v>
      </c>
      <c r="H1564" s="2" t="s">
        <v>51</v>
      </c>
      <c r="I1564" s="3" t="s">
        <v>4396</v>
      </c>
      <c r="J1564" s="7">
        <v>1</v>
      </c>
      <c r="K1564" s="104"/>
      <c r="L1564" s="9">
        <v>1</v>
      </c>
      <c r="M1564" s="3">
        <v>1274</v>
      </c>
      <c r="N1564" s="6">
        <v>1988</v>
      </c>
      <c r="P1564" s="71"/>
      <c r="R1564" s="6">
        <v>1980</v>
      </c>
      <c r="S1564" s="3" t="s">
        <v>236</v>
      </c>
      <c r="T1564" s="72"/>
      <c r="U1564" s="73"/>
      <c r="W1564" s="2" t="s">
        <v>62</v>
      </c>
      <c r="X1564" s="10" t="s">
        <v>56</v>
      </c>
      <c r="Y1564" s="10" t="s">
        <v>57</v>
      </c>
      <c r="Z1564" s="75" t="s">
        <v>58</v>
      </c>
      <c r="AA1564" s="76"/>
      <c r="AB1564" s="6"/>
      <c r="AC1564" s="6"/>
      <c r="AD1564" s="6"/>
      <c r="AI1564" s="7"/>
      <c r="AJ1564" s="95">
        <v>35643</v>
      </c>
      <c r="AK1564" s="7">
        <v>1990</v>
      </c>
      <c r="AL1564" s="16"/>
      <c r="AW1564" s="6">
        <f t="shared" ca="1" si="26"/>
        <v>37</v>
      </c>
    </row>
    <row r="1565" ht="45" hidden="1" customHeight="1" outlineLevel="1">
      <c r="A1565" s="132">
        <v>42705</v>
      </c>
      <c r="B1565" s="3" t="s">
        <v>190</v>
      </c>
      <c r="C1565" s="144" t="s">
        <v>4397</v>
      </c>
      <c r="D1565" s="117" t="s">
        <v>4398</v>
      </c>
      <c r="E1565" s="2" t="s">
        <v>83</v>
      </c>
      <c r="F1565" s="6" t="s">
        <v>179</v>
      </c>
      <c r="G1565" s="5" t="s">
        <v>4399</v>
      </c>
      <c r="H1565" s="2" t="s">
        <v>68</v>
      </c>
      <c r="I1565" s="3" t="s">
        <v>4400</v>
      </c>
      <c r="J1565" s="7">
        <v>1</v>
      </c>
      <c r="K1565" s="145"/>
      <c r="L1565" s="9">
        <v>1</v>
      </c>
      <c r="M1565" s="3">
        <v>1275</v>
      </c>
      <c r="N1565" s="6">
        <v>1988</v>
      </c>
      <c r="P1565" s="71"/>
      <c r="R1565" s="6">
        <v>1980</v>
      </c>
      <c r="S1565" s="3" t="s">
        <v>283</v>
      </c>
      <c r="T1565" s="72" t="s">
        <v>998</v>
      </c>
      <c r="U1565" s="73"/>
      <c r="W1565" s="74" t="s">
        <v>62</v>
      </c>
      <c r="X1565" s="10" t="s">
        <v>56</v>
      </c>
      <c r="Y1565" s="10" t="s">
        <v>68</v>
      </c>
      <c r="Z1565" s="75"/>
      <c r="AA1565" s="137"/>
      <c r="AB1565" s="141"/>
      <c r="AC1565" s="141"/>
      <c r="AD1565" s="141"/>
      <c r="AE1565" s="139"/>
      <c r="AG1565" s="139"/>
      <c r="AH1565" s="139"/>
      <c r="AI1565" s="139"/>
      <c r="AJ1565" s="160"/>
      <c r="AK1565" s="139"/>
      <c r="AL1565" s="16"/>
      <c r="AO1565" s="141"/>
      <c r="AP1565" s="141"/>
      <c r="AQ1565" s="117"/>
      <c r="AR1565" s="142"/>
      <c r="AS1565" s="141"/>
      <c r="AT1565" s="141"/>
      <c r="AU1565" s="140"/>
      <c r="AV1565" s="143"/>
      <c r="AW1565" s="6">
        <f t="shared" ca="1" si="26"/>
        <v>37</v>
      </c>
    </row>
    <row r="1566" ht="45" hidden="1" customHeight="1" outlineLevel="1">
      <c r="A1566" s="132"/>
      <c r="B1566" s="3" t="s">
        <v>47</v>
      </c>
      <c r="C1566" s="144" t="s">
        <v>4401</v>
      </c>
      <c r="D1566" s="117" t="s">
        <v>4402</v>
      </c>
      <c r="E1566" s="2" t="s">
        <v>83</v>
      </c>
      <c r="F1566" s="6" t="s">
        <v>179</v>
      </c>
      <c r="G1566" s="5" t="s">
        <v>2322</v>
      </c>
      <c r="H1566" s="2" t="s">
        <v>51</v>
      </c>
      <c r="I1566" s="3" t="s">
        <v>4403</v>
      </c>
      <c r="J1566" s="7">
        <v>1</v>
      </c>
      <c r="K1566" s="145"/>
      <c r="L1566" s="9">
        <v>1</v>
      </c>
      <c r="M1566" s="3">
        <v>1276</v>
      </c>
      <c r="N1566" s="6">
        <v>1988</v>
      </c>
      <c r="P1566" s="71"/>
      <c r="R1566" s="6">
        <v>1980</v>
      </c>
      <c r="S1566" s="3" t="s">
        <v>236</v>
      </c>
      <c r="T1566" s="72"/>
      <c r="W1566" s="2" t="s">
        <v>62</v>
      </c>
      <c r="X1566" s="10" t="s">
        <v>56</v>
      </c>
      <c r="Y1566" s="10" t="s">
        <v>57</v>
      </c>
      <c r="Z1566" s="75" t="s">
        <v>58</v>
      </c>
      <c r="AA1566" s="137"/>
      <c r="AB1566" s="141"/>
      <c r="AC1566" s="141"/>
      <c r="AD1566" s="141"/>
      <c r="AE1566" s="139"/>
      <c r="AG1566" s="139"/>
      <c r="AH1566" s="139"/>
      <c r="AI1566" s="139"/>
      <c r="AJ1566" s="136">
        <v>44504</v>
      </c>
      <c r="AK1566" s="7">
        <v>2020</v>
      </c>
      <c r="AL1566" s="16"/>
      <c r="AO1566" s="141"/>
      <c r="AP1566" s="141"/>
      <c r="AQ1566" s="117"/>
      <c r="AR1566" s="142"/>
      <c r="AS1566" s="141"/>
      <c r="AT1566" s="141"/>
      <c r="AU1566" s="140"/>
      <c r="AV1566" s="143"/>
      <c r="AW1566" s="6">
        <f t="shared" ca="1" si="26"/>
        <v>37</v>
      </c>
    </row>
    <row r="1567" ht="45" hidden="1" customHeight="1" outlineLevel="1">
      <c r="A1567" s="69"/>
      <c r="B1567" s="3" t="s">
        <v>190</v>
      </c>
      <c r="C1567" s="4" t="s">
        <v>4404</v>
      </c>
      <c r="D1567" s="5" t="s">
        <v>4405</v>
      </c>
      <c r="E1567" s="2" t="s">
        <v>83</v>
      </c>
      <c r="F1567" s="6" t="s">
        <v>84</v>
      </c>
      <c r="G1567" s="5" t="s">
        <v>3526</v>
      </c>
      <c r="H1567" s="2" t="s">
        <v>57</v>
      </c>
      <c r="I1567" s="3" t="s">
        <v>4406</v>
      </c>
      <c r="J1567" s="7">
        <v>1</v>
      </c>
      <c r="K1567" s="104"/>
      <c r="L1567" s="9">
        <v>1</v>
      </c>
      <c r="M1567" s="3">
        <v>1277</v>
      </c>
      <c r="N1567" s="6">
        <v>1988</v>
      </c>
      <c r="P1567" s="71"/>
      <c r="R1567" s="6">
        <v>1980</v>
      </c>
      <c r="S1567" s="3" t="s">
        <v>283</v>
      </c>
      <c r="T1567" s="72"/>
      <c r="U1567" s="73"/>
      <c r="W1567" s="74" t="s">
        <v>62</v>
      </c>
      <c r="X1567" s="10" t="s">
        <v>56</v>
      </c>
      <c r="Y1567" s="10" t="s">
        <v>57</v>
      </c>
      <c r="Z1567" s="75"/>
      <c r="AA1567" s="76"/>
      <c r="AB1567" s="6"/>
      <c r="AC1567" s="6"/>
      <c r="AD1567" s="6"/>
      <c r="AI1567" s="7"/>
      <c r="AJ1567" s="73"/>
      <c r="AK1567" s="7"/>
      <c r="AL1567" s="16"/>
      <c r="AW1567" s="6">
        <f t="shared" ca="1" si="26"/>
        <v>37</v>
      </c>
    </row>
    <row r="1568" ht="45" hidden="1" customHeight="1" outlineLevel="1">
      <c r="A1568" s="69"/>
      <c r="B1568" s="3" t="s">
        <v>47</v>
      </c>
      <c r="C1568" s="4" t="s">
        <v>4407</v>
      </c>
      <c r="E1568" s="2" t="s">
        <v>83</v>
      </c>
      <c r="F1568" s="6" t="s">
        <v>84</v>
      </c>
      <c r="G1568" s="5" t="s">
        <v>4408</v>
      </c>
      <c r="H1568" s="2" t="s">
        <v>57</v>
      </c>
      <c r="I1568" s="96" t="s">
        <v>4409</v>
      </c>
      <c r="J1568" s="7">
        <v>1</v>
      </c>
      <c r="K1568" s="104"/>
      <c r="L1568" s="9">
        <v>1</v>
      </c>
      <c r="M1568" s="3">
        <v>1278</v>
      </c>
      <c r="N1568" s="6">
        <v>1988</v>
      </c>
      <c r="P1568" s="71"/>
      <c r="R1568" s="6">
        <v>1980</v>
      </c>
      <c r="S1568" s="3" t="s">
        <v>236</v>
      </c>
      <c r="T1568" s="72"/>
      <c r="U1568" s="73"/>
      <c r="W1568" s="2" t="s">
        <v>62</v>
      </c>
      <c r="X1568" s="10" t="s">
        <v>56</v>
      </c>
      <c r="Y1568" s="10" t="s">
        <v>57</v>
      </c>
      <c r="Z1568" s="75"/>
      <c r="AA1568" s="76"/>
      <c r="AB1568" s="6"/>
      <c r="AC1568" s="6"/>
      <c r="AD1568" s="6"/>
      <c r="AE1568" s="7">
        <v>1994</v>
      </c>
      <c r="AF1568" s="7">
        <v>6</v>
      </c>
      <c r="AI1568" s="7"/>
      <c r="AJ1568" s="95">
        <v>36137</v>
      </c>
      <c r="AK1568" s="7">
        <v>1990</v>
      </c>
      <c r="AL1568" s="16"/>
      <c r="AW1568" s="6">
        <f t="shared" ca="1" si="26"/>
        <v>37</v>
      </c>
    </row>
    <row r="1569" ht="45" hidden="1" customHeight="1" outlineLevel="1">
      <c r="A1569" s="69"/>
      <c r="B1569" s="3" t="s">
        <v>47</v>
      </c>
      <c r="C1569" s="4" t="s">
        <v>4410</v>
      </c>
      <c r="D1569" s="5" t="s">
        <v>4411</v>
      </c>
      <c r="E1569" s="2" t="s">
        <v>83</v>
      </c>
      <c r="F1569" s="6" t="s">
        <v>84</v>
      </c>
      <c r="G1569" s="5" t="s">
        <v>85</v>
      </c>
      <c r="H1569" s="2" t="s">
        <v>57</v>
      </c>
      <c r="I1569" s="3" t="s">
        <v>4412</v>
      </c>
      <c r="J1569" s="7">
        <v>1</v>
      </c>
      <c r="K1569" s="104"/>
      <c r="L1569" s="9">
        <v>1</v>
      </c>
      <c r="M1569" s="3">
        <v>1279</v>
      </c>
      <c r="N1569" s="6">
        <v>1988</v>
      </c>
      <c r="P1569" s="71"/>
      <c r="R1569" s="6">
        <v>1980</v>
      </c>
      <c r="S1569" s="3" t="s">
        <v>236</v>
      </c>
      <c r="T1569" s="72"/>
      <c r="U1569" s="73"/>
      <c r="W1569" s="2" t="s">
        <v>62</v>
      </c>
      <c r="X1569" s="10" t="s">
        <v>56</v>
      </c>
      <c r="Y1569" s="10" t="s">
        <v>57</v>
      </c>
      <c r="Z1569" s="75"/>
      <c r="AA1569" s="76"/>
      <c r="AB1569" s="6"/>
      <c r="AC1569" s="6"/>
      <c r="AD1569" s="6"/>
      <c r="AE1569" s="7">
        <v>2010</v>
      </c>
      <c r="AF1569" s="7">
        <v>64</v>
      </c>
      <c r="AI1569" s="7"/>
      <c r="AJ1569" s="95">
        <v>40949</v>
      </c>
      <c r="AK1569" s="7">
        <v>2010</v>
      </c>
      <c r="AL1569" s="16" t="s">
        <v>4413</v>
      </c>
      <c r="AW1569" s="6">
        <f t="shared" ca="1" si="26"/>
        <v>37</v>
      </c>
    </row>
    <row r="1570" ht="45" customHeight="1" outlineLevel="1">
      <c r="A1570" s="69"/>
      <c r="B1570" s="3" t="s">
        <v>47</v>
      </c>
      <c r="D1570" s="5" t="s">
        <v>4414</v>
      </c>
      <c r="E1570" s="2" t="s">
        <v>83</v>
      </c>
      <c r="F1570" s="6" t="s">
        <v>84</v>
      </c>
      <c r="G1570" s="5" t="s">
        <v>85</v>
      </c>
      <c r="H1570" s="2" t="s">
        <v>57</v>
      </c>
      <c r="I1570" s="3" t="s">
        <v>4415</v>
      </c>
      <c r="J1570" s="7">
        <v>1</v>
      </c>
      <c r="K1570" s="104" t="s">
        <v>53</v>
      </c>
      <c r="L1570" s="9">
        <v>1</v>
      </c>
      <c r="M1570" s="3">
        <v>1280</v>
      </c>
      <c r="N1570" s="6">
        <v>1988</v>
      </c>
      <c r="P1570" s="71"/>
      <c r="R1570" s="6">
        <v>1980</v>
      </c>
      <c r="S1570" s="3" t="s">
        <v>54</v>
      </c>
      <c r="T1570" s="72"/>
      <c r="U1570" s="73"/>
      <c r="W1570" s="2" t="s">
        <v>4416</v>
      </c>
      <c r="X1570" s="10" t="s">
        <v>56</v>
      </c>
      <c r="Y1570" s="10" t="s">
        <v>57</v>
      </c>
      <c r="Z1570" s="75"/>
      <c r="AA1570" s="76"/>
      <c r="AB1570" s="10">
        <v>42986</v>
      </c>
      <c r="AC1570" s="10">
        <v>42986</v>
      </c>
      <c r="AD1570" s="6"/>
      <c r="AE1570" s="7">
        <v>2016</v>
      </c>
      <c r="AF1570" s="7" t="s">
        <v>4417</v>
      </c>
      <c r="AG1570" s="7">
        <v>2017</v>
      </c>
      <c r="AI1570" s="7"/>
      <c r="AJ1570" s="73"/>
      <c r="AK1570" s="7"/>
      <c r="AL1570" s="16" t="s">
        <v>4418</v>
      </c>
      <c r="AM1570" s="2" t="s">
        <v>59</v>
      </c>
      <c r="AW1570" s="6">
        <f t="shared" ca="1" si="26"/>
        <v>37</v>
      </c>
    </row>
    <row r="1571" ht="45" hidden="1" customHeight="1" outlineLevel="1">
      <c r="A1571" s="69"/>
      <c r="B1571" s="3" t="s">
        <v>47</v>
      </c>
      <c r="C1571" s="4" t="s">
        <v>4419</v>
      </c>
      <c r="D1571" s="5" t="s">
        <v>4420</v>
      </c>
      <c r="E1571" s="2" t="s">
        <v>83</v>
      </c>
      <c r="F1571" s="6" t="s">
        <v>84</v>
      </c>
      <c r="G1571" s="5" t="s">
        <v>85</v>
      </c>
      <c r="H1571" s="2" t="s">
        <v>508</v>
      </c>
      <c r="I1571" s="3" t="s">
        <v>4421</v>
      </c>
      <c r="J1571" s="7">
        <v>1</v>
      </c>
      <c r="L1571" s="9">
        <v>1</v>
      </c>
      <c r="M1571" s="3">
        <v>1281</v>
      </c>
      <c r="N1571" s="6">
        <v>1988</v>
      </c>
      <c r="P1571" s="71"/>
      <c r="R1571" s="6">
        <v>1980</v>
      </c>
      <c r="S1571" s="3" t="s">
        <v>236</v>
      </c>
      <c r="T1571" s="72"/>
      <c r="W1571" s="2" t="s">
        <v>62</v>
      </c>
      <c r="X1571" s="10" t="s">
        <v>504</v>
      </c>
      <c r="Y1571" s="10" t="s">
        <v>511</v>
      </c>
      <c r="Z1571" s="75"/>
      <c r="AI1571" s="7"/>
      <c r="AJ1571" s="10">
        <v>44382</v>
      </c>
      <c r="AK1571" s="7">
        <v>2020</v>
      </c>
      <c r="AL1571" s="16"/>
      <c r="AW1571" s="6">
        <f t="shared" ca="1" si="26"/>
        <v>37</v>
      </c>
    </row>
    <row r="1572" ht="45" hidden="1" customHeight="1" outlineLevel="1">
      <c r="A1572" s="69"/>
      <c r="B1572" s="3" t="s">
        <v>47</v>
      </c>
      <c r="C1572" s="4" t="s">
        <v>3847</v>
      </c>
      <c r="E1572" s="2" t="s">
        <v>63</v>
      </c>
      <c r="F1572" s="6" t="s">
        <v>428</v>
      </c>
      <c r="G1572" s="5" t="s">
        <v>3656</v>
      </c>
      <c r="H1572" s="2" t="s">
        <v>57</v>
      </c>
      <c r="I1572" s="3" t="s">
        <v>4422</v>
      </c>
      <c r="J1572" s="7">
        <v>1</v>
      </c>
      <c r="L1572" s="9">
        <v>1</v>
      </c>
      <c r="M1572" s="3">
        <v>1282</v>
      </c>
      <c r="N1572" s="6">
        <v>1988</v>
      </c>
      <c r="P1572" s="71"/>
      <c r="R1572" s="6">
        <v>1980</v>
      </c>
      <c r="S1572" s="3" t="s">
        <v>236</v>
      </c>
      <c r="T1572" s="72"/>
      <c r="U1572" s="73"/>
      <c r="W1572" s="2" t="s">
        <v>62</v>
      </c>
      <c r="X1572" s="10" t="s">
        <v>56</v>
      </c>
      <c r="Y1572" s="10" t="s">
        <v>57</v>
      </c>
      <c r="Z1572" s="75"/>
      <c r="AI1572" s="7"/>
      <c r="AJ1572" s="95">
        <v>40436</v>
      </c>
      <c r="AK1572" s="7">
        <v>2010</v>
      </c>
      <c r="AL1572" s="16"/>
      <c r="AW1572" s="6">
        <f t="shared" ca="1" si="26"/>
        <v>37</v>
      </c>
    </row>
    <row r="1573" ht="45" customHeight="1" outlineLevel="1">
      <c r="A1573" s="69"/>
      <c r="B1573" s="3" t="s">
        <v>47</v>
      </c>
      <c r="C1573" s="4" t="s">
        <v>4423</v>
      </c>
      <c r="D1573" s="5" t="s">
        <v>4424</v>
      </c>
      <c r="E1573" s="2" t="s">
        <v>83</v>
      </c>
      <c r="F1573" s="6" t="s">
        <v>84</v>
      </c>
      <c r="G1573" s="5" t="s">
        <v>85</v>
      </c>
      <c r="H1573" s="2" t="s">
        <v>68</v>
      </c>
      <c r="I1573" s="3" t="s">
        <v>4425</v>
      </c>
      <c r="J1573" s="7">
        <v>1</v>
      </c>
      <c r="K1573" s="8" t="s">
        <v>53</v>
      </c>
      <c r="L1573" s="9">
        <v>1</v>
      </c>
      <c r="M1573" s="3">
        <v>1283</v>
      </c>
      <c r="N1573" s="6">
        <v>1988</v>
      </c>
      <c r="P1573" s="71"/>
      <c r="R1573" s="6">
        <v>1980</v>
      </c>
      <c r="S1573" s="3" t="s">
        <v>4426</v>
      </c>
      <c r="T1573" s="72"/>
      <c r="U1573" s="73"/>
      <c r="V1573" s="12">
        <v>44385</v>
      </c>
      <c r="W1573" s="2" t="s">
        <v>62</v>
      </c>
      <c r="X1573" s="10" t="s">
        <v>56</v>
      </c>
      <c r="Y1573" s="10" t="s">
        <v>68</v>
      </c>
      <c r="Z1573" s="75"/>
      <c r="AB1573" s="14">
        <v>44648</v>
      </c>
      <c r="AE1573" s="7">
        <v>2021</v>
      </c>
      <c r="AF1573" s="7">
        <v>95</v>
      </c>
      <c r="AG1573" s="7">
        <v>2022</v>
      </c>
      <c r="AH1573" s="7">
        <v>2020</v>
      </c>
      <c r="AI1573" s="7"/>
      <c r="AJ1573" s="73"/>
      <c r="AK1573" s="7"/>
      <c r="AL1573" s="16"/>
      <c r="AM1573" s="2" t="s">
        <v>48</v>
      </c>
      <c r="AO1573" s="6" t="s">
        <v>48</v>
      </c>
      <c r="AP1573" s="6" t="s">
        <v>73</v>
      </c>
      <c r="AW1573" s="6">
        <f t="shared" ca="1" si="26"/>
        <v>37</v>
      </c>
    </row>
    <row r="1574" ht="45" hidden="1" customHeight="1" outlineLevel="1">
      <c r="A1574" s="69"/>
      <c r="B1574" s="3" t="s">
        <v>190</v>
      </c>
      <c r="C1574" s="4" t="s">
        <v>4427</v>
      </c>
      <c r="D1574" s="5" t="s">
        <v>4428</v>
      </c>
      <c r="E1574" s="2" t="s">
        <v>63</v>
      </c>
      <c r="F1574" s="6" t="s">
        <v>83</v>
      </c>
      <c r="G1574" s="5" t="s">
        <v>4429</v>
      </c>
      <c r="H1574" s="2" t="s">
        <v>508</v>
      </c>
      <c r="I1574" s="3" t="s">
        <v>4430</v>
      </c>
      <c r="J1574" s="7">
        <v>1</v>
      </c>
      <c r="L1574" s="9">
        <v>1</v>
      </c>
      <c r="M1574" s="3">
        <v>1284</v>
      </c>
      <c r="N1574" s="6">
        <v>1988</v>
      </c>
      <c r="P1574" s="71"/>
      <c r="R1574" s="6">
        <v>1980</v>
      </c>
      <c r="S1574" s="3" t="s">
        <v>283</v>
      </c>
      <c r="T1574" s="72"/>
      <c r="U1574" s="73"/>
      <c r="W1574" s="74" t="s">
        <v>62</v>
      </c>
      <c r="X1574" s="10" t="s">
        <v>504</v>
      </c>
      <c r="Y1574" s="10" t="s">
        <v>511</v>
      </c>
      <c r="Z1574" s="75"/>
      <c r="AI1574" s="7"/>
      <c r="AJ1574" s="73"/>
      <c r="AK1574" s="7"/>
      <c r="AL1574" s="16"/>
      <c r="AW1574" s="6">
        <f t="shared" ca="1" si="26"/>
        <v>37</v>
      </c>
    </row>
    <row r="1575" ht="45" customHeight="1" outlineLevel="1">
      <c r="A1575" s="69"/>
      <c r="B1575" s="3" t="s">
        <v>47</v>
      </c>
      <c r="D1575" s="5" t="s">
        <v>4431</v>
      </c>
      <c r="E1575" s="2" t="s">
        <v>83</v>
      </c>
      <c r="F1575" s="6" t="s">
        <v>84</v>
      </c>
      <c r="G1575" s="5" t="s">
        <v>85</v>
      </c>
      <c r="H1575" s="2" t="s">
        <v>57</v>
      </c>
      <c r="I1575" s="3" t="s">
        <v>4432</v>
      </c>
      <c r="J1575" s="7">
        <v>1</v>
      </c>
      <c r="K1575" s="70" t="s">
        <v>53</v>
      </c>
      <c r="L1575" s="9">
        <v>1</v>
      </c>
      <c r="M1575" s="3">
        <v>1285</v>
      </c>
      <c r="N1575" s="6">
        <v>1989</v>
      </c>
      <c r="P1575" s="71"/>
      <c r="R1575" s="6">
        <v>1980</v>
      </c>
      <c r="S1575" s="3" t="s">
        <v>54</v>
      </c>
      <c r="T1575" s="72"/>
      <c r="U1575" s="73"/>
      <c r="W1575" s="2" t="s">
        <v>4433</v>
      </c>
      <c r="X1575" s="10" t="s">
        <v>56</v>
      </c>
      <c r="Y1575" s="10" t="s">
        <v>57</v>
      </c>
      <c r="Z1575" s="75"/>
      <c r="AA1575" s="76">
        <v>39454</v>
      </c>
      <c r="AB1575" s="77">
        <v>39454</v>
      </c>
      <c r="AC1575" s="77"/>
      <c r="AD1575" s="6"/>
      <c r="AE1575" s="7">
        <v>2005</v>
      </c>
      <c r="AF1575" s="7">
        <v>48</v>
      </c>
      <c r="AG1575" s="7">
        <v>2008</v>
      </c>
      <c r="AH1575" s="7">
        <v>2000</v>
      </c>
      <c r="AI1575" s="7"/>
      <c r="AJ1575" s="73"/>
      <c r="AK1575" s="7"/>
      <c r="AL1575" s="16"/>
      <c r="AM1575" s="2" t="s">
        <v>59</v>
      </c>
      <c r="AO1575" s="6" t="s">
        <v>100</v>
      </c>
      <c r="AP1575" s="6" t="s">
        <v>73</v>
      </c>
      <c r="AQ1575" s="5" t="s">
        <v>73</v>
      </c>
      <c r="AR1575" s="2" t="s">
        <v>73</v>
      </c>
      <c r="AT1575" s="6">
        <v>2013</v>
      </c>
      <c r="AU1575" s="16" t="s">
        <v>101</v>
      </c>
      <c r="AW1575" s="6">
        <f t="shared" ref="AW1575:AW1638" ca="1" si="27">IF(N1575&lt;&gt;0,(YEAR(TODAY())-N1575),(""))</f>
        <v>36</v>
      </c>
    </row>
    <row r="1576" ht="45" customHeight="1" outlineLevel="1">
      <c r="A1576" s="69"/>
      <c r="B1576" s="3" t="s">
        <v>47</v>
      </c>
      <c r="E1576" s="2" t="s">
        <v>63</v>
      </c>
      <c r="F1576" s="6" t="s">
        <v>172</v>
      </c>
      <c r="G1576" s="5" t="s">
        <v>4434</v>
      </c>
      <c r="H1576" s="2" t="s">
        <v>288</v>
      </c>
      <c r="I1576" s="3" t="s">
        <v>4435</v>
      </c>
      <c r="J1576" s="7">
        <v>1</v>
      </c>
      <c r="K1576" s="70" t="s">
        <v>53</v>
      </c>
      <c r="L1576" s="9">
        <v>1</v>
      </c>
      <c r="M1576" s="3">
        <v>1286</v>
      </c>
      <c r="N1576" s="6">
        <v>1989</v>
      </c>
      <c r="P1576" s="71"/>
      <c r="R1576" s="6">
        <v>1980</v>
      </c>
      <c r="S1576" s="3" t="s">
        <v>54</v>
      </c>
      <c r="T1576" s="72"/>
      <c r="U1576" s="73"/>
      <c r="W1576" s="2" t="s">
        <v>4436</v>
      </c>
      <c r="X1576" s="10" t="s">
        <v>56</v>
      </c>
      <c r="Y1576" s="10" t="s">
        <v>288</v>
      </c>
      <c r="Z1576" s="75"/>
      <c r="AA1576" s="13">
        <v>41099</v>
      </c>
      <c r="AB1576" s="14">
        <v>41099</v>
      </c>
      <c r="AE1576" s="7">
        <v>2010</v>
      </c>
      <c r="AF1576" s="7">
        <v>65</v>
      </c>
      <c r="AG1576" s="7">
        <v>2012</v>
      </c>
      <c r="AH1576" s="7">
        <v>2010</v>
      </c>
      <c r="AI1576" s="7"/>
      <c r="AJ1576" s="73"/>
      <c r="AK1576" s="7"/>
      <c r="AL1576" s="75" t="s">
        <v>4437</v>
      </c>
      <c r="AM1576" s="2" t="s">
        <v>53</v>
      </c>
      <c r="AO1576" s="6" t="s">
        <v>73</v>
      </c>
      <c r="AR1576" s="2" t="s">
        <v>104</v>
      </c>
      <c r="AW1576" s="6">
        <f t="shared" ca="1" si="27"/>
        <v>36</v>
      </c>
    </row>
    <row r="1577" ht="45" hidden="1" customHeight="1" outlineLevel="1">
      <c r="A1577" s="69">
        <v>44207</v>
      </c>
      <c r="B1577" s="3" t="s">
        <v>47</v>
      </c>
      <c r="C1577" s="4" t="s">
        <v>4438</v>
      </c>
      <c r="D1577" s="5" t="s">
        <v>4439</v>
      </c>
      <c r="E1577" s="2" t="s">
        <v>83</v>
      </c>
      <c r="F1577" s="6" t="s">
        <v>84</v>
      </c>
      <c r="G1577" s="5" t="s">
        <v>85</v>
      </c>
      <c r="H1577" s="2" t="s">
        <v>57</v>
      </c>
      <c r="I1577" s="3" t="s">
        <v>4440</v>
      </c>
      <c r="J1577" s="7">
        <v>1</v>
      </c>
      <c r="K1577" s="104"/>
      <c r="L1577" s="9">
        <v>1</v>
      </c>
      <c r="M1577" s="3">
        <v>1287</v>
      </c>
      <c r="N1577" s="6">
        <v>1989</v>
      </c>
      <c r="P1577" s="71"/>
      <c r="R1577" s="6">
        <v>1980</v>
      </c>
      <c r="S1577" s="3" t="s">
        <v>236</v>
      </c>
      <c r="T1577" s="72" t="s">
        <v>1136</v>
      </c>
      <c r="U1577" s="92">
        <v>44237</v>
      </c>
      <c r="W1577" s="2" t="s">
        <v>62</v>
      </c>
      <c r="X1577" s="10" t="s">
        <v>56</v>
      </c>
      <c r="Y1577" s="10" t="s">
        <v>57</v>
      </c>
      <c r="Z1577" s="75"/>
      <c r="AA1577" s="76"/>
      <c r="AB1577" s="77"/>
      <c r="AC1577" s="77"/>
      <c r="AD1577" s="6"/>
      <c r="AI1577" s="7"/>
      <c r="AJ1577" s="10">
        <v>44253</v>
      </c>
      <c r="AK1577" s="7">
        <v>2020</v>
      </c>
      <c r="AL1577" s="16"/>
      <c r="AW1577" s="6">
        <f t="shared" ca="1" si="27"/>
        <v>36</v>
      </c>
    </row>
    <row r="1578" ht="45" customHeight="1" outlineLevel="1">
      <c r="A1578" s="69"/>
      <c r="B1578" s="3" t="s">
        <v>47</v>
      </c>
      <c r="E1578" s="2" t="s">
        <v>63</v>
      </c>
      <c r="F1578" s="6" t="s">
        <v>83</v>
      </c>
      <c r="G1578" s="5" t="s">
        <v>1190</v>
      </c>
      <c r="H1578" s="2" t="s">
        <v>288</v>
      </c>
      <c r="I1578" s="3" t="s">
        <v>4441</v>
      </c>
      <c r="J1578" s="7">
        <v>1</v>
      </c>
      <c r="K1578" s="70" t="s">
        <v>53</v>
      </c>
      <c r="L1578" s="9">
        <v>1</v>
      </c>
      <c r="M1578" s="3">
        <v>1288</v>
      </c>
      <c r="N1578" s="6">
        <v>1989</v>
      </c>
      <c r="P1578" s="71"/>
      <c r="R1578" s="6">
        <v>1980</v>
      </c>
      <c r="S1578" s="3" t="s">
        <v>54</v>
      </c>
      <c r="T1578" s="72"/>
      <c r="U1578" s="73"/>
      <c r="W1578" s="2" t="s">
        <v>4442</v>
      </c>
      <c r="X1578" s="10" t="s">
        <v>56</v>
      </c>
      <c r="Y1578" s="10" t="s">
        <v>288</v>
      </c>
      <c r="Z1578" s="75"/>
      <c r="AA1578" s="76">
        <v>35234</v>
      </c>
      <c r="AB1578" s="77">
        <v>35234</v>
      </c>
      <c r="AC1578" s="77">
        <v>35234</v>
      </c>
      <c r="AD1578" s="10"/>
      <c r="AE1578" s="7">
        <v>1995</v>
      </c>
      <c r="AF1578" s="7">
        <v>8</v>
      </c>
      <c r="AG1578" s="7">
        <v>1996</v>
      </c>
      <c r="AH1578" s="7">
        <v>1990</v>
      </c>
      <c r="AI1578" s="7"/>
      <c r="AJ1578" s="73"/>
      <c r="AK1578" s="7"/>
      <c r="AL1578" s="16"/>
      <c r="AM1578" s="2" t="s">
        <v>53</v>
      </c>
      <c r="AN1578" s="6" t="s">
        <v>73</v>
      </c>
      <c r="AO1578" s="6" t="s">
        <v>53</v>
      </c>
      <c r="AP1578" s="6" t="s">
        <v>73</v>
      </c>
      <c r="AQ1578" s="5" t="s">
        <v>73</v>
      </c>
      <c r="AR1578" s="87" t="s">
        <v>104</v>
      </c>
      <c r="AS1578" s="88" t="s">
        <v>73</v>
      </c>
      <c r="AT1578" s="88">
        <v>2011</v>
      </c>
      <c r="AU1578" s="89" t="s">
        <v>4443</v>
      </c>
      <c r="AV1578" s="90"/>
      <c r="AW1578" s="6">
        <f t="shared" ca="1" si="27"/>
        <v>36</v>
      </c>
    </row>
    <row r="1579" ht="45" customHeight="1" outlineLevel="1">
      <c r="A1579" s="69"/>
      <c r="B1579" s="3" t="s">
        <v>47</v>
      </c>
      <c r="E1579" s="2" t="s">
        <v>63</v>
      </c>
      <c r="F1579" s="6" t="s">
        <v>172</v>
      </c>
      <c r="G1579" s="5" t="s">
        <v>173</v>
      </c>
      <c r="H1579" s="2" t="s">
        <v>501</v>
      </c>
      <c r="I1579" s="3" t="s">
        <v>4444</v>
      </c>
      <c r="J1579" s="7">
        <v>1</v>
      </c>
      <c r="K1579" s="70" t="s">
        <v>53</v>
      </c>
      <c r="L1579" s="9">
        <v>1</v>
      </c>
      <c r="M1579" s="3">
        <v>1289</v>
      </c>
      <c r="N1579" s="6">
        <v>1989</v>
      </c>
      <c r="P1579" s="71"/>
      <c r="R1579" s="6">
        <v>1980</v>
      </c>
      <c r="S1579" s="3" t="s">
        <v>54</v>
      </c>
      <c r="T1579" s="72"/>
      <c r="U1579" s="73"/>
      <c r="W1579" s="2" t="s">
        <v>4445</v>
      </c>
      <c r="X1579" s="10" t="s">
        <v>56</v>
      </c>
      <c r="Y1579" s="10" t="s">
        <v>501</v>
      </c>
      <c r="Z1579" s="75"/>
      <c r="AA1579" s="76"/>
      <c r="AB1579" s="77">
        <v>35475</v>
      </c>
      <c r="AC1579" s="77"/>
      <c r="AD1579" s="6"/>
      <c r="AG1579" s="7">
        <v>1997</v>
      </c>
      <c r="AH1579" s="7">
        <v>1990</v>
      </c>
      <c r="AI1579" s="7"/>
      <c r="AJ1579" s="73"/>
      <c r="AK1579" s="7"/>
      <c r="AL1579" s="16"/>
      <c r="AM1579" s="2" t="s">
        <v>59</v>
      </c>
      <c r="AW1579" s="6">
        <f t="shared" ca="1" si="27"/>
        <v>36</v>
      </c>
    </row>
    <row r="1580" ht="45" hidden="1" customHeight="1">
      <c r="A1580" s="132"/>
      <c r="B1580" s="3" t="s">
        <v>47</v>
      </c>
      <c r="C1580" s="144" t="s">
        <v>4446</v>
      </c>
      <c r="D1580" s="117" t="s">
        <v>4447</v>
      </c>
      <c r="E1580" s="2" t="s">
        <v>83</v>
      </c>
      <c r="F1580" s="6" t="s">
        <v>179</v>
      </c>
      <c r="G1580" s="5" t="s">
        <v>4448</v>
      </c>
      <c r="H1580" s="2" t="s">
        <v>51</v>
      </c>
      <c r="I1580" s="3" t="s">
        <v>4449</v>
      </c>
      <c r="J1580" s="7">
        <v>1</v>
      </c>
      <c r="K1580" s="145"/>
      <c r="L1580" s="9">
        <v>1</v>
      </c>
      <c r="M1580" s="3">
        <v>1290</v>
      </c>
      <c r="N1580" s="6">
        <v>1989</v>
      </c>
      <c r="P1580" s="71"/>
      <c r="R1580" s="6">
        <v>1980</v>
      </c>
      <c r="S1580" s="3" t="s">
        <v>236</v>
      </c>
      <c r="T1580" s="72"/>
      <c r="U1580" s="73"/>
      <c r="W1580" s="2" t="s">
        <v>62</v>
      </c>
      <c r="X1580" s="10" t="s">
        <v>56</v>
      </c>
      <c r="Y1580" s="10" t="s">
        <v>57</v>
      </c>
      <c r="Z1580" s="75" t="s">
        <v>58</v>
      </c>
      <c r="AA1580" s="137"/>
      <c r="AB1580" s="138"/>
      <c r="AC1580" s="138"/>
      <c r="AD1580" s="141"/>
      <c r="AE1580" s="139"/>
      <c r="AG1580" s="139"/>
      <c r="AH1580" s="139"/>
      <c r="AI1580" s="139"/>
      <c r="AJ1580" s="10">
        <v>42326</v>
      </c>
      <c r="AK1580" s="7">
        <v>2010</v>
      </c>
      <c r="AL1580" s="16"/>
      <c r="AO1580" s="141"/>
      <c r="AP1580" s="141"/>
      <c r="AQ1580" s="117"/>
      <c r="AR1580" s="142"/>
      <c r="AS1580" s="141"/>
      <c r="AT1580" s="141"/>
      <c r="AU1580" s="140"/>
      <c r="AV1580" s="143"/>
      <c r="AW1580" s="6">
        <f t="shared" ca="1" si="27"/>
        <v>36</v>
      </c>
    </row>
    <row r="1581" ht="45" hidden="1" customHeight="1" outlineLevel="1">
      <c r="A1581" s="132"/>
      <c r="B1581" s="3" t="s">
        <v>190</v>
      </c>
      <c r="C1581" s="4" t="s">
        <v>4009</v>
      </c>
      <c r="D1581" s="5" t="s">
        <v>4450</v>
      </c>
      <c r="E1581" s="2" t="s">
        <v>83</v>
      </c>
      <c r="F1581" s="6" t="s">
        <v>179</v>
      </c>
      <c r="G1581" s="5" t="s">
        <v>4451</v>
      </c>
      <c r="H1581" s="2" t="s">
        <v>508</v>
      </c>
      <c r="I1581" s="3" t="s">
        <v>4452</v>
      </c>
      <c r="J1581" s="7">
        <v>1</v>
      </c>
      <c r="K1581" s="145"/>
      <c r="L1581" s="9">
        <v>1</v>
      </c>
      <c r="M1581" s="3">
        <v>1291</v>
      </c>
      <c r="N1581" s="6">
        <v>1989</v>
      </c>
      <c r="P1581" s="71"/>
      <c r="R1581" s="6">
        <v>1980</v>
      </c>
      <c r="S1581" s="3" t="s">
        <v>283</v>
      </c>
      <c r="T1581" s="72"/>
      <c r="U1581" s="73"/>
      <c r="W1581" s="74" t="s">
        <v>62</v>
      </c>
      <c r="X1581" s="10" t="s">
        <v>504</v>
      </c>
      <c r="Y1581" s="10" t="s">
        <v>511</v>
      </c>
      <c r="Z1581" s="75"/>
      <c r="AA1581" s="137"/>
      <c r="AB1581" s="138"/>
      <c r="AC1581" s="138"/>
      <c r="AD1581" s="141"/>
      <c r="AE1581" s="139"/>
      <c r="AG1581" s="139"/>
      <c r="AH1581" s="139"/>
      <c r="AI1581" s="139"/>
      <c r="AJ1581" s="160"/>
      <c r="AK1581" s="139"/>
      <c r="AL1581" s="140"/>
      <c r="AO1581" s="141"/>
      <c r="AP1581" s="141"/>
      <c r="AQ1581" s="117"/>
      <c r="AR1581" s="142"/>
      <c r="AS1581" s="141"/>
      <c r="AT1581" s="141"/>
      <c r="AU1581" s="140"/>
      <c r="AV1581" s="143"/>
      <c r="AW1581" s="6">
        <f t="shared" ca="1" si="27"/>
        <v>36</v>
      </c>
    </row>
    <row r="1582" ht="45" hidden="1" customHeight="1">
      <c r="A1582" s="132"/>
      <c r="B1582" s="3" t="s">
        <v>47</v>
      </c>
      <c r="C1582" s="144" t="s">
        <v>4453</v>
      </c>
      <c r="D1582" s="117" t="s">
        <v>4454</v>
      </c>
      <c r="E1582" s="2" t="s">
        <v>83</v>
      </c>
      <c r="F1582" s="6" t="s">
        <v>179</v>
      </c>
      <c r="G1582" s="5" t="s">
        <v>2177</v>
      </c>
      <c r="H1582" s="2" t="s">
        <v>51</v>
      </c>
      <c r="I1582" s="3" t="s">
        <v>2139</v>
      </c>
      <c r="J1582" s="7">
        <v>1</v>
      </c>
      <c r="K1582" s="145"/>
      <c r="L1582" s="9">
        <v>1</v>
      </c>
      <c r="M1582" s="3">
        <v>1292</v>
      </c>
      <c r="N1582" s="6">
        <v>1989</v>
      </c>
      <c r="P1582" s="71"/>
      <c r="R1582" s="6">
        <v>1980</v>
      </c>
      <c r="S1582" s="3" t="s">
        <v>236</v>
      </c>
      <c r="T1582" s="72"/>
      <c r="U1582" s="73"/>
      <c r="W1582" s="2" t="s">
        <v>62</v>
      </c>
      <c r="X1582" s="10" t="s">
        <v>56</v>
      </c>
      <c r="Y1582" s="10" t="s">
        <v>57</v>
      </c>
      <c r="Z1582" s="75" t="s">
        <v>58</v>
      </c>
      <c r="AA1582" s="137"/>
      <c r="AB1582" s="138"/>
      <c r="AC1582" s="138"/>
      <c r="AD1582" s="141"/>
      <c r="AE1582" s="139"/>
      <c r="AG1582" s="139"/>
      <c r="AH1582" s="139"/>
      <c r="AI1582" s="139"/>
      <c r="AJ1582" s="10">
        <v>42325</v>
      </c>
      <c r="AK1582" s="7">
        <v>2010</v>
      </c>
      <c r="AL1582" s="16"/>
      <c r="AO1582" s="141"/>
      <c r="AP1582" s="141"/>
      <c r="AQ1582" s="117"/>
      <c r="AR1582" s="142"/>
      <c r="AS1582" s="141"/>
      <c r="AT1582" s="141"/>
      <c r="AU1582" s="140"/>
      <c r="AV1582" s="143"/>
      <c r="AW1582" s="6">
        <f t="shared" ca="1" si="27"/>
        <v>36</v>
      </c>
    </row>
    <row r="1583" ht="45" hidden="1" customHeight="1" outlineLevel="1">
      <c r="A1583" s="69">
        <v>43535</v>
      </c>
      <c r="B1583" s="3" t="s">
        <v>47</v>
      </c>
      <c r="C1583" s="4" t="s">
        <v>4455</v>
      </c>
      <c r="D1583" s="5" t="s">
        <v>4456</v>
      </c>
      <c r="E1583" s="2" t="s">
        <v>694</v>
      </c>
      <c r="F1583" s="6" t="s">
        <v>3842</v>
      </c>
      <c r="G1583" s="5" t="s">
        <v>4457</v>
      </c>
      <c r="H1583" s="2" t="s">
        <v>51</v>
      </c>
      <c r="I1583" s="3" t="s">
        <v>4458</v>
      </c>
      <c r="J1583" s="7">
        <v>1</v>
      </c>
      <c r="K1583" s="104"/>
      <c r="L1583" s="9">
        <v>1</v>
      </c>
      <c r="M1583" s="3">
        <v>1293</v>
      </c>
      <c r="N1583" s="6">
        <v>1989</v>
      </c>
      <c r="P1583" s="71"/>
      <c r="R1583" s="6">
        <v>1980</v>
      </c>
      <c r="S1583" s="3" t="s">
        <v>236</v>
      </c>
      <c r="T1583" s="72" t="s">
        <v>1136</v>
      </c>
      <c r="U1583" s="10">
        <v>43837</v>
      </c>
      <c r="W1583" s="2" t="s">
        <v>62</v>
      </c>
      <c r="X1583" s="10" t="s">
        <v>56</v>
      </c>
      <c r="Y1583" s="10" t="s">
        <v>57</v>
      </c>
      <c r="Z1583" s="75" t="s">
        <v>58</v>
      </c>
      <c r="AA1583" s="76"/>
      <c r="AB1583" s="77"/>
      <c r="AC1583" s="77"/>
      <c r="AD1583" s="6"/>
      <c r="AI1583" s="7"/>
      <c r="AJ1583" s="10">
        <v>44586</v>
      </c>
      <c r="AK1583" s="7">
        <v>2020</v>
      </c>
      <c r="AL1583" s="16"/>
      <c r="AW1583" s="6">
        <f t="shared" ca="1" si="27"/>
        <v>36</v>
      </c>
    </row>
    <row r="1584" ht="45" hidden="1" customHeight="1" outlineLevel="1">
      <c r="A1584" s="69"/>
      <c r="B1584" s="3" t="s">
        <v>47</v>
      </c>
      <c r="C1584" s="4" t="s">
        <v>4459</v>
      </c>
      <c r="D1584" s="5" t="s">
        <v>4460</v>
      </c>
      <c r="E1584" s="2" t="s">
        <v>694</v>
      </c>
      <c r="F1584" s="6" t="s">
        <v>3842</v>
      </c>
      <c r="G1584" s="5" t="s">
        <v>4457</v>
      </c>
      <c r="H1584" s="2" t="s">
        <v>977</v>
      </c>
      <c r="I1584" s="96" t="s">
        <v>4461</v>
      </c>
      <c r="J1584" s="7">
        <v>1</v>
      </c>
      <c r="K1584" s="104"/>
      <c r="L1584" s="9">
        <v>1</v>
      </c>
      <c r="M1584" s="3">
        <v>1294</v>
      </c>
      <c r="N1584" s="6">
        <v>1989</v>
      </c>
      <c r="O1584" s="10">
        <v>32550</v>
      </c>
      <c r="P1584" s="71" t="s">
        <v>4462</v>
      </c>
      <c r="Q1584" s="10" t="s">
        <v>2472</v>
      </c>
      <c r="R1584" s="6">
        <v>1980</v>
      </c>
      <c r="S1584" s="3" t="s">
        <v>236</v>
      </c>
      <c r="T1584" s="72"/>
      <c r="U1584" s="173">
        <v>5477</v>
      </c>
      <c r="V1584" s="196"/>
      <c r="W1584" s="2" t="s">
        <v>62</v>
      </c>
      <c r="X1584" s="10" t="s">
        <v>213</v>
      </c>
      <c r="Y1584" s="10" t="s">
        <v>980</v>
      </c>
      <c r="Z1584" s="75"/>
      <c r="AA1584" s="76"/>
      <c r="AB1584" s="77"/>
      <c r="AC1584" s="77"/>
      <c r="AD1584" s="6"/>
      <c r="AI1584" s="7"/>
      <c r="AJ1584" s="95">
        <v>42002</v>
      </c>
      <c r="AK1584" s="7">
        <v>2010</v>
      </c>
      <c r="AL1584" s="16"/>
      <c r="AW1584" s="6">
        <f t="shared" ca="1" si="27"/>
        <v>36</v>
      </c>
    </row>
    <row r="1585" ht="45" hidden="1" customHeight="1" outlineLevel="1">
      <c r="A1585" s="69"/>
      <c r="B1585" s="3" t="s">
        <v>47</v>
      </c>
      <c r="C1585" s="4" t="s">
        <v>3479</v>
      </c>
      <c r="E1585" s="2" t="s">
        <v>63</v>
      </c>
      <c r="F1585" s="6" t="s">
        <v>172</v>
      </c>
      <c r="G1585" s="5" t="s">
        <v>1110</v>
      </c>
      <c r="H1585" s="2" t="s">
        <v>57</v>
      </c>
      <c r="I1585" s="96" t="s">
        <v>4463</v>
      </c>
      <c r="J1585" s="7">
        <v>1</v>
      </c>
      <c r="K1585" s="104"/>
      <c r="L1585" s="9">
        <v>1</v>
      </c>
      <c r="M1585" s="3">
        <v>1295</v>
      </c>
      <c r="N1585" s="6">
        <v>1989</v>
      </c>
      <c r="P1585" s="71"/>
      <c r="R1585" s="6">
        <v>1980</v>
      </c>
      <c r="S1585" s="3" t="s">
        <v>236</v>
      </c>
      <c r="T1585" s="72"/>
      <c r="U1585" s="73"/>
      <c r="W1585" s="2" t="s">
        <v>62</v>
      </c>
      <c r="X1585" s="10" t="s">
        <v>56</v>
      </c>
      <c r="Y1585" s="10" t="s">
        <v>57</v>
      </c>
      <c r="Z1585" s="75"/>
      <c r="AA1585" s="76"/>
      <c r="AB1585" s="77"/>
      <c r="AC1585" s="77"/>
      <c r="AD1585" s="6"/>
      <c r="AI1585" s="7"/>
      <c r="AJ1585" s="95">
        <v>36290</v>
      </c>
      <c r="AK1585" s="7">
        <v>1990</v>
      </c>
      <c r="AL1585" s="16"/>
      <c r="AW1585" s="6">
        <f t="shared" ca="1" si="27"/>
        <v>36</v>
      </c>
    </row>
    <row r="1586" ht="45" hidden="1" customHeight="1">
      <c r="A1586" s="69"/>
      <c r="B1586" s="3" t="s">
        <v>47</v>
      </c>
      <c r="C1586" s="4" t="s">
        <v>2790</v>
      </c>
      <c r="D1586" s="5" t="s">
        <v>4464</v>
      </c>
      <c r="E1586" s="2" t="s">
        <v>48</v>
      </c>
      <c r="F1586" s="6" t="s">
        <v>140</v>
      </c>
      <c r="G1586" s="5" t="s">
        <v>4465</v>
      </c>
      <c r="H1586" s="2" t="s">
        <v>51</v>
      </c>
      <c r="I1586" s="96" t="s">
        <v>4466</v>
      </c>
      <c r="J1586" s="7">
        <v>1</v>
      </c>
      <c r="K1586" s="104"/>
      <c r="L1586" s="9">
        <v>1</v>
      </c>
      <c r="M1586" s="3">
        <v>1296</v>
      </c>
      <c r="N1586" s="6">
        <v>1989</v>
      </c>
      <c r="P1586" s="71"/>
      <c r="R1586" s="6">
        <v>1980</v>
      </c>
      <c r="S1586" s="3" t="s">
        <v>236</v>
      </c>
      <c r="T1586" s="72"/>
      <c r="U1586" s="73"/>
      <c r="W1586" s="2" t="s">
        <v>62</v>
      </c>
      <c r="X1586" s="10" t="s">
        <v>56</v>
      </c>
      <c r="Y1586" s="10" t="s">
        <v>57</v>
      </c>
      <c r="Z1586" s="75" t="s">
        <v>58</v>
      </c>
      <c r="AA1586" s="76"/>
      <c r="AB1586" s="77"/>
      <c r="AC1586" s="77"/>
      <c r="AD1586" s="6"/>
      <c r="AI1586" s="7"/>
      <c r="AJ1586" s="95">
        <v>41551</v>
      </c>
      <c r="AK1586" s="7">
        <v>2010</v>
      </c>
      <c r="AL1586" s="16"/>
      <c r="AW1586" s="6">
        <f t="shared" ca="1" si="27"/>
        <v>36</v>
      </c>
    </row>
    <row r="1587" ht="45" customHeight="1">
      <c r="A1587" s="69"/>
      <c r="B1587" s="3" t="s">
        <v>47</v>
      </c>
      <c r="E1587" s="2" t="s">
        <v>694</v>
      </c>
      <c r="F1587" s="6" t="s">
        <v>695</v>
      </c>
      <c r="G1587" s="5" t="s">
        <v>696</v>
      </c>
      <c r="H1587" s="2" t="s">
        <v>501</v>
      </c>
      <c r="I1587" s="3" t="s">
        <v>4467</v>
      </c>
      <c r="J1587" s="7">
        <v>1</v>
      </c>
      <c r="K1587" s="70" t="s">
        <v>53</v>
      </c>
      <c r="L1587" s="9">
        <v>1</v>
      </c>
      <c r="M1587" s="3">
        <v>1297</v>
      </c>
      <c r="N1587" s="6">
        <v>1989</v>
      </c>
      <c r="P1587" s="71"/>
      <c r="R1587" s="6">
        <v>1980</v>
      </c>
      <c r="S1587" s="3" t="s">
        <v>54</v>
      </c>
      <c r="T1587" s="72"/>
      <c r="U1587" s="73"/>
      <c r="W1587" s="2" t="s">
        <v>4468</v>
      </c>
      <c r="X1587" s="10" t="s">
        <v>504</v>
      </c>
      <c r="Y1587" s="10" t="s">
        <v>501</v>
      </c>
      <c r="Z1587" s="75"/>
      <c r="AA1587" s="76">
        <v>34337</v>
      </c>
      <c r="AB1587" s="77">
        <v>34337</v>
      </c>
      <c r="AC1587" s="77"/>
      <c r="AD1587" s="6"/>
      <c r="AE1587" s="7">
        <v>1990</v>
      </c>
      <c r="AF1587" s="7">
        <v>139</v>
      </c>
      <c r="AG1587" s="7">
        <v>1994</v>
      </c>
      <c r="AH1587" s="7">
        <v>1990</v>
      </c>
      <c r="AI1587" s="7"/>
      <c r="AJ1587" s="73"/>
      <c r="AK1587" s="7"/>
      <c r="AL1587" s="16"/>
      <c r="AM1587" s="2" t="s">
        <v>53</v>
      </c>
      <c r="AN1587" s="6" t="s">
        <v>73</v>
      </c>
      <c r="AO1587" s="6" t="s">
        <v>53</v>
      </c>
      <c r="AP1587" s="6" t="s">
        <v>73</v>
      </c>
      <c r="AQ1587" s="5" t="s">
        <v>73</v>
      </c>
      <c r="AW1587" s="6">
        <f t="shared" ca="1" si="27"/>
        <v>36</v>
      </c>
    </row>
    <row r="1588" ht="45" hidden="1" customHeight="1">
      <c r="A1588" s="132">
        <v>43159</v>
      </c>
      <c r="B1588" s="3" t="s">
        <v>47</v>
      </c>
      <c r="C1588" s="144" t="s">
        <v>4469</v>
      </c>
      <c r="D1588" s="117" t="s">
        <v>4470</v>
      </c>
      <c r="E1588" s="2" t="s">
        <v>83</v>
      </c>
      <c r="F1588" s="6" t="s">
        <v>179</v>
      </c>
      <c r="G1588" s="5" t="s">
        <v>4471</v>
      </c>
      <c r="H1588" s="2" t="s">
        <v>51</v>
      </c>
      <c r="I1588" s="3" t="s">
        <v>4472</v>
      </c>
      <c r="J1588" s="7">
        <v>1</v>
      </c>
      <c r="K1588" s="145"/>
      <c r="L1588" s="9">
        <v>1</v>
      </c>
      <c r="M1588" s="3">
        <v>1298</v>
      </c>
      <c r="N1588" s="6">
        <v>1989</v>
      </c>
      <c r="P1588" s="71"/>
      <c r="R1588" s="6">
        <v>1980</v>
      </c>
      <c r="S1588" s="3" t="s">
        <v>236</v>
      </c>
      <c r="T1588" s="72" t="s">
        <v>1136</v>
      </c>
      <c r="U1588" s="73"/>
      <c r="W1588" s="2" t="s">
        <v>62</v>
      </c>
      <c r="X1588" s="10" t="s">
        <v>56</v>
      </c>
      <c r="Y1588" s="10" t="s">
        <v>57</v>
      </c>
      <c r="Z1588" s="75" t="s">
        <v>58</v>
      </c>
      <c r="AA1588" s="137"/>
      <c r="AB1588" s="138"/>
      <c r="AC1588" s="138"/>
      <c r="AD1588" s="141"/>
      <c r="AE1588" s="139"/>
      <c r="AG1588" s="139"/>
      <c r="AH1588" s="139"/>
      <c r="AI1588" s="139"/>
      <c r="AJ1588" s="136">
        <v>43673</v>
      </c>
      <c r="AK1588" s="139">
        <v>2010</v>
      </c>
      <c r="AL1588" s="16"/>
      <c r="AO1588" s="141"/>
      <c r="AP1588" s="141"/>
      <c r="AQ1588" s="117"/>
      <c r="AR1588" s="142"/>
      <c r="AS1588" s="141"/>
      <c r="AT1588" s="141"/>
      <c r="AU1588" s="140"/>
      <c r="AV1588" s="143"/>
      <c r="AW1588" s="6">
        <f t="shared" ca="1" si="27"/>
        <v>36</v>
      </c>
    </row>
    <row r="1589" ht="45" hidden="1" customHeight="1">
      <c r="A1589" s="69"/>
      <c r="B1589" s="3" t="s">
        <v>190</v>
      </c>
      <c r="C1589" s="4" t="s">
        <v>4473</v>
      </c>
      <c r="D1589" s="5" t="s">
        <v>4474</v>
      </c>
      <c r="E1589" s="2" t="s">
        <v>83</v>
      </c>
      <c r="F1589" s="6" t="s">
        <v>179</v>
      </c>
      <c r="G1589" s="5" t="s">
        <v>4475</v>
      </c>
      <c r="H1589" s="2" t="s">
        <v>68</v>
      </c>
      <c r="I1589" s="3" t="s">
        <v>4476</v>
      </c>
      <c r="J1589" s="7">
        <v>1</v>
      </c>
      <c r="K1589" s="104"/>
      <c r="L1589" s="9">
        <v>1</v>
      </c>
      <c r="M1589" s="3">
        <v>1299</v>
      </c>
      <c r="N1589" s="6">
        <v>1989</v>
      </c>
      <c r="P1589" s="71"/>
      <c r="R1589" s="6">
        <v>1980</v>
      </c>
      <c r="S1589" s="3" t="s">
        <v>283</v>
      </c>
      <c r="T1589" s="72"/>
      <c r="U1589" s="73"/>
      <c r="W1589" s="74" t="s">
        <v>62</v>
      </c>
      <c r="X1589" s="10" t="s">
        <v>56</v>
      </c>
      <c r="Y1589" s="10" t="s">
        <v>68</v>
      </c>
      <c r="Z1589" s="75" t="s">
        <v>905</v>
      </c>
      <c r="AA1589" s="76"/>
      <c r="AB1589" s="77"/>
      <c r="AC1589" s="77"/>
      <c r="AD1589" s="6"/>
      <c r="AI1589" s="7"/>
      <c r="AJ1589" s="73"/>
      <c r="AK1589" s="7"/>
      <c r="AL1589" s="16"/>
      <c r="AW1589" s="6">
        <f t="shared" ca="1" si="27"/>
        <v>36</v>
      </c>
    </row>
    <row r="1590" ht="45" customHeight="1">
      <c r="A1590" s="69"/>
      <c r="B1590" s="3" t="s">
        <v>47</v>
      </c>
      <c r="D1590" s="5" t="s">
        <v>4477</v>
      </c>
      <c r="E1590" s="2" t="s">
        <v>63</v>
      </c>
      <c r="F1590" s="6" t="s">
        <v>898</v>
      </c>
      <c r="G1590" s="5" t="s">
        <v>899</v>
      </c>
      <c r="H1590" s="2" t="s">
        <v>491</v>
      </c>
      <c r="I1590" s="3" t="s">
        <v>4478</v>
      </c>
      <c r="J1590" s="7">
        <v>1</v>
      </c>
      <c r="K1590" s="70" t="s">
        <v>53</v>
      </c>
      <c r="L1590" s="9">
        <v>1</v>
      </c>
      <c r="M1590" s="3">
        <v>1300</v>
      </c>
      <c r="N1590" s="6">
        <v>1989</v>
      </c>
      <c r="P1590" s="71"/>
      <c r="R1590" s="6">
        <v>1980</v>
      </c>
      <c r="S1590" s="3" t="s">
        <v>54</v>
      </c>
      <c r="T1590" s="72"/>
      <c r="U1590" s="73"/>
      <c r="W1590" s="2" t="s">
        <v>4479</v>
      </c>
      <c r="X1590" s="10" t="s">
        <v>56</v>
      </c>
      <c r="Y1590" s="10" t="s">
        <v>523</v>
      </c>
      <c r="Z1590" s="75"/>
      <c r="AA1590" s="76">
        <v>40605</v>
      </c>
      <c r="AB1590" s="77">
        <v>40605</v>
      </c>
      <c r="AC1590" s="77"/>
      <c r="AD1590" s="6"/>
      <c r="AE1590" s="7">
        <v>2008</v>
      </c>
      <c r="AF1590" s="7">
        <v>58</v>
      </c>
      <c r="AG1590" s="7">
        <v>2011</v>
      </c>
      <c r="AH1590" s="7">
        <v>2010</v>
      </c>
      <c r="AI1590" s="7"/>
      <c r="AJ1590" s="73"/>
      <c r="AK1590" s="7"/>
      <c r="AL1590" s="16"/>
      <c r="AM1590" s="2" t="s">
        <v>59</v>
      </c>
      <c r="AO1590" s="6" t="s">
        <v>53</v>
      </c>
      <c r="AP1590" s="6" t="s">
        <v>73</v>
      </c>
      <c r="AW1590" s="6">
        <f t="shared" ca="1" si="27"/>
        <v>36</v>
      </c>
    </row>
    <row r="1591" ht="45" hidden="1" customHeight="1">
      <c r="A1591" s="69"/>
      <c r="B1591" s="3" t="s">
        <v>47</v>
      </c>
      <c r="C1591" s="4" t="s">
        <v>3061</v>
      </c>
      <c r="D1591" s="5" t="s">
        <v>4480</v>
      </c>
      <c r="E1591" s="2" t="s">
        <v>1074</v>
      </c>
      <c r="F1591" s="6" t="s">
        <v>2026</v>
      </c>
      <c r="G1591" s="5" t="s">
        <v>4481</v>
      </c>
      <c r="H1591" s="2" t="s">
        <v>508</v>
      </c>
      <c r="I1591" s="3" t="s">
        <v>4482</v>
      </c>
      <c r="J1591" s="7">
        <v>1</v>
      </c>
      <c r="K1591" s="104"/>
      <c r="L1591" s="9">
        <v>1</v>
      </c>
      <c r="M1591" s="3">
        <v>1301</v>
      </c>
      <c r="N1591" s="6">
        <v>1989</v>
      </c>
      <c r="O1591" s="10">
        <v>32779</v>
      </c>
      <c r="P1591" s="71" t="s">
        <v>4483</v>
      </c>
      <c r="Q1591" s="10" t="s">
        <v>1453</v>
      </c>
      <c r="R1591" s="6">
        <v>1980</v>
      </c>
      <c r="S1591" s="3" t="s">
        <v>236</v>
      </c>
      <c r="T1591" s="72"/>
      <c r="U1591" s="73"/>
      <c r="W1591" s="2" t="s">
        <v>62</v>
      </c>
      <c r="X1591" s="10" t="s">
        <v>504</v>
      </c>
      <c r="Y1591" s="10" t="s">
        <v>511</v>
      </c>
      <c r="Z1591" s="75"/>
      <c r="AA1591" s="76"/>
      <c r="AB1591" s="77"/>
      <c r="AC1591" s="77"/>
      <c r="AD1591" s="6"/>
      <c r="AI1591" s="7"/>
      <c r="AJ1591" s="95">
        <v>41914</v>
      </c>
      <c r="AK1591" s="7">
        <v>2010</v>
      </c>
      <c r="AL1591" s="16"/>
      <c r="AW1591" s="6">
        <f t="shared" ca="1" si="27"/>
        <v>36</v>
      </c>
    </row>
    <row r="1592" ht="45" hidden="1" customHeight="1">
      <c r="A1592" s="69" t="s">
        <v>4484</v>
      </c>
      <c r="B1592" s="3" t="s">
        <v>190</v>
      </c>
      <c r="C1592" s="4" t="s">
        <v>4485</v>
      </c>
      <c r="D1592" s="5" t="s">
        <v>4486</v>
      </c>
      <c r="E1592" s="2" t="s">
        <v>83</v>
      </c>
      <c r="F1592" s="6" t="s">
        <v>84</v>
      </c>
      <c r="G1592" s="5" t="s">
        <v>4487</v>
      </c>
      <c r="H1592" s="2" t="s">
        <v>288</v>
      </c>
      <c r="I1592" s="3" t="s">
        <v>4488</v>
      </c>
      <c r="J1592" s="7">
        <v>1</v>
      </c>
      <c r="K1592" s="70"/>
      <c r="L1592" s="9">
        <v>1</v>
      </c>
      <c r="M1592" s="3">
        <v>1302</v>
      </c>
      <c r="N1592" s="6">
        <v>1989</v>
      </c>
      <c r="O1592" s="10">
        <v>32780</v>
      </c>
      <c r="P1592" s="71" t="s">
        <v>4489</v>
      </c>
      <c r="Q1592" s="10">
        <v>32871</v>
      </c>
      <c r="R1592" s="6">
        <v>1980</v>
      </c>
      <c r="S1592" s="3" t="s">
        <v>283</v>
      </c>
      <c r="T1592" s="72" t="s">
        <v>998</v>
      </c>
      <c r="U1592" s="73"/>
      <c r="W1592" s="74" t="s">
        <v>4490</v>
      </c>
      <c r="X1592" s="10" t="s">
        <v>56</v>
      </c>
      <c r="Y1592" s="10" t="s">
        <v>288</v>
      </c>
      <c r="Z1592" s="75"/>
      <c r="AA1592" s="76"/>
      <c r="AB1592" s="77"/>
      <c r="AC1592" s="77"/>
      <c r="AD1592" s="6"/>
      <c r="AH1592" s="7">
        <v>1960</v>
      </c>
      <c r="AI1592" s="7"/>
      <c r="AJ1592" s="73"/>
      <c r="AK1592" s="7"/>
      <c r="AL1592" s="16"/>
      <c r="AU1592" s="101" t="s">
        <v>4491</v>
      </c>
      <c r="AV1592" s="197"/>
      <c r="AW1592" s="6">
        <f t="shared" ca="1" si="27"/>
        <v>36</v>
      </c>
    </row>
    <row r="1593" ht="45" customHeight="1">
      <c r="A1593" s="69">
        <v>42892</v>
      </c>
      <c r="B1593" s="3" t="s">
        <v>47</v>
      </c>
      <c r="C1593" s="4" t="s">
        <v>4492</v>
      </c>
      <c r="D1593" s="5" t="s">
        <v>4493</v>
      </c>
      <c r="E1593" s="2" t="s">
        <v>83</v>
      </c>
      <c r="F1593" s="6" t="s">
        <v>84</v>
      </c>
      <c r="G1593" s="5" t="s">
        <v>85</v>
      </c>
      <c r="H1593" s="2" t="s">
        <v>57</v>
      </c>
      <c r="I1593" s="3" t="s">
        <v>4494</v>
      </c>
      <c r="J1593" s="7">
        <v>1</v>
      </c>
      <c r="K1593" s="104" t="s">
        <v>53</v>
      </c>
      <c r="L1593" s="9">
        <v>1</v>
      </c>
      <c r="M1593" s="3">
        <v>1303</v>
      </c>
      <c r="N1593" s="6">
        <v>1990</v>
      </c>
      <c r="O1593" s="10">
        <v>32847</v>
      </c>
      <c r="P1593" s="71" t="s">
        <v>4495</v>
      </c>
      <c r="R1593" s="6">
        <v>1990</v>
      </c>
      <c r="S1593" s="3" t="s">
        <v>4496</v>
      </c>
      <c r="T1593" s="72"/>
      <c r="U1593" s="73"/>
      <c r="W1593" s="2" t="s">
        <v>4497</v>
      </c>
      <c r="X1593" s="10" t="s">
        <v>56</v>
      </c>
      <c r="Y1593" s="10" t="s">
        <v>57</v>
      </c>
      <c r="Z1593" s="75" t="s">
        <v>4498</v>
      </c>
      <c r="AA1593" s="76"/>
      <c r="AB1593" s="77"/>
      <c r="AC1593" s="77">
        <v>44606</v>
      </c>
      <c r="AD1593" s="6"/>
      <c r="AE1593" s="7">
        <v>2016</v>
      </c>
      <c r="AF1593" s="7">
        <v>84</v>
      </c>
      <c r="AI1593" s="7"/>
      <c r="AJ1593" s="73"/>
      <c r="AK1593" s="7"/>
      <c r="AL1593" s="16"/>
      <c r="AW1593" s="6">
        <f t="shared" ca="1" si="27"/>
        <v>35</v>
      </c>
    </row>
    <row r="1594" ht="45" hidden="1" customHeight="1">
      <c r="A1594" s="69">
        <v>45145</v>
      </c>
      <c r="B1594" s="3" t="s">
        <v>190</v>
      </c>
      <c r="C1594" s="4" t="s">
        <v>4499</v>
      </c>
      <c r="D1594" s="5" t="s">
        <v>4500</v>
      </c>
      <c r="E1594" s="2" t="s">
        <v>1074</v>
      </c>
      <c r="F1594" s="6" t="s">
        <v>1075</v>
      </c>
      <c r="G1594" s="5" t="s">
        <v>1869</v>
      </c>
      <c r="H1594" s="2" t="s">
        <v>4501</v>
      </c>
      <c r="I1594" s="3" t="s">
        <v>4502</v>
      </c>
      <c r="J1594" s="7">
        <v>1</v>
      </c>
      <c r="K1594" s="104"/>
      <c r="L1594" s="9">
        <v>1</v>
      </c>
      <c r="M1594" s="3">
        <v>1304</v>
      </c>
      <c r="N1594" s="6">
        <v>1990</v>
      </c>
      <c r="O1594" s="10">
        <v>32423</v>
      </c>
      <c r="P1594" s="71" t="s">
        <v>4503</v>
      </c>
      <c r="Q1594" s="92" t="s">
        <v>4504</v>
      </c>
      <c r="R1594" s="6">
        <v>1990</v>
      </c>
      <c r="S1594" s="3" t="s">
        <v>283</v>
      </c>
      <c r="T1594" s="72" t="s">
        <v>998</v>
      </c>
      <c r="U1594" s="73"/>
      <c r="W1594" s="74" t="s">
        <v>62</v>
      </c>
      <c r="X1594" s="10" t="s">
        <v>56</v>
      </c>
      <c r="Y1594" s="10" t="s">
        <v>4501</v>
      </c>
      <c r="Z1594" s="75"/>
      <c r="AA1594" s="76"/>
      <c r="AB1594" s="77"/>
      <c r="AC1594" s="77"/>
      <c r="AD1594" s="6"/>
      <c r="AI1594" s="7"/>
      <c r="AJ1594" s="73"/>
      <c r="AK1594" s="7"/>
      <c r="AL1594" s="16"/>
      <c r="AW1594" s="6">
        <f t="shared" ca="1" si="27"/>
        <v>35</v>
      </c>
    </row>
    <row r="1595" ht="45" customHeight="1">
      <c r="A1595" s="69">
        <v>42489</v>
      </c>
      <c r="B1595" s="3" t="s">
        <v>190</v>
      </c>
      <c r="C1595" s="4" t="s">
        <v>4505</v>
      </c>
      <c r="D1595" s="5" t="s">
        <v>4506</v>
      </c>
      <c r="E1595" s="2" t="s">
        <v>1074</v>
      </c>
      <c r="F1595" s="6" t="s">
        <v>2154</v>
      </c>
      <c r="G1595" s="5" t="s">
        <v>2155</v>
      </c>
      <c r="H1595" s="2" t="s">
        <v>288</v>
      </c>
      <c r="I1595" s="3" t="s">
        <v>4507</v>
      </c>
      <c r="J1595" s="7">
        <v>1</v>
      </c>
      <c r="K1595" s="70" t="s">
        <v>53</v>
      </c>
      <c r="L1595" s="9">
        <v>1</v>
      </c>
      <c r="M1595" s="3">
        <v>1305</v>
      </c>
      <c r="N1595" s="6">
        <v>1990</v>
      </c>
      <c r="P1595" s="71"/>
      <c r="R1595" s="6">
        <v>1990</v>
      </c>
      <c r="S1595" s="3" t="s">
        <v>195</v>
      </c>
      <c r="T1595" s="72"/>
      <c r="U1595" s="73"/>
      <c r="W1595" s="74" t="s">
        <v>4508</v>
      </c>
      <c r="X1595" s="10" t="s">
        <v>56</v>
      </c>
      <c r="Y1595" s="10" t="s">
        <v>288</v>
      </c>
      <c r="Z1595" s="75"/>
      <c r="AA1595" s="76"/>
      <c r="AB1595" s="77">
        <v>32946</v>
      </c>
      <c r="AC1595" s="77"/>
      <c r="AD1595" s="6"/>
      <c r="AE1595" s="7">
        <v>1990</v>
      </c>
      <c r="AF1595" s="7">
        <v>138</v>
      </c>
      <c r="AG1595" s="7">
        <v>1990</v>
      </c>
      <c r="AH1595" s="7">
        <v>1990</v>
      </c>
      <c r="AI1595" s="7"/>
      <c r="AJ1595" s="73"/>
      <c r="AK1595" s="7"/>
      <c r="AL1595" s="16"/>
      <c r="AM1595" s="2" t="s">
        <v>53</v>
      </c>
      <c r="AN1595" s="6" t="s">
        <v>73</v>
      </c>
      <c r="AO1595" s="6" t="s">
        <v>100</v>
      </c>
      <c r="AP1595" s="6" t="s">
        <v>73</v>
      </c>
      <c r="AQ1595" s="5" t="s">
        <v>73</v>
      </c>
      <c r="AR1595" s="2" t="s">
        <v>73</v>
      </c>
      <c r="AS1595" s="6" t="s">
        <v>73</v>
      </c>
      <c r="AT1595" s="6">
        <v>2016</v>
      </c>
      <c r="AU1595" s="16" t="s">
        <v>4509</v>
      </c>
      <c r="AW1595" s="6">
        <f t="shared" ca="1" si="27"/>
        <v>35</v>
      </c>
    </row>
    <row r="1596" ht="45" hidden="1" customHeight="1">
      <c r="A1596" s="69"/>
      <c r="B1596" s="3" t="s">
        <v>47</v>
      </c>
      <c r="C1596" s="4" t="s">
        <v>4510</v>
      </c>
      <c r="D1596" s="5" t="s">
        <v>4511</v>
      </c>
      <c r="E1596" s="2" t="s">
        <v>48</v>
      </c>
      <c r="F1596" s="6" t="s">
        <v>564</v>
      </c>
      <c r="G1596" s="5" t="s">
        <v>4512</v>
      </c>
      <c r="H1596" s="2" t="s">
        <v>57</v>
      </c>
      <c r="I1596" s="3" t="s">
        <v>4513</v>
      </c>
      <c r="J1596" s="7">
        <v>1</v>
      </c>
      <c r="K1596" s="70"/>
      <c r="L1596" s="9">
        <v>1</v>
      </c>
      <c r="M1596" s="3">
        <v>1306</v>
      </c>
      <c r="N1596" s="6">
        <v>1990</v>
      </c>
      <c r="P1596" s="71"/>
      <c r="R1596" s="6">
        <v>1990</v>
      </c>
      <c r="S1596" s="3" t="s">
        <v>236</v>
      </c>
      <c r="T1596" s="72"/>
      <c r="U1596" s="73"/>
      <c r="W1596" s="2" t="s">
        <v>62</v>
      </c>
      <c r="X1596" s="10" t="s">
        <v>56</v>
      </c>
      <c r="Y1596" s="10" t="s">
        <v>57</v>
      </c>
      <c r="Z1596" s="75"/>
      <c r="AA1596" s="76"/>
      <c r="AB1596" s="77"/>
      <c r="AC1596" s="77"/>
      <c r="AD1596" s="10"/>
      <c r="AI1596" s="7"/>
      <c r="AJ1596" s="95">
        <v>40865</v>
      </c>
      <c r="AK1596" s="7">
        <v>2010</v>
      </c>
      <c r="AL1596" s="16"/>
      <c r="AW1596" s="6">
        <f t="shared" ca="1" si="27"/>
        <v>35</v>
      </c>
    </row>
    <row r="1597" ht="45" customHeight="1">
      <c r="A1597" s="69"/>
      <c r="B1597" s="3" t="s">
        <v>47</v>
      </c>
      <c r="D1597" s="5" t="s">
        <v>4514</v>
      </c>
      <c r="E1597" s="78" t="s">
        <v>83</v>
      </c>
      <c r="F1597" s="79" t="s">
        <v>84</v>
      </c>
      <c r="G1597" s="80" t="s">
        <v>85</v>
      </c>
      <c r="H1597" s="78" t="s">
        <v>68</v>
      </c>
      <c r="I1597" s="81" t="s">
        <v>4515</v>
      </c>
      <c r="J1597" s="7">
        <v>1</v>
      </c>
      <c r="K1597" s="70" t="s">
        <v>53</v>
      </c>
      <c r="L1597" s="9">
        <v>1</v>
      </c>
      <c r="M1597" s="3">
        <v>1307</v>
      </c>
      <c r="N1597" s="6">
        <v>1990</v>
      </c>
      <c r="P1597" s="71"/>
      <c r="R1597" s="6">
        <v>1990</v>
      </c>
      <c r="S1597" s="3" t="s">
        <v>54</v>
      </c>
      <c r="T1597" s="72"/>
      <c r="U1597" s="73"/>
      <c r="W1597" s="78" t="s">
        <v>4516</v>
      </c>
      <c r="X1597" s="82" t="s">
        <v>56</v>
      </c>
      <c r="Y1597" s="82" t="s">
        <v>68</v>
      </c>
      <c r="Z1597" s="83" t="s">
        <v>1700</v>
      </c>
      <c r="AA1597" s="76"/>
      <c r="AB1597" s="77">
        <v>40633</v>
      </c>
      <c r="AC1597" s="77"/>
      <c r="AD1597" s="10"/>
      <c r="AE1597" s="7">
        <v>2004</v>
      </c>
      <c r="AF1597" s="7">
        <v>42</v>
      </c>
      <c r="AG1597" s="7">
        <v>2011</v>
      </c>
      <c r="AH1597" s="7">
        <v>2010</v>
      </c>
      <c r="AI1597" s="7"/>
      <c r="AJ1597" s="73"/>
      <c r="AK1597" s="7"/>
      <c r="AL1597" s="16"/>
      <c r="AM1597" s="2" t="s">
        <v>59</v>
      </c>
      <c r="AW1597" s="6">
        <f t="shared" ca="1" si="27"/>
        <v>35</v>
      </c>
    </row>
    <row r="1598" ht="45" hidden="1" customHeight="1">
      <c r="A1598" s="69"/>
      <c r="B1598" s="3" t="s">
        <v>190</v>
      </c>
      <c r="C1598" s="4" t="s">
        <v>4517</v>
      </c>
      <c r="D1598" s="5" t="s">
        <v>4518</v>
      </c>
      <c r="E1598" s="2" t="s">
        <v>83</v>
      </c>
      <c r="F1598" s="6" t="s">
        <v>84</v>
      </c>
      <c r="G1598" s="5" t="s">
        <v>85</v>
      </c>
      <c r="H1598" s="2" t="s">
        <v>508</v>
      </c>
      <c r="I1598" s="3" t="s">
        <v>4519</v>
      </c>
      <c r="J1598" s="7">
        <v>1</v>
      </c>
      <c r="K1598" s="70"/>
      <c r="L1598" s="9">
        <v>1</v>
      </c>
      <c r="M1598" s="3">
        <v>1308</v>
      </c>
      <c r="N1598" s="6">
        <v>1990</v>
      </c>
      <c r="P1598" s="71"/>
      <c r="R1598" s="6">
        <v>1990</v>
      </c>
      <c r="S1598" s="3" t="s">
        <v>283</v>
      </c>
      <c r="T1598" s="72" t="s">
        <v>1136</v>
      </c>
      <c r="U1598" s="73"/>
      <c r="W1598" s="74" t="s">
        <v>62</v>
      </c>
      <c r="X1598" s="10" t="s">
        <v>504</v>
      </c>
      <c r="Y1598" s="10" t="s">
        <v>511</v>
      </c>
      <c r="Z1598" s="75"/>
      <c r="AA1598" s="76"/>
      <c r="AB1598" s="77"/>
      <c r="AC1598" s="77"/>
      <c r="AD1598" s="10"/>
      <c r="AI1598" s="7"/>
      <c r="AJ1598" s="73"/>
      <c r="AK1598" s="7"/>
      <c r="AL1598" s="16"/>
      <c r="AW1598" s="6">
        <f t="shared" ca="1" si="27"/>
        <v>35</v>
      </c>
    </row>
    <row r="1599" ht="45" customHeight="1" outlineLevel="1">
      <c r="A1599" s="69"/>
      <c r="B1599" s="3" t="s">
        <v>47</v>
      </c>
      <c r="C1599" s="4" t="s">
        <v>4520</v>
      </c>
      <c r="D1599" s="5" t="s">
        <v>4521</v>
      </c>
      <c r="E1599" s="2" t="s">
        <v>48</v>
      </c>
      <c r="F1599" s="6" t="s">
        <v>140</v>
      </c>
      <c r="G1599" s="5" t="s">
        <v>146</v>
      </c>
      <c r="H1599" s="2" t="s">
        <v>288</v>
      </c>
      <c r="I1599" s="3" t="s">
        <v>4522</v>
      </c>
      <c r="J1599" s="7">
        <v>1</v>
      </c>
      <c r="K1599" s="70" t="s">
        <v>53</v>
      </c>
      <c r="L1599" s="9">
        <v>1</v>
      </c>
      <c r="M1599" s="3">
        <v>1309</v>
      </c>
      <c r="N1599" s="6">
        <v>1990</v>
      </c>
      <c r="P1599" s="71"/>
      <c r="R1599" s="6">
        <v>1990</v>
      </c>
      <c r="S1599" s="3" t="s">
        <v>54</v>
      </c>
      <c r="T1599" s="72"/>
      <c r="U1599" s="73"/>
      <c r="W1599" s="2" t="s">
        <v>4523</v>
      </c>
      <c r="X1599" s="10" t="s">
        <v>56</v>
      </c>
      <c r="Y1599" s="10" t="s">
        <v>288</v>
      </c>
      <c r="Z1599" s="75"/>
      <c r="AA1599" s="76">
        <v>36021</v>
      </c>
      <c r="AB1599" s="77">
        <v>36021</v>
      </c>
      <c r="AC1599" s="77">
        <v>36021</v>
      </c>
      <c r="AD1599" s="10"/>
      <c r="AE1599" s="7" t="s">
        <v>4524</v>
      </c>
      <c r="AF1599" s="7" t="s">
        <v>4525</v>
      </c>
      <c r="AG1599" s="7">
        <v>1998</v>
      </c>
      <c r="AH1599" s="7">
        <v>1990</v>
      </c>
      <c r="AI1599" s="7"/>
      <c r="AJ1599" s="73"/>
      <c r="AK1599" s="7"/>
      <c r="AL1599" s="16"/>
      <c r="AM1599" s="2" t="s">
        <v>53</v>
      </c>
      <c r="AN1599" s="6" t="s">
        <v>73</v>
      </c>
      <c r="AO1599" s="6" t="s">
        <v>53</v>
      </c>
      <c r="AP1599" s="6" t="s">
        <v>73</v>
      </c>
      <c r="AQ1599" s="5" t="s">
        <v>73</v>
      </c>
      <c r="AR1599" s="87"/>
      <c r="AS1599" s="88"/>
      <c r="AT1599" s="88"/>
      <c r="AU1599" s="89" t="s">
        <v>718</v>
      </c>
      <c r="AV1599" s="90"/>
      <c r="AW1599" s="6">
        <f t="shared" ca="1" si="27"/>
        <v>35</v>
      </c>
    </row>
    <row r="1600" ht="45" customHeight="1">
      <c r="A1600" s="69"/>
      <c r="B1600" s="3" t="s">
        <v>47</v>
      </c>
      <c r="E1600" s="2" t="s">
        <v>83</v>
      </c>
      <c r="F1600" s="6" t="s">
        <v>84</v>
      </c>
      <c r="G1600" s="5" t="s">
        <v>85</v>
      </c>
      <c r="H1600" s="2" t="s">
        <v>88</v>
      </c>
      <c r="I1600" s="3" t="s">
        <v>4526</v>
      </c>
      <c r="J1600" s="7">
        <v>1</v>
      </c>
      <c r="K1600" s="70" t="s">
        <v>53</v>
      </c>
      <c r="L1600" s="9">
        <v>1</v>
      </c>
      <c r="M1600" s="3">
        <v>1310</v>
      </c>
      <c r="N1600" s="6">
        <v>1990</v>
      </c>
      <c r="P1600" s="71"/>
      <c r="R1600" s="6">
        <v>1990</v>
      </c>
      <c r="S1600" s="3" t="s">
        <v>54</v>
      </c>
      <c r="T1600" s="72"/>
      <c r="U1600" s="73"/>
      <c r="W1600" s="2" t="s">
        <v>4527</v>
      </c>
      <c r="X1600" s="10" t="s">
        <v>91</v>
      </c>
      <c r="Y1600" s="10" t="s">
        <v>214</v>
      </c>
      <c r="Z1600" s="75"/>
      <c r="AA1600" s="76"/>
      <c r="AB1600" s="77">
        <v>38175</v>
      </c>
      <c r="AC1600" s="77"/>
      <c r="AD1600" s="6"/>
      <c r="AE1600" s="7">
        <v>2002</v>
      </c>
      <c r="AF1600" s="7">
        <v>33</v>
      </c>
      <c r="AG1600" s="7">
        <v>2004</v>
      </c>
      <c r="AH1600" s="7">
        <v>2000</v>
      </c>
      <c r="AI1600" s="7"/>
      <c r="AJ1600" s="73"/>
      <c r="AK1600" s="7"/>
      <c r="AM1600" s="2" t="s">
        <v>59</v>
      </c>
      <c r="AO1600" s="6" t="s">
        <v>59</v>
      </c>
      <c r="AW1600" s="6">
        <f t="shared" ca="1" si="27"/>
        <v>35</v>
      </c>
    </row>
    <row r="1601" ht="45" hidden="1" customHeight="1">
      <c r="A1601" s="69">
        <v>44634</v>
      </c>
      <c r="B1601" s="3" t="s">
        <v>47</v>
      </c>
      <c r="C1601" s="4" t="s">
        <v>4528</v>
      </c>
      <c r="D1601" s="5" t="s">
        <v>4529</v>
      </c>
      <c r="E1601" s="2" t="s">
        <v>694</v>
      </c>
      <c r="F1601" s="6" t="s">
        <v>695</v>
      </c>
      <c r="G1601" s="5" t="s">
        <v>4530</v>
      </c>
      <c r="H1601" s="2" t="s">
        <v>288</v>
      </c>
      <c r="I1601" s="3" t="s">
        <v>4531</v>
      </c>
      <c r="J1601" s="7">
        <v>1</v>
      </c>
      <c r="K1601" s="70"/>
      <c r="L1601" s="9">
        <v>1</v>
      </c>
      <c r="M1601" s="3">
        <v>1311</v>
      </c>
      <c r="N1601" s="6">
        <v>1990</v>
      </c>
      <c r="O1601" s="10">
        <v>32946</v>
      </c>
      <c r="P1601" s="71" t="s">
        <v>4532</v>
      </c>
      <c r="R1601" s="6">
        <v>1990</v>
      </c>
      <c r="S1601" s="3" t="s">
        <v>236</v>
      </c>
      <c r="T1601" s="72" t="s">
        <v>1136</v>
      </c>
      <c r="W1601" s="2" t="s">
        <v>62</v>
      </c>
      <c r="X1601" s="10" t="s">
        <v>56</v>
      </c>
      <c r="Y1601" s="10" t="s">
        <v>288</v>
      </c>
      <c r="Z1601" s="75"/>
      <c r="AA1601" s="76"/>
      <c r="AB1601" s="77"/>
      <c r="AC1601" s="77"/>
      <c r="AD1601" s="10"/>
      <c r="AI1601" s="7"/>
      <c r="AJ1601" s="10">
        <v>45435</v>
      </c>
      <c r="AK1601" s="7">
        <v>2020</v>
      </c>
      <c r="AL1601" s="16" t="s">
        <v>4533</v>
      </c>
      <c r="AW1601" s="6">
        <f t="shared" ca="1" si="27"/>
        <v>35</v>
      </c>
    </row>
    <row r="1602" ht="45" hidden="1" customHeight="1">
      <c r="A1602" s="69">
        <v>44665</v>
      </c>
      <c r="B1602" s="3" t="s">
        <v>47</v>
      </c>
      <c r="C1602" s="4" t="s">
        <v>4528</v>
      </c>
      <c r="D1602" s="5" t="s">
        <v>4529</v>
      </c>
      <c r="E1602" s="2" t="s">
        <v>694</v>
      </c>
      <c r="F1602" s="6" t="s">
        <v>695</v>
      </c>
      <c r="G1602" s="5" t="s">
        <v>4534</v>
      </c>
      <c r="H1602" s="2" t="s">
        <v>288</v>
      </c>
      <c r="I1602" s="3" t="s">
        <v>4531</v>
      </c>
      <c r="J1602" s="7">
        <v>1</v>
      </c>
      <c r="K1602" s="70"/>
      <c r="L1602" s="9">
        <v>0</v>
      </c>
      <c r="M1602" s="3">
        <v>1311</v>
      </c>
      <c r="N1602" s="6">
        <v>1990</v>
      </c>
      <c r="O1602" s="10">
        <v>32946</v>
      </c>
      <c r="P1602" s="71" t="s">
        <v>4532</v>
      </c>
      <c r="R1602" s="6">
        <v>1990</v>
      </c>
      <c r="S1602" s="3" t="s">
        <v>236</v>
      </c>
      <c r="T1602" s="72" t="s">
        <v>1136</v>
      </c>
      <c r="W1602" s="2" t="s">
        <v>62</v>
      </c>
      <c r="X1602" s="10" t="s">
        <v>56</v>
      </c>
      <c r="Y1602" s="10" t="s">
        <v>288</v>
      </c>
      <c r="Z1602" s="75"/>
      <c r="AA1602" s="76"/>
      <c r="AB1602" s="77"/>
      <c r="AC1602" s="77"/>
      <c r="AD1602" s="10"/>
      <c r="AI1602" s="7"/>
      <c r="AJ1602" s="10">
        <v>45435</v>
      </c>
      <c r="AK1602" s="7">
        <v>2020</v>
      </c>
      <c r="AL1602" s="16" t="s">
        <v>4533</v>
      </c>
      <c r="AW1602" s="6">
        <f t="shared" ca="1" si="27"/>
        <v>35</v>
      </c>
    </row>
    <row r="1603" ht="45" customHeight="1">
      <c r="A1603" s="69">
        <v>44642</v>
      </c>
      <c r="B1603" s="3" t="s">
        <v>1926</v>
      </c>
      <c r="C1603" s="4" t="s">
        <v>4535</v>
      </c>
      <c r="D1603" s="5" t="s">
        <v>4536</v>
      </c>
      <c r="E1603" s="2" t="s">
        <v>63</v>
      </c>
      <c r="F1603" s="6" t="s">
        <v>1230</v>
      </c>
      <c r="G1603" s="5" t="s">
        <v>4537</v>
      </c>
      <c r="H1603" s="2" t="s">
        <v>51</v>
      </c>
      <c r="I1603" s="3" t="s">
        <v>4538</v>
      </c>
      <c r="J1603" s="7">
        <v>1</v>
      </c>
      <c r="K1603" s="8" t="s">
        <v>1748</v>
      </c>
      <c r="L1603" s="9">
        <v>1</v>
      </c>
      <c r="M1603" s="3">
        <v>1312</v>
      </c>
      <c r="N1603" s="6">
        <v>1990</v>
      </c>
      <c r="O1603" s="10">
        <v>32246</v>
      </c>
      <c r="P1603" s="71" t="s">
        <v>4539</v>
      </c>
      <c r="Q1603" s="10">
        <v>32987</v>
      </c>
      <c r="R1603" s="6">
        <v>1990</v>
      </c>
      <c r="S1603" s="3" t="s">
        <v>2102</v>
      </c>
      <c r="T1603" s="72" t="s">
        <v>998</v>
      </c>
      <c r="U1603" s="73"/>
      <c r="V1603" s="12">
        <v>40893</v>
      </c>
      <c r="W1603" s="74" t="s">
        <v>4540</v>
      </c>
      <c r="X1603" s="10" t="s">
        <v>56</v>
      </c>
      <c r="Y1603" s="10" t="s">
        <v>57</v>
      </c>
      <c r="Z1603" s="75" t="s">
        <v>58</v>
      </c>
      <c r="AI1603" s="7"/>
      <c r="AJ1603" s="73"/>
      <c r="AK1603" s="7"/>
      <c r="AL1603" s="16"/>
      <c r="AM1603" s="2" t="s">
        <v>59</v>
      </c>
      <c r="AW1603" s="6">
        <f t="shared" ca="1" si="27"/>
        <v>35</v>
      </c>
    </row>
    <row r="1604" ht="45" hidden="1" customHeight="1" outlineLevel="1">
      <c r="A1604" s="69">
        <v>45055</v>
      </c>
      <c r="B1604" s="3" t="s">
        <v>1926</v>
      </c>
      <c r="C1604" s="4" t="s">
        <v>4541</v>
      </c>
      <c r="D1604" s="5" t="s">
        <v>4542</v>
      </c>
      <c r="E1604" s="2" t="s">
        <v>83</v>
      </c>
      <c r="F1604" s="6" t="s">
        <v>84</v>
      </c>
      <c r="G1604" s="5" t="s">
        <v>85</v>
      </c>
      <c r="H1604" s="2" t="s">
        <v>57</v>
      </c>
      <c r="I1604" s="3" t="s">
        <v>4543</v>
      </c>
      <c r="J1604" s="7">
        <v>1</v>
      </c>
      <c r="L1604" s="9">
        <v>1</v>
      </c>
      <c r="M1604" s="3">
        <v>1313</v>
      </c>
      <c r="N1604" s="6">
        <v>1990</v>
      </c>
      <c r="O1604" s="10">
        <v>32967</v>
      </c>
      <c r="P1604" s="71" t="s">
        <v>4544</v>
      </c>
      <c r="R1604" s="6">
        <v>1990</v>
      </c>
      <c r="S1604" s="3" t="s">
        <v>283</v>
      </c>
      <c r="T1604" s="72" t="s">
        <v>998</v>
      </c>
      <c r="U1604" s="73"/>
      <c r="W1604" s="74" t="s">
        <v>62</v>
      </c>
      <c r="X1604" s="10" t="s">
        <v>56</v>
      </c>
      <c r="Y1604" s="10" t="s">
        <v>57</v>
      </c>
      <c r="Z1604" s="75"/>
      <c r="AI1604" s="7"/>
      <c r="AJ1604" s="73"/>
      <c r="AK1604" s="7"/>
      <c r="AL1604" s="16"/>
      <c r="AW1604" s="6">
        <f t="shared" ca="1" si="27"/>
        <v>35</v>
      </c>
    </row>
    <row r="1605" ht="45" hidden="1" customHeight="1">
      <c r="A1605" s="69"/>
      <c r="B1605" s="3" t="s">
        <v>47</v>
      </c>
      <c r="C1605" s="4" t="s">
        <v>4545</v>
      </c>
      <c r="D1605" s="5" t="s">
        <v>4546</v>
      </c>
      <c r="E1605" s="2" t="s">
        <v>48</v>
      </c>
      <c r="F1605" s="6" t="s">
        <v>564</v>
      </c>
      <c r="G1605" s="5" t="s">
        <v>4547</v>
      </c>
      <c r="H1605" s="2" t="s">
        <v>491</v>
      </c>
      <c r="I1605" s="3" t="s">
        <v>4548</v>
      </c>
      <c r="J1605" s="7">
        <v>1</v>
      </c>
      <c r="L1605" s="9">
        <v>1</v>
      </c>
      <c r="M1605" s="3">
        <v>1314</v>
      </c>
      <c r="N1605" s="6">
        <v>1990</v>
      </c>
      <c r="P1605" s="71"/>
      <c r="R1605" s="6">
        <v>1990</v>
      </c>
      <c r="S1605" s="3" t="s">
        <v>236</v>
      </c>
      <c r="T1605" s="72" t="s">
        <v>1136</v>
      </c>
      <c r="W1605" s="2" t="s">
        <v>62</v>
      </c>
      <c r="X1605" s="10" t="s">
        <v>56</v>
      </c>
      <c r="Y1605" s="10" t="s">
        <v>523</v>
      </c>
      <c r="Z1605" s="75"/>
      <c r="AI1605" s="7"/>
      <c r="AJ1605" s="10">
        <v>44519</v>
      </c>
      <c r="AK1605" s="7">
        <v>2020</v>
      </c>
      <c r="AL1605" s="16" t="s">
        <v>4549</v>
      </c>
      <c r="AW1605" s="6">
        <f t="shared" ca="1" si="27"/>
        <v>35</v>
      </c>
    </row>
    <row r="1606" ht="45" hidden="1" customHeight="1">
      <c r="A1606" s="69"/>
      <c r="B1606" s="3" t="s">
        <v>47</v>
      </c>
      <c r="C1606" s="4" t="s">
        <v>1393</v>
      </c>
      <c r="E1606" s="2" t="s">
        <v>83</v>
      </c>
      <c r="F1606" s="6" t="s">
        <v>704</v>
      </c>
      <c r="G1606" s="5" t="s">
        <v>2623</v>
      </c>
      <c r="H1606" s="2" t="s">
        <v>257</v>
      </c>
      <c r="I1606" s="96" t="s">
        <v>4550</v>
      </c>
      <c r="J1606" s="7">
        <v>1</v>
      </c>
      <c r="L1606" s="9">
        <v>1</v>
      </c>
      <c r="M1606" s="3">
        <v>1315</v>
      </c>
      <c r="N1606" s="6">
        <v>1990</v>
      </c>
      <c r="P1606" s="71"/>
      <c r="R1606" s="6">
        <v>1990</v>
      </c>
      <c r="S1606" s="3" t="s">
        <v>236</v>
      </c>
      <c r="T1606" s="72"/>
      <c r="U1606" s="73"/>
      <c r="W1606" s="2" t="s">
        <v>62</v>
      </c>
      <c r="X1606" s="10" t="s">
        <v>56</v>
      </c>
      <c r="Y1606" s="10" t="s">
        <v>68</v>
      </c>
      <c r="Z1606" s="75" t="s">
        <v>260</v>
      </c>
      <c r="AI1606" s="7"/>
      <c r="AJ1606" s="95">
        <v>36283</v>
      </c>
      <c r="AK1606" s="7">
        <v>1990</v>
      </c>
      <c r="AL1606" s="16"/>
      <c r="AW1606" s="6">
        <f t="shared" ca="1" si="27"/>
        <v>35</v>
      </c>
    </row>
    <row r="1607" ht="45" hidden="1" customHeight="1" outlineLevel="1">
      <c r="A1607" s="69">
        <v>43816</v>
      </c>
      <c r="B1607" s="3" t="s">
        <v>190</v>
      </c>
      <c r="C1607" s="4" t="s">
        <v>4551</v>
      </c>
      <c r="D1607" s="5" t="s">
        <v>4552</v>
      </c>
      <c r="E1607" s="2" t="s">
        <v>694</v>
      </c>
      <c r="F1607" s="6" t="s">
        <v>695</v>
      </c>
      <c r="G1607" s="5" t="s">
        <v>696</v>
      </c>
      <c r="H1607" s="2" t="s">
        <v>508</v>
      </c>
      <c r="I1607" s="3" t="s">
        <v>4553</v>
      </c>
      <c r="J1607" s="7">
        <v>1</v>
      </c>
      <c r="L1607" s="9">
        <v>1</v>
      </c>
      <c r="M1607" s="3">
        <v>1316</v>
      </c>
      <c r="N1607" s="6">
        <v>1990</v>
      </c>
      <c r="P1607" s="71"/>
      <c r="R1607" s="6">
        <v>1990</v>
      </c>
      <c r="S1607" s="3" t="s">
        <v>283</v>
      </c>
      <c r="T1607" s="72" t="s">
        <v>998</v>
      </c>
      <c r="U1607" s="73"/>
      <c r="W1607" s="74" t="s">
        <v>62</v>
      </c>
      <c r="X1607" s="10" t="s">
        <v>504</v>
      </c>
      <c r="Y1607" s="10" t="s">
        <v>511</v>
      </c>
      <c r="Z1607" s="75"/>
      <c r="AI1607" s="7"/>
      <c r="AJ1607" s="73"/>
      <c r="AK1607" s="7"/>
      <c r="AL1607" s="16"/>
      <c r="AW1607" s="6">
        <f t="shared" ca="1" si="27"/>
        <v>35</v>
      </c>
    </row>
    <row r="1608" ht="45" hidden="1" customHeight="1">
      <c r="A1608" s="69"/>
      <c r="B1608" s="3" t="s">
        <v>47</v>
      </c>
      <c r="C1608" s="4" t="s">
        <v>4554</v>
      </c>
      <c r="D1608" s="5" t="s">
        <v>4555</v>
      </c>
      <c r="E1608" s="2" t="s">
        <v>63</v>
      </c>
      <c r="F1608" s="6" t="s">
        <v>428</v>
      </c>
      <c r="G1608" s="5" t="s">
        <v>429</v>
      </c>
      <c r="H1608" s="2" t="s">
        <v>508</v>
      </c>
      <c r="I1608" s="3" t="s">
        <v>4556</v>
      </c>
      <c r="J1608" s="7">
        <v>1</v>
      </c>
      <c r="L1608" s="9">
        <v>1</v>
      </c>
      <c r="M1608" s="3">
        <v>1317</v>
      </c>
      <c r="N1608" s="6">
        <v>1990</v>
      </c>
      <c r="P1608" s="71"/>
      <c r="R1608" s="6">
        <v>1990</v>
      </c>
      <c r="S1608" s="3" t="s">
        <v>236</v>
      </c>
      <c r="T1608" s="72"/>
      <c r="U1608" s="73"/>
      <c r="W1608" s="2" t="s">
        <v>62</v>
      </c>
      <c r="X1608" s="10" t="s">
        <v>504</v>
      </c>
      <c r="Y1608" s="10" t="s">
        <v>511</v>
      </c>
      <c r="Z1608" s="75"/>
      <c r="AI1608" s="7"/>
      <c r="AJ1608" s="10">
        <v>40905</v>
      </c>
      <c r="AK1608" s="7">
        <v>2010</v>
      </c>
      <c r="AL1608" s="16"/>
      <c r="AW1608" s="6">
        <f t="shared" ca="1" si="27"/>
        <v>35</v>
      </c>
    </row>
    <row r="1609" ht="45" hidden="1" customHeight="1" outlineLevel="1">
      <c r="A1609" s="69"/>
      <c r="B1609" s="3" t="s">
        <v>47</v>
      </c>
      <c r="C1609" s="144" t="s">
        <v>4557</v>
      </c>
      <c r="D1609" s="5" t="s">
        <v>4558</v>
      </c>
      <c r="E1609" s="2" t="s">
        <v>83</v>
      </c>
      <c r="F1609" s="6" t="s">
        <v>179</v>
      </c>
      <c r="G1609" s="5" t="s">
        <v>2553</v>
      </c>
      <c r="H1609" s="2" t="s">
        <v>57</v>
      </c>
      <c r="I1609" s="3" t="s">
        <v>4559</v>
      </c>
      <c r="J1609" s="7">
        <v>1</v>
      </c>
      <c r="L1609" s="9">
        <v>1</v>
      </c>
      <c r="M1609" s="3">
        <v>1318</v>
      </c>
      <c r="N1609" s="6">
        <v>1990</v>
      </c>
      <c r="P1609" s="71"/>
      <c r="R1609" s="6">
        <v>1990</v>
      </c>
      <c r="S1609" s="3" t="s">
        <v>236</v>
      </c>
      <c r="T1609" s="72"/>
      <c r="U1609" s="10">
        <v>44022</v>
      </c>
      <c r="W1609" s="2" t="s">
        <v>62</v>
      </c>
      <c r="X1609" s="10" t="s">
        <v>56</v>
      </c>
      <c r="Y1609" s="10" t="s">
        <v>57</v>
      </c>
      <c r="Z1609" s="75"/>
      <c r="AI1609" s="7"/>
      <c r="AJ1609" s="10">
        <v>44022</v>
      </c>
      <c r="AK1609" s="7">
        <v>2020</v>
      </c>
      <c r="AL1609" s="16"/>
      <c r="AW1609" s="6">
        <f t="shared" ca="1" si="27"/>
        <v>35</v>
      </c>
    </row>
    <row r="1610" ht="45" customHeight="1">
      <c r="A1610" s="69">
        <v>44152</v>
      </c>
      <c r="B1610" s="3" t="s">
        <v>47</v>
      </c>
      <c r="C1610" s="4" t="s">
        <v>4560</v>
      </c>
      <c r="D1610" s="5" t="s">
        <v>4561</v>
      </c>
      <c r="E1610" s="2" t="s">
        <v>83</v>
      </c>
      <c r="F1610" s="6" t="s">
        <v>84</v>
      </c>
      <c r="G1610" s="5" t="s">
        <v>85</v>
      </c>
      <c r="H1610" s="2" t="s">
        <v>382</v>
      </c>
      <c r="I1610" s="3" t="s">
        <v>4562</v>
      </c>
      <c r="J1610" s="7">
        <v>1</v>
      </c>
      <c r="K1610" s="8" t="s">
        <v>53</v>
      </c>
      <c r="L1610" s="9">
        <v>1</v>
      </c>
      <c r="M1610" s="3">
        <v>1319</v>
      </c>
      <c r="N1610" s="6">
        <v>1991</v>
      </c>
      <c r="P1610" s="71"/>
      <c r="R1610" s="6">
        <v>1990</v>
      </c>
      <c r="S1610" s="3" t="s">
        <v>4496</v>
      </c>
      <c r="T1610" s="72" t="s">
        <v>998</v>
      </c>
      <c r="U1610" s="73"/>
      <c r="V1610" s="12">
        <v>41024</v>
      </c>
      <c r="W1610" s="2" t="s">
        <v>4563</v>
      </c>
      <c r="X1610" s="10" t="s">
        <v>91</v>
      </c>
      <c r="Y1610" s="10" t="s">
        <v>385</v>
      </c>
      <c r="Z1610" s="75"/>
      <c r="AB1610" s="14">
        <v>44749</v>
      </c>
      <c r="AE1610" s="7">
        <v>2021</v>
      </c>
      <c r="AF1610" s="7">
        <v>98</v>
      </c>
      <c r="AI1610" s="7"/>
      <c r="AJ1610" s="73"/>
      <c r="AK1610" s="7"/>
      <c r="AL1610" s="16" t="s">
        <v>4564</v>
      </c>
      <c r="AM1610" s="2" t="s">
        <v>59</v>
      </c>
      <c r="AO1610" s="6" t="s">
        <v>59</v>
      </c>
      <c r="AW1610" s="6">
        <f t="shared" ca="1" si="27"/>
        <v>34</v>
      </c>
    </row>
    <row r="1611" ht="45" customHeight="1">
      <c r="A1611" s="69">
        <v>41831</v>
      </c>
      <c r="B1611" s="3" t="s">
        <v>47</v>
      </c>
      <c r="C1611" s="4" t="s">
        <v>4565</v>
      </c>
      <c r="D1611" s="5" t="s">
        <v>4561</v>
      </c>
      <c r="E1611" s="2" t="s">
        <v>694</v>
      </c>
      <c r="F1611" s="6" t="s">
        <v>695</v>
      </c>
      <c r="G1611" s="5" t="s">
        <v>696</v>
      </c>
      <c r="H1611" s="2" t="s">
        <v>382</v>
      </c>
      <c r="I1611" s="3" t="s">
        <v>4562</v>
      </c>
      <c r="J1611" s="7">
        <v>1</v>
      </c>
      <c r="K1611" s="8" t="s">
        <v>53</v>
      </c>
      <c r="L1611" s="9">
        <v>1</v>
      </c>
      <c r="M1611" s="3">
        <v>1319</v>
      </c>
      <c r="N1611" s="6">
        <v>1991</v>
      </c>
      <c r="P1611" s="71"/>
      <c r="R1611" s="6">
        <v>1990</v>
      </c>
      <c r="S1611" s="3" t="s">
        <v>54</v>
      </c>
      <c r="T1611" s="72"/>
      <c r="U1611" s="73"/>
      <c r="V1611" s="12">
        <v>41024</v>
      </c>
      <c r="W1611" s="2" t="s">
        <v>4566</v>
      </c>
      <c r="X1611" s="10" t="s">
        <v>91</v>
      </c>
      <c r="Y1611" s="10" t="s">
        <v>385</v>
      </c>
      <c r="Z1611" s="75"/>
      <c r="AB1611" s="14">
        <v>44749</v>
      </c>
      <c r="AI1611" s="7"/>
      <c r="AJ1611" s="73"/>
      <c r="AK1611" s="7"/>
      <c r="AL1611" s="16"/>
      <c r="AM1611" s="2" t="s">
        <v>59</v>
      </c>
      <c r="AO1611" s="6" t="s">
        <v>59</v>
      </c>
      <c r="AW1611" s="6">
        <f t="shared" ca="1" si="27"/>
        <v>34</v>
      </c>
    </row>
    <row r="1612" ht="45" customHeight="1" outlineLevel="1">
      <c r="A1612" s="69"/>
      <c r="B1612" s="3" t="s">
        <v>47</v>
      </c>
      <c r="E1612" s="2" t="s">
        <v>83</v>
      </c>
      <c r="F1612" s="6" t="s">
        <v>84</v>
      </c>
      <c r="G1612" s="5" t="s">
        <v>85</v>
      </c>
      <c r="H1612" s="2" t="s">
        <v>57</v>
      </c>
      <c r="I1612" s="3" t="s">
        <v>4567</v>
      </c>
      <c r="J1612" s="7">
        <v>1</v>
      </c>
      <c r="K1612" s="70" t="s">
        <v>53</v>
      </c>
      <c r="L1612" s="9">
        <v>1</v>
      </c>
      <c r="M1612" s="3">
        <v>1320</v>
      </c>
      <c r="N1612" s="6">
        <v>1992</v>
      </c>
      <c r="P1612" s="71"/>
      <c r="R1612" s="6">
        <v>1990</v>
      </c>
      <c r="S1612" s="3" t="s">
        <v>54</v>
      </c>
      <c r="T1612" s="72"/>
      <c r="U1612" s="73"/>
      <c r="W1612" s="2" t="s">
        <v>4568</v>
      </c>
      <c r="X1612" s="10" t="s">
        <v>56</v>
      </c>
      <c r="Y1612" s="10" t="s">
        <v>57</v>
      </c>
      <c r="Z1612" s="75"/>
      <c r="AA1612" s="76"/>
      <c r="AB1612" s="77">
        <v>34038</v>
      </c>
      <c r="AC1612" s="77">
        <v>34137</v>
      </c>
      <c r="AD1612" s="10"/>
      <c r="AE1612" s="7">
        <v>1992</v>
      </c>
      <c r="AF1612" s="7">
        <v>2</v>
      </c>
      <c r="AG1612" s="7">
        <v>1993</v>
      </c>
      <c r="AH1612" s="7">
        <v>1990</v>
      </c>
      <c r="AI1612" s="7"/>
      <c r="AJ1612" s="73"/>
      <c r="AK1612" s="7"/>
      <c r="AL1612" s="16"/>
      <c r="AM1612" s="2" t="s">
        <v>59</v>
      </c>
      <c r="AW1612" s="6">
        <f t="shared" ca="1" si="27"/>
        <v>33</v>
      </c>
    </row>
    <row r="1613" ht="45" hidden="1" customHeight="1">
      <c r="A1613" s="69">
        <v>45460</v>
      </c>
      <c r="B1613" s="3" t="s">
        <v>1926</v>
      </c>
      <c r="C1613" s="97" t="s">
        <v>4569</v>
      </c>
      <c r="D1613" s="5" t="s">
        <v>4570</v>
      </c>
      <c r="E1613" s="2" t="s">
        <v>83</v>
      </c>
      <c r="F1613" s="6" t="s">
        <v>84</v>
      </c>
      <c r="G1613" s="5" t="s">
        <v>85</v>
      </c>
      <c r="H1613" s="2" t="s">
        <v>57</v>
      </c>
      <c r="I1613" s="3" t="s">
        <v>4571</v>
      </c>
      <c r="J1613" s="7">
        <v>1</v>
      </c>
      <c r="K1613" s="70"/>
      <c r="L1613" s="9">
        <v>1</v>
      </c>
      <c r="M1613" s="3">
        <v>1321</v>
      </c>
      <c r="N1613" s="6">
        <v>1991</v>
      </c>
      <c r="O1613" s="10">
        <v>42214</v>
      </c>
      <c r="P1613" s="71" t="s">
        <v>4572</v>
      </c>
      <c r="R1613" s="6">
        <v>1990</v>
      </c>
      <c r="S1613" s="3" t="s">
        <v>283</v>
      </c>
      <c r="T1613" s="72" t="s">
        <v>1136</v>
      </c>
      <c r="U1613" s="73"/>
      <c r="W1613" s="74" t="s">
        <v>62</v>
      </c>
      <c r="X1613" s="10" t="s">
        <v>56</v>
      </c>
      <c r="Y1613" s="10" t="s">
        <v>57</v>
      </c>
      <c r="Z1613" s="75" t="s">
        <v>4498</v>
      </c>
      <c r="AA1613" s="76"/>
      <c r="AB1613" s="77"/>
      <c r="AC1613" s="77"/>
      <c r="AD1613" s="10"/>
      <c r="AI1613" s="7"/>
      <c r="AJ1613" s="73"/>
      <c r="AK1613" s="7"/>
      <c r="AL1613" s="16"/>
      <c r="AW1613" s="6">
        <f t="shared" ca="1" si="27"/>
        <v>34</v>
      </c>
    </row>
    <row r="1614" ht="45" customHeight="1" outlineLevel="1">
      <c r="A1614" s="69"/>
      <c r="B1614" s="3" t="s">
        <v>47</v>
      </c>
      <c r="C1614" s="4" t="s">
        <v>4573</v>
      </c>
      <c r="E1614" s="2" t="s">
        <v>63</v>
      </c>
      <c r="F1614" s="6" t="s">
        <v>898</v>
      </c>
      <c r="G1614" s="5" t="s">
        <v>4574</v>
      </c>
      <c r="H1614" s="2" t="s">
        <v>977</v>
      </c>
      <c r="I1614" s="3" t="s">
        <v>4575</v>
      </c>
      <c r="J1614" s="7">
        <v>1</v>
      </c>
      <c r="K1614" s="70" t="s">
        <v>53</v>
      </c>
      <c r="L1614" s="9">
        <v>1</v>
      </c>
      <c r="M1614" s="3">
        <v>1322</v>
      </c>
      <c r="N1614" s="6">
        <v>1992</v>
      </c>
      <c r="P1614" s="71"/>
      <c r="R1614" s="6">
        <v>1990</v>
      </c>
      <c r="S1614" s="3" t="s">
        <v>54</v>
      </c>
      <c r="T1614" s="72"/>
      <c r="U1614" s="73"/>
      <c r="W1614" s="2" t="s">
        <v>4576</v>
      </c>
      <c r="X1614" s="10" t="s">
        <v>213</v>
      </c>
      <c r="Y1614" s="10" t="s">
        <v>980</v>
      </c>
      <c r="Z1614" s="75"/>
      <c r="AA1614" s="76">
        <v>34240</v>
      </c>
      <c r="AB1614" s="77"/>
      <c r="AC1614" s="77"/>
      <c r="AD1614" s="10"/>
      <c r="AE1614" s="7">
        <v>1992</v>
      </c>
      <c r="AF1614" s="7">
        <v>2</v>
      </c>
      <c r="AG1614" s="7">
        <v>1993</v>
      </c>
      <c r="AH1614" s="7">
        <v>1990</v>
      </c>
      <c r="AI1614" s="7"/>
      <c r="AJ1614" s="73"/>
      <c r="AK1614" s="7"/>
      <c r="AL1614" s="16"/>
      <c r="AU1614" s="16" t="s">
        <v>4577</v>
      </c>
      <c r="AW1614" s="6">
        <f t="shared" ca="1" si="27"/>
        <v>33</v>
      </c>
    </row>
    <row r="1615" ht="45" hidden="1" customHeight="1">
      <c r="A1615" s="69"/>
      <c r="B1615" s="3" t="s">
        <v>47</v>
      </c>
      <c r="C1615" s="4" t="s">
        <v>4578</v>
      </c>
      <c r="D1615" s="5" t="s">
        <v>4579</v>
      </c>
      <c r="E1615" s="2" t="s">
        <v>1074</v>
      </c>
      <c r="F1615" s="6" t="s">
        <v>2092</v>
      </c>
      <c r="G1615" s="5" t="s">
        <v>4580</v>
      </c>
      <c r="H1615" s="2" t="s">
        <v>977</v>
      </c>
      <c r="I1615" s="3" t="s">
        <v>4581</v>
      </c>
      <c r="J1615" s="7">
        <v>1</v>
      </c>
      <c r="K1615" s="70"/>
      <c r="L1615" s="9">
        <v>1</v>
      </c>
      <c r="M1615" s="3">
        <v>1323</v>
      </c>
      <c r="N1615" s="6">
        <v>1992</v>
      </c>
      <c r="P1615" s="71"/>
      <c r="R1615" s="6">
        <v>1990</v>
      </c>
      <c r="S1615" s="3" t="s">
        <v>236</v>
      </c>
      <c r="T1615" s="72"/>
      <c r="W1615" s="2" t="s">
        <v>62</v>
      </c>
      <c r="X1615" s="10"/>
      <c r="Y1615" s="10"/>
      <c r="Z1615" s="75"/>
      <c r="AA1615" s="76"/>
      <c r="AB1615" s="6"/>
      <c r="AC1615" s="6"/>
      <c r="AD1615" s="6"/>
      <c r="AI1615" s="7"/>
      <c r="AJ1615" s="10">
        <v>44390</v>
      </c>
      <c r="AK1615" s="7">
        <v>2020</v>
      </c>
      <c r="AL1615" s="16"/>
      <c r="AW1615" s="6">
        <f t="shared" ca="1" si="27"/>
        <v>33</v>
      </c>
    </row>
    <row r="1616" ht="45" hidden="1" customHeight="1" outlineLevel="1">
      <c r="A1616" s="69">
        <v>44445</v>
      </c>
      <c r="B1616" s="3" t="s">
        <v>1926</v>
      </c>
      <c r="C1616" s="4" t="s">
        <v>4582</v>
      </c>
      <c r="D1616" s="5" t="s">
        <v>4583</v>
      </c>
      <c r="E1616" s="2" t="s">
        <v>694</v>
      </c>
      <c r="F1616" s="6" t="s">
        <v>695</v>
      </c>
      <c r="G1616" s="5" t="s">
        <v>696</v>
      </c>
      <c r="H1616" s="2" t="s">
        <v>51</v>
      </c>
      <c r="I1616" s="3" t="s">
        <v>4584</v>
      </c>
      <c r="J1616" s="7">
        <v>1</v>
      </c>
      <c r="K1616" s="70"/>
      <c r="L1616" s="9">
        <v>1</v>
      </c>
      <c r="M1616" s="3">
        <v>1324</v>
      </c>
      <c r="N1616" s="6">
        <v>1992</v>
      </c>
      <c r="P1616" s="71"/>
      <c r="R1616" s="6">
        <v>1990</v>
      </c>
      <c r="S1616" s="3" t="s">
        <v>283</v>
      </c>
      <c r="T1616" s="72" t="s">
        <v>998</v>
      </c>
      <c r="U1616" s="73"/>
      <c r="W1616" s="74" t="s">
        <v>62</v>
      </c>
      <c r="X1616" s="10" t="s">
        <v>56</v>
      </c>
      <c r="Y1616" s="10" t="s">
        <v>57</v>
      </c>
      <c r="Z1616" s="75" t="s">
        <v>58</v>
      </c>
      <c r="AA1616" s="76"/>
      <c r="AB1616" s="77"/>
      <c r="AC1616" s="77"/>
      <c r="AD1616" s="10"/>
      <c r="AI1616" s="7"/>
      <c r="AJ1616" s="73"/>
      <c r="AK1616" s="7"/>
      <c r="AL1616" s="16"/>
      <c r="AW1616" s="6">
        <f t="shared" ca="1" si="27"/>
        <v>33</v>
      </c>
    </row>
    <row r="1617" ht="45" customHeight="1" outlineLevel="1">
      <c r="A1617" s="69"/>
      <c r="B1617" s="3" t="s">
        <v>47</v>
      </c>
      <c r="C1617" s="4" t="s">
        <v>4585</v>
      </c>
      <c r="D1617" s="5" t="s">
        <v>4586</v>
      </c>
      <c r="E1617" s="2" t="s">
        <v>48</v>
      </c>
      <c r="F1617" s="6" t="s">
        <v>140</v>
      </c>
      <c r="G1617" s="5" t="s">
        <v>210</v>
      </c>
      <c r="H1617" s="2" t="s">
        <v>57</v>
      </c>
      <c r="I1617" s="96" t="s">
        <v>4587</v>
      </c>
      <c r="J1617" s="7">
        <v>1</v>
      </c>
      <c r="K1617" s="104" t="s">
        <v>53</v>
      </c>
      <c r="L1617" s="9">
        <v>1</v>
      </c>
      <c r="M1617" s="3">
        <v>1325</v>
      </c>
      <c r="N1617" s="6">
        <v>1993</v>
      </c>
      <c r="P1617" s="71"/>
      <c r="R1617" s="6">
        <v>1990</v>
      </c>
      <c r="S1617" s="3" t="s">
        <v>54</v>
      </c>
      <c r="T1617" s="72"/>
      <c r="U1617" s="73"/>
      <c r="V1617" s="196" t="s">
        <v>4588</v>
      </c>
      <c r="W1617" s="2" t="s">
        <v>4589</v>
      </c>
      <c r="X1617" s="10" t="s">
        <v>56</v>
      </c>
      <c r="Y1617" s="10" t="s">
        <v>57</v>
      </c>
      <c r="Z1617" s="75"/>
      <c r="AA1617" s="76"/>
      <c r="AB1617" s="77">
        <v>43990</v>
      </c>
      <c r="AC1617" s="77"/>
      <c r="AD1617" s="6"/>
      <c r="AH1617" s="7">
        <v>2020</v>
      </c>
      <c r="AI1617" s="7"/>
      <c r="AJ1617" s="192"/>
      <c r="AK1617" s="7"/>
      <c r="AL1617" s="16" t="s">
        <v>4590</v>
      </c>
      <c r="AW1617" s="6">
        <f t="shared" ca="1" si="27"/>
        <v>32</v>
      </c>
    </row>
    <row r="1618" ht="45" hidden="1" customHeight="1">
      <c r="A1618" s="69"/>
      <c r="B1618" s="3" t="s">
        <v>47</v>
      </c>
      <c r="C1618" s="4" t="s">
        <v>4591</v>
      </c>
      <c r="E1618" s="2" t="s">
        <v>83</v>
      </c>
      <c r="F1618" s="6" t="s">
        <v>179</v>
      </c>
      <c r="G1618" s="5" t="s">
        <v>4592</v>
      </c>
      <c r="H1618" s="2" t="s">
        <v>51</v>
      </c>
      <c r="I1618" s="3" t="s">
        <v>4593</v>
      </c>
      <c r="J1618" s="7">
        <v>1</v>
      </c>
      <c r="K1618" s="104"/>
      <c r="L1618" s="9">
        <v>1</v>
      </c>
      <c r="M1618" s="3">
        <v>1326</v>
      </c>
      <c r="N1618" s="6">
        <v>1993</v>
      </c>
      <c r="P1618" s="71"/>
      <c r="R1618" s="6">
        <v>1990</v>
      </c>
      <c r="S1618" s="3" t="s">
        <v>236</v>
      </c>
      <c r="T1618" s="72"/>
      <c r="U1618" s="73"/>
      <c r="W1618" s="2" t="s">
        <v>62</v>
      </c>
      <c r="X1618" s="10" t="s">
        <v>56</v>
      </c>
      <c r="Y1618" s="10" t="s">
        <v>57</v>
      </c>
      <c r="Z1618" s="75" t="s">
        <v>58</v>
      </c>
      <c r="AA1618" s="76"/>
      <c r="AB1618" s="77"/>
      <c r="AC1618" s="77"/>
      <c r="AD1618" s="6"/>
      <c r="AI1618" s="7"/>
      <c r="AJ1618" s="95">
        <v>34309</v>
      </c>
      <c r="AK1618" s="7">
        <v>1990</v>
      </c>
      <c r="AL1618" s="16"/>
      <c r="AW1618" s="6">
        <f t="shared" ca="1" si="27"/>
        <v>32</v>
      </c>
    </row>
    <row r="1619" ht="45" customHeight="1">
      <c r="A1619" s="69"/>
      <c r="B1619" s="3" t="s">
        <v>47</v>
      </c>
      <c r="E1619" s="2" t="s">
        <v>83</v>
      </c>
      <c r="F1619" s="6" t="s">
        <v>179</v>
      </c>
      <c r="G1619" s="5" t="s">
        <v>921</v>
      </c>
      <c r="H1619" s="2" t="s">
        <v>57</v>
      </c>
      <c r="I1619" s="3" t="s">
        <v>4594</v>
      </c>
      <c r="J1619" s="7">
        <v>1</v>
      </c>
      <c r="K1619" s="70" t="s">
        <v>53</v>
      </c>
      <c r="L1619" s="9">
        <v>1</v>
      </c>
      <c r="M1619" s="3">
        <v>1327</v>
      </c>
      <c r="N1619" s="6">
        <v>1993</v>
      </c>
      <c r="P1619" s="71"/>
      <c r="R1619" s="6">
        <v>1990</v>
      </c>
      <c r="S1619" s="3" t="s">
        <v>54</v>
      </c>
      <c r="T1619" s="72"/>
      <c r="U1619" s="73"/>
      <c r="W1619" s="2" t="s">
        <v>4595</v>
      </c>
      <c r="X1619" s="10" t="s">
        <v>56</v>
      </c>
      <c r="Y1619" s="10" t="s">
        <v>57</v>
      </c>
      <c r="Z1619" s="75"/>
      <c r="AA1619" s="76"/>
      <c r="AB1619" s="77">
        <v>34498</v>
      </c>
      <c r="AC1619" s="77"/>
      <c r="AD1619" s="6"/>
      <c r="AE1619" s="7">
        <v>1994</v>
      </c>
      <c r="AF1619" s="7">
        <v>6</v>
      </c>
      <c r="AG1619" s="7">
        <v>1994</v>
      </c>
      <c r="AH1619" s="7">
        <v>1990</v>
      </c>
      <c r="AI1619" s="7"/>
      <c r="AJ1619" s="73"/>
      <c r="AK1619" s="7"/>
      <c r="AL1619" s="16"/>
      <c r="AM1619" s="2" t="s">
        <v>59</v>
      </c>
      <c r="AW1619" s="6">
        <f t="shared" ca="1" si="27"/>
        <v>32</v>
      </c>
    </row>
    <row r="1620" ht="45" hidden="1" customHeight="1">
      <c r="A1620" s="69"/>
      <c r="B1620" s="3" t="s">
        <v>47</v>
      </c>
      <c r="C1620" s="4" t="s">
        <v>4596</v>
      </c>
      <c r="E1620" s="2" t="s">
        <v>83</v>
      </c>
      <c r="F1620" s="6" t="s">
        <v>179</v>
      </c>
      <c r="G1620" s="5" t="s">
        <v>4597</v>
      </c>
      <c r="H1620" s="2" t="s">
        <v>57</v>
      </c>
      <c r="I1620" s="3" t="s">
        <v>4598</v>
      </c>
      <c r="J1620" s="7">
        <v>1</v>
      </c>
      <c r="L1620" s="9">
        <v>1</v>
      </c>
      <c r="M1620" s="3">
        <v>1328</v>
      </c>
      <c r="N1620" s="6">
        <v>1993</v>
      </c>
      <c r="P1620" s="71"/>
      <c r="R1620" s="6">
        <v>1990</v>
      </c>
      <c r="S1620" s="3" t="s">
        <v>236</v>
      </c>
      <c r="T1620" s="72"/>
      <c r="U1620" s="73"/>
      <c r="W1620" s="2" t="s">
        <v>62</v>
      </c>
      <c r="X1620" s="10" t="s">
        <v>56</v>
      </c>
      <c r="Y1620" s="10" t="s">
        <v>57</v>
      </c>
      <c r="Z1620" s="75"/>
      <c r="AI1620" s="7"/>
      <c r="AJ1620" s="95">
        <v>35016</v>
      </c>
      <c r="AK1620" s="7">
        <v>1990</v>
      </c>
      <c r="AL1620" s="16"/>
      <c r="AW1620" s="6">
        <f t="shared" ca="1" si="27"/>
        <v>32</v>
      </c>
    </row>
    <row r="1621" ht="45" hidden="1" customHeight="1">
      <c r="A1621" s="69"/>
      <c r="B1621" s="3" t="s">
        <v>47</v>
      </c>
      <c r="C1621" s="4" t="s">
        <v>1393</v>
      </c>
      <c r="E1621" s="2" t="s">
        <v>1074</v>
      </c>
      <c r="F1621" s="6" t="s">
        <v>2154</v>
      </c>
      <c r="G1621" s="5" t="s">
        <v>2155</v>
      </c>
      <c r="H1621" s="2" t="s">
        <v>57</v>
      </c>
      <c r="I1621" s="96" t="s">
        <v>4599</v>
      </c>
      <c r="J1621" s="7">
        <v>1</v>
      </c>
      <c r="L1621" s="9">
        <v>1</v>
      </c>
      <c r="M1621" s="3">
        <v>1329</v>
      </c>
      <c r="N1621" s="6">
        <v>1983</v>
      </c>
      <c r="P1621" s="71"/>
      <c r="R1621" s="6">
        <v>1990</v>
      </c>
      <c r="S1621" s="3" t="s">
        <v>236</v>
      </c>
      <c r="T1621" s="72"/>
      <c r="U1621" s="73"/>
      <c r="W1621" s="2" t="s">
        <v>62</v>
      </c>
      <c r="X1621" s="10" t="s">
        <v>56</v>
      </c>
      <c r="Y1621" s="10" t="s">
        <v>57</v>
      </c>
      <c r="Z1621" s="75"/>
      <c r="AI1621" s="7"/>
      <c r="AJ1621" s="95">
        <v>36283</v>
      </c>
      <c r="AK1621" s="7">
        <v>1990</v>
      </c>
      <c r="AL1621" s="16"/>
      <c r="AW1621" s="6">
        <f t="shared" ca="1" si="27"/>
        <v>42</v>
      </c>
    </row>
    <row r="1622" ht="45" hidden="1" customHeight="1">
      <c r="A1622" s="69"/>
      <c r="B1622" s="3" t="s">
        <v>47</v>
      </c>
      <c r="C1622" s="4" t="s">
        <v>4600</v>
      </c>
      <c r="D1622" s="5" t="s">
        <v>4601</v>
      </c>
      <c r="E1622" s="2" t="s">
        <v>63</v>
      </c>
      <c r="F1622" s="6" t="s">
        <v>428</v>
      </c>
      <c r="G1622" s="5" t="s">
        <v>4602</v>
      </c>
      <c r="H1622" s="2" t="s">
        <v>508</v>
      </c>
      <c r="I1622" s="3" t="s">
        <v>4603</v>
      </c>
      <c r="J1622" s="7">
        <v>1</v>
      </c>
      <c r="L1622" s="9">
        <v>1</v>
      </c>
      <c r="M1622" s="3">
        <v>1330</v>
      </c>
      <c r="N1622" s="6">
        <v>1993</v>
      </c>
      <c r="P1622" s="71"/>
      <c r="R1622" s="6">
        <v>1990</v>
      </c>
      <c r="S1622" s="3" t="s">
        <v>236</v>
      </c>
      <c r="T1622" s="72" t="s">
        <v>1136</v>
      </c>
      <c r="W1622" s="2" t="s">
        <v>62</v>
      </c>
      <c r="X1622" s="10" t="s">
        <v>504</v>
      </c>
      <c r="Y1622" s="10" t="s">
        <v>511</v>
      </c>
      <c r="Z1622" s="75"/>
      <c r="AI1622" s="7"/>
      <c r="AJ1622" s="95">
        <v>44636</v>
      </c>
      <c r="AK1622" s="7">
        <v>2020</v>
      </c>
      <c r="AL1622" s="16"/>
      <c r="AW1622" s="6">
        <f t="shared" ca="1" si="27"/>
        <v>32</v>
      </c>
    </row>
    <row r="1623" ht="45" hidden="1" customHeight="1">
      <c r="A1623" s="69"/>
      <c r="B1623" s="3" t="s">
        <v>47</v>
      </c>
      <c r="C1623" s="4" t="s">
        <v>4604</v>
      </c>
      <c r="D1623" s="5" t="s">
        <v>4605</v>
      </c>
      <c r="E1623" s="2" t="s">
        <v>83</v>
      </c>
      <c r="F1623" s="6" t="s">
        <v>84</v>
      </c>
      <c r="G1623" s="5" t="s">
        <v>1707</v>
      </c>
      <c r="H1623" s="2" t="s">
        <v>57</v>
      </c>
      <c r="I1623" s="3" t="s">
        <v>4606</v>
      </c>
      <c r="J1623" s="7">
        <v>1</v>
      </c>
      <c r="L1623" s="9">
        <v>1</v>
      </c>
      <c r="M1623" s="3">
        <v>1331</v>
      </c>
      <c r="N1623" s="6">
        <v>1993</v>
      </c>
      <c r="O1623" s="10">
        <v>34981</v>
      </c>
      <c r="P1623" s="71" t="s">
        <v>4607</v>
      </c>
      <c r="R1623" s="6">
        <v>1990</v>
      </c>
      <c r="S1623" s="3" t="s">
        <v>236</v>
      </c>
      <c r="T1623" s="72" t="s">
        <v>1136</v>
      </c>
      <c r="W1623" s="2" t="s">
        <v>62</v>
      </c>
      <c r="X1623" s="10" t="s">
        <v>56</v>
      </c>
      <c r="Y1623" s="10" t="s">
        <v>57</v>
      </c>
      <c r="Z1623" s="75"/>
      <c r="AI1623" s="7"/>
      <c r="AJ1623" s="10">
        <v>45020</v>
      </c>
      <c r="AK1623" s="7">
        <v>2020</v>
      </c>
      <c r="AL1623" s="16" t="s">
        <v>4608</v>
      </c>
      <c r="AW1623" s="6">
        <f t="shared" ca="1" si="27"/>
        <v>32</v>
      </c>
    </row>
    <row r="1624" ht="45" hidden="1" customHeight="1">
      <c r="A1624" s="132"/>
      <c r="B1624" s="3" t="s">
        <v>47</v>
      </c>
      <c r="C1624" s="144"/>
      <c r="D1624" s="117" t="s">
        <v>4609</v>
      </c>
      <c r="E1624" s="2" t="s">
        <v>83</v>
      </c>
      <c r="F1624" s="6" t="s">
        <v>179</v>
      </c>
      <c r="G1624" s="5" t="s">
        <v>4610</v>
      </c>
      <c r="H1624" s="2" t="s">
        <v>57</v>
      </c>
      <c r="I1624" s="3" t="s">
        <v>4611</v>
      </c>
      <c r="J1624" s="7">
        <v>1</v>
      </c>
      <c r="K1624" s="163"/>
      <c r="L1624" s="9">
        <v>1</v>
      </c>
      <c r="M1624" s="3">
        <v>1332</v>
      </c>
      <c r="N1624" s="6">
        <v>1993</v>
      </c>
      <c r="P1624" s="71"/>
      <c r="R1624" s="6">
        <v>1990</v>
      </c>
      <c r="S1624" s="3" t="s">
        <v>236</v>
      </c>
      <c r="T1624" s="72"/>
      <c r="U1624" s="73"/>
      <c r="W1624" s="2" t="s">
        <v>62</v>
      </c>
      <c r="X1624" s="10" t="s">
        <v>56</v>
      </c>
      <c r="Y1624" s="10" t="s">
        <v>57</v>
      </c>
      <c r="Z1624" s="75"/>
      <c r="AA1624" s="164"/>
      <c r="AB1624" s="165"/>
      <c r="AC1624" s="165"/>
      <c r="AD1624" s="165"/>
      <c r="AE1624" s="139"/>
      <c r="AG1624" s="139"/>
      <c r="AH1624" s="139"/>
      <c r="AI1624" s="139"/>
      <c r="AJ1624" s="136"/>
      <c r="AK1624" s="139"/>
      <c r="AL1624" s="16"/>
      <c r="AO1624" s="141"/>
      <c r="AP1624" s="141"/>
      <c r="AQ1624" s="117"/>
      <c r="AR1624" s="142"/>
      <c r="AS1624" s="141"/>
      <c r="AT1624" s="141"/>
      <c r="AU1624" s="140"/>
      <c r="AV1624" s="143"/>
      <c r="AW1624" s="6">
        <f t="shared" ca="1" si="27"/>
        <v>32</v>
      </c>
    </row>
    <row r="1625" ht="45" hidden="1" customHeight="1" outlineLevel="1">
      <c r="A1625" s="69"/>
      <c r="B1625" s="3" t="s">
        <v>47</v>
      </c>
      <c r="C1625" s="4" t="s">
        <v>2600</v>
      </c>
      <c r="E1625" s="2" t="s">
        <v>63</v>
      </c>
      <c r="F1625" s="6" t="s">
        <v>172</v>
      </c>
      <c r="G1625" s="5" t="s">
        <v>173</v>
      </c>
      <c r="H1625" s="2" t="s">
        <v>57</v>
      </c>
      <c r="I1625" s="96" t="s">
        <v>4612</v>
      </c>
      <c r="J1625" s="7">
        <v>1</v>
      </c>
      <c r="K1625" s="104"/>
      <c r="L1625" s="9">
        <v>1</v>
      </c>
      <c r="M1625" s="3">
        <v>1333</v>
      </c>
      <c r="N1625" s="6">
        <v>1994</v>
      </c>
      <c r="P1625" s="71"/>
      <c r="R1625" s="6">
        <v>1990</v>
      </c>
      <c r="S1625" s="3" t="s">
        <v>236</v>
      </c>
      <c r="T1625" s="72"/>
      <c r="U1625" s="73"/>
      <c r="W1625" s="2" t="s">
        <v>62</v>
      </c>
      <c r="X1625" s="10" t="s">
        <v>56</v>
      </c>
      <c r="Y1625" s="10" t="s">
        <v>57</v>
      </c>
      <c r="Z1625" s="75"/>
      <c r="AA1625" s="76"/>
      <c r="AB1625" s="77"/>
      <c r="AC1625" s="77"/>
      <c r="AD1625" s="6"/>
      <c r="AI1625" s="7"/>
      <c r="AJ1625" s="95">
        <v>35643</v>
      </c>
      <c r="AK1625" s="7">
        <v>1990</v>
      </c>
      <c r="AL1625" s="16" t="s">
        <v>3354</v>
      </c>
      <c r="AW1625" s="6">
        <f t="shared" ca="1" si="27"/>
        <v>31</v>
      </c>
    </row>
    <row r="1626" ht="45" hidden="1" customHeight="1">
      <c r="A1626" s="69">
        <v>42706</v>
      </c>
      <c r="B1626" s="3" t="s">
        <v>47</v>
      </c>
      <c r="C1626" s="4" t="s">
        <v>4613</v>
      </c>
      <c r="D1626" s="5" t="s">
        <v>4614</v>
      </c>
      <c r="E1626" s="2" t="s">
        <v>694</v>
      </c>
      <c r="F1626" s="6" t="s">
        <v>695</v>
      </c>
      <c r="G1626" s="5" t="s">
        <v>696</v>
      </c>
      <c r="H1626" s="2" t="s">
        <v>88</v>
      </c>
      <c r="I1626" s="3" t="s">
        <v>4615</v>
      </c>
      <c r="J1626" s="7">
        <v>1</v>
      </c>
      <c r="K1626" s="104"/>
      <c r="L1626" s="9">
        <v>1</v>
      </c>
      <c r="M1626" s="3">
        <v>1334</v>
      </c>
      <c r="N1626" s="6">
        <v>1994</v>
      </c>
      <c r="P1626" s="71"/>
      <c r="R1626" s="6">
        <v>1990</v>
      </c>
      <c r="S1626" s="3" t="s">
        <v>236</v>
      </c>
      <c r="T1626" s="72" t="s">
        <v>1136</v>
      </c>
      <c r="W1626" s="2" t="s">
        <v>62</v>
      </c>
      <c r="X1626" s="10" t="s">
        <v>91</v>
      </c>
      <c r="Y1626" s="10" t="s">
        <v>214</v>
      </c>
      <c r="Z1626" s="75"/>
      <c r="AA1626" s="76"/>
      <c r="AB1626" s="77"/>
      <c r="AC1626" s="77"/>
      <c r="AD1626" s="6"/>
      <c r="AI1626" s="7"/>
      <c r="AJ1626" s="10">
        <v>44509</v>
      </c>
      <c r="AK1626" s="7">
        <v>2020</v>
      </c>
      <c r="AW1626" s="6">
        <f t="shared" ca="1" si="27"/>
        <v>31</v>
      </c>
    </row>
    <row r="1627" ht="45" hidden="1" customHeight="1">
      <c r="A1627" s="69"/>
      <c r="B1627" s="3" t="s">
        <v>47</v>
      </c>
      <c r="C1627" s="4" t="s">
        <v>4616</v>
      </c>
      <c r="D1627" s="5" t="s">
        <v>4617</v>
      </c>
      <c r="E1627" s="2" t="s">
        <v>63</v>
      </c>
      <c r="F1627" s="6" t="s">
        <v>428</v>
      </c>
      <c r="G1627" s="5" t="s">
        <v>4618</v>
      </c>
      <c r="H1627" s="2" t="s">
        <v>57</v>
      </c>
      <c r="I1627" s="3" t="s">
        <v>4619</v>
      </c>
      <c r="J1627" s="7">
        <v>1</v>
      </c>
      <c r="K1627" s="104"/>
      <c r="L1627" s="9">
        <v>1</v>
      </c>
      <c r="M1627" s="3">
        <v>1335</v>
      </c>
      <c r="N1627" s="6">
        <v>1994</v>
      </c>
      <c r="P1627" s="71"/>
      <c r="R1627" s="6">
        <v>1990</v>
      </c>
      <c r="S1627" s="3" t="s">
        <v>236</v>
      </c>
      <c r="T1627" s="72"/>
      <c r="U1627" s="73"/>
      <c r="W1627" s="2" t="s">
        <v>62</v>
      </c>
      <c r="X1627" s="10" t="s">
        <v>56</v>
      </c>
      <c r="Y1627" s="10" t="s">
        <v>57</v>
      </c>
      <c r="Z1627" s="75"/>
      <c r="AA1627" s="76"/>
      <c r="AB1627" s="77"/>
      <c r="AC1627" s="77"/>
      <c r="AD1627" s="6"/>
      <c r="AI1627" s="7"/>
      <c r="AK1627" s="7"/>
      <c r="AL1627" s="16"/>
      <c r="AW1627" s="6">
        <f t="shared" ca="1" si="27"/>
        <v>31</v>
      </c>
    </row>
    <row r="1628" ht="45" hidden="1" customHeight="1">
      <c r="A1628" s="69"/>
      <c r="B1628" s="3" t="s">
        <v>47</v>
      </c>
      <c r="C1628" s="4" t="s">
        <v>2140</v>
      </c>
      <c r="D1628" s="5" t="s">
        <v>4620</v>
      </c>
      <c r="E1628" s="2" t="s">
        <v>63</v>
      </c>
      <c r="F1628" s="6" t="s">
        <v>83</v>
      </c>
      <c r="G1628" s="5" t="s">
        <v>4163</v>
      </c>
      <c r="H1628" s="2" t="s">
        <v>57</v>
      </c>
      <c r="I1628" s="96" t="s">
        <v>4621</v>
      </c>
      <c r="J1628" s="7">
        <v>1</v>
      </c>
      <c r="K1628" s="104"/>
      <c r="L1628" s="9">
        <v>1</v>
      </c>
      <c r="M1628" s="3">
        <v>1336</v>
      </c>
      <c r="N1628" s="6">
        <v>1994</v>
      </c>
      <c r="P1628" s="71"/>
      <c r="R1628" s="6">
        <v>1990</v>
      </c>
      <c r="S1628" s="3" t="s">
        <v>236</v>
      </c>
      <c r="T1628" s="72"/>
      <c r="U1628" s="73"/>
      <c r="W1628" s="2" t="s">
        <v>62</v>
      </c>
      <c r="X1628" s="10" t="s">
        <v>56</v>
      </c>
      <c r="Y1628" s="10" t="s">
        <v>57</v>
      </c>
      <c r="Z1628" s="75"/>
      <c r="AA1628" s="76"/>
      <c r="AB1628" s="77"/>
      <c r="AC1628" s="77"/>
      <c r="AD1628" s="6"/>
      <c r="AI1628" s="7"/>
      <c r="AJ1628" s="95">
        <v>40323</v>
      </c>
      <c r="AK1628" s="7">
        <v>2010</v>
      </c>
      <c r="AL1628" s="16"/>
      <c r="AW1628" s="6">
        <f t="shared" ca="1" si="27"/>
        <v>31</v>
      </c>
    </row>
    <row r="1629" ht="45" hidden="1" customHeight="1">
      <c r="A1629" s="69"/>
      <c r="B1629" s="3" t="s">
        <v>47</v>
      </c>
      <c r="C1629" s="4" t="s">
        <v>4622</v>
      </c>
      <c r="D1629" s="5" t="s">
        <v>4623</v>
      </c>
      <c r="E1629" s="2" t="s">
        <v>63</v>
      </c>
      <c r="F1629" s="6" t="s">
        <v>172</v>
      </c>
      <c r="G1629" s="5" t="s">
        <v>2477</v>
      </c>
      <c r="H1629" s="2" t="s">
        <v>508</v>
      </c>
      <c r="I1629" s="3" t="s">
        <v>4624</v>
      </c>
      <c r="J1629" s="7">
        <v>1</v>
      </c>
      <c r="K1629" s="104"/>
      <c r="L1629" s="9">
        <v>1</v>
      </c>
      <c r="M1629" s="3">
        <v>1337</v>
      </c>
      <c r="N1629" s="6">
        <v>1994</v>
      </c>
      <c r="P1629" s="71"/>
      <c r="R1629" s="6">
        <v>1990</v>
      </c>
      <c r="S1629" s="3" t="s">
        <v>236</v>
      </c>
      <c r="T1629" s="72"/>
      <c r="U1629" s="73"/>
      <c r="W1629" s="2" t="s">
        <v>62</v>
      </c>
      <c r="X1629" s="10" t="s">
        <v>504</v>
      </c>
      <c r="Y1629" s="10" t="s">
        <v>511</v>
      </c>
      <c r="Z1629" s="75"/>
      <c r="AA1629" s="76"/>
      <c r="AB1629" s="77"/>
      <c r="AC1629" s="77"/>
      <c r="AD1629" s="6"/>
      <c r="AI1629" s="7"/>
      <c r="AK1629" s="7"/>
      <c r="AL1629" s="16"/>
      <c r="AW1629" s="6">
        <f t="shared" ca="1" si="27"/>
        <v>31</v>
      </c>
    </row>
    <row r="1630" ht="45" hidden="1" customHeight="1">
      <c r="A1630" s="69"/>
      <c r="B1630" s="3" t="s">
        <v>60</v>
      </c>
      <c r="I1630" s="3" t="s">
        <v>61</v>
      </c>
      <c r="J1630" s="7">
        <v>0</v>
      </c>
      <c r="K1630" s="104"/>
      <c r="L1630" s="9">
        <v>1</v>
      </c>
      <c r="M1630" s="3">
        <v>1338</v>
      </c>
      <c r="P1630" s="71"/>
      <c r="R1630" s="6" t="s">
        <v>60</v>
      </c>
      <c r="S1630" s="3" t="s">
        <v>60</v>
      </c>
      <c r="T1630" s="72"/>
      <c r="U1630" s="73"/>
      <c r="W1630" s="74" t="s">
        <v>62</v>
      </c>
      <c r="X1630" s="10"/>
      <c r="Y1630" s="10"/>
      <c r="Z1630" s="75"/>
      <c r="AA1630" s="76"/>
      <c r="AB1630" s="77"/>
      <c r="AC1630" s="77"/>
      <c r="AD1630" s="6"/>
      <c r="AI1630" s="7"/>
      <c r="AJ1630" s="73"/>
      <c r="AK1630" s="7"/>
      <c r="AL1630" s="16"/>
      <c r="AW1630" s="6" t="str">
        <f t="shared" ca="1" si="27"/>
        <v/>
      </c>
    </row>
    <row r="1631" ht="45" hidden="1" customHeight="1" outlineLevel="1">
      <c r="A1631" s="69">
        <v>40562</v>
      </c>
      <c r="B1631" s="3" t="s">
        <v>47</v>
      </c>
      <c r="C1631" s="4" t="s">
        <v>3704</v>
      </c>
      <c r="D1631" s="5" t="s">
        <v>4625</v>
      </c>
      <c r="G1631" s="5" t="s">
        <v>3818</v>
      </c>
      <c r="H1631" s="2" t="s">
        <v>508</v>
      </c>
      <c r="I1631" s="3" t="s">
        <v>4626</v>
      </c>
      <c r="J1631" s="7">
        <v>1</v>
      </c>
      <c r="K1631" s="104"/>
      <c r="L1631" s="9">
        <v>1</v>
      </c>
      <c r="M1631" s="3">
        <v>1339</v>
      </c>
      <c r="N1631" s="6">
        <v>1994</v>
      </c>
      <c r="P1631" s="71"/>
      <c r="R1631" s="6">
        <v>1990</v>
      </c>
      <c r="S1631" s="3" t="s">
        <v>236</v>
      </c>
      <c r="T1631" s="72" t="s">
        <v>1136</v>
      </c>
      <c r="W1631" s="2" t="s">
        <v>62</v>
      </c>
      <c r="X1631" s="10" t="s">
        <v>504</v>
      </c>
      <c r="Y1631" s="10" t="s">
        <v>511</v>
      </c>
      <c r="Z1631" s="75"/>
      <c r="AA1631" s="76"/>
      <c r="AB1631" s="77"/>
      <c r="AC1631" s="77"/>
      <c r="AD1631" s="6"/>
      <c r="AI1631" s="7"/>
      <c r="AJ1631" s="10">
        <v>44448</v>
      </c>
      <c r="AK1631" s="7">
        <v>2020</v>
      </c>
      <c r="AL1631" s="16"/>
      <c r="AW1631" s="6">
        <f t="shared" ca="1" si="27"/>
        <v>31</v>
      </c>
    </row>
    <row r="1632" ht="45" hidden="1" customHeight="1">
      <c r="A1632" s="69"/>
      <c r="B1632" s="3" t="s">
        <v>47</v>
      </c>
      <c r="C1632" s="4" t="s">
        <v>4627</v>
      </c>
      <c r="D1632" s="5" t="s">
        <v>4628</v>
      </c>
      <c r="E1632" s="2" t="s">
        <v>63</v>
      </c>
      <c r="F1632" s="6" t="s">
        <v>83</v>
      </c>
      <c r="G1632" s="5" t="s">
        <v>1190</v>
      </c>
      <c r="H1632" s="2" t="s">
        <v>3735</v>
      </c>
      <c r="I1632" s="3" t="s">
        <v>4629</v>
      </c>
      <c r="J1632" s="7">
        <v>1</v>
      </c>
      <c r="K1632" s="104"/>
      <c r="L1632" s="9">
        <v>1</v>
      </c>
      <c r="M1632" s="3">
        <v>1340</v>
      </c>
      <c r="N1632" s="6">
        <v>1994</v>
      </c>
      <c r="P1632" s="71"/>
      <c r="R1632" s="6">
        <v>1990</v>
      </c>
      <c r="S1632" s="3" t="s">
        <v>236</v>
      </c>
      <c r="T1632" s="72"/>
      <c r="U1632" s="73"/>
      <c r="W1632" s="2" t="s">
        <v>62</v>
      </c>
      <c r="X1632" s="10" t="s">
        <v>56</v>
      </c>
      <c r="Y1632" s="10" t="s">
        <v>68</v>
      </c>
      <c r="Z1632" s="75" t="s">
        <v>58</v>
      </c>
      <c r="AA1632" s="76"/>
      <c r="AB1632" s="77"/>
      <c r="AC1632" s="77"/>
      <c r="AD1632" s="6"/>
      <c r="AI1632" s="7"/>
      <c r="AJ1632" s="10">
        <v>42681</v>
      </c>
      <c r="AK1632" s="7">
        <v>2010</v>
      </c>
      <c r="AL1632" s="16"/>
      <c r="AW1632" s="6">
        <f t="shared" ca="1" si="27"/>
        <v>31</v>
      </c>
    </row>
    <row r="1633" ht="45" customHeight="1">
      <c r="A1633" s="69"/>
      <c r="B1633" s="3" t="s">
        <v>190</v>
      </c>
      <c r="C1633" s="4" t="s">
        <v>4630</v>
      </c>
      <c r="D1633" s="5" t="s">
        <v>4631</v>
      </c>
      <c r="E1633" s="2" t="s">
        <v>83</v>
      </c>
      <c r="F1633" s="6" t="s">
        <v>179</v>
      </c>
      <c r="G1633" s="5" t="s">
        <v>1343</v>
      </c>
      <c r="H1633" s="2" t="s">
        <v>68</v>
      </c>
      <c r="I1633" s="3" t="s">
        <v>4632</v>
      </c>
      <c r="J1633" s="7">
        <v>1</v>
      </c>
      <c r="K1633" s="70" t="s">
        <v>53</v>
      </c>
      <c r="L1633" s="9">
        <v>1</v>
      </c>
      <c r="M1633" s="3">
        <v>1341</v>
      </c>
      <c r="N1633" s="6">
        <v>1994</v>
      </c>
      <c r="P1633" s="71"/>
      <c r="R1633" s="6">
        <v>1990</v>
      </c>
      <c r="S1633" s="3" t="s">
        <v>54</v>
      </c>
      <c r="T1633" s="72"/>
      <c r="U1633" s="73"/>
      <c r="W1633" s="74" t="s">
        <v>4633</v>
      </c>
      <c r="X1633" s="10" t="s">
        <v>56</v>
      </c>
      <c r="Y1633" s="10" t="s">
        <v>68</v>
      </c>
      <c r="Z1633" s="75"/>
      <c r="AA1633" s="76">
        <v>35779</v>
      </c>
      <c r="AB1633" s="77">
        <v>35779</v>
      </c>
      <c r="AC1633" s="77">
        <v>35779</v>
      </c>
      <c r="AD1633" s="10"/>
      <c r="AE1633" s="7">
        <v>1996</v>
      </c>
      <c r="AF1633" s="7">
        <v>10</v>
      </c>
      <c r="AG1633" s="7">
        <v>1997</v>
      </c>
      <c r="AH1633" s="7">
        <v>1990</v>
      </c>
      <c r="AI1633" s="7"/>
      <c r="AJ1633" s="73"/>
      <c r="AK1633" s="7"/>
      <c r="AL1633" s="16" t="s">
        <v>4634</v>
      </c>
      <c r="AM1633" s="2" t="s">
        <v>53</v>
      </c>
      <c r="AO1633" s="6" t="s">
        <v>73</v>
      </c>
      <c r="AU1633" s="16" t="s">
        <v>4635</v>
      </c>
      <c r="AW1633" s="6">
        <f t="shared" ca="1" si="27"/>
        <v>31</v>
      </c>
    </row>
    <row r="1634" ht="45" customHeight="1">
      <c r="A1634" s="69"/>
      <c r="B1634" s="3" t="s">
        <v>47</v>
      </c>
      <c r="D1634" s="5" t="s">
        <v>4636</v>
      </c>
      <c r="E1634" s="2" t="s">
        <v>83</v>
      </c>
      <c r="F1634" s="6" t="s">
        <v>179</v>
      </c>
      <c r="G1634" s="5" t="s">
        <v>3283</v>
      </c>
      <c r="H1634" s="188" t="s">
        <v>288</v>
      </c>
      <c r="I1634" s="3" t="s">
        <v>4637</v>
      </c>
      <c r="J1634" s="7">
        <v>1</v>
      </c>
      <c r="K1634" s="70" t="s">
        <v>53</v>
      </c>
      <c r="L1634" s="9">
        <v>1</v>
      </c>
      <c r="M1634" s="3">
        <v>1342</v>
      </c>
      <c r="N1634" s="6">
        <v>1994</v>
      </c>
      <c r="P1634" s="71"/>
      <c r="R1634" s="6">
        <v>1990</v>
      </c>
      <c r="S1634" s="3" t="s">
        <v>54</v>
      </c>
      <c r="T1634" s="72"/>
      <c r="U1634" s="73"/>
      <c r="W1634" s="2" t="s">
        <v>4638</v>
      </c>
      <c r="X1634" s="10" t="s">
        <v>56</v>
      </c>
      <c r="Y1634" s="10" t="s">
        <v>288</v>
      </c>
      <c r="Z1634" s="75"/>
      <c r="AA1634" s="76">
        <v>37669</v>
      </c>
      <c r="AB1634" s="77">
        <v>37669</v>
      </c>
      <c r="AC1634" s="77">
        <v>37669</v>
      </c>
      <c r="AD1634" s="10"/>
      <c r="AE1634" s="7">
        <v>1994</v>
      </c>
      <c r="AF1634" s="7">
        <v>7</v>
      </c>
      <c r="AG1634" s="7">
        <v>2003</v>
      </c>
      <c r="AH1634" s="7">
        <v>2000</v>
      </c>
      <c r="AI1634" s="7"/>
      <c r="AJ1634" s="73"/>
      <c r="AK1634" s="7"/>
      <c r="AL1634" s="101" t="s">
        <v>4639</v>
      </c>
      <c r="AM1634" s="2" t="s">
        <v>53</v>
      </c>
      <c r="AO1634" s="6" t="s">
        <v>53</v>
      </c>
      <c r="AR1634" s="2" t="s">
        <v>104</v>
      </c>
      <c r="AU1634" s="16" t="s">
        <v>4640</v>
      </c>
      <c r="AW1634" s="6">
        <f t="shared" ca="1" si="27"/>
        <v>31</v>
      </c>
    </row>
    <row r="1635" ht="45" hidden="1" customHeight="1" outlineLevel="1">
      <c r="A1635" s="69"/>
      <c r="B1635" s="3" t="s">
        <v>47</v>
      </c>
      <c r="C1635" s="4" t="s">
        <v>4622</v>
      </c>
      <c r="D1635" s="5" t="s">
        <v>4641</v>
      </c>
      <c r="E1635" s="2" t="s">
        <v>63</v>
      </c>
      <c r="F1635" s="6" t="s">
        <v>172</v>
      </c>
      <c r="G1635" s="5" t="s">
        <v>791</v>
      </c>
      <c r="H1635" s="2" t="s">
        <v>181</v>
      </c>
      <c r="I1635" s="3" t="s">
        <v>4642</v>
      </c>
      <c r="J1635" s="7">
        <v>1</v>
      </c>
      <c r="K1635" s="70"/>
      <c r="L1635" s="9">
        <v>1</v>
      </c>
      <c r="M1635" s="3">
        <v>1343</v>
      </c>
      <c r="N1635" s="6">
        <v>1995</v>
      </c>
      <c r="O1635" s="10">
        <v>34701</v>
      </c>
      <c r="P1635" s="71" t="s">
        <v>4643</v>
      </c>
      <c r="R1635" s="6">
        <v>1990</v>
      </c>
      <c r="S1635" s="3" t="s">
        <v>236</v>
      </c>
      <c r="T1635" s="72"/>
      <c r="U1635" s="73"/>
      <c r="W1635" s="2" t="s">
        <v>62</v>
      </c>
      <c r="X1635" s="10" t="s">
        <v>56</v>
      </c>
      <c r="Y1635" s="10" t="s">
        <v>181</v>
      </c>
      <c r="Z1635" s="75"/>
      <c r="AA1635" s="76"/>
      <c r="AB1635" s="77"/>
      <c r="AC1635" s="77"/>
      <c r="AD1635" s="10"/>
      <c r="AI1635" s="7"/>
      <c r="AK1635" s="7"/>
      <c r="AL1635" s="16"/>
      <c r="AW1635" s="6">
        <f t="shared" ca="1" si="27"/>
        <v>30</v>
      </c>
    </row>
    <row r="1636" ht="45" hidden="1" customHeight="1">
      <c r="A1636" s="69">
        <v>45051</v>
      </c>
      <c r="B1636" s="3" t="s">
        <v>1926</v>
      </c>
      <c r="C1636" s="4" t="s">
        <v>4119</v>
      </c>
      <c r="D1636" s="5" t="s">
        <v>4644</v>
      </c>
      <c r="E1636" s="2" t="s">
        <v>83</v>
      </c>
      <c r="F1636" s="6" t="s">
        <v>84</v>
      </c>
      <c r="G1636" s="5" t="s">
        <v>1068</v>
      </c>
      <c r="H1636" s="2" t="s">
        <v>288</v>
      </c>
      <c r="I1636" s="3" t="s">
        <v>4645</v>
      </c>
      <c r="J1636" s="7">
        <v>1</v>
      </c>
      <c r="K1636" s="70"/>
      <c r="L1636" s="9">
        <v>1</v>
      </c>
      <c r="M1636" s="3">
        <v>1344</v>
      </c>
      <c r="N1636" s="6">
        <v>1995</v>
      </c>
      <c r="O1636" s="10">
        <v>34576</v>
      </c>
      <c r="P1636" s="71" t="s">
        <v>4646</v>
      </c>
      <c r="R1636" s="6">
        <v>1990</v>
      </c>
      <c r="S1636" s="3" t="s">
        <v>283</v>
      </c>
      <c r="T1636" s="72" t="s">
        <v>1136</v>
      </c>
      <c r="U1636" s="73"/>
      <c r="W1636" s="74" t="s">
        <v>62</v>
      </c>
      <c r="X1636" s="10" t="s">
        <v>56</v>
      </c>
      <c r="Y1636" s="10" t="s">
        <v>288</v>
      </c>
      <c r="Z1636" s="75"/>
      <c r="AA1636" s="76"/>
      <c r="AB1636" s="77"/>
      <c r="AC1636" s="77"/>
      <c r="AD1636" s="10"/>
      <c r="AI1636" s="7"/>
      <c r="AJ1636" s="73"/>
      <c r="AK1636" s="7"/>
      <c r="AL1636" s="16"/>
      <c r="AW1636" s="6">
        <f t="shared" ca="1" si="27"/>
        <v>30</v>
      </c>
    </row>
    <row r="1637" ht="45" hidden="1" customHeight="1" outlineLevel="1">
      <c r="A1637" s="132">
        <v>44128</v>
      </c>
      <c r="B1637" s="3" t="s">
        <v>47</v>
      </c>
      <c r="C1637" s="144" t="s">
        <v>4647</v>
      </c>
      <c r="D1637" s="117" t="s">
        <v>4648</v>
      </c>
      <c r="E1637" s="2" t="s">
        <v>83</v>
      </c>
      <c r="F1637" s="6" t="s">
        <v>179</v>
      </c>
      <c r="G1637" s="5" t="s">
        <v>3003</v>
      </c>
      <c r="H1637" s="2" t="s">
        <v>57</v>
      </c>
      <c r="I1637" s="3" t="s">
        <v>4649</v>
      </c>
      <c r="J1637" s="7">
        <v>1</v>
      </c>
      <c r="K1637" s="133"/>
      <c r="L1637" s="9">
        <v>1</v>
      </c>
      <c r="M1637" s="3">
        <v>1345</v>
      </c>
      <c r="N1637" s="6">
        <v>1995</v>
      </c>
      <c r="P1637" s="71"/>
      <c r="R1637" s="6">
        <v>1990</v>
      </c>
      <c r="S1637" s="3" t="s">
        <v>236</v>
      </c>
      <c r="T1637" s="72" t="s">
        <v>1136</v>
      </c>
      <c r="W1637" s="2" t="s">
        <v>62</v>
      </c>
      <c r="X1637" s="10" t="s">
        <v>56</v>
      </c>
      <c r="Y1637" s="10" t="s">
        <v>57</v>
      </c>
      <c r="Z1637" s="75"/>
      <c r="AA1637" s="137"/>
      <c r="AB1637" s="138"/>
      <c r="AC1637" s="138"/>
      <c r="AD1637" s="136"/>
      <c r="AE1637" s="139"/>
      <c r="AG1637" s="139"/>
      <c r="AH1637" s="139"/>
      <c r="AI1637" s="139"/>
      <c r="AJ1637" s="136">
        <v>44454</v>
      </c>
      <c r="AK1637" s="139">
        <v>2020</v>
      </c>
      <c r="AL1637" s="16"/>
      <c r="AO1637" s="141"/>
      <c r="AP1637" s="141"/>
      <c r="AQ1637" s="117"/>
      <c r="AR1637" s="142"/>
      <c r="AS1637" s="141"/>
      <c r="AT1637" s="141"/>
      <c r="AU1637" s="140"/>
      <c r="AV1637" s="143"/>
      <c r="AW1637" s="6">
        <f t="shared" ca="1" si="27"/>
        <v>30</v>
      </c>
    </row>
    <row r="1638" ht="45" hidden="1" customHeight="1" outlineLevel="1">
      <c r="A1638" s="69">
        <v>43384</v>
      </c>
      <c r="B1638" s="3" t="s">
        <v>190</v>
      </c>
      <c r="C1638" s="4" t="s">
        <v>4650</v>
      </c>
      <c r="D1638" s="5" t="s">
        <v>4651</v>
      </c>
      <c r="E1638" s="2" t="s">
        <v>694</v>
      </c>
      <c r="F1638" s="6" t="s">
        <v>2495</v>
      </c>
      <c r="G1638" s="5" t="s">
        <v>4652</v>
      </c>
      <c r="H1638" s="2" t="s">
        <v>181</v>
      </c>
      <c r="I1638" s="3" t="s">
        <v>4653</v>
      </c>
      <c r="J1638" s="7">
        <v>1</v>
      </c>
      <c r="K1638" s="104"/>
      <c r="L1638" s="9">
        <v>1</v>
      </c>
      <c r="M1638" s="3">
        <v>1346</v>
      </c>
      <c r="N1638" s="6">
        <v>1995</v>
      </c>
      <c r="P1638" s="71"/>
      <c r="R1638" s="6">
        <v>1990</v>
      </c>
      <c r="S1638" s="3" t="s">
        <v>283</v>
      </c>
      <c r="T1638" s="72"/>
      <c r="U1638" s="73"/>
      <c r="W1638" s="74" t="s">
        <v>62</v>
      </c>
      <c r="X1638" s="10" t="s">
        <v>56</v>
      </c>
      <c r="Y1638" s="10" t="s">
        <v>181</v>
      </c>
      <c r="Z1638" s="75"/>
      <c r="AA1638" s="2"/>
      <c r="AB1638" s="6"/>
      <c r="AC1638" s="6"/>
      <c r="AD1638" s="6"/>
      <c r="AI1638" s="7"/>
      <c r="AJ1638" s="73"/>
      <c r="AK1638" s="7"/>
      <c r="AL1638" s="16"/>
      <c r="AU1638" s="16" t="s">
        <v>4491</v>
      </c>
      <c r="AW1638" s="6">
        <f t="shared" ca="1" si="27"/>
        <v>30</v>
      </c>
    </row>
    <row r="1639" ht="45" hidden="1" customHeight="1">
      <c r="A1639" s="69"/>
      <c r="B1639" s="3" t="s">
        <v>190</v>
      </c>
      <c r="C1639" s="116" t="s">
        <v>4654</v>
      </c>
      <c r="D1639" s="5" t="s">
        <v>4655</v>
      </c>
      <c r="E1639" s="2" t="s">
        <v>63</v>
      </c>
      <c r="F1639" s="6" t="s">
        <v>428</v>
      </c>
      <c r="G1639" s="5" t="s">
        <v>4656</v>
      </c>
      <c r="H1639" s="2" t="s">
        <v>508</v>
      </c>
      <c r="I1639" s="3" t="s">
        <v>4657</v>
      </c>
      <c r="J1639" s="7">
        <v>1</v>
      </c>
      <c r="K1639" s="104"/>
      <c r="L1639" s="9">
        <v>1</v>
      </c>
      <c r="M1639" s="3">
        <v>1347</v>
      </c>
      <c r="N1639" s="6">
        <v>1995</v>
      </c>
      <c r="P1639" s="71"/>
      <c r="R1639" s="6">
        <v>1990</v>
      </c>
      <c r="S1639" s="3" t="s">
        <v>283</v>
      </c>
      <c r="T1639" s="72"/>
      <c r="U1639" s="73"/>
      <c r="W1639" s="74" t="s">
        <v>62</v>
      </c>
      <c r="X1639" s="10" t="s">
        <v>504</v>
      </c>
      <c r="Y1639" s="10" t="s">
        <v>511</v>
      </c>
      <c r="Z1639" s="75"/>
      <c r="AA1639" s="2"/>
      <c r="AB1639" s="6"/>
      <c r="AC1639" s="6"/>
      <c r="AD1639" s="6"/>
      <c r="AI1639" s="7"/>
      <c r="AJ1639" s="73"/>
      <c r="AK1639" s="7"/>
      <c r="AL1639" s="16"/>
      <c r="AW1639" s="6">
        <f t="shared" ref="AW1639:AW1702" ca="1" si="28">IF(N1639&lt;&gt;0,(YEAR(TODAY())-N1639),(""))</f>
        <v>30</v>
      </c>
    </row>
    <row r="1640" ht="45" customHeight="1">
      <c r="A1640" s="69"/>
      <c r="B1640" s="3" t="s">
        <v>47</v>
      </c>
      <c r="E1640" s="2" t="s">
        <v>83</v>
      </c>
      <c r="F1640" s="6" t="s">
        <v>704</v>
      </c>
      <c r="G1640" s="5" t="s">
        <v>705</v>
      </c>
      <c r="H1640" s="2" t="s">
        <v>68</v>
      </c>
      <c r="I1640" s="3" t="s">
        <v>4658</v>
      </c>
      <c r="J1640" s="7">
        <v>1</v>
      </c>
      <c r="K1640" s="70" t="s">
        <v>53</v>
      </c>
      <c r="L1640" s="9">
        <v>1</v>
      </c>
      <c r="M1640" s="3">
        <v>1348</v>
      </c>
      <c r="N1640" s="6">
        <v>1995</v>
      </c>
      <c r="P1640" s="71"/>
      <c r="R1640" s="6">
        <v>1990</v>
      </c>
      <c r="S1640" s="3" t="s">
        <v>54</v>
      </c>
      <c r="T1640" s="72"/>
      <c r="U1640" s="73"/>
      <c r="W1640" s="2" t="s">
        <v>4659</v>
      </c>
      <c r="X1640" s="10" t="s">
        <v>56</v>
      </c>
      <c r="Y1640" s="10" t="s">
        <v>68</v>
      </c>
      <c r="Z1640" s="75"/>
      <c r="AA1640" s="76">
        <v>35972</v>
      </c>
      <c r="AB1640" s="77">
        <v>35972</v>
      </c>
      <c r="AC1640" s="77">
        <v>35972</v>
      </c>
      <c r="AD1640" s="10"/>
      <c r="AE1640" s="7">
        <v>1996</v>
      </c>
      <c r="AF1640" s="7">
        <v>10</v>
      </c>
      <c r="AG1640" s="7">
        <v>1998</v>
      </c>
      <c r="AH1640" s="7">
        <v>1990</v>
      </c>
      <c r="AI1640" s="7"/>
      <c r="AJ1640" s="73"/>
      <c r="AK1640" s="7"/>
      <c r="AL1640" s="16"/>
      <c r="AM1640" s="2" t="s">
        <v>53</v>
      </c>
      <c r="AN1640" s="6" t="s">
        <v>73</v>
      </c>
      <c r="AO1640" s="6" t="s">
        <v>48</v>
      </c>
      <c r="AP1640" s="6" t="s">
        <v>73</v>
      </c>
      <c r="AQ1640" s="5" t="s">
        <v>73</v>
      </c>
      <c r="AW1640" s="6">
        <f t="shared" ca="1" si="28"/>
        <v>30</v>
      </c>
    </row>
    <row r="1641" s="86" customFormat="1" ht="45" customHeight="1" outlineLevel="1">
      <c r="A1641" s="69"/>
      <c r="B1641" s="3" t="s">
        <v>47</v>
      </c>
      <c r="C1641" s="4"/>
      <c r="D1641" s="5" t="s">
        <v>4660</v>
      </c>
      <c r="E1641" s="2" t="s">
        <v>83</v>
      </c>
      <c r="F1641" s="6" t="s">
        <v>704</v>
      </c>
      <c r="G1641" s="5" t="s">
        <v>705</v>
      </c>
      <c r="H1641" s="2" t="s">
        <v>57</v>
      </c>
      <c r="I1641" s="3" t="s">
        <v>4661</v>
      </c>
      <c r="J1641" s="7">
        <v>1</v>
      </c>
      <c r="K1641" s="70" t="s">
        <v>53</v>
      </c>
      <c r="L1641" s="9">
        <v>1</v>
      </c>
      <c r="M1641" s="3">
        <v>1349</v>
      </c>
      <c r="N1641" s="6">
        <v>1995</v>
      </c>
      <c r="O1641" s="10"/>
      <c r="P1641" s="71"/>
      <c r="Q1641" s="10"/>
      <c r="R1641" s="6">
        <v>1990</v>
      </c>
      <c r="S1641" s="3" t="s">
        <v>54</v>
      </c>
      <c r="T1641" s="72"/>
      <c r="U1641" s="73"/>
      <c r="V1641" s="12"/>
      <c r="W1641" s="2" t="s">
        <v>4662</v>
      </c>
      <c r="X1641" s="10" t="s">
        <v>56</v>
      </c>
      <c r="Y1641" s="10" t="s">
        <v>57</v>
      </c>
      <c r="Z1641" s="75"/>
      <c r="AA1641" s="76"/>
      <c r="AB1641" s="77">
        <v>41926</v>
      </c>
      <c r="AC1641" s="77">
        <v>41926</v>
      </c>
      <c r="AD1641" s="10"/>
      <c r="AE1641" s="7">
        <v>1997</v>
      </c>
      <c r="AF1641" s="7">
        <v>12</v>
      </c>
      <c r="AG1641" s="7">
        <v>2014</v>
      </c>
      <c r="AH1641" s="7">
        <v>2010</v>
      </c>
      <c r="AI1641" s="7"/>
      <c r="AJ1641" s="73"/>
      <c r="AK1641" s="7"/>
      <c r="AL1641" s="102" t="s">
        <v>4663</v>
      </c>
      <c r="AM1641" s="2"/>
      <c r="AN1641" s="6"/>
      <c r="AO1641" s="6"/>
      <c r="AP1641" s="6"/>
      <c r="AQ1641" s="5"/>
      <c r="AR1641" s="2"/>
      <c r="AS1641" s="6"/>
      <c r="AT1641" s="6"/>
      <c r="AU1641" s="16" t="s">
        <v>4491</v>
      </c>
      <c r="AV1641" s="17"/>
      <c r="AW1641" s="6">
        <f t="shared" ca="1" si="28"/>
        <v>30</v>
      </c>
    </row>
    <row r="1642" s="86" customFormat="1" ht="45" hidden="1" customHeight="1">
      <c r="A1642" s="132"/>
      <c r="B1642" s="3" t="s">
        <v>47</v>
      </c>
      <c r="C1642" s="144" t="s">
        <v>4446</v>
      </c>
      <c r="D1642" s="117" t="s">
        <v>4664</v>
      </c>
      <c r="E1642" s="2" t="s">
        <v>83</v>
      </c>
      <c r="F1642" s="6" t="s">
        <v>179</v>
      </c>
      <c r="G1642" s="5" t="s">
        <v>4665</v>
      </c>
      <c r="H1642" s="2" t="s">
        <v>288</v>
      </c>
      <c r="I1642" s="3" t="s">
        <v>4666</v>
      </c>
      <c r="J1642" s="7">
        <v>1</v>
      </c>
      <c r="K1642" s="133"/>
      <c r="L1642" s="9">
        <v>1</v>
      </c>
      <c r="M1642" s="3">
        <v>1350</v>
      </c>
      <c r="N1642" s="6">
        <v>1995</v>
      </c>
      <c r="O1642" s="10"/>
      <c r="P1642" s="71"/>
      <c r="Q1642" s="10"/>
      <c r="R1642" s="6">
        <v>1990</v>
      </c>
      <c r="S1642" s="3" t="s">
        <v>236</v>
      </c>
      <c r="T1642" s="72"/>
      <c r="U1642" s="73"/>
      <c r="V1642" s="12"/>
      <c r="W1642" s="2" t="s">
        <v>62</v>
      </c>
      <c r="X1642" s="10" t="s">
        <v>56</v>
      </c>
      <c r="Y1642" s="10" t="s">
        <v>288</v>
      </c>
      <c r="Z1642" s="75"/>
      <c r="AA1642" s="137"/>
      <c r="AB1642" s="138"/>
      <c r="AC1642" s="138"/>
      <c r="AD1642" s="136"/>
      <c r="AE1642" s="139"/>
      <c r="AF1642" s="7"/>
      <c r="AG1642" s="139"/>
      <c r="AH1642" s="139"/>
      <c r="AI1642" s="139"/>
      <c r="AJ1642" s="10">
        <v>42326</v>
      </c>
      <c r="AK1642" s="7">
        <v>2010</v>
      </c>
      <c r="AL1642" s="16"/>
      <c r="AM1642" s="2"/>
      <c r="AN1642" s="6"/>
      <c r="AO1642" s="141"/>
      <c r="AP1642" s="141"/>
      <c r="AQ1642" s="117"/>
      <c r="AR1642" s="142"/>
      <c r="AS1642" s="141"/>
      <c r="AT1642" s="141"/>
      <c r="AU1642" s="140"/>
      <c r="AV1642" s="143"/>
      <c r="AW1642" s="6">
        <f t="shared" ca="1" si="28"/>
        <v>30</v>
      </c>
    </row>
    <row r="1643" s="86" customFormat="1" ht="45" customHeight="1" outlineLevel="1">
      <c r="A1643" s="69"/>
      <c r="B1643" s="3" t="s">
        <v>47</v>
      </c>
      <c r="C1643" s="4" t="s">
        <v>4667</v>
      </c>
      <c r="D1643" s="5" t="s">
        <v>4668</v>
      </c>
      <c r="E1643" s="2" t="s">
        <v>63</v>
      </c>
      <c r="F1643" s="6" t="s">
        <v>64</v>
      </c>
      <c r="G1643" s="5" t="s">
        <v>69</v>
      </c>
      <c r="H1643" s="2" t="s">
        <v>181</v>
      </c>
      <c r="I1643" s="3" t="s">
        <v>4669</v>
      </c>
      <c r="J1643" s="7">
        <v>1</v>
      </c>
      <c r="K1643" s="70" t="s">
        <v>53</v>
      </c>
      <c r="L1643" s="9">
        <v>1</v>
      </c>
      <c r="M1643" s="3">
        <v>1351</v>
      </c>
      <c r="N1643" s="6">
        <v>1995</v>
      </c>
      <c r="O1643" s="10"/>
      <c r="P1643" s="71"/>
      <c r="Q1643" s="10"/>
      <c r="R1643" s="6">
        <v>1990</v>
      </c>
      <c r="S1643" s="3" t="s">
        <v>4496</v>
      </c>
      <c r="T1643" s="72"/>
      <c r="U1643" s="73"/>
      <c r="V1643" s="12"/>
      <c r="W1643" s="2" t="s">
        <v>4670</v>
      </c>
      <c r="X1643" s="10" t="s">
        <v>56</v>
      </c>
      <c r="Y1643" s="10" t="s">
        <v>181</v>
      </c>
      <c r="Z1643" s="75"/>
      <c r="AA1643" s="2"/>
      <c r="AB1643" s="10">
        <v>44755</v>
      </c>
      <c r="AC1643" s="6"/>
      <c r="AD1643" s="6"/>
      <c r="AE1643" s="7">
        <v>2000</v>
      </c>
      <c r="AF1643" s="7">
        <v>22</v>
      </c>
      <c r="AG1643" s="93"/>
      <c r="AH1643" s="7"/>
      <c r="AI1643" s="7"/>
      <c r="AJ1643" s="73"/>
      <c r="AK1643" s="7"/>
      <c r="AL1643" s="16" t="s">
        <v>4671</v>
      </c>
      <c r="AM1643" s="2" t="s">
        <v>82</v>
      </c>
      <c r="AN1643" s="6"/>
      <c r="AO1643" s="6"/>
      <c r="AP1643" s="6"/>
      <c r="AQ1643" s="5"/>
      <c r="AR1643" s="2"/>
      <c r="AS1643" s="6"/>
      <c r="AT1643" s="6"/>
      <c r="AU1643" s="16"/>
      <c r="AV1643" s="17"/>
      <c r="AW1643" s="6">
        <f t="shared" ca="1" si="28"/>
        <v>30</v>
      </c>
    </row>
    <row r="1644" s="86" customFormat="1" ht="45" hidden="1" customHeight="1" outlineLevel="1">
      <c r="A1644" s="69">
        <v>45259</v>
      </c>
      <c r="B1644" s="3" t="s">
        <v>190</v>
      </c>
      <c r="C1644" s="4" t="s">
        <v>4672</v>
      </c>
      <c r="D1644" s="5" t="s">
        <v>4673</v>
      </c>
      <c r="E1644" s="2" t="s">
        <v>63</v>
      </c>
      <c r="F1644" s="6" t="s">
        <v>354</v>
      </c>
      <c r="G1644" s="5" t="s">
        <v>4674</v>
      </c>
      <c r="H1644" s="2" t="s">
        <v>4501</v>
      </c>
      <c r="I1644" s="3" t="s">
        <v>4675</v>
      </c>
      <c r="J1644" s="7">
        <v>1</v>
      </c>
      <c r="K1644" s="104"/>
      <c r="L1644" s="9">
        <v>1</v>
      </c>
      <c r="M1644" s="3">
        <v>1352</v>
      </c>
      <c r="N1644" s="6">
        <v>1995</v>
      </c>
      <c r="O1644" s="10">
        <v>33655</v>
      </c>
      <c r="P1644" s="71" t="s">
        <v>4676</v>
      </c>
      <c r="Q1644" s="10">
        <v>34796</v>
      </c>
      <c r="R1644" s="6">
        <v>1990</v>
      </c>
      <c r="S1644" s="3" t="s">
        <v>283</v>
      </c>
      <c r="T1644" s="72"/>
      <c r="U1644" s="73"/>
      <c r="V1644" s="12"/>
      <c r="W1644" s="74" t="s">
        <v>62</v>
      </c>
      <c r="X1644" s="10" t="s">
        <v>56</v>
      </c>
      <c r="Y1644" s="10" t="s">
        <v>4501</v>
      </c>
      <c r="Z1644" s="75"/>
      <c r="AA1644" s="2"/>
      <c r="AB1644" s="6"/>
      <c r="AC1644" s="6"/>
      <c r="AD1644" s="6"/>
      <c r="AE1644" s="7"/>
      <c r="AF1644" s="7"/>
      <c r="AG1644" s="93"/>
      <c r="AH1644" s="93"/>
      <c r="AI1644" s="7"/>
      <c r="AJ1644" s="73"/>
      <c r="AK1644" s="7"/>
      <c r="AL1644" s="16"/>
      <c r="AM1644" s="2"/>
      <c r="AN1644" s="6"/>
      <c r="AO1644" s="6"/>
      <c r="AP1644" s="6"/>
      <c r="AQ1644" s="5"/>
      <c r="AR1644" s="2"/>
      <c r="AS1644" s="6"/>
      <c r="AT1644" s="6"/>
      <c r="AU1644" s="16"/>
      <c r="AV1644" s="17"/>
      <c r="AW1644" s="6">
        <f t="shared" ca="1" si="28"/>
        <v>30</v>
      </c>
    </row>
    <row r="1645" ht="45" hidden="1" customHeight="1" outlineLevel="1">
      <c r="A1645" s="69">
        <v>45222</v>
      </c>
      <c r="B1645" s="3" t="s">
        <v>190</v>
      </c>
      <c r="C1645" s="4" t="s">
        <v>4677</v>
      </c>
      <c r="D1645" s="5" t="s">
        <v>4678</v>
      </c>
      <c r="E1645" s="2" t="s">
        <v>694</v>
      </c>
      <c r="F1645" s="6" t="s">
        <v>695</v>
      </c>
      <c r="G1645" s="5" t="s">
        <v>4679</v>
      </c>
      <c r="H1645" s="2" t="s">
        <v>4501</v>
      </c>
      <c r="I1645" s="3" t="s">
        <v>4680</v>
      </c>
      <c r="J1645" s="7">
        <v>1</v>
      </c>
      <c r="K1645" s="104"/>
      <c r="L1645" s="9">
        <v>1</v>
      </c>
      <c r="M1645" s="3">
        <v>1353</v>
      </c>
      <c r="N1645" s="6">
        <v>1995</v>
      </c>
      <c r="O1645" s="10">
        <v>33655</v>
      </c>
      <c r="P1645" s="71" t="s">
        <v>4681</v>
      </c>
      <c r="Q1645" s="10">
        <v>34796</v>
      </c>
      <c r="R1645" s="6">
        <v>1990</v>
      </c>
      <c r="S1645" s="3" t="s">
        <v>283</v>
      </c>
      <c r="T1645" s="72"/>
      <c r="U1645" s="73"/>
      <c r="W1645" s="74" t="s">
        <v>62</v>
      </c>
      <c r="X1645" s="10" t="s">
        <v>56</v>
      </c>
      <c r="Y1645" s="10" t="s">
        <v>4501</v>
      </c>
      <c r="Z1645" s="75"/>
      <c r="AA1645" s="2"/>
      <c r="AB1645" s="6"/>
      <c r="AC1645" s="6"/>
      <c r="AD1645" s="6"/>
      <c r="AG1645" s="93"/>
      <c r="AH1645" s="93"/>
      <c r="AI1645" s="7"/>
      <c r="AJ1645" s="73"/>
      <c r="AK1645" s="7"/>
      <c r="AL1645" s="99"/>
      <c r="AW1645" s="6">
        <f t="shared" ca="1" si="28"/>
        <v>30</v>
      </c>
    </row>
    <row r="1646" s="86" customFormat="1" ht="45" hidden="1" customHeight="1" outlineLevel="1">
      <c r="A1646" s="69">
        <v>43959</v>
      </c>
      <c r="B1646" s="3" t="s">
        <v>47</v>
      </c>
      <c r="C1646" s="4" t="s">
        <v>4682</v>
      </c>
      <c r="D1646" s="5" t="s">
        <v>4683</v>
      </c>
      <c r="E1646" s="2" t="s">
        <v>63</v>
      </c>
      <c r="F1646" s="6" t="s">
        <v>428</v>
      </c>
      <c r="G1646" s="5" t="s">
        <v>2648</v>
      </c>
      <c r="H1646" s="2" t="s">
        <v>491</v>
      </c>
      <c r="I1646" s="3" t="s">
        <v>4684</v>
      </c>
      <c r="J1646" s="7">
        <v>1</v>
      </c>
      <c r="K1646" s="104"/>
      <c r="L1646" s="9">
        <v>1</v>
      </c>
      <c r="M1646" s="3">
        <v>1354</v>
      </c>
      <c r="N1646" s="6">
        <v>1995</v>
      </c>
      <c r="O1646" s="10"/>
      <c r="P1646" s="71"/>
      <c r="Q1646" s="10"/>
      <c r="R1646" s="6">
        <v>1990</v>
      </c>
      <c r="S1646" s="3" t="s">
        <v>236</v>
      </c>
      <c r="T1646" s="72"/>
      <c r="U1646" s="10"/>
      <c r="V1646" s="12"/>
      <c r="W1646" s="2" t="s">
        <v>62</v>
      </c>
      <c r="X1646" s="10" t="s">
        <v>56</v>
      </c>
      <c r="Y1646" s="10" t="s">
        <v>523</v>
      </c>
      <c r="Z1646" s="75"/>
      <c r="AA1646" s="2"/>
      <c r="AB1646" s="6"/>
      <c r="AC1646" s="6"/>
      <c r="AD1646" s="6"/>
      <c r="AE1646" s="7"/>
      <c r="AF1646" s="7"/>
      <c r="AG1646" s="93"/>
      <c r="AH1646" s="93"/>
      <c r="AI1646" s="7"/>
      <c r="AJ1646" s="10">
        <v>44916</v>
      </c>
      <c r="AK1646" s="7">
        <v>2020</v>
      </c>
      <c r="AL1646" s="16"/>
      <c r="AM1646" s="2"/>
      <c r="AN1646" s="6"/>
      <c r="AO1646" s="6"/>
      <c r="AP1646" s="6"/>
      <c r="AQ1646" s="5"/>
      <c r="AR1646" s="2"/>
      <c r="AS1646" s="6"/>
      <c r="AT1646" s="6"/>
      <c r="AU1646" s="16"/>
      <c r="AV1646" s="17"/>
      <c r="AW1646" s="6">
        <f t="shared" ca="1" si="28"/>
        <v>30</v>
      </c>
    </row>
    <row r="1647" s="86" customFormat="1" ht="45" hidden="1" customHeight="1">
      <c r="A1647" s="69"/>
      <c r="B1647" s="3" t="s">
        <v>47</v>
      </c>
      <c r="C1647" s="4" t="s">
        <v>3659</v>
      </c>
      <c r="D1647" s="5" t="s">
        <v>4685</v>
      </c>
      <c r="E1647" s="2" t="s">
        <v>83</v>
      </c>
      <c r="F1647" s="6" t="s">
        <v>84</v>
      </c>
      <c r="G1647" s="5" t="s">
        <v>85</v>
      </c>
      <c r="H1647" s="2" t="s">
        <v>57</v>
      </c>
      <c r="I1647" s="3" t="s">
        <v>4686</v>
      </c>
      <c r="J1647" s="7">
        <v>1</v>
      </c>
      <c r="K1647" s="8"/>
      <c r="L1647" s="9">
        <v>1</v>
      </c>
      <c r="M1647" s="3">
        <v>1355</v>
      </c>
      <c r="N1647" s="6">
        <v>1995</v>
      </c>
      <c r="O1647" s="10"/>
      <c r="P1647" s="71"/>
      <c r="Q1647" s="10"/>
      <c r="R1647" s="6">
        <v>1990</v>
      </c>
      <c r="S1647" s="3" t="s">
        <v>236</v>
      </c>
      <c r="T1647" s="72"/>
      <c r="U1647" s="73"/>
      <c r="V1647" s="12"/>
      <c r="W1647" s="2" t="s">
        <v>62</v>
      </c>
      <c r="X1647" s="10" t="s">
        <v>56</v>
      </c>
      <c r="Y1647" s="10" t="s">
        <v>57</v>
      </c>
      <c r="Z1647" s="75"/>
      <c r="AA1647" s="13"/>
      <c r="AB1647" s="14"/>
      <c r="AC1647" s="14"/>
      <c r="AD1647" s="14"/>
      <c r="AE1647" s="7"/>
      <c r="AF1647" s="7"/>
      <c r="AG1647" s="7"/>
      <c r="AH1647" s="7"/>
      <c r="AI1647" s="7"/>
      <c r="AJ1647" s="95">
        <v>41928</v>
      </c>
      <c r="AK1647" s="7">
        <v>2010</v>
      </c>
      <c r="AL1647" s="99" t="s">
        <v>4687</v>
      </c>
      <c r="AM1647" s="2"/>
      <c r="AN1647" s="6"/>
      <c r="AO1647" s="6"/>
      <c r="AP1647" s="6"/>
      <c r="AQ1647" s="5"/>
      <c r="AR1647" s="2"/>
      <c r="AS1647" s="6"/>
      <c r="AT1647" s="6"/>
      <c r="AU1647" s="16"/>
      <c r="AV1647" s="17"/>
      <c r="AW1647" s="6">
        <f t="shared" ca="1" si="28"/>
        <v>30</v>
      </c>
    </row>
    <row r="1648" ht="45" customHeight="1" outlineLevel="1">
      <c r="A1648" s="69"/>
      <c r="B1648" s="3" t="s">
        <v>47</v>
      </c>
      <c r="D1648" s="5" t="s">
        <v>4688</v>
      </c>
      <c r="E1648" s="2" t="s">
        <v>63</v>
      </c>
      <c r="F1648" s="6" t="s">
        <v>172</v>
      </c>
      <c r="G1648" s="5" t="s">
        <v>4689</v>
      </c>
      <c r="H1648" s="2" t="s">
        <v>508</v>
      </c>
      <c r="I1648" s="3" t="s">
        <v>4690</v>
      </c>
      <c r="J1648" s="7">
        <v>1</v>
      </c>
      <c r="K1648" s="70" t="s">
        <v>53</v>
      </c>
      <c r="L1648" s="9">
        <v>1</v>
      </c>
      <c r="M1648" s="3">
        <v>1356</v>
      </c>
      <c r="N1648" s="6">
        <v>1995</v>
      </c>
      <c r="P1648" s="71"/>
      <c r="R1648" s="6">
        <v>1990</v>
      </c>
      <c r="S1648" s="3" t="s">
        <v>54</v>
      </c>
      <c r="T1648" s="72"/>
      <c r="U1648" s="73"/>
      <c r="W1648" s="2" t="s">
        <v>4691</v>
      </c>
      <c r="X1648" s="10" t="s">
        <v>504</v>
      </c>
      <c r="Y1648" s="10" t="s">
        <v>511</v>
      </c>
      <c r="Z1648" s="75"/>
      <c r="AA1648" s="76">
        <v>36651</v>
      </c>
      <c r="AB1648" s="77"/>
      <c r="AC1648" s="77"/>
      <c r="AD1648" s="6"/>
      <c r="AE1648" s="7">
        <v>1999</v>
      </c>
      <c r="AF1648" s="7">
        <v>17</v>
      </c>
      <c r="AG1648" s="7">
        <v>2000</v>
      </c>
      <c r="AH1648" s="7">
        <v>2000</v>
      </c>
      <c r="AI1648" s="7"/>
      <c r="AJ1648" s="73"/>
      <c r="AK1648" s="7"/>
      <c r="AL1648" s="16"/>
      <c r="AW1648" s="6">
        <f t="shared" ca="1" si="28"/>
        <v>30</v>
      </c>
    </row>
    <row r="1649" ht="45" hidden="1" customHeight="1" outlineLevel="1">
      <c r="A1649" s="69"/>
      <c r="B1649" s="3" t="s">
        <v>47</v>
      </c>
      <c r="C1649" s="4" t="s">
        <v>1263</v>
      </c>
      <c r="E1649" s="2" t="s">
        <v>694</v>
      </c>
      <c r="F1649" s="6" t="s">
        <v>695</v>
      </c>
      <c r="G1649" s="5" t="s">
        <v>4692</v>
      </c>
      <c r="H1649" s="2" t="s">
        <v>382</v>
      </c>
      <c r="I1649" s="3" t="s">
        <v>4693</v>
      </c>
      <c r="J1649" s="7">
        <v>1</v>
      </c>
      <c r="K1649" s="104"/>
      <c r="L1649" s="9">
        <v>1</v>
      </c>
      <c r="M1649" s="3">
        <v>1357</v>
      </c>
      <c r="N1649" s="6">
        <v>1995</v>
      </c>
      <c r="P1649" s="71"/>
      <c r="R1649" s="6">
        <v>1990</v>
      </c>
      <c r="S1649" s="3" t="s">
        <v>236</v>
      </c>
      <c r="T1649" s="72"/>
      <c r="U1649" s="73"/>
      <c r="W1649" s="2" t="s">
        <v>62</v>
      </c>
      <c r="X1649" s="10" t="s">
        <v>91</v>
      </c>
      <c r="Y1649" s="10" t="s">
        <v>385</v>
      </c>
      <c r="Z1649" s="75"/>
      <c r="AA1649" s="76"/>
      <c r="AB1649" s="77"/>
      <c r="AC1649" s="77"/>
      <c r="AD1649" s="6"/>
      <c r="AI1649" s="7"/>
      <c r="AJ1649" s="95">
        <v>38044</v>
      </c>
      <c r="AK1649" s="7">
        <v>2000</v>
      </c>
      <c r="AL1649" s="16"/>
      <c r="AW1649" s="6">
        <f t="shared" ca="1" si="28"/>
        <v>30</v>
      </c>
    </row>
    <row r="1650" s="86" customFormat="1" ht="45" customHeight="1" outlineLevel="1">
      <c r="A1650" s="69"/>
      <c r="B1650" s="3" t="s">
        <v>47</v>
      </c>
      <c r="C1650" s="4" t="s">
        <v>4694</v>
      </c>
      <c r="D1650" s="5" t="s">
        <v>4695</v>
      </c>
      <c r="E1650" s="2" t="s">
        <v>83</v>
      </c>
      <c r="F1650" s="6" t="s">
        <v>179</v>
      </c>
      <c r="G1650" s="5" t="s">
        <v>2553</v>
      </c>
      <c r="H1650" s="2" t="s">
        <v>57</v>
      </c>
      <c r="I1650" s="3" t="s">
        <v>4696</v>
      </c>
      <c r="J1650" s="7">
        <v>1</v>
      </c>
      <c r="K1650" s="70" t="s">
        <v>53</v>
      </c>
      <c r="L1650" s="9">
        <v>1</v>
      </c>
      <c r="M1650" s="3">
        <v>1358</v>
      </c>
      <c r="N1650" s="6">
        <v>1995</v>
      </c>
      <c r="O1650" s="10"/>
      <c r="P1650" s="71"/>
      <c r="Q1650" s="10"/>
      <c r="R1650" s="6">
        <v>1990</v>
      </c>
      <c r="S1650" s="3" t="s">
        <v>54</v>
      </c>
      <c r="T1650" s="72"/>
      <c r="U1650" s="73"/>
      <c r="V1650" s="12"/>
      <c r="W1650" s="2" t="s">
        <v>4697</v>
      </c>
      <c r="X1650" s="10" t="s">
        <v>56</v>
      </c>
      <c r="Y1650" s="10" t="s">
        <v>57</v>
      </c>
      <c r="Z1650" s="75"/>
      <c r="AA1650" s="76"/>
      <c r="AB1650" s="77">
        <v>37447</v>
      </c>
      <c r="AC1650" s="77"/>
      <c r="AD1650" s="6"/>
      <c r="AE1650" s="7">
        <v>2000</v>
      </c>
      <c r="AF1650" s="7">
        <v>22</v>
      </c>
      <c r="AG1650" s="7">
        <v>2002</v>
      </c>
      <c r="AH1650" s="7">
        <v>2000</v>
      </c>
      <c r="AI1650" s="7"/>
      <c r="AJ1650" s="73"/>
      <c r="AK1650" s="7"/>
      <c r="AL1650" s="16"/>
      <c r="AM1650" s="2" t="s">
        <v>59</v>
      </c>
      <c r="AN1650" s="6"/>
      <c r="AO1650" s="6"/>
      <c r="AP1650" s="6"/>
      <c r="AQ1650" s="5"/>
      <c r="AR1650" s="2"/>
      <c r="AS1650" s="6"/>
      <c r="AT1650" s="6"/>
      <c r="AU1650" s="16"/>
      <c r="AV1650" s="17"/>
      <c r="AW1650" s="6">
        <f t="shared" ca="1" si="28"/>
        <v>30</v>
      </c>
    </row>
    <row r="1651" ht="45" hidden="1" customHeight="1">
      <c r="A1651" s="69">
        <v>45462</v>
      </c>
      <c r="B1651" s="3" t="s">
        <v>1926</v>
      </c>
      <c r="C1651" s="4" t="s">
        <v>4698</v>
      </c>
      <c r="D1651" s="5" t="s">
        <v>4699</v>
      </c>
      <c r="E1651" s="2" t="s">
        <v>694</v>
      </c>
      <c r="F1651" s="6" t="s">
        <v>695</v>
      </c>
      <c r="G1651" s="5" t="s">
        <v>4700</v>
      </c>
      <c r="H1651" s="2" t="s">
        <v>57</v>
      </c>
      <c r="I1651" s="3" t="s">
        <v>4701</v>
      </c>
      <c r="J1651" s="7">
        <v>1</v>
      </c>
      <c r="K1651" s="104"/>
      <c r="L1651" s="9">
        <v>1</v>
      </c>
      <c r="M1651" s="3">
        <v>1359</v>
      </c>
      <c r="N1651" s="6">
        <v>1995</v>
      </c>
      <c r="O1651" s="10">
        <v>34687</v>
      </c>
      <c r="P1651" s="71" t="s">
        <v>4702</v>
      </c>
      <c r="Q1651" s="10" t="s">
        <v>1453</v>
      </c>
      <c r="R1651" s="6">
        <v>1990</v>
      </c>
      <c r="S1651" s="3" t="s">
        <v>283</v>
      </c>
      <c r="T1651" s="72" t="s">
        <v>998</v>
      </c>
      <c r="U1651" s="73"/>
      <c r="W1651" s="74" t="s">
        <v>62</v>
      </c>
      <c r="X1651" s="10" t="s">
        <v>56</v>
      </c>
      <c r="Y1651" s="10" t="s">
        <v>57</v>
      </c>
      <c r="Z1651" s="75"/>
      <c r="AA1651" s="76"/>
      <c r="AB1651" s="77"/>
      <c r="AC1651" s="77"/>
      <c r="AD1651" s="6"/>
      <c r="AI1651" s="7"/>
      <c r="AJ1651" s="73"/>
      <c r="AK1651" s="7"/>
      <c r="AL1651" s="16"/>
      <c r="AW1651" s="6">
        <f t="shared" ca="1" si="28"/>
        <v>30</v>
      </c>
    </row>
    <row r="1652" s="86" customFormat="1" ht="45" hidden="1" customHeight="1" outlineLevel="1">
      <c r="A1652" s="69"/>
      <c r="B1652" s="3" t="s">
        <v>47</v>
      </c>
      <c r="C1652" s="4" t="s">
        <v>4703</v>
      </c>
      <c r="D1652" s="5" t="s">
        <v>4704</v>
      </c>
      <c r="E1652" s="2" t="s">
        <v>694</v>
      </c>
      <c r="F1652" s="6" t="s">
        <v>695</v>
      </c>
      <c r="G1652" s="5" t="s">
        <v>4700</v>
      </c>
      <c r="H1652" s="2" t="s">
        <v>508</v>
      </c>
      <c r="I1652" s="3" t="s">
        <v>4705</v>
      </c>
      <c r="J1652" s="7">
        <v>1</v>
      </c>
      <c r="K1652" s="104"/>
      <c r="L1652" s="9">
        <v>1</v>
      </c>
      <c r="M1652" s="3">
        <v>1360</v>
      </c>
      <c r="N1652" s="6">
        <v>1995</v>
      </c>
      <c r="O1652" s="10"/>
      <c r="P1652" s="71"/>
      <c r="Q1652" s="10"/>
      <c r="R1652" s="6">
        <v>1990</v>
      </c>
      <c r="S1652" s="3" t="s">
        <v>236</v>
      </c>
      <c r="T1652" s="72"/>
      <c r="U1652" s="73"/>
      <c r="V1652" s="12"/>
      <c r="W1652" s="2" t="s">
        <v>62</v>
      </c>
      <c r="X1652" s="10" t="s">
        <v>504</v>
      </c>
      <c r="Y1652" s="10" t="s">
        <v>511</v>
      </c>
      <c r="Z1652" s="75"/>
      <c r="AA1652" s="76"/>
      <c r="AB1652" s="77"/>
      <c r="AC1652" s="77"/>
      <c r="AD1652" s="6"/>
      <c r="AE1652" s="7"/>
      <c r="AF1652" s="7"/>
      <c r="AG1652" s="7"/>
      <c r="AH1652" s="7"/>
      <c r="AI1652" s="7"/>
      <c r="AJ1652" s="95">
        <v>40892</v>
      </c>
      <c r="AK1652" s="7">
        <v>2010</v>
      </c>
      <c r="AL1652" s="16"/>
      <c r="AM1652" s="2"/>
      <c r="AN1652" s="6"/>
      <c r="AO1652" s="6"/>
      <c r="AP1652" s="6"/>
      <c r="AQ1652" s="5"/>
      <c r="AR1652" s="2"/>
      <c r="AS1652" s="6"/>
      <c r="AT1652" s="6"/>
      <c r="AU1652" s="16"/>
      <c r="AV1652" s="17"/>
      <c r="AW1652" s="6">
        <f t="shared" ca="1" si="28"/>
        <v>30</v>
      </c>
    </row>
    <row r="1653" s="86" customFormat="1" ht="45" hidden="1" customHeight="1">
      <c r="A1653" s="69"/>
      <c r="B1653" s="3" t="s">
        <v>47</v>
      </c>
      <c r="C1653" s="4" t="s">
        <v>1705</v>
      </c>
      <c r="D1653" s="5"/>
      <c r="E1653" s="2" t="s">
        <v>694</v>
      </c>
      <c r="F1653" s="6" t="s">
        <v>695</v>
      </c>
      <c r="G1653" s="5" t="s">
        <v>4700</v>
      </c>
      <c r="H1653" s="2" t="s">
        <v>508</v>
      </c>
      <c r="I1653" s="96" t="s">
        <v>4706</v>
      </c>
      <c r="J1653" s="7">
        <v>1</v>
      </c>
      <c r="K1653" s="104"/>
      <c r="L1653" s="9">
        <v>1</v>
      </c>
      <c r="M1653" s="3">
        <v>1361</v>
      </c>
      <c r="N1653" s="6">
        <v>1995</v>
      </c>
      <c r="O1653" s="10"/>
      <c r="P1653" s="71"/>
      <c r="Q1653" s="10"/>
      <c r="R1653" s="6">
        <v>1990</v>
      </c>
      <c r="S1653" s="3" t="s">
        <v>236</v>
      </c>
      <c r="T1653" s="72"/>
      <c r="U1653" s="73"/>
      <c r="V1653" s="12"/>
      <c r="W1653" s="2" t="s">
        <v>62</v>
      </c>
      <c r="X1653" s="10" t="s">
        <v>504</v>
      </c>
      <c r="Y1653" s="10" t="s">
        <v>511</v>
      </c>
      <c r="Z1653" s="75"/>
      <c r="AA1653" s="76"/>
      <c r="AB1653" s="77"/>
      <c r="AC1653" s="77"/>
      <c r="AD1653" s="6"/>
      <c r="AE1653" s="7"/>
      <c r="AF1653" s="7"/>
      <c r="AG1653" s="7"/>
      <c r="AH1653" s="7"/>
      <c r="AI1653" s="7"/>
      <c r="AJ1653" s="95">
        <v>38175</v>
      </c>
      <c r="AK1653" s="7">
        <v>2000</v>
      </c>
      <c r="AL1653" s="16"/>
      <c r="AM1653" s="2"/>
      <c r="AN1653" s="6"/>
      <c r="AO1653" s="6"/>
      <c r="AP1653" s="6"/>
      <c r="AQ1653" s="5"/>
      <c r="AR1653" s="2"/>
      <c r="AS1653" s="6"/>
      <c r="AT1653" s="6"/>
      <c r="AU1653" s="16"/>
      <c r="AV1653" s="17"/>
      <c r="AW1653" s="6">
        <f t="shared" ca="1" si="28"/>
        <v>30</v>
      </c>
    </row>
    <row r="1654" ht="45" hidden="1" customHeight="1">
      <c r="A1654" s="69"/>
      <c r="B1654" s="3" t="s">
        <v>47</v>
      </c>
      <c r="C1654" s="4" t="s">
        <v>4707</v>
      </c>
      <c r="D1654" s="5" t="s">
        <v>4708</v>
      </c>
      <c r="E1654" s="2" t="s">
        <v>83</v>
      </c>
      <c r="F1654" s="6" t="s">
        <v>84</v>
      </c>
      <c r="G1654" s="5" t="s">
        <v>85</v>
      </c>
      <c r="H1654" s="2" t="s">
        <v>257</v>
      </c>
      <c r="I1654" s="3" t="s">
        <v>4709</v>
      </c>
      <c r="J1654" s="7">
        <v>1</v>
      </c>
      <c r="K1654" s="104"/>
      <c r="L1654" s="9">
        <v>1</v>
      </c>
      <c r="M1654" s="3">
        <v>1362</v>
      </c>
      <c r="N1654" s="6">
        <v>1995</v>
      </c>
      <c r="O1654" s="10">
        <v>34967</v>
      </c>
      <c r="P1654" s="71" t="s">
        <v>4710</v>
      </c>
      <c r="R1654" s="6">
        <v>1990</v>
      </c>
      <c r="S1654" s="3" t="s">
        <v>236</v>
      </c>
      <c r="T1654" s="72" t="s">
        <v>1136</v>
      </c>
      <c r="W1654" s="2" t="s">
        <v>62</v>
      </c>
      <c r="X1654" s="10" t="s">
        <v>56</v>
      </c>
      <c r="Y1654" s="10" t="s">
        <v>68</v>
      </c>
      <c r="Z1654" s="75" t="s">
        <v>260</v>
      </c>
      <c r="AA1654" s="76"/>
      <c r="AB1654" s="77"/>
      <c r="AC1654" s="77"/>
      <c r="AD1654" s="6"/>
      <c r="AI1654" s="7"/>
      <c r="AJ1654" s="10">
        <v>45027</v>
      </c>
      <c r="AK1654" s="7">
        <v>2020</v>
      </c>
      <c r="AL1654" s="16" t="s">
        <v>4711</v>
      </c>
      <c r="AW1654" s="6">
        <f t="shared" ca="1" si="28"/>
        <v>30</v>
      </c>
    </row>
    <row r="1655" ht="45" hidden="1" customHeight="1">
      <c r="A1655" s="69"/>
      <c r="B1655" s="3" t="s">
        <v>47</v>
      </c>
      <c r="C1655" s="4" t="s">
        <v>3154</v>
      </c>
      <c r="D1655" s="5" t="s">
        <v>4712</v>
      </c>
      <c r="E1655" s="2" t="s">
        <v>83</v>
      </c>
      <c r="F1655" s="6" t="s">
        <v>84</v>
      </c>
      <c r="G1655" s="5" t="s">
        <v>85</v>
      </c>
      <c r="H1655" s="2" t="s">
        <v>57</v>
      </c>
      <c r="I1655" s="96" t="s">
        <v>4713</v>
      </c>
      <c r="J1655" s="7">
        <v>1</v>
      </c>
      <c r="K1655" s="104"/>
      <c r="L1655" s="9">
        <v>1</v>
      </c>
      <c r="M1655" s="3">
        <v>1363</v>
      </c>
      <c r="N1655" s="6">
        <v>1995</v>
      </c>
      <c r="P1655" s="71"/>
      <c r="R1655" s="6">
        <v>1990</v>
      </c>
      <c r="S1655" s="3" t="s">
        <v>236</v>
      </c>
      <c r="T1655" s="72"/>
      <c r="U1655" s="73"/>
      <c r="W1655" s="2" t="s">
        <v>62</v>
      </c>
      <c r="X1655" s="10" t="s">
        <v>56</v>
      </c>
      <c r="Y1655" s="10" t="s">
        <v>57</v>
      </c>
      <c r="Z1655" s="75"/>
      <c r="AA1655" s="76"/>
      <c r="AB1655" s="77"/>
      <c r="AC1655" s="77"/>
      <c r="AD1655" s="6"/>
      <c r="AI1655" s="7"/>
      <c r="AJ1655" s="95">
        <v>41381</v>
      </c>
      <c r="AK1655" s="7">
        <v>2010</v>
      </c>
      <c r="AL1655" s="5"/>
      <c r="AW1655" s="6">
        <f t="shared" ca="1" si="28"/>
        <v>30</v>
      </c>
    </row>
    <row r="1656" ht="45" hidden="1" customHeight="1">
      <c r="A1656" s="69"/>
      <c r="B1656" s="3" t="s">
        <v>47</v>
      </c>
      <c r="C1656" s="4" t="s">
        <v>4714</v>
      </c>
      <c r="D1656" s="5" t="s">
        <v>4715</v>
      </c>
      <c r="E1656" s="2" t="s">
        <v>83</v>
      </c>
      <c r="F1656" s="6" t="s">
        <v>84</v>
      </c>
      <c r="G1656" s="5" t="s">
        <v>85</v>
      </c>
      <c r="H1656" s="2" t="s">
        <v>57</v>
      </c>
      <c r="I1656" s="3" t="s">
        <v>4716</v>
      </c>
      <c r="J1656" s="7">
        <v>1</v>
      </c>
      <c r="K1656" s="70"/>
      <c r="L1656" s="9">
        <v>1</v>
      </c>
      <c r="M1656" s="3">
        <v>1364</v>
      </c>
      <c r="N1656" s="6">
        <v>1995</v>
      </c>
      <c r="P1656" s="71"/>
      <c r="R1656" s="6">
        <v>1990</v>
      </c>
      <c r="S1656" s="3" t="s">
        <v>236</v>
      </c>
      <c r="T1656" s="72"/>
      <c r="U1656" s="73"/>
      <c r="W1656" s="2" t="s">
        <v>62</v>
      </c>
      <c r="X1656" s="10" t="s">
        <v>56</v>
      </c>
      <c r="Y1656" s="10" t="s">
        <v>57</v>
      </c>
      <c r="Z1656" s="75"/>
      <c r="AA1656" s="76"/>
      <c r="AB1656" s="77"/>
      <c r="AC1656" s="77"/>
      <c r="AD1656" s="10"/>
      <c r="AI1656" s="7"/>
      <c r="AJ1656" s="10">
        <v>42325</v>
      </c>
      <c r="AK1656" s="7">
        <v>2010</v>
      </c>
      <c r="AL1656" s="174"/>
      <c r="AW1656" s="6">
        <f t="shared" ca="1" si="28"/>
        <v>30</v>
      </c>
    </row>
    <row r="1657" ht="45" hidden="1" customHeight="1" outlineLevel="1">
      <c r="A1657" s="69">
        <v>42992</v>
      </c>
      <c r="B1657" s="3" t="s">
        <v>190</v>
      </c>
      <c r="C1657" s="4" t="s">
        <v>4717</v>
      </c>
      <c r="D1657" s="5" t="s">
        <v>4718</v>
      </c>
      <c r="E1657" s="2" t="s">
        <v>694</v>
      </c>
      <c r="F1657" s="6" t="s">
        <v>2495</v>
      </c>
      <c r="G1657" s="5" t="s">
        <v>2496</v>
      </c>
      <c r="H1657" s="2" t="s">
        <v>68</v>
      </c>
      <c r="I1657" s="3" t="s">
        <v>4719</v>
      </c>
      <c r="J1657" s="7">
        <v>1</v>
      </c>
      <c r="K1657" s="70"/>
      <c r="L1657" s="9">
        <v>1</v>
      </c>
      <c r="M1657" s="3">
        <v>1365</v>
      </c>
      <c r="N1657" s="6">
        <v>1996</v>
      </c>
      <c r="P1657" s="71"/>
      <c r="R1657" s="6">
        <v>1990</v>
      </c>
      <c r="S1657" s="3" t="s">
        <v>283</v>
      </c>
      <c r="T1657" s="72"/>
      <c r="U1657" s="73"/>
      <c r="W1657" s="74" t="s">
        <v>62</v>
      </c>
      <c r="X1657" s="10" t="s">
        <v>56</v>
      </c>
      <c r="Y1657" s="10" t="s">
        <v>68</v>
      </c>
      <c r="Z1657" s="75"/>
      <c r="AA1657" s="76"/>
      <c r="AB1657" s="77"/>
      <c r="AC1657" s="77"/>
      <c r="AD1657" s="10"/>
      <c r="AI1657" s="7"/>
      <c r="AJ1657" s="73"/>
      <c r="AK1657" s="7"/>
      <c r="AL1657" s="16"/>
      <c r="AW1657" s="6">
        <f t="shared" ca="1" si="28"/>
        <v>29</v>
      </c>
    </row>
    <row r="1658" ht="45" hidden="1" customHeight="1">
      <c r="A1658" s="69"/>
      <c r="B1658" s="3" t="s">
        <v>47</v>
      </c>
      <c r="C1658" s="116" t="s">
        <v>4720</v>
      </c>
      <c r="D1658" s="5" t="s">
        <v>4721</v>
      </c>
      <c r="E1658" s="2" t="s">
        <v>83</v>
      </c>
      <c r="F1658" s="6" t="s">
        <v>84</v>
      </c>
      <c r="G1658" s="5" t="s">
        <v>3666</v>
      </c>
      <c r="H1658" s="2" t="s">
        <v>977</v>
      </c>
      <c r="I1658" s="3" t="s">
        <v>4722</v>
      </c>
      <c r="J1658" s="7">
        <v>1</v>
      </c>
      <c r="K1658" s="70"/>
      <c r="L1658" s="9">
        <v>1</v>
      </c>
      <c r="M1658" s="3">
        <v>1366</v>
      </c>
      <c r="N1658" s="6">
        <v>1996</v>
      </c>
      <c r="P1658" s="71"/>
      <c r="R1658" s="6">
        <v>1990</v>
      </c>
      <c r="S1658" s="3" t="s">
        <v>236</v>
      </c>
      <c r="T1658" s="72"/>
      <c r="W1658" s="2" t="s">
        <v>62</v>
      </c>
      <c r="X1658" s="10" t="s">
        <v>213</v>
      </c>
      <c r="Y1658" s="10" t="s">
        <v>980</v>
      </c>
      <c r="Z1658" s="75"/>
      <c r="AA1658" s="76"/>
      <c r="AB1658" s="77"/>
      <c r="AC1658" s="77"/>
      <c r="AD1658" s="10"/>
      <c r="AI1658" s="7"/>
      <c r="AJ1658" s="10">
        <v>44566</v>
      </c>
      <c r="AK1658" s="7">
        <v>2020</v>
      </c>
      <c r="AL1658" s="16"/>
      <c r="AW1658" s="6">
        <f t="shared" ca="1" si="28"/>
        <v>29</v>
      </c>
    </row>
    <row r="1659" ht="45" hidden="1" customHeight="1" outlineLevel="1">
      <c r="A1659" s="69"/>
      <c r="B1659" s="3" t="s">
        <v>47</v>
      </c>
      <c r="C1659" s="4" t="s">
        <v>4723</v>
      </c>
      <c r="D1659" s="5" t="s">
        <v>286</v>
      </c>
      <c r="E1659" s="2" t="s">
        <v>83</v>
      </c>
      <c r="F1659" s="6" t="s">
        <v>179</v>
      </c>
      <c r="G1659" s="5" t="s">
        <v>287</v>
      </c>
      <c r="H1659" s="2" t="s">
        <v>508</v>
      </c>
      <c r="I1659" s="3" t="s">
        <v>4724</v>
      </c>
      <c r="J1659" s="7">
        <v>1</v>
      </c>
      <c r="K1659" s="70"/>
      <c r="L1659" s="9">
        <v>1</v>
      </c>
      <c r="M1659" s="3">
        <v>1367</v>
      </c>
      <c r="N1659" s="6">
        <v>1996</v>
      </c>
      <c r="P1659" s="71"/>
      <c r="R1659" s="6">
        <v>1990</v>
      </c>
      <c r="S1659" s="3" t="s">
        <v>939</v>
      </c>
      <c r="T1659" s="72"/>
      <c r="U1659" s="73"/>
      <c r="W1659" s="2" t="s">
        <v>1944</v>
      </c>
      <c r="X1659" s="10" t="s">
        <v>504</v>
      </c>
      <c r="Y1659" s="10" t="s">
        <v>511</v>
      </c>
      <c r="Z1659" s="75"/>
      <c r="AA1659" s="76"/>
      <c r="AB1659" s="77"/>
      <c r="AC1659" s="77"/>
      <c r="AD1659" s="10"/>
      <c r="AI1659" s="7"/>
      <c r="AJ1659" s="73"/>
      <c r="AK1659" s="7"/>
      <c r="AL1659" s="16"/>
      <c r="AW1659" s="6">
        <f t="shared" ca="1" si="28"/>
        <v>29</v>
      </c>
    </row>
    <row r="1660" ht="45" customHeight="1" outlineLevel="1">
      <c r="A1660" s="69"/>
      <c r="B1660" s="3" t="s">
        <v>190</v>
      </c>
      <c r="C1660" s="4" t="s">
        <v>4725</v>
      </c>
      <c r="D1660" s="5" t="s">
        <v>4726</v>
      </c>
      <c r="E1660" s="2" t="s">
        <v>83</v>
      </c>
      <c r="F1660" s="6" t="s">
        <v>704</v>
      </c>
      <c r="G1660" s="5" t="s">
        <v>4727</v>
      </c>
      <c r="H1660" s="2" t="s">
        <v>68</v>
      </c>
      <c r="I1660" s="3" t="s">
        <v>4728</v>
      </c>
      <c r="J1660" s="7">
        <v>1</v>
      </c>
      <c r="K1660" s="104" t="s">
        <v>1748</v>
      </c>
      <c r="L1660" s="9">
        <v>1</v>
      </c>
      <c r="M1660" s="3">
        <v>1368</v>
      </c>
      <c r="N1660" s="6">
        <v>1996</v>
      </c>
      <c r="P1660" s="71"/>
      <c r="R1660" s="6">
        <v>1990</v>
      </c>
      <c r="S1660" s="3" t="s">
        <v>1749</v>
      </c>
      <c r="T1660" s="72" t="s">
        <v>998</v>
      </c>
      <c r="U1660" s="73"/>
      <c r="V1660" s="12">
        <v>44537</v>
      </c>
      <c r="W1660" s="74" t="s">
        <v>4729</v>
      </c>
      <c r="X1660" s="10" t="s">
        <v>56</v>
      </c>
      <c r="Y1660" s="10" t="s">
        <v>68</v>
      </c>
      <c r="Z1660" s="75"/>
      <c r="AA1660" s="76"/>
      <c r="AB1660" s="77"/>
      <c r="AC1660" s="77"/>
      <c r="AD1660" s="6"/>
      <c r="AE1660" s="7">
        <v>2021</v>
      </c>
      <c r="AF1660" s="7">
        <v>98</v>
      </c>
      <c r="AH1660" s="7">
        <v>2020</v>
      </c>
      <c r="AI1660" s="7"/>
      <c r="AJ1660" s="73"/>
      <c r="AK1660" s="7"/>
      <c r="AL1660" s="16"/>
      <c r="AW1660" s="6">
        <f t="shared" ca="1" si="28"/>
        <v>29</v>
      </c>
    </row>
    <row r="1661" ht="45" hidden="1" customHeight="1" outlineLevel="1">
      <c r="A1661" s="69"/>
      <c r="B1661" s="3" t="s">
        <v>60</v>
      </c>
      <c r="C1661" s="97" t="s">
        <v>4730</v>
      </c>
      <c r="E1661" s="2" t="s">
        <v>63</v>
      </c>
      <c r="F1661" s="6" t="s">
        <v>64</v>
      </c>
      <c r="G1661" s="5" t="s">
        <v>4731</v>
      </c>
      <c r="H1661" s="2" t="s">
        <v>977</v>
      </c>
      <c r="I1661" s="3" t="s">
        <v>4732</v>
      </c>
      <c r="J1661" s="7">
        <v>0</v>
      </c>
      <c r="K1661" s="104"/>
      <c r="L1661" s="9">
        <v>1</v>
      </c>
      <c r="M1661" s="3">
        <v>1369</v>
      </c>
      <c r="N1661" s="6">
        <v>1996</v>
      </c>
      <c r="P1661" s="71"/>
      <c r="R1661" s="6">
        <v>1990</v>
      </c>
      <c r="S1661" s="3" t="s">
        <v>60</v>
      </c>
      <c r="T1661" s="72"/>
      <c r="U1661" s="73"/>
      <c r="W1661" s="74" t="s">
        <v>62</v>
      </c>
      <c r="X1661" s="10" t="s">
        <v>213</v>
      </c>
      <c r="Y1661" s="10" t="s">
        <v>980</v>
      </c>
      <c r="Z1661" s="75"/>
      <c r="AA1661" s="76"/>
      <c r="AB1661" s="77"/>
      <c r="AC1661" s="77"/>
      <c r="AD1661" s="6"/>
      <c r="AI1661" s="7"/>
      <c r="AJ1661" s="73"/>
      <c r="AK1661" s="7"/>
      <c r="AL1661" s="16" t="s">
        <v>4733</v>
      </c>
      <c r="AW1661" s="6">
        <f t="shared" ca="1" si="28"/>
        <v>29</v>
      </c>
    </row>
    <row r="1662" ht="45" hidden="1" customHeight="1" outlineLevel="1">
      <c r="A1662" s="69">
        <v>43369</v>
      </c>
      <c r="B1662" s="3" t="s">
        <v>47</v>
      </c>
      <c r="C1662" s="4" t="s">
        <v>4734</v>
      </c>
      <c r="D1662" s="5" t="s">
        <v>4735</v>
      </c>
      <c r="E1662" s="2" t="s">
        <v>63</v>
      </c>
      <c r="F1662" s="6" t="s">
        <v>428</v>
      </c>
      <c r="G1662" s="5" t="s">
        <v>2648</v>
      </c>
      <c r="H1662" s="2" t="s">
        <v>57</v>
      </c>
      <c r="I1662" s="3" t="s">
        <v>4736</v>
      </c>
      <c r="J1662" s="7">
        <v>1</v>
      </c>
      <c r="K1662" s="70"/>
      <c r="L1662" s="9">
        <v>1</v>
      </c>
      <c r="M1662" s="3">
        <v>1370</v>
      </c>
      <c r="N1662" s="6">
        <v>1996</v>
      </c>
      <c r="P1662" s="71"/>
      <c r="R1662" s="6">
        <v>1990</v>
      </c>
      <c r="S1662" s="3" t="s">
        <v>236</v>
      </c>
      <c r="T1662" s="72" t="s">
        <v>1136</v>
      </c>
      <c r="W1662" s="2" t="s">
        <v>62</v>
      </c>
      <c r="X1662" s="10" t="s">
        <v>56</v>
      </c>
      <c r="Y1662" s="10" t="s">
        <v>57</v>
      </c>
      <c r="Z1662" s="75"/>
      <c r="AA1662" s="76"/>
      <c r="AB1662" s="77"/>
      <c r="AC1662" s="77"/>
      <c r="AD1662" s="10"/>
      <c r="AI1662" s="7"/>
      <c r="AJ1662" s="10">
        <v>44431</v>
      </c>
      <c r="AK1662" s="7">
        <v>2020</v>
      </c>
      <c r="AL1662" s="16"/>
      <c r="AW1662" s="6">
        <f t="shared" ca="1" si="28"/>
        <v>29</v>
      </c>
    </row>
    <row r="1663" ht="45" hidden="1" customHeight="1" outlineLevel="1">
      <c r="A1663" s="69"/>
      <c r="B1663" s="3" t="s">
        <v>190</v>
      </c>
      <c r="C1663" s="4" t="s">
        <v>4737</v>
      </c>
      <c r="D1663" s="5" t="s">
        <v>4738</v>
      </c>
      <c r="E1663" s="2" t="s">
        <v>83</v>
      </c>
      <c r="F1663" s="6" t="s">
        <v>704</v>
      </c>
      <c r="G1663" s="5" t="s">
        <v>2623</v>
      </c>
      <c r="H1663" s="2" t="s">
        <v>51</v>
      </c>
      <c r="I1663" s="3" t="s">
        <v>4739</v>
      </c>
      <c r="J1663" s="7">
        <v>1</v>
      </c>
      <c r="K1663" s="70"/>
      <c r="L1663" s="9">
        <v>1</v>
      </c>
      <c r="M1663" s="3">
        <v>1371</v>
      </c>
      <c r="N1663" s="6">
        <v>1996</v>
      </c>
      <c r="P1663" s="71"/>
      <c r="R1663" s="6">
        <v>1990</v>
      </c>
      <c r="S1663" s="3" t="s">
        <v>283</v>
      </c>
      <c r="T1663" s="72"/>
      <c r="U1663" s="73"/>
      <c r="W1663" s="74" t="s">
        <v>1944</v>
      </c>
      <c r="X1663" s="10" t="s">
        <v>56</v>
      </c>
      <c r="Y1663" s="10" t="s">
        <v>57</v>
      </c>
      <c r="Z1663" s="75" t="s">
        <v>58</v>
      </c>
      <c r="AA1663" s="76"/>
      <c r="AB1663" s="77"/>
      <c r="AC1663" s="77"/>
      <c r="AD1663" s="10"/>
      <c r="AI1663" s="7"/>
      <c r="AJ1663" s="73"/>
      <c r="AK1663" s="7"/>
      <c r="AL1663" s="16" t="s">
        <v>4740</v>
      </c>
      <c r="AW1663" s="6">
        <f t="shared" ca="1" si="28"/>
        <v>29</v>
      </c>
    </row>
    <row r="1664" ht="45" hidden="1" customHeight="1" outlineLevel="1">
      <c r="A1664" s="69"/>
      <c r="B1664" s="3" t="s">
        <v>190</v>
      </c>
      <c r="C1664" s="4" t="s">
        <v>4741</v>
      </c>
      <c r="D1664" s="5" t="s">
        <v>4742</v>
      </c>
      <c r="E1664" s="2" t="s">
        <v>48</v>
      </c>
      <c r="F1664" s="6" t="s">
        <v>49</v>
      </c>
      <c r="G1664" s="5" t="s">
        <v>50</v>
      </c>
      <c r="H1664" s="2" t="s">
        <v>51</v>
      </c>
      <c r="I1664" s="3" t="s">
        <v>4743</v>
      </c>
      <c r="J1664" s="7">
        <v>1</v>
      </c>
      <c r="K1664" s="70"/>
      <c r="L1664" s="9">
        <v>1</v>
      </c>
      <c r="M1664" s="3">
        <v>1372</v>
      </c>
      <c r="N1664" s="6">
        <v>1996</v>
      </c>
      <c r="P1664" s="71"/>
      <c r="R1664" s="6">
        <v>1990</v>
      </c>
      <c r="S1664" s="3" t="s">
        <v>283</v>
      </c>
      <c r="T1664" s="72"/>
      <c r="U1664" s="73"/>
      <c r="W1664" s="74" t="s">
        <v>62</v>
      </c>
      <c r="X1664" s="10" t="s">
        <v>56</v>
      </c>
      <c r="Y1664" s="10" t="s">
        <v>57</v>
      </c>
      <c r="Z1664" s="75" t="s">
        <v>58</v>
      </c>
      <c r="AA1664" s="76"/>
      <c r="AB1664" s="77"/>
      <c r="AC1664" s="77"/>
      <c r="AD1664" s="10"/>
      <c r="AI1664" s="7"/>
      <c r="AJ1664" s="73"/>
      <c r="AK1664" s="7"/>
      <c r="AL1664" s="16"/>
      <c r="AW1664" s="6">
        <f t="shared" ca="1" si="28"/>
        <v>29</v>
      </c>
    </row>
    <row r="1665" ht="45" customHeight="1" outlineLevel="1">
      <c r="A1665" s="69"/>
      <c r="B1665" s="3" t="s">
        <v>47</v>
      </c>
      <c r="D1665" s="5" t="s">
        <v>4744</v>
      </c>
      <c r="E1665" s="2" t="s">
        <v>63</v>
      </c>
      <c r="F1665" s="6" t="s">
        <v>64</v>
      </c>
      <c r="G1665" s="5" t="s">
        <v>2319</v>
      </c>
      <c r="H1665" s="2" t="s">
        <v>508</v>
      </c>
      <c r="I1665" s="3" t="s">
        <v>4745</v>
      </c>
      <c r="J1665" s="7">
        <v>1</v>
      </c>
      <c r="K1665" s="104" t="s">
        <v>53</v>
      </c>
      <c r="L1665" s="9">
        <v>1</v>
      </c>
      <c r="M1665" s="3">
        <v>1373</v>
      </c>
      <c r="N1665" s="6">
        <v>1996</v>
      </c>
      <c r="P1665" s="71"/>
      <c r="R1665" s="6">
        <v>1990</v>
      </c>
      <c r="S1665" s="3" t="s">
        <v>54</v>
      </c>
      <c r="T1665" s="72"/>
      <c r="U1665" s="73"/>
      <c r="W1665" s="2" t="s">
        <v>4746</v>
      </c>
      <c r="X1665" s="10" t="s">
        <v>56</v>
      </c>
      <c r="Y1665" s="10" t="s">
        <v>288</v>
      </c>
      <c r="Z1665" s="75"/>
      <c r="AA1665" s="76"/>
      <c r="AB1665" s="77">
        <v>43396</v>
      </c>
      <c r="AC1665" s="77"/>
      <c r="AD1665" s="6"/>
      <c r="AE1665" s="7">
        <v>2017</v>
      </c>
      <c r="AG1665" s="7">
        <v>2018</v>
      </c>
      <c r="AH1665" s="7">
        <v>2010</v>
      </c>
      <c r="AI1665" s="7"/>
      <c r="AJ1665" s="73"/>
      <c r="AK1665" s="7"/>
      <c r="AL1665" s="16"/>
      <c r="AR1665" s="2" t="s">
        <v>104</v>
      </c>
      <c r="AS1665" s="6" t="s">
        <v>104</v>
      </c>
      <c r="AW1665" s="6">
        <f t="shared" ca="1" si="28"/>
        <v>29</v>
      </c>
    </row>
    <row r="1666" ht="45" customHeight="1" outlineLevel="1">
      <c r="A1666" s="69">
        <v>45064</v>
      </c>
      <c r="B1666" s="3" t="s">
        <v>1743</v>
      </c>
      <c r="C1666" s="116" t="s">
        <v>4747</v>
      </c>
      <c r="D1666" s="5" t="s">
        <v>4748</v>
      </c>
      <c r="E1666" s="2" t="s">
        <v>83</v>
      </c>
      <c r="F1666" s="6" t="s">
        <v>84</v>
      </c>
      <c r="G1666" s="5" t="s">
        <v>797</v>
      </c>
      <c r="H1666" s="2" t="s">
        <v>68</v>
      </c>
      <c r="I1666" s="3" t="s">
        <v>4749</v>
      </c>
      <c r="J1666" s="7">
        <v>1</v>
      </c>
      <c r="K1666" s="104" t="s">
        <v>1748</v>
      </c>
      <c r="L1666" s="9">
        <v>1</v>
      </c>
      <c r="M1666" s="3">
        <v>1374</v>
      </c>
      <c r="N1666" s="6">
        <v>1996</v>
      </c>
      <c r="O1666" s="10">
        <v>34843</v>
      </c>
      <c r="P1666" s="71" t="s">
        <v>4750</v>
      </c>
      <c r="Q1666" s="10">
        <v>35324</v>
      </c>
      <c r="R1666" s="6">
        <v>1990</v>
      </c>
      <c r="S1666" s="3" t="s">
        <v>1749</v>
      </c>
      <c r="T1666" s="72" t="s">
        <v>998</v>
      </c>
      <c r="U1666" s="73"/>
      <c r="V1666" s="12">
        <v>45125</v>
      </c>
      <c r="W1666" s="74" t="s">
        <v>62</v>
      </c>
      <c r="X1666" s="10" t="s">
        <v>56</v>
      </c>
      <c r="Y1666" s="10" t="s">
        <v>68</v>
      </c>
      <c r="Z1666" s="75"/>
      <c r="AA1666" s="76"/>
      <c r="AB1666" s="77"/>
      <c r="AC1666" s="77"/>
      <c r="AD1666" s="6"/>
      <c r="AI1666" s="7"/>
      <c r="AJ1666" s="73"/>
      <c r="AK1666" s="7"/>
      <c r="AL1666" s="16"/>
      <c r="AW1666" s="6">
        <f t="shared" ca="1" si="28"/>
        <v>29</v>
      </c>
    </row>
    <row r="1667" ht="45" hidden="1" customHeight="1" outlineLevel="1">
      <c r="A1667" s="69"/>
      <c r="B1667" s="3" t="s">
        <v>47</v>
      </c>
      <c r="C1667" s="4" t="s">
        <v>4751</v>
      </c>
      <c r="D1667" s="5" t="s">
        <v>4752</v>
      </c>
      <c r="E1667" s="2" t="s">
        <v>83</v>
      </c>
      <c r="F1667" s="6" t="s">
        <v>84</v>
      </c>
      <c r="G1667" s="5" t="s">
        <v>1707</v>
      </c>
      <c r="H1667" s="2" t="s">
        <v>57</v>
      </c>
      <c r="I1667" s="3" t="s">
        <v>4753</v>
      </c>
      <c r="J1667" s="7">
        <v>1</v>
      </c>
      <c r="K1667" s="104"/>
      <c r="L1667" s="9">
        <v>1</v>
      </c>
      <c r="M1667" s="3">
        <v>1375</v>
      </c>
      <c r="N1667" s="6">
        <v>1996</v>
      </c>
      <c r="P1667" s="71"/>
      <c r="R1667" s="6">
        <v>1990</v>
      </c>
      <c r="S1667" s="3" t="s">
        <v>236</v>
      </c>
      <c r="T1667" s="72"/>
      <c r="W1667" s="2" t="s">
        <v>62</v>
      </c>
      <c r="X1667" s="10" t="s">
        <v>56</v>
      </c>
      <c r="Y1667" s="10" t="s">
        <v>57</v>
      </c>
      <c r="Z1667" s="75"/>
      <c r="AA1667" s="76"/>
      <c r="AB1667" s="77"/>
      <c r="AC1667" s="77"/>
      <c r="AD1667" s="6"/>
      <c r="AG1667" s="93"/>
      <c r="AH1667" s="93"/>
      <c r="AI1667" s="7"/>
      <c r="AJ1667" s="10">
        <v>44390</v>
      </c>
      <c r="AK1667" s="7">
        <v>2020</v>
      </c>
      <c r="AL1667" s="16"/>
      <c r="AW1667" s="6">
        <f t="shared" ca="1" si="28"/>
        <v>29</v>
      </c>
    </row>
    <row r="1668" ht="45" customHeight="1" outlineLevel="1">
      <c r="A1668" s="69"/>
      <c r="B1668" s="3" t="s">
        <v>47</v>
      </c>
      <c r="D1668" s="5" t="s">
        <v>4754</v>
      </c>
      <c r="E1668" s="2" t="s">
        <v>48</v>
      </c>
      <c r="F1668" s="6" t="s">
        <v>49</v>
      </c>
      <c r="G1668" s="5" t="s">
        <v>4755</v>
      </c>
      <c r="H1668" s="2" t="s">
        <v>68</v>
      </c>
      <c r="I1668" s="3" t="s">
        <v>4756</v>
      </c>
      <c r="J1668" s="7">
        <v>1</v>
      </c>
      <c r="K1668" s="70" t="s">
        <v>53</v>
      </c>
      <c r="L1668" s="9">
        <v>1</v>
      </c>
      <c r="M1668" s="3">
        <v>1376</v>
      </c>
      <c r="N1668" s="6">
        <v>1996</v>
      </c>
      <c r="P1668" s="71"/>
      <c r="R1668" s="6">
        <v>1990</v>
      </c>
      <c r="S1668" s="3" t="s">
        <v>54</v>
      </c>
      <c r="T1668" s="72"/>
      <c r="U1668" s="73"/>
      <c r="W1668" s="2" t="s">
        <v>4757</v>
      </c>
      <c r="X1668" s="10" t="s">
        <v>56</v>
      </c>
      <c r="Y1668" s="10" t="s">
        <v>68</v>
      </c>
      <c r="Z1668" s="75"/>
      <c r="AA1668" s="76"/>
      <c r="AB1668" s="77">
        <v>38901</v>
      </c>
      <c r="AC1668" s="77"/>
      <c r="AD1668" s="6"/>
      <c r="AE1668" s="7">
        <v>1998</v>
      </c>
      <c r="AF1668" s="7">
        <v>15</v>
      </c>
      <c r="AG1668" s="7">
        <v>2006</v>
      </c>
      <c r="AH1668" s="7">
        <v>2000</v>
      </c>
      <c r="AI1668" s="7"/>
      <c r="AJ1668" s="73"/>
      <c r="AK1668" s="7"/>
      <c r="AL1668" s="16" t="s">
        <v>4758</v>
      </c>
      <c r="AM1668" s="2" t="s">
        <v>53</v>
      </c>
      <c r="AO1668" s="6" t="s">
        <v>73</v>
      </c>
      <c r="AS1668" s="6" t="s">
        <v>73</v>
      </c>
      <c r="AT1668" s="6">
        <v>2007</v>
      </c>
      <c r="AU1668" s="16" t="s">
        <v>4759</v>
      </c>
      <c r="AW1668" s="6">
        <f t="shared" ca="1" si="28"/>
        <v>29</v>
      </c>
    </row>
    <row r="1669" ht="45" customHeight="1" outlineLevel="1">
      <c r="A1669" s="69"/>
      <c r="B1669" s="3" t="s">
        <v>190</v>
      </c>
      <c r="C1669" s="4" t="s">
        <v>4760</v>
      </c>
      <c r="D1669" s="5" t="s">
        <v>4761</v>
      </c>
      <c r="E1669" s="2" t="s">
        <v>63</v>
      </c>
      <c r="F1669" s="6" t="s">
        <v>428</v>
      </c>
      <c r="G1669" s="5" t="s">
        <v>3783</v>
      </c>
      <c r="H1669" s="2" t="s">
        <v>508</v>
      </c>
      <c r="I1669" s="3" t="s">
        <v>4762</v>
      </c>
      <c r="J1669" s="7">
        <v>1</v>
      </c>
      <c r="K1669" s="70" t="s">
        <v>53</v>
      </c>
      <c r="L1669" s="9">
        <v>1</v>
      </c>
      <c r="M1669" s="3">
        <v>1377</v>
      </c>
      <c r="N1669" s="6">
        <v>1996</v>
      </c>
      <c r="P1669" s="71"/>
      <c r="R1669" s="6">
        <v>1990</v>
      </c>
      <c r="S1669" s="3" t="s">
        <v>195</v>
      </c>
      <c r="T1669" s="72"/>
      <c r="U1669" s="73"/>
      <c r="W1669" s="74" t="s">
        <v>4763</v>
      </c>
      <c r="X1669" s="10" t="s">
        <v>504</v>
      </c>
      <c r="Y1669" s="10" t="s">
        <v>511</v>
      </c>
      <c r="Z1669" s="75"/>
      <c r="AA1669" s="76">
        <v>39721</v>
      </c>
      <c r="AB1669" s="6"/>
      <c r="AC1669" s="6"/>
      <c r="AD1669" s="6"/>
      <c r="AE1669" s="7">
        <v>2004</v>
      </c>
      <c r="AF1669" s="7">
        <v>42</v>
      </c>
      <c r="AG1669" s="7">
        <v>2008</v>
      </c>
      <c r="AH1669" s="7">
        <v>2000</v>
      </c>
      <c r="AI1669" s="7"/>
      <c r="AJ1669" s="73"/>
      <c r="AK1669" s="7"/>
      <c r="AL1669" s="16"/>
      <c r="AM1669" s="2" t="s">
        <v>53</v>
      </c>
      <c r="AU1669" s="16" t="s">
        <v>4764</v>
      </c>
      <c r="AW1669" s="6">
        <f t="shared" ca="1" si="28"/>
        <v>29</v>
      </c>
    </row>
    <row r="1670" ht="45" hidden="1" customHeight="1" outlineLevel="1">
      <c r="A1670" s="69">
        <v>42835</v>
      </c>
      <c r="B1670" s="3" t="s">
        <v>47</v>
      </c>
      <c r="C1670" s="4" t="s">
        <v>4765</v>
      </c>
      <c r="D1670" s="5" t="s">
        <v>3577</v>
      </c>
      <c r="E1670" s="2" t="s">
        <v>83</v>
      </c>
      <c r="F1670" s="6" t="s">
        <v>84</v>
      </c>
      <c r="G1670" s="5" t="s">
        <v>797</v>
      </c>
      <c r="H1670" s="2" t="s">
        <v>57</v>
      </c>
      <c r="I1670" s="3" t="s">
        <v>2520</v>
      </c>
      <c r="J1670" s="7">
        <v>1</v>
      </c>
      <c r="L1670" s="9">
        <v>1</v>
      </c>
      <c r="M1670" s="3">
        <v>1378</v>
      </c>
      <c r="N1670" s="6">
        <v>1996</v>
      </c>
      <c r="P1670" s="71"/>
      <c r="R1670" s="6">
        <v>1990</v>
      </c>
      <c r="S1670" s="3" t="s">
        <v>236</v>
      </c>
      <c r="T1670" s="72" t="s">
        <v>1136</v>
      </c>
      <c r="U1670" s="92">
        <v>43949</v>
      </c>
      <c r="W1670" s="2" t="s">
        <v>62</v>
      </c>
      <c r="X1670" s="10" t="s">
        <v>56</v>
      </c>
      <c r="Y1670" s="10" t="s">
        <v>57</v>
      </c>
      <c r="Z1670" s="75"/>
      <c r="AI1670" s="7"/>
      <c r="AJ1670" s="10">
        <v>43949</v>
      </c>
      <c r="AK1670" s="7">
        <v>2020</v>
      </c>
      <c r="AL1670" s="16"/>
      <c r="AW1670" s="6">
        <f t="shared" ca="1" si="28"/>
        <v>29</v>
      </c>
    </row>
    <row r="1671" ht="45" customHeight="1" outlineLevel="1">
      <c r="A1671" s="69"/>
      <c r="B1671" s="3" t="s">
        <v>47</v>
      </c>
      <c r="E1671" s="2" t="s">
        <v>63</v>
      </c>
      <c r="F1671" s="6" t="s">
        <v>428</v>
      </c>
      <c r="G1671" s="5" t="s">
        <v>2920</v>
      </c>
      <c r="H1671" s="2" t="s">
        <v>288</v>
      </c>
      <c r="I1671" s="3" t="s">
        <v>4766</v>
      </c>
      <c r="J1671" s="7">
        <v>1</v>
      </c>
      <c r="K1671" s="70" t="s">
        <v>53</v>
      </c>
      <c r="L1671" s="9">
        <v>1</v>
      </c>
      <c r="M1671" s="3">
        <v>1379</v>
      </c>
      <c r="N1671" s="6">
        <v>1997</v>
      </c>
      <c r="P1671" s="71"/>
      <c r="R1671" s="6">
        <v>1990</v>
      </c>
      <c r="S1671" s="3" t="s">
        <v>54</v>
      </c>
      <c r="T1671" s="72"/>
      <c r="U1671" s="73"/>
      <c r="W1671" s="2" t="s">
        <v>4767</v>
      </c>
      <c r="X1671" s="10" t="s">
        <v>56</v>
      </c>
      <c r="Y1671" s="10" t="s">
        <v>288</v>
      </c>
      <c r="Z1671" s="75"/>
      <c r="AA1671" s="76">
        <v>36700</v>
      </c>
      <c r="AB1671" s="77">
        <v>36700</v>
      </c>
      <c r="AC1671" s="77"/>
      <c r="AD1671" s="6"/>
      <c r="AE1671" s="7">
        <v>1999</v>
      </c>
      <c r="AF1671" s="7">
        <v>18</v>
      </c>
      <c r="AG1671" s="7">
        <v>2000</v>
      </c>
      <c r="AH1671" s="7">
        <v>2000</v>
      </c>
      <c r="AI1671" s="7"/>
      <c r="AJ1671" s="73"/>
      <c r="AK1671" s="7"/>
      <c r="AL1671" s="16" t="s">
        <v>4768</v>
      </c>
      <c r="AM1671" s="2" t="s">
        <v>53</v>
      </c>
      <c r="AN1671" s="6" t="s">
        <v>73</v>
      </c>
      <c r="AO1671" s="6" t="s">
        <v>53</v>
      </c>
      <c r="AP1671" s="6" t="s">
        <v>73</v>
      </c>
      <c r="AQ1671" s="5" t="s">
        <v>73</v>
      </c>
      <c r="AS1671" s="6" t="s">
        <v>73</v>
      </c>
      <c r="AT1671" s="6" t="s">
        <v>4769</v>
      </c>
      <c r="AU1671" s="16" t="s">
        <v>4770</v>
      </c>
      <c r="AW1671" s="6">
        <f t="shared" ca="1" si="28"/>
        <v>28</v>
      </c>
    </row>
    <row r="1672" ht="45" hidden="1" customHeight="1" outlineLevel="1">
      <c r="A1672" s="69">
        <v>44256</v>
      </c>
      <c r="B1672" s="3" t="s">
        <v>1926</v>
      </c>
      <c r="C1672" s="4" t="s">
        <v>4771</v>
      </c>
      <c r="D1672" s="5" t="s">
        <v>4772</v>
      </c>
      <c r="E1672" s="2" t="s">
        <v>83</v>
      </c>
      <c r="F1672" s="6" t="s">
        <v>84</v>
      </c>
      <c r="G1672" s="5" t="s">
        <v>85</v>
      </c>
      <c r="H1672" s="2" t="s">
        <v>88</v>
      </c>
      <c r="I1672" s="3" t="s">
        <v>4773</v>
      </c>
      <c r="J1672" s="7">
        <v>1</v>
      </c>
      <c r="K1672" s="104"/>
      <c r="L1672" s="9">
        <v>1</v>
      </c>
      <c r="M1672" s="3">
        <v>1380</v>
      </c>
      <c r="N1672" s="6">
        <v>1997</v>
      </c>
      <c r="O1672" s="10">
        <v>34255</v>
      </c>
      <c r="P1672" s="71" t="s">
        <v>4774</v>
      </c>
      <c r="Q1672" s="10">
        <v>35451</v>
      </c>
      <c r="R1672" s="6">
        <v>1990</v>
      </c>
      <c r="S1672" s="3" t="s">
        <v>283</v>
      </c>
      <c r="T1672" s="72" t="s">
        <v>998</v>
      </c>
      <c r="U1672" s="73"/>
      <c r="W1672" s="74" t="s">
        <v>62</v>
      </c>
      <c r="X1672" s="10" t="s">
        <v>91</v>
      </c>
      <c r="Y1672" s="10" t="s">
        <v>92</v>
      </c>
      <c r="Z1672" s="75"/>
      <c r="AA1672" s="76"/>
      <c r="AB1672" s="77"/>
      <c r="AC1672" s="77"/>
      <c r="AD1672" s="6"/>
      <c r="AI1672" s="7"/>
      <c r="AJ1672" s="73"/>
      <c r="AK1672" s="7"/>
      <c r="AW1672" s="6">
        <f t="shared" ca="1" si="28"/>
        <v>28</v>
      </c>
    </row>
    <row r="1673" ht="45" hidden="1" customHeight="1">
      <c r="A1673" s="69"/>
      <c r="B1673" s="3" t="s">
        <v>47</v>
      </c>
      <c r="C1673" s="116" t="s">
        <v>2140</v>
      </c>
      <c r="D1673" s="5" t="s">
        <v>4775</v>
      </c>
      <c r="E1673" s="2" t="s">
        <v>83</v>
      </c>
      <c r="F1673" s="6" t="s">
        <v>84</v>
      </c>
      <c r="G1673" s="5" t="s">
        <v>85</v>
      </c>
      <c r="H1673" s="2" t="s">
        <v>501</v>
      </c>
      <c r="I1673" s="96" t="s">
        <v>4776</v>
      </c>
      <c r="J1673" s="7">
        <v>1</v>
      </c>
      <c r="K1673" s="104"/>
      <c r="L1673" s="9">
        <v>1</v>
      </c>
      <c r="M1673" s="3">
        <v>1381</v>
      </c>
      <c r="N1673" s="6">
        <v>1997</v>
      </c>
      <c r="P1673" s="71"/>
      <c r="R1673" s="6">
        <v>1990</v>
      </c>
      <c r="S1673" s="3" t="s">
        <v>236</v>
      </c>
      <c r="T1673" s="72"/>
      <c r="U1673" s="73"/>
      <c r="W1673" s="2" t="s">
        <v>62</v>
      </c>
      <c r="X1673" s="10" t="s">
        <v>504</v>
      </c>
      <c r="Y1673" s="10" t="s">
        <v>501</v>
      </c>
      <c r="Z1673" s="75"/>
      <c r="AA1673" s="76"/>
      <c r="AB1673" s="77"/>
      <c r="AC1673" s="77"/>
      <c r="AD1673" s="6"/>
      <c r="AI1673" s="7"/>
      <c r="AJ1673" s="95">
        <v>40157</v>
      </c>
      <c r="AK1673" s="7">
        <v>2010</v>
      </c>
      <c r="AL1673" s="16"/>
      <c r="AW1673" s="6">
        <f t="shared" ca="1" si="28"/>
        <v>28</v>
      </c>
    </row>
    <row r="1674" ht="45" customHeight="1">
      <c r="A1674" s="69"/>
      <c r="B1674" s="3" t="s">
        <v>47</v>
      </c>
      <c r="C1674" s="4" t="s">
        <v>4777</v>
      </c>
      <c r="D1674" s="5" t="s">
        <v>4778</v>
      </c>
      <c r="E1674" s="2" t="s">
        <v>83</v>
      </c>
      <c r="F1674" s="6" t="s">
        <v>84</v>
      </c>
      <c r="G1674" s="5" t="s">
        <v>85</v>
      </c>
      <c r="H1674" s="2" t="s">
        <v>88</v>
      </c>
      <c r="I1674" s="3" t="s">
        <v>4779</v>
      </c>
      <c r="J1674" s="7">
        <v>1</v>
      </c>
      <c r="K1674" s="70" t="s">
        <v>53</v>
      </c>
      <c r="L1674" s="9">
        <v>1</v>
      </c>
      <c r="M1674" s="3">
        <v>1382</v>
      </c>
      <c r="N1674" s="6">
        <v>1997</v>
      </c>
      <c r="P1674" s="71"/>
      <c r="R1674" s="6">
        <v>1990</v>
      </c>
      <c r="S1674" s="3" t="s">
        <v>54</v>
      </c>
      <c r="T1674" s="72"/>
      <c r="U1674" s="73"/>
      <c r="W1674" s="2" t="s">
        <v>4780</v>
      </c>
      <c r="X1674" s="10" t="s">
        <v>91</v>
      </c>
      <c r="Y1674" s="10" t="s">
        <v>92</v>
      </c>
      <c r="Z1674" s="75"/>
      <c r="AA1674" s="76"/>
      <c r="AB1674" s="77">
        <v>41961</v>
      </c>
      <c r="AC1674" s="77"/>
      <c r="AD1674" s="6"/>
      <c r="AE1674" s="7">
        <v>2011</v>
      </c>
      <c r="AF1674" s="7">
        <v>67</v>
      </c>
      <c r="AG1674" s="7">
        <v>2014</v>
      </c>
      <c r="AH1674" s="7">
        <v>2010</v>
      </c>
      <c r="AI1674" s="7"/>
      <c r="AJ1674" s="73"/>
      <c r="AK1674" s="7"/>
      <c r="AL1674" s="198"/>
      <c r="AM1674" s="2" t="s">
        <v>59</v>
      </c>
      <c r="AO1674" s="6" t="s">
        <v>59</v>
      </c>
      <c r="AW1674" s="6">
        <f t="shared" ca="1" si="28"/>
        <v>28</v>
      </c>
    </row>
    <row r="1675" ht="45" hidden="1" customHeight="1" outlineLevel="1">
      <c r="A1675" s="69">
        <v>45076</v>
      </c>
      <c r="B1675" s="3" t="s">
        <v>47</v>
      </c>
      <c r="C1675" s="4" t="s">
        <v>4781</v>
      </c>
      <c r="D1675" s="189" t="s">
        <v>4782</v>
      </c>
      <c r="E1675" s="2" t="s">
        <v>63</v>
      </c>
      <c r="F1675" s="6" t="s">
        <v>172</v>
      </c>
      <c r="G1675" s="5" t="s">
        <v>2994</v>
      </c>
      <c r="H1675" s="2" t="s">
        <v>508</v>
      </c>
      <c r="I1675" s="3" t="s">
        <v>4783</v>
      </c>
      <c r="J1675" s="7">
        <v>1</v>
      </c>
      <c r="K1675" s="104"/>
      <c r="L1675" s="9">
        <v>1</v>
      </c>
      <c r="M1675" s="3">
        <v>1383</v>
      </c>
      <c r="N1675" s="6">
        <v>1997</v>
      </c>
      <c r="P1675" s="71"/>
      <c r="R1675" s="6">
        <v>1990</v>
      </c>
      <c r="S1675" s="3" t="s">
        <v>236</v>
      </c>
      <c r="T1675" s="72" t="s">
        <v>1136</v>
      </c>
      <c r="W1675" s="2" t="s">
        <v>62</v>
      </c>
      <c r="X1675" s="10" t="s">
        <v>504</v>
      </c>
      <c r="Y1675" s="10" t="s">
        <v>511</v>
      </c>
      <c r="Z1675" s="75"/>
      <c r="AA1675" s="76"/>
      <c r="AB1675" s="77"/>
      <c r="AC1675" s="77"/>
      <c r="AD1675" s="6"/>
      <c r="AI1675" s="7"/>
      <c r="AJ1675" s="10">
        <v>45301</v>
      </c>
      <c r="AK1675" s="6">
        <v>2020</v>
      </c>
      <c r="AL1675" s="16" t="s">
        <v>4784</v>
      </c>
      <c r="AW1675" s="6">
        <f t="shared" ca="1" si="28"/>
        <v>28</v>
      </c>
    </row>
    <row r="1676" ht="45" hidden="1" customHeight="1">
      <c r="A1676" s="69"/>
      <c r="B1676" s="3" t="s">
        <v>47</v>
      </c>
      <c r="C1676" s="4" t="s">
        <v>4785</v>
      </c>
      <c r="D1676" s="5" t="s">
        <v>4786</v>
      </c>
      <c r="E1676" s="2" t="s">
        <v>83</v>
      </c>
      <c r="F1676" s="6" t="s">
        <v>931</v>
      </c>
      <c r="G1676" s="5" t="s">
        <v>932</v>
      </c>
      <c r="H1676" s="2" t="s">
        <v>508</v>
      </c>
      <c r="I1676" s="3" t="s">
        <v>4787</v>
      </c>
      <c r="J1676" s="7">
        <v>1</v>
      </c>
      <c r="K1676" s="104"/>
      <c r="L1676" s="9">
        <v>1</v>
      </c>
      <c r="M1676" s="3">
        <v>1384</v>
      </c>
      <c r="N1676" s="6">
        <v>1997</v>
      </c>
      <c r="O1676" s="10">
        <v>35466</v>
      </c>
      <c r="P1676" s="71" t="s">
        <v>4788</v>
      </c>
      <c r="Q1676" s="10" t="s">
        <v>1453</v>
      </c>
      <c r="R1676" s="6">
        <v>1990</v>
      </c>
      <c r="S1676" s="3" t="s">
        <v>236</v>
      </c>
      <c r="T1676" s="72"/>
      <c r="U1676" s="73"/>
      <c r="W1676" s="2" t="s">
        <v>62</v>
      </c>
      <c r="X1676" s="10" t="s">
        <v>504</v>
      </c>
      <c r="Y1676" s="10" t="s">
        <v>511</v>
      </c>
      <c r="Z1676" s="75"/>
      <c r="AA1676" s="76"/>
      <c r="AB1676" s="77"/>
      <c r="AC1676" s="77"/>
      <c r="AD1676" s="6"/>
      <c r="AI1676" s="7"/>
      <c r="AJ1676" s="95">
        <v>41950</v>
      </c>
      <c r="AK1676" s="7">
        <v>2010</v>
      </c>
      <c r="AL1676" s="16"/>
      <c r="AW1676" s="6">
        <f t="shared" ca="1" si="28"/>
        <v>28</v>
      </c>
    </row>
    <row r="1677" ht="45" hidden="1" customHeight="1" outlineLevel="1">
      <c r="A1677" s="69"/>
      <c r="B1677" s="3" t="s">
        <v>47</v>
      </c>
      <c r="C1677" s="4" t="s">
        <v>4789</v>
      </c>
      <c r="D1677" s="5" t="s">
        <v>4790</v>
      </c>
      <c r="E1677" s="2" t="s">
        <v>1074</v>
      </c>
      <c r="F1677" s="6" t="s">
        <v>1075</v>
      </c>
      <c r="G1677" s="5" t="s">
        <v>3368</v>
      </c>
      <c r="H1677" s="2" t="s">
        <v>508</v>
      </c>
      <c r="I1677" s="3" t="s">
        <v>4791</v>
      </c>
      <c r="J1677" s="7">
        <v>1</v>
      </c>
      <c r="K1677" s="104"/>
      <c r="L1677" s="9">
        <v>1</v>
      </c>
      <c r="M1677" s="3">
        <v>1385</v>
      </c>
      <c r="N1677" s="6">
        <v>1997</v>
      </c>
      <c r="P1677" s="71"/>
      <c r="R1677" s="6">
        <v>1990</v>
      </c>
      <c r="S1677" s="3" t="s">
        <v>236</v>
      </c>
      <c r="T1677" s="72"/>
      <c r="U1677" s="73"/>
      <c r="W1677" s="2" t="s">
        <v>62</v>
      </c>
      <c r="X1677" s="10" t="s">
        <v>504</v>
      </c>
      <c r="Y1677" s="10" t="s">
        <v>511</v>
      </c>
      <c r="Z1677" s="75"/>
      <c r="AA1677" s="76"/>
      <c r="AB1677" s="77"/>
      <c r="AC1677" s="77"/>
      <c r="AD1677" s="6"/>
      <c r="AI1677" s="7"/>
      <c r="AJ1677" s="10">
        <v>42508</v>
      </c>
      <c r="AK1677" s="7">
        <v>2010</v>
      </c>
      <c r="AL1677" s="16"/>
      <c r="AW1677" s="6">
        <f t="shared" ca="1" si="28"/>
        <v>28</v>
      </c>
    </row>
    <row r="1678" ht="45" hidden="1" customHeight="1" outlineLevel="1">
      <c r="A1678" s="69"/>
      <c r="B1678" s="3" t="s">
        <v>190</v>
      </c>
      <c r="C1678" s="4" t="s">
        <v>4792</v>
      </c>
      <c r="D1678" s="5" t="s">
        <v>4793</v>
      </c>
      <c r="E1678" s="2" t="s">
        <v>83</v>
      </c>
      <c r="F1678" s="6" t="s">
        <v>84</v>
      </c>
      <c r="G1678" s="5" t="s">
        <v>85</v>
      </c>
      <c r="H1678" s="2" t="s">
        <v>68</v>
      </c>
      <c r="I1678" s="3" t="s">
        <v>4794</v>
      </c>
      <c r="J1678" s="7">
        <v>1</v>
      </c>
      <c r="K1678" s="104"/>
      <c r="L1678" s="9">
        <v>1</v>
      </c>
      <c r="M1678" s="3">
        <v>1386</v>
      </c>
      <c r="N1678" s="6">
        <v>1997</v>
      </c>
      <c r="P1678" s="71"/>
      <c r="R1678" s="6">
        <v>1990</v>
      </c>
      <c r="S1678" s="3" t="s">
        <v>283</v>
      </c>
      <c r="T1678" s="72"/>
      <c r="U1678" s="73"/>
      <c r="W1678" s="74" t="s">
        <v>62</v>
      </c>
      <c r="X1678" s="10" t="s">
        <v>56</v>
      </c>
      <c r="Y1678" s="10" t="s">
        <v>68</v>
      </c>
      <c r="Z1678" s="75"/>
      <c r="AA1678" s="76"/>
      <c r="AB1678" s="77"/>
      <c r="AC1678" s="77"/>
      <c r="AD1678" s="6"/>
      <c r="AI1678" s="7"/>
      <c r="AJ1678" s="73"/>
      <c r="AK1678" s="7"/>
      <c r="AL1678" s="16"/>
      <c r="AW1678" s="6">
        <f t="shared" ca="1" si="28"/>
        <v>28</v>
      </c>
    </row>
    <row r="1679" ht="45" hidden="1" customHeight="1" outlineLevel="1">
      <c r="A1679" s="69"/>
      <c r="B1679" s="3" t="s">
        <v>47</v>
      </c>
      <c r="C1679" s="4" t="s">
        <v>1263</v>
      </c>
      <c r="E1679" s="2" t="s">
        <v>83</v>
      </c>
      <c r="F1679" s="6" t="s">
        <v>84</v>
      </c>
      <c r="G1679" s="5" t="s">
        <v>85</v>
      </c>
      <c r="H1679" s="2" t="s">
        <v>501</v>
      </c>
      <c r="I1679" s="3" t="s">
        <v>4795</v>
      </c>
      <c r="J1679" s="7">
        <v>1</v>
      </c>
      <c r="K1679" s="104"/>
      <c r="L1679" s="9">
        <v>1</v>
      </c>
      <c r="M1679" s="3">
        <v>1387</v>
      </c>
      <c r="N1679" s="6">
        <v>1997</v>
      </c>
      <c r="P1679" s="71"/>
      <c r="R1679" s="6">
        <v>1990</v>
      </c>
      <c r="S1679" s="3" t="s">
        <v>236</v>
      </c>
      <c r="T1679" s="72"/>
      <c r="U1679" s="73"/>
      <c r="W1679" s="2" t="s">
        <v>62</v>
      </c>
      <c r="X1679" s="10" t="s">
        <v>504</v>
      </c>
      <c r="Y1679" s="10" t="s">
        <v>501</v>
      </c>
      <c r="Z1679" s="75"/>
      <c r="AA1679" s="76"/>
      <c r="AB1679" s="77"/>
      <c r="AC1679" s="77"/>
      <c r="AD1679" s="6"/>
      <c r="AI1679" s="7"/>
      <c r="AJ1679" s="95">
        <v>38044</v>
      </c>
      <c r="AK1679" s="7">
        <v>2000</v>
      </c>
      <c r="AL1679" s="16"/>
      <c r="AW1679" s="6">
        <f t="shared" ca="1" si="28"/>
        <v>28</v>
      </c>
    </row>
    <row r="1680" ht="45" customHeight="1" outlineLevel="1">
      <c r="A1680" s="69"/>
      <c r="B1680" s="3" t="s">
        <v>47</v>
      </c>
      <c r="C1680" s="4" t="s">
        <v>4796</v>
      </c>
      <c r="D1680" s="5" t="s">
        <v>4797</v>
      </c>
      <c r="E1680" s="2" t="s">
        <v>83</v>
      </c>
      <c r="F1680" s="6" t="s">
        <v>84</v>
      </c>
      <c r="G1680" s="5" t="s">
        <v>85</v>
      </c>
      <c r="H1680" s="2" t="s">
        <v>501</v>
      </c>
      <c r="I1680" s="3" t="s">
        <v>4798</v>
      </c>
      <c r="J1680" s="7">
        <v>1</v>
      </c>
      <c r="K1680" s="104" t="s">
        <v>53</v>
      </c>
      <c r="L1680" s="9">
        <v>1</v>
      </c>
      <c r="M1680" s="3">
        <v>1388</v>
      </c>
      <c r="N1680" s="6">
        <v>1997</v>
      </c>
      <c r="P1680" s="71"/>
      <c r="R1680" s="6">
        <v>1990</v>
      </c>
      <c r="S1680" s="3" t="s">
        <v>54</v>
      </c>
      <c r="T1680" s="72"/>
      <c r="U1680" s="73"/>
      <c r="W1680" s="2" t="s">
        <v>4799</v>
      </c>
      <c r="X1680" s="10" t="s">
        <v>504</v>
      </c>
      <c r="Y1680" s="10" t="s">
        <v>501</v>
      </c>
      <c r="Z1680" s="75"/>
      <c r="AA1680" s="13">
        <v>42717</v>
      </c>
      <c r="AB1680" s="14">
        <v>42718</v>
      </c>
      <c r="AC1680" s="14">
        <v>42719</v>
      </c>
      <c r="AD1680" s="6"/>
      <c r="AE1680" s="7">
        <v>2015</v>
      </c>
      <c r="AF1680" s="7">
        <v>79</v>
      </c>
      <c r="AG1680" s="93">
        <v>2016</v>
      </c>
      <c r="AH1680" s="7">
        <v>2010</v>
      </c>
      <c r="AI1680" s="7"/>
      <c r="AJ1680" s="73"/>
      <c r="AK1680" s="7"/>
      <c r="AL1680" s="16" t="s">
        <v>4800</v>
      </c>
      <c r="AM1680" s="2" t="s">
        <v>48</v>
      </c>
      <c r="AN1680" s="6" t="s">
        <v>73</v>
      </c>
      <c r="AO1680" s="6" t="s">
        <v>48</v>
      </c>
      <c r="AP1680" s="6" t="s">
        <v>73</v>
      </c>
      <c r="AQ1680" s="5" t="s">
        <v>73</v>
      </c>
      <c r="AR1680" s="2" t="s">
        <v>104</v>
      </c>
      <c r="AW1680" s="6">
        <f t="shared" ca="1" si="28"/>
        <v>28</v>
      </c>
    </row>
    <row r="1681" ht="45" hidden="1" customHeight="1" outlineLevel="1">
      <c r="A1681" s="69"/>
      <c r="B1681" s="3" t="s">
        <v>47</v>
      </c>
      <c r="C1681" s="4" t="s">
        <v>1345</v>
      </c>
      <c r="D1681" s="5" t="s">
        <v>4801</v>
      </c>
      <c r="E1681" s="2" t="s">
        <v>83</v>
      </c>
      <c r="F1681" s="6" t="s">
        <v>84</v>
      </c>
      <c r="G1681" s="5" t="s">
        <v>4802</v>
      </c>
      <c r="H1681" s="2" t="s">
        <v>508</v>
      </c>
      <c r="I1681" s="3" t="s">
        <v>4803</v>
      </c>
      <c r="J1681" s="7">
        <v>1</v>
      </c>
      <c r="K1681" s="104"/>
      <c r="L1681" s="9">
        <v>1</v>
      </c>
      <c r="M1681" s="3">
        <v>1389</v>
      </c>
      <c r="N1681" s="6">
        <v>1997</v>
      </c>
      <c r="P1681" s="71"/>
      <c r="R1681" s="6">
        <v>1990</v>
      </c>
      <c r="S1681" s="3" t="s">
        <v>236</v>
      </c>
      <c r="T1681" s="72"/>
      <c r="U1681" s="73"/>
      <c r="W1681" s="2" t="s">
        <v>62</v>
      </c>
      <c r="X1681" s="10" t="s">
        <v>504</v>
      </c>
      <c r="Y1681" s="10" t="s">
        <v>511</v>
      </c>
      <c r="Z1681" s="75"/>
      <c r="AA1681" s="76"/>
      <c r="AB1681" s="77"/>
      <c r="AC1681" s="77"/>
      <c r="AD1681" s="6"/>
      <c r="AI1681" s="7"/>
      <c r="AJ1681" s="95">
        <v>41878</v>
      </c>
      <c r="AK1681" s="7">
        <v>2010</v>
      </c>
      <c r="AL1681" s="5" t="s">
        <v>4804</v>
      </c>
      <c r="AW1681" s="6">
        <f t="shared" ca="1" si="28"/>
        <v>28</v>
      </c>
    </row>
    <row r="1682" ht="45" hidden="1" customHeight="1" outlineLevel="1">
      <c r="A1682" s="69"/>
      <c r="B1682" s="3" t="s">
        <v>190</v>
      </c>
      <c r="C1682" s="4" t="s">
        <v>4805</v>
      </c>
      <c r="D1682" s="5" t="s">
        <v>4806</v>
      </c>
      <c r="E1682" s="2" t="s">
        <v>83</v>
      </c>
      <c r="F1682" s="6" t="s">
        <v>84</v>
      </c>
      <c r="G1682" s="5" t="s">
        <v>85</v>
      </c>
      <c r="H1682" s="2" t="s">
        <v>68</v>
      </c>
      <c r="I1682" s="3" t="s">
        <v>4807</v>
      </c>
      <c r="J1682" s="7">
        <v>1</v>
      </c>
      <c r="K1682" s="104"/>
      <c r="L1682" s="9">
        <v>1</v>
      </c>
      <c r="M1682" s="3">
        <v>1390</v>
      </c>
      <c r="N1682" s="6">
        <v>1997</v>
      </c>
      <c r="P1682" s="71"/>
      <c r="R1682" s="6">
        <v>1990</v>
      </c>
      <c r="S1682" s="3" t="s">
        <v>283</v>
      </c>
      <c r="T1682" s="72"/>
      <c r="U1682" s="73"/>
      <c r="W1682" s="74" t="s">
        <v>62</v>
      </c>
      <c r="X1682" s="10" t="s">
        <v>56</v>
      </c>
      <c r="Y1682" s="10" t="s">
        <v>68</v>
      </c>
      <c r="Z1682" s="75" t="s">
        <v>905</v>
      </c>
      <c r="AA1682" s="76"/>
      <c r="AB1682" s="77"/>
      <c r="AC1682" s="77"/>
      <c r="AD1682" s="6"/>
      <c r="AI1682" s="7"/>
      <c r="AJ1682" s="73"/>
      <c r="AK1682" s="7"/>
      <c r="AL1682" s="16"/>
      <c r="AW1682" s="6">
        <f t="shared" ca="1" si="28"/>
        <v>28</v>
      </c>
    </row>
    <row r="1683" ht="45" customHeight="1" outlineLevel="1">
      <c r="A1683" s="69"/>
      <c r="B1683" s="3" t="s">
        <v>47</v>
      </c>
      <c r="E1683" s="2" t="s">
        <v>83</v>
      </c>
      <c r="F1683" s="6" t="s">
        <v>179</v>
      </c>
      <c r="G1683" s="5" t="s">
        <v>921</v>
      </c>
      <c r="H1683" s="2" t="s">
        <v>382</v>
      </c>
      <c r="I1683" s="3" t="s">
        <v>4808</v>
      </c>
      <c r="J1683" s="7">
        <v>1</v>
      </c>
      <c r="K1683" s="70" t="s">
        <v>53</v>
      </c>
      <c r="L1683" s="9">
        <v>1</v>
      </c>
      <c r="M1683" s="3">
        <v>1391</v>
      </c>
      <c r="N1683" s="6">
        <v>1997</v>
      </c>
      <c r="P1683" s="71"/>
      <c r="R1683" s="6">
        <v>1990</v>
      </c>
      <c r="S1683" s="3" t="s">
        <v>54</v>
      </c>
      <c r="T1683" s="72"/>
      <c r="U1683" s="73"/>
      <c r="W1683" s="2" t="s">
        <v>4809</v>
      </c>
      <c r="X1683" s="10" t="s">
        <v>91</v>
      </c>
      <c r="Y1683" s="10" t="s">
        <v>385</v>
      </c>
      <c r="Z1683" s="75"/>
      <c r="AA1683" s="76"/>
      <c r="AB1683" s="77"/>
      <c r="AC1683" s="77">
        <v>37207</v>
      </c>
      <c r="AD1683" s="10"/>
      <c r="AE1683" s="7">
        <v>2000</v>
      </c>
      <c r="AF1683" s="7">
        <v>25</v>
      </c>
      <c r="AG1683" s="7">
        <v>2001</v>
      </c>
      <c r="AH1683" s="7">
        <v>2000</v>
      </c>
      <c r="AI1683" s="7"/>
      <c r="AJ1683" s="73"/>
      <c r="AK1683" s="7"/>
      <c r="AL1683" s="16"/>
      <c r="AM1683" s="2" t="s">
        <v>59</v>
      </c>
      <c r="AW1683" s="6">
        <f t="shared" ca="1" si="28"/>
        <v>28</v>
      </c>
    </row>
    <row r="1684" ht="45" customHeight="1" outlineLevel="1">
      <c r="A1684" s="69"/>
      <c r="B1684" s="3" t="s">
        <v>47</v>
      </c>
      <c r="D1684" s="5" t="s">
        <v>4810</v>
      </c>
      <c r="E1684" s="2" t="s">
        <v>83</v>
      </c>
      <c r="F1684" s="6" t="s">
        <v>84</v>
      </c>
      <c r="G1684" s="5" t="s">
        <v>85</v>
      </c>
      <c r="H1684" s="2" t="s">
        <v>51</v>
      </c>
      <c r="I1684" s="3" t="s">
        <v>4811</v>
      </c>
      <c r="J1684" s="7">
        <v>1</v>
      </c>
      <c r="K1684" s="70" t="s">
        <v>53</v>
      </c>
      <c r="L1684" s="9">
        <v>1</v>
      </c>
      <c r="M1684" s="3">
        <v>1392</v>
      </c>
      <c r="N1684" s="6">
        <v>1997</v>
      </c>
      <c r="P1684" s="71"/>
      <c r="R1684" s="6">
        <v>1990</v>
      </c>
      <c r="S1684" s="3" t="s">
        <v>54</v>
      </c>
      <c r="T1684" s="72"/>
      <c r="U1684" s="73"/>
      <c r="W1684" s="2" t="s">
        <v>4812</v>
      </c>
      <c r="X1684" s="10" t="s">
        <v>56</v>
      </c>
      <c r="Y1684" s="10" t="s">
        <v>57</v>
      </c>
      <c r="Z1684" s="75"/>
      <c r="AA1684" s="76"/>
      <c r="AB1684" s="77">
        <v>40060</v>
      </c>
      <c r="AC1684" s="77"/>
      <c r="AD1684" s="10"/>
      <c r="AE1684" s="7">
        <v>2001</v>
      </c>
      <c r="AF1684" s="7">
        <v>28</v>
      </c>
      <c r="AG1684" s="7">
        <v>2009</v>
      </c>
      <c r="AH1684" s="7">
        <v>2000</v>
      </c>
      <c r="AI1684" s="7"/>
      <c r="AJ1684" s="73"/>
      <c r="AK1684" s="7"/>
      <c r="AL1684" s="101" t="s">
        <v>4813</v>
      </c>
      <c r="AM1684" s="2" t="s">
        <v>59</v>
      </c>
      <c r="AW1684" s="6">
        <f t="shared" ca="1" si="28"/>
        <v>28</v>
      </c>
    </row>
    <row r="1685" ht="45" hidden="1" customHeight="1" outlineLevel="1">
      <c r="A1685" s="69"/>
      <c r="B1685" s="3" t="s">
        <v>47</v>
      </c>
      <c r="C1685" s="4" t="s">
        <v>4814</v>
      </c>
      <c r="D1685" s="5" t="s">
        <v>4815</v>
      </c>
      <c r="E1685" s="2" t="s">
        <v>83</v>
      </c>
      <c r="F1685" s="6" t="s">
        <v>84</v>
      </c>
      <c r="G1685" s="5" t="s">
        <v>85</v>
      </c>
      <c r="H1685" s="2" t="s">
        <v>88</v>
      </c>
      <c r="I1685" s="3" t="s">
        <v>4816</v>
      </c>
      <c r="J1685" s="7">
        <v>1</v>
      </c>
      <c r="K1685" s="70"/>
      <c r="L1685" s="9">
        <v>1</v>
      </c>
      <c r="M1685" s="3">
        <v>1393</v>
      </c>
      <c r="N1685" s="6">
        <v>1997</v>
      </c>
      <c r="P1685" s="71"/>
      <c r="R1685" s="6">
        <v>1990</v>
      </c>
      <c r="S1685" s="3" t="s">
        <v>236</v>
      </c>
      <c r="T1685" s="72"/>
      <c r="U1685" s="73"/>
      <c r="W1685" s="2" t="s">
        <v>62</v>
      </c>
      <c r="X1685" s="10" t="s">
        <v>91</v>
      </c>
      <c r="Y1685" s="10" t="s">
        <v>214</v>
      </c>
      <c r="Z1685" s="75"/>
      <c r="AA1685" s="76"/>
      <c r="AB1685" s="77"/>
      <c r="AC1685" s="77"/>
      <c r="AD1685" s="10"/>
      <c r="AI1685" s="7"/>
      <c r="AJ1685" s="95">
        <v>41277</v>
      </c>
      <c r="AK1685" s="7">
        <v>2010</v>
      </c>
      <c r="AW1685" s="6">
        <f t="shared" ca="1" si="28"/>
        <v>28</v>
      </c>
    </row>
    <row r="1686" ht="45" hidden="1" customHeight="1" outlineLevel="1">
      <c r="A1686" s="69"/>
      <c r="B1686" s="3" t="s">
        <v>47</v>
      </c>
      <c r="C1686" s="4" t="s">
        <v>4814</v>
      </c>
      <c r="D1686" s="5" t="s">
        <v>4817</v>
      </c>
      <c r="E1686" s="2" t="s">
        <v>83</v>
      </c>
      <c r="F1686" s="6" t="s">
        <v>84</v>
      </c>
      <c r="G1686" s="5" t="s">
        <v>850</v>
      </c>
      <c r="H1686" s="2" t="s">
        <v>88</v>
      </c>
      <c r="I1686" s="3" t="s">
        <v>4818</v>
      </c>
      <c r="J1686" s="7">
        <v>1</v>
      </c>
      <c r="K1686" s="70"/>
      <c r="L1686" s="9">
        <v>1</v>
      </c>
      <c r="M1686" s="3">
        <v>1394</v>
      </c>
      <c r="N1686" s="6">
        <v>1997</v>
      </c>
      <c r="P1686" s="71"/>
      <c r="R1686" s="6">
        <v>1990</v>
      </c>
      <c r="S1686" s="3" t="s">
        <v>236</v>
      </c>
      <c r="T1686" s="72"/>
      <c r="U1686" s="73"/>
      <c r="W1686" s="2" t="s">
        <v>62</v>
      </c>
      <c r="X1686" s="10" t="s">
        <v>91</v>
      </c>
      <c r="Y1686" s="10" t="s">
        <v>214</v>
      </c>
      <c r="Z1686" s="75"/>
      <c r="AA1686" s="76"/>
      <c r="AB1686" s="77"/>
      <c r="AC1686" s="77"/>
      <c r="AD1686" s="10"/>
      <c r="AI1686" s="7"/>
      <c r="AJ1686" s="95">
        <v>41277</v>
      </c>
      <c r="AK1686" s="7">
        <v>2010</v>
      </c>
      <c r="AW1686" s="6">
        <f t="shared" ca="1" si="28"/>
        <v>28</v>
      </c>
    </row>
    <row r="1687" ht="45" hidden="1" customHeight="1" outlineLevel="1">
      <c r="A1687" s="132"/>
      <c r="B1687" s="3" t="s">
        <v>1926</v>
      </c>
      <c r="C1687" s="144" t="s">
        <v>4819</v>
      </c>
      <c r="D1687" s="199" t="s">
        <v>4820</v>
      </c>
      <c r="E1687" s="2" t="s">
        <v>83</v>
      </c>
      <c r="F1687" s="141" t="s">
        <v>179</v>
      </c>
      <c r="G1687" s="117" t="s">
        <v>180</v>
      </c>
      <c r="H1687" s="2" t="s">
        <v>88</v>
      </c>
      <c r="I1687" s="194" t="s">
        <v>4821</v>
      </c>
      <c r="J1687" s="7">
        <v>1</v>
      </c>
      <c r="K1687" s="133"/>
      <c r="L1687" s="9">
        <v>1</v>
      </c>
      <c r="M1687" s="194">
        <v>1395</v>
      </c>
      <c r="N1687" s="141">
        <v>1997</v>
      </c>
      <c r="P1687" s="71"/>
      <c r="R1687" s="6">
        <v>1990</v>
      </c>
      <c r="S1687" s="3" t="s">
        <v>236</v>
      </c>
      <c r="T1687" s="72"/>
      <c r="U1687" s="73"/>
      <c r="W1687" s="2" t="s">
        <v>62</v>
      </c>
      <c r="X1687" s="10" t="s">
        <v>91</v>
      </c>
      <c r="Y1687" s="10" t="s">
        <v>214</v>
      </c>
      <c r="Z1687" s="75"/>
      <c r="AA1687" s="137"/>
      <c r="AB1687" s="138"/>
      <c r="AC1687" s="138"/>
      <c r="AD1687" s="136"/>
      <c r="AE1687" s="139"/>
      <c r="AG1687" s="139"/>
      <c r="AH1687" s="139"/>
      <c r="AI1687" s="139"/>
      <c r="AJ1687" s="136"/>
      <c r="AK1687" s="139"/>
      <c r="AO1687" s="141"/>
      <c r="AP1687" s="141"/>
      <c r="AQ1687" s="117"/>
      <c r="AR1687" s="142"/>
      <c r="AS1687" s="141"/>
      <c r="AT1687" s="141"/>
      <c r="AU1687" s="140"/>
      <c r="AV1687" s="143"/>
      <c r="AW1687" s="6">
        <f t="shared" ca="1" si="28"/>
        <v>28</v>
      </c>
    </row>
    <row r="1688" ht="45" hidden="1" customHeight="1" outlineLevel="1">
      <c r="A1688" s="69"/>
      <c r="B1688" s="3" t="s">
        <v>47</v>
      </c>
      <c r="C1688" s="4" t="s">
        <v>4822</v>
      </c>
      <c r="D1688" s="5" t="s">
        <v>4823</v>
      </c>
      <c r="E1688" s="2" t="s">
        <v>83</v>
      </c>
      <c r="F1688" s="6" t="s">
        <v>84</v>
      </c>
      <c r="G1688" s="5" t="s">
        <v>85</v>
      </c>
      <c r="H1688" s="2" t="s">
        <v>88</v>
      </c>
      <c r="I1688" s="3" t="s">
        <v>4824</v>
      </c>
      <c r="J1688" s="7">
        <v>1</v>
      </c>
      <c r="K1688" s="70"/>
      <c r="L1688" s="9">
        <v>1</v>
      </c>
      <c r="M1688" s="3">
        <v>1396</v>
      </c>
      <c r="N1688" s="6">
        <v>1997</v>
      </c>
      <c r="P1688" s="71"/>
      <c r="R1688" s="6">
        <v>1990</v>
      </c>
      <c r="S1688" s="3" t="s">
        <v>236</v>
      </c>
      <c r="T1688" s="72"/>
      <c r="U1688" s="73"/>
      <c r="W1688" s="2" t="s">
        <v>62</v>
      </c>
      <c r="X1688" s="10" t="s">
        <v>91</v>
      </c>
      <c r="Y1688" s="10" t="s">
        <v>214</v>
      </c>
      <c r="Z1688" s="75"/>
      <c r="AA1688" s="76"/>
      <c r="AB1688" s="77"/>
      <c r="AC1688" s="77"/>
      <c r="AD1688" s="10"/>
      <c r="AI1688" s="7"/>
      <c r="AJ1688" s="95">
        <v>41256</v>
      </c>
      <c r="AK1688" s="7">
        <v>2010</v>
      </c>
      <c r="AW1688" s="6">
        <f t="shared" ca="1" si="28"/>
        <v>28</v>
      </c>
    </row>
    <row r="1689" ht="45" customHeight="1" outlineLevel="1">
      <c r="A1689" s="69">
        <v>42866</v>
      </c>
      <c r="B1689" s="3" t="s">
        <v>190</v>
      </c>
      <c r="C1689" s="4" t="s">
        <v>4825</v>
      </c>
      <c r="D1689" s="5" t="s">
        <v>4826</v>
      </c>
      <c r="E1689" s="2" t="s">
        <v>63</v>
      </c>
      <c r="F1689" s="6" t="s">
        <v>1230</v>
      </c>
      <c r="G1689" s="5" t="s">
        <v>1606</v>
      </c>
      <c r="H1689" s="2" t="s">
        <v>288</v>
      </c>
      <c r="I1689" s="3" t="s">
        <v>4827</v>
      </c>
      <c r="J1689" s="7">
        <v>1</v>
      </c>
      <c r="K1689" s="70" t="s">
        <v>53</v>
      </c>
      <c r="L1689" s="9">
        <v>1</v>
      </c>
      <c r="M1689" s="3">
        <v>1397</v>
      </c>
      <c r="N1689" s="6">
        <v>1997</v>
      </c>
      <c r="P1689" s="71"/>
      <c r="R1689" s="6">
        <v>1990</v>
      </c>
      <c r="S1689" s="3" t="s">
        <v>195</v>
      </c>
      <c r="T1689" s="72"/>
      <c r="U1689" s="73"/>
      <c r="W1689" s="200" t="s">
        <v>4828</v>
      </c>
      <c r="X1689" s="10" t="s">
        <v>56</v>
      </c>
      <c r="Y1689" s="10" t="s">
        <v>288</v>
      </c>
      <c r="Z1689" s="75"/>
      <c r="AA1689" s="13">
        <v>39993</v>
      </c>
      <c r="AB1689" s="14">
        <v>39993</v>
      </c>
      <c r="AE1689" s="7">
        <v>2006</v>
      </c>
      <c r="AF1689" s="7">
        <v>49</v>
      </c>
      <c r="AG1689" s="7">
        <v>2009</v>
      </c>
      <c r="AH1689" s="7">
        <v>2000</v>
      </c>
      <c r="AI1689" s="7"/>
      <c r="AJ1689" s="73"/>
      <c r="AK1689" s="7"/>
      <c r="AL1689" s="16"/>
      <c r="AM1689" s="2" t="s">
        <v>53</v>
      </c>
      <c r="AO1689" s="6" t="s">
        <v>136</v>
      </c>
      <c r="AP1689" s="6" t="s">
        <v>104</v>
      </c>
      <c r="AR1689" s="87" t="s">
        <v>104</v>
      </c>
      <c r="AS1689" s="88" t="s">
        <v>73</v>
      </c>
      <c r="AT1689" s="88">
        <v>2016</v>
      </c>
      <c r="AU1689" s="89" t="s">
        <v>4829</v>
      </c>
      <c r="AV1689" s="90"/>
      <c r="AW1689" s="6">
        <f t="shared" ca="1" si="28"/>
        <v>28</v>
      </c>
    </row>
    <row r="1690" ht="45" hidden="1" customHeight="1" outlineLevel="1">
      <c r="A1690" s="69">
        <v>45096</v>
      </c>
      <c r="B1690" s="3" t="s">
        <v>190</v>
      </c>
      <c r="C1690" s="4" t="s">
        <v>4830</v>
      </c>
      <c r="D1690" s="5" t="s">
        <v>4831</v>
      </c>
      <c r="E1690" s="2" t="s">
        <v>63</v>
      </c>
      <c r="F1690" s="6" t="s">
        <v>354</v>
      </c>
      <c r="G1690" s="5" t="s">
        <v>4832</v>
      </c>
      <c r="H1690" s="2" t="s">
        <v>4501</v>
      </c>
      <c r="I1690" s="3" t="s">
        <v>4833</v>
      </c>
      <c r="J1690" s="7">
        <v>1</v>
      </c>
      <c r="L1690" s="9">
        <v>1</v>
      </c>
      <c r="M1690" s="3">
        <v>1398</v>
      </c>
      <c r="N1690" s="6">
        <v>1997</v>
      </c>
      <c r="O1690" s="10">
        <v>35578</v>
      </c>
      <c r="P1690" s="71" t="s">
        <v>4834</v>
      </c>
      <c r="Q1690" s="10">
        <v>35597</v>
      </c>
      <c r="R1690" s="6">
        <v>1990</v>
      </c>
      <c r="S1690" s="3" t="s">
        <v>283</v>
      </c>
      <c r="T1690" s="72"/>
      <c r="U1690" s="73"/>
      <c r="W1690" s="74" t="s">
        <v>62</v>
      </c>
      <c r="X1690" s="10" t="s">
        <v>56</v>
      </c>
      <c r="Y1690" s="10" t="s">
        <v>4501</v>
      </c>
      <c r="Z1690" s="75"/>
      <c r="AI1690" s="7"/>
      <c r="AJ1690" s="73"/>
      <c r="AK1690" s="7"/>
      <c r="AL1690" s="16"/>
      <c r="AW1690" s="6">
        <f t="shared" ca="1" si="28"/>
        <v>28</v>
      </c>
    </row>
    <row r="1691" ht="45" hidden="1" customHeight="1" outlineLevel="1">
      <c r="A1691" s="69">
        <v>45513</v>
      </c>
      <c r="B1691" s="3" t="s">
        <v>1926</v>
      </c>
      <c r="C1691" s="4" t="s">
        <v>4835</v>
      </c>
      <c r="D1691" s="117" t="s">
        <v>4836</v>
      </c>
      <c r="E1691" s="2" t="s">
        <v>63</v>
      </c>
      <c r="F1691" s="6" t="s">
        <v>83</v>
      </c>
      <c r="G1691" s="5" t="s">
        <v>4837</v>
      </c>
      <c r="H1691" s="2" t="s">
        <v>4501</v>
      </c>
      <c r="I1691" s="3" t="s">
        <v>4838</v>
      </c>
      <c r="J1691" s="7">
        <v>1</v>
      </c>
      <c r="L1691" s="9">
        <v>1</v>
      </c>
      <c r="M1691" s="3">
        <v>1399</v>
      </c>
      <c r="N1691" s="6">
        <v>1997</v>
      </c>
      <c r="O1691" s="10">
        <v>35578</v>
      </c>
      <c r="P1691" s="71" t="s">
        <v>4839</v>
      </c>
      <c r="Q1691" s="10">
        <v>35599</v>
      </c>
      <c r="R1691" s="6">
        <v>1990</v>
      </c>
      <c r="S1691" s="3" t="s">
        <v>283</v>
      </c>
      <c r="T1691" s="72"/>
      <c r="U1691" s="73"/>
      <c r="W1691" s="74" t="s">
        <v>62</v>
      </c>
      <c r="X1691" s="10" t="s">
        <v>56</v>
      </c>
      <c r="Y1691" s="10" t="s">
        <v>4501</v>
      </c>
      <c r="Z1691" s="75"/>
      <c r="AI1691" s="7"/>
      <c r="AJ1691" s="73"/>
      <c r="AK1691" s="7"/>
      <c r="AL1691" s="16"/>
      <c r="AW1691" s="6">
        <f t="shared" ca="1" si="28"/>
        <v>28</v>
      </c>
    </row>
    <row r="1692" ht="45" hidden="1" customHeight="1" outlineLevel="1">
      <c r="A1692" s="69" t="s">
        <v>4840</v>
      </c>
      <c r="B1692" s="3" t="s">
        <v>190</v>
      </c>
      <c r="C1692" s="4" t="s">
        <v>4841</v>
      </c>
      <c r="D1692" s="5" t="s">
        <v>4842</v>
      </c>
      <c r="E1692" s="2" t="s">
        <v>63</v>
      </c>
      <c r="F1692" s="6" t="s">
        <v>172</v>
      </c>
      <c r="G1692" s="5" t="s">
        <v>4843</v>
      </c>
      <c r="H1692" s="2" t="s">
        <v>4501</v>
      </c>
      <c r="I1692" s="3" t="s">
        <v>4844</v>
      </c>
      <c r="J1692" s="7">
        <v>1</v>
      </c>
      <c r="L1692" s="9">
        <v>1</v>
      </c>
      <c r="M1692" s="3">
        <v>1400</v>
      </c>
      <c r="N1692" s="6">
        <v>1997</v>
      </c>
      <c r="O1692" s="201">
        <v>35578</v>
      </c>
      <c r="P1692" s="71" t="s">
        <v>4839</v>
      </c>
      <c r="Q1692" s="10">
        <v>35599</v>
      </c>
      <c r="R1692" s="6">
        <v>1990</v>
      </c>
      <c r="S1692" s="3" t="s">
        <v>283</v>
      </c>
      <c r="T1692" s="72"/>
      <c r="U1692" s="73"/>
      <c r="W1692" s="74" t="s">
        <v>62</v>
      </c>
      <c r="X1692" s="10" t="s">
        <v>56</v>
      </c>
      <c r="Y1692" s="10" t="s">
        <v>4501</v>
      </c>
      <c r="Z1692" s="75"/>
      <c r="AI1692" s="7"/>
      <c r="AJ1692" s="73"/>
      <c r="AK1692" s="7"/>
      <c r="AL1692" s="16"/>
      <c r="AW1692" s="6">
        <f t="shared" ca="1" si="28"/>
        <v>28</v>
      </c>
    </row>
    <row r="1693" ht="45" hidden="1" customHeight="1">
      <c r="A1693" s="69">
        <v>45219</v>
      </c>
      <c r="B1693" s="3" t="s">
        <v>190</v>
      </c>
      <c r="C1693" s="4" t="s">
        <v>4845</v>
      </c>
      <c r="D1693" s="5" t="s">
        <v>4846</v>
      </c>
      <c r="E1693" s="2" t="s">
        <v>63</v>
      </c>
      <c r="F1693" s="6" t="s">
        <v>64</v>
      </c>
      <c r="G1693" s="5" t="s">
        <v>4847</v>
      </c>
      <c r="H1693" s="2" t="s">
        <v>4501</v>
      </c>
      <c r="I1693" s="3" t="s">
        <v>4848</v>
      </c>
      <c r="J1693" s="7">
        <v>1</v>
      </c>
      <c r="L1693" s="9">
        <v>1</v>
      </c>
      <c r="M1693" s="3">
        <v>1401</v>
      </c>
      <c r="N1693" s="6">
        <v>1997</v>
      </c>
      <c r="O1693" s="10">
        <v>35578</v>
      </c>
      <c r="P1693" s="6" t="s">
        <v>4849</v>
      </c>
      <c r="Q1693" s="10">
        <v>35599</v>
      </c>
      <c r="R1693" s="6">
        <v>1990</v>
      </c>
      <c r="S1693" s="3" t="s">
        <v>283</v>
      </c>
      <c r="T1693" s="72"/>
      <c r="U1693" s="73"/>
      <c r="W1693" s="74" t="s">
        <v>62</v>
      </c>
      <c r="X1693" s="10" t="s">
        <v>56</v>
      </c>
      <c r="Y1693" s="10" t="s">
        <v>4501</v>
      </c>
      <c r="Z1693" s="75"/>
      <c r="AI1693" s="7"/>
      <c r="AJ1693" s="73"/>
      <c r="AK1693" s="7"/>
      <c r="AL1693" s="16"/>
      <c r="AW1693" s="6">
        <f t="shared" ca="1" si="28"/>
        <v>28</v>
      </c>
    </row>
    <row r="1694" ht="45" hidden="1" customHeight="1" outlineLevel="1">
      <c r="A1694" s="69"/>
      <c r="B1694" s="3" t="s">
        <v>47</v>
      </c>
      <c r="C1694" s="4" t="s">
        <v>2846</v>
      </c>
      <c r="D1694" s="5" t="s">
        <v>4850</v>
      </c>
      <c r="E1694" s="2" t="s">
        <v>63</v>
      </c>
      <c r="F1694" s="6" t="s">
        <v>172</v>
      </c>
      <c r="G1694" s="5" t="s">
        <v>4851</v>
      </c>
      <c r="H1694" s="2" t="s">
        <v>508</v>
      </c>
      <c r="I1694" s="3" t="s">
        <v>4852</v>
      </c>
      <c r="J1694" s="7">
        <v>1</v>
      </c>
      <c r="L1694" s="9">
        <v>1</v>
      </c>
      <c r="M1694" s="3">
        <v>1402</v>
      </c>
      <c r="N1694" s="6">
        <v>1997</v>
      </c>
      <c r="P1694" s="71"/>
      <c r="R1694" s="6">
        <v>1990</v>
      </c>
      <c r="S1694" s="3" t="s">
        <v>236</v>
      </c>
      <c r="T1694" s="72"/>
      <c r="U1694" s="73"/>
      <c r="W1694" s="2" t="s">
        <v>62</v>
      </c>
      <c r="X1694" s="10" t="s">
        <v>56</v>
      </c>
      <c r="Y1694" s="10" t="s">
        <v>511</v>
      </c>
      <c r="Z1694" s="75"/>
      <c r="AI1694" s="7"/>
      <c r="AJ1694" s="10">
        <v>42503</v>
      </c>
      <c r="AK1694" s="7">
        <v>2010</v>
      </c>
      <c r="AL1694" s="16"/>
      <c r="AW1694" s="6">
        <f t="shared" ca="1" si="28"/>
        <v>28</v>
      </c>
    </row>
    <row r="1695" ht="45" hidden="1" customHeight="1">
      <c r="A1695" s="69"/>
      <c r="B1695" s="3" t="s">
        <v>47</v>
      </c>
      <c r="C1695" s="4" t="s">
        <v>4853</v>
      </c>
      <c r="D1695" s="5" t="s">
        <v>4854</v>
      </c>
      <c r="E1695" s="2" t="s">
        <v>63</v>
      </c>
      <c r="F1695" s="6" t="s">
        <v>428</v>
      </c>
      <c r="G1695" s="5" t="s">
        <v>3783</v>
      </c>
      <c r="H1695" s="2" t="s">
        <v>508</v>
      </c>
      <c r="I1695" s="3" t="s">
        <v>4855</v>
      </c>
      <c r="J1695" s="7">
        <v>1</v>
      </c>
      <c r="L1695" s="9">
        <v>1</v>
      </c>
      <c r="M1695" s="3">
        <v>1403</v>
      </c>
      <c r="N1695" s="6">
        <v>1997</v>
      </c>
      <c r="P1695" s="71"/>
      <c r="R1695" s="6">
        <v>1990</v>
      </c>
      <c r="S1695" s="3" t="s">
        <v>939</v>
      </c>
      <c r="T1695" s="72"/>
      <c r="U1695" s="73"/>
      <c r="W1695" s="2" t="s">
        <v>62</v>
      </c>
      <c r="X1695" s="10" t="s">
        <v>56</v>
      </c>
      <c r="Y1695" s="10" t="s">
        <v>4501</v>
      </c>
      <c r="Z1695" s="75"/>
      <c r="AI1695" s="7"/>
      <c r="AJ1695" s="73"/>
      <c r="AK1695" s="7"/>
      <c r="AL1695" s="16"/>
      <c r="AW1695" s="6">
        <f t="shared" ca="1" si="28"/>
        <v>28</v>
      </c>
    </row>
    <row r="1696" ht="45" hidden="1" customHeight="1" outlineLevel="1">
      <c r="A1696" s="69"/>
      <c r="B1696" s="3" t="s">
        <v>47</v>
      </c>
      <c r="C1696" s="4" t="s">
        <v>3134</v>
      </c>
      <c r="D1696" s="5" t="s">
        <v>4856</v>
      </c>
      <c r="E1696" s="2" t="s">
        <v>83</v>
      </c>
      <c r="F1696" s="6" t="s">
        <v>931</v>
      </c>
      <c r="G1696" s="5" t="s">
        <v>932</v>
      </c>
      <c r="H1696" s="2" t="s">
        <v>57</v>
      </c>
      <c r="I1696" s="3" t="s">
        <v>4857</v>
      </c>
      <c r="J1696" s="7">
        <v>1</v>
      </c>
      <c r="L1696" s="9">
        <v>1</v>
      </c>
      <c r="M1696" s="3">
        <v>1404</v>
      </c>
      <c r="N1696" s="6">
        <v>1997</v>
      </c>
      <c r="P1696" s="71"/>
      <c r="R1696" s="6">
        <v>1990</v>
      </c>
      <c r="S1696" s="3" t="s">
        <v>236</v>
      </c>
      <c r="T1696" s="72"/>
      <c r="U1696" s="73"/>
      <c r="W1696" s="2" t="s">
        <v>62</v>
      </c>
      <c r="X1696" s="10" t="s">
        <v>56</v>
      </c>
      <c r="Y1696" s="10" t="s">
        <v>57</v>
      </c>
      <c r="Z1696" s="75"/>
      <c r="AI1696" s="7"/>
      <c r="AJ1696" s="95">
        <v>41877</v>
      </c>
      <c r="AK1696" s="7">
        <v>2010</v>
      </c>
      <c r="AL1696" s="16"/>
      <c r="AW1696" s="6">
        <f t="shared" ca="1" si="28"/>
        <v>28</v>
      </c>
    </row>
    <row r="1697" ht="45" customHeight="1" outlineLevel="1">
      <c r="A1697" s="69"/>
      <c r="B1697" s="3" t="s">
        <v>47</v>
      </c>
      <c r="E1697" s="2" t="s">
        <v>83</v>
      </c>
      <c r="F1697" s="6" t="s">
        <v>84</v>
      </c>
      <c r="G1697" s="5" t="s">
        <v>4858</v>
      </c>
      <c r="H1697" s="2" t="s">
        <v>508</v>
      </c>
      <c r="I1697" s="3" t="s">
        <v>4859</v>
      </c>
      <c r="J1697" s="7">
        <v>1</v>
      </c>
      <c r="K1697" s="70" t="s">
        <v>53</v>
      </c>
      <c r="L1697" s="9">
        <v>1</v>
      </c>
      <c r="M1697" s="3">
        <v>1405</v>
      </c>
      <c r="N1697" s="6">
        <v>1997</v>
      </c>
      <c r="P1697" s="71"/>
      <c r="R1697" s="6">
        <v>1990</v>
      </c>
      <c r="S1697" s="3" t="s">
        <v>54</v>
      </c>
      <c r="T1697" s="72"/>
      <c r="U1697" s="73"/>
      <c r="W1697" s="2" t="s">
        <v>4860</v>
      </c>
      <c r="X1697" s="10" t="s">
        <v>504</v>
      </c>
      <c r="Y1697" s="10" t="s">
        <v>511</v>
      </c>
      <c r="Z1697" s="75"/>
      <c r="AA1697" s="76">
        <v>38174</v>
      </c>
      <c r="AB1697" s="77"/>
      <c r="AC1697" s="77"/>
      <c r="AD1697" s="77"/>
      <c r="AE1697" s="7">
        <v>2002</v>
      </c>
      <c r="AF1697" s="7">
        <v>38</v>
      </c>
      <c r="AG1697" s="7">
        <v>2004</v>
      </c>
      <c r="AH1697" s="7">
        <v>2000</v>
      </c>
      <c r="AI1697" s="7"/>
      <c r="AJ1697" s="73"/>
      <c r="AK1697" s="7"/>
      <c r="AL1697" s="16"/>
      <c r="AW1697" s="6">
        <f t="shared" ca="1" si="28"/>
        <v>28</v>
      </c>
    </row>
    <row r="1698" ht="45" customHeight="1" outlineLevel="1">
      <c r="A1698" s="69"/>
      <c r="B1698" s="3" t="s">
        <v>47</v>
      </c>
      <c r="D1698" s="5" t="s">
        <v>4861</v>
      </c>
      <c r="E1698" s="2" t="s">
        <v>83</v>
      </c>
      <c r="F1698" s="6" t="s">
        <v>84</v>
      </c>
      <c r="G1698" s="5" t="s">
        <v>85</v>
      </c>
      <c r="H1698" s="2" t="s">
        <v>57</v>
      </c>
      <c r="I1698" s="3" t="s">
        <v>4862</v>
      </c>
      <c r="J1698" s="7">
        <v>1</v>
      </c>
      <c r="K1698" s="70" t="s">
        <v>53</v>
      </c>
      <c r="L1698" s="9">
        <v>1</v>
      </c>
      <c r="M1698" s="3">
        <v>1406</v>
      </c>
      <c r="N1698" s="6">
        <v>1997</v>
      </c>
      <c r="P1698" s="71"/>
      <c r="R1698" s="6">
        <v>1990</v>
      </c>
      <c r="S1698" s="3" t="s">
        <v>54</v>
      </c>
      <c r="T1698" s="72"/>
      <c r="U1698" s="73"/>
      <c r="W1698" s="2" t="s">
        <v>4863</v>
      </c>
      <c r="X1698" s="10" t="s">
        <v>56</v>
      </c>
      <c r="Y1698" s="10" t="s">
        <v>57</v>
      </c>
      <c r="Z1698" s="75"/>
      <c r="AA1698" s="76"/>
      <c r="AB1698" s="77">
        <v>40911</v>
      </c>
      <c r="AC1698" s="77">
        <v>35972</v>
      </c>
      <c r="AD1698" s="10"/>
      <c r="AE1698" s="7">
        <v>1998</v>
      </c>
      <c r="AF1698" s="7">
        <v>13</v>
      </c>
      <c r="AG1698" s="7">
        <v>1998</v>
      </c>
      <c r="AH1698" s="7">
        <v>1990</v>
      </c>
      <c r="AI1698" s="7"/>
      <c r="AJ1698" s="73"/>
      <c r="AK1698" s="7"/>
      <c r="AL1698" s="16"/>
      <c r="AM1698" s="2" t="s">
        <v>59</v>
      </c>
      <c r="AW1698" s="6">
        <f t="shared" ca="1" si="28"/>
        <v>28</v>
      </c>
    </row>
    <row r="1699" ht="45" customHeight="1" outlineLevel="1">
      <c r="A1699" s="69">
        <v>44739</v>
      </c>
      <c r="B1699" s="3" t="s">
        <v>47</v>
      </c>
      <c r="C1699" s="4" t="s">
        <v>4864</v>
      </c>
      <c r="D1699" s="5" t="s">
        <v>4865</v>
      </c>
      <c r="E1699" s="2" t="s">
        <v>83</v>
      </c>
      <c r="F1699" s="6" t="s">
        <v>704</v>
      </c>
      <c r="G1699" s="5" t="s">
        <v>705</v>
      </c>
      <c r="H1699" s="2" t="s">
        <v>57</v>
      </c>
      <c r="I1699" s="3" t="s">
        <v>4866</v>
      </c>
      <c r="J1699" s="7">
        <v>1</v>
      </c>
      <c r="K1699" s="104" t="s">
        <v>1748</v>
      </c>
      <c r="L1699" s="9">
        <v>1</v>
      </c>
      <c r="M1699" s="3">
        <v>1407</v>
      </c>
      <c r="N1699" s="6">
        <v>1997</v>
      </c>
      <c r="O1699" s="10" t="s">
        <v>4867</v>
      </c>
      <c r="P1699" s="71" t="s">
        <v>4868</v>
      </c>
      <c r="Q1699" s="10">
        <v>35682</v>
      </c>
      <c r="R1699" s="6">
        <v>1990</v>
      </c>
      <c r="S1699" s="3" t="s">
        <v>2102</v>
      </c>
      <c r="T1699" s="72" t="s">
        <v>998</v>
      </c>
      <c r="U1699" s="73"/>
      <c r="V1699" s="202"/>
      <c r="W1699" s="203" t="s">
        <v>4869</v>
      </c>
      <c r="X1699" s="10" t="s">
        <v>56</v>
      </c>
      <c r="Y1699" s="10" t="s">
        <v>57</v>
      </c>
      <c r="Z1699" s="75" t="s">
        <v>4870</v>
      </c>
      <c r="AA1699" s="76"/>
      <c r="AB1699" s="6"/>
      <c r="AC1699" s="6"/>
      <c r="AD1699" s="6"/>
      <c r="AI1699" s="7"/>
      <c r="AJ1699" s="73"/>
      <c r="AK1699" s="7"/>
      <c r="AL1699" s="16" t="s">
        <v>4871</v>
      </c>
      <c r="AM1699" s="2" t="s">
        <v>48</v>
      </c>
      <c r="AN1699" s="6" t="s">
        <v>73</v>
      </c>
      <c r="AO1699" s="6" t="s">
        <v>48</v>
      </c>
      <c r="AP1699" s="6" t="s">
        <v>73</v>
      </c>
      <c r="AQ1699" s="5" t="s">
        <v>73</v>
      </c>
      <c r="AW1699" s="6">
        <f t="shared" ca="1" si="28"/>
        <v>28</v>
      </c>
    </row>
    <row r="1700" ht="45" hidden="1" customHeight="1" outlineLevel="1">
      <c r="A1700" s="69"/>
      <c r="B1700" s="3" t="s">
        <v>47</v>
      </c>
      <c r="C1700" s="4" t="s">
        <v>4872</v>
      </c>
      <c r="E1700" s="2" t="s">
        <v>63</v>
      </c>
      <c r="F1700" s="6" t="s">
        <v>64</v>
      </c>
      <c r="G1700" s="5" t="s">
        <v>69</v>
      </c>
      <c r="H1700" s="2" t="s">
        <v>57</v>
      </c>
      <c r="I1700" s="3" t="s">
        <v>4873</v>
      </c>
      <c r="J1700" s="7">
        <v>1</v>
      </c>
      <c r="K1700" s="104"/>
      <c r="L1700" s="9">
        <v>1</v>
      </c>
      <c r="M1700" s="3">
        <v>1408</v>
      </c>
      <c r="N1700" s="6">
        <v>1997</v>
      </c>
      <c r="P1700" s="71"/>
      <c r="R1700" s="6">
        <v>1990</v>
      </c>
      <c r="S1700" s="3" t="s">
        <v>236</v>
      </c>
      <c r="T1700" s="72"/>
      <c r="U1700" s="73"/>
      <c r="W1700" s="2" t="s">
        <v>62</v>
      </c>
      <c r="X1700" s="10" t="s">
        <v>56</v>
      </c>
      <c r="Y1700" s="10" t="s">
        <v>57</v>
      </c>
      <c r="Z1700" s="75"/>
      <c r="AA1700" s="76"/>
      <c r="AB1700" s="6"/>
      <c r="AC1700" s="6"/>
      <c r="AD1700" s="6"/>
      <c r="AI1700" s="7"/>
      <c r="AJ1700" s="95">
        <v>39595</v>
      </c>
      <c r="AK1700" s="7">
        <v>2000</v>
      </c>
      <c r="AL1700" s="16" t="s">
        <v>4874</v>
      </c>
      <c r="AW1700" s="6">
        <f t="shared" ca="1" si="28"/>
        <v>28</v>
      </c>
    </row>
    <row r="1701" ht="45" hidden="1" customHeight="1" outlineLevel="1">
      <c r="A1701" s="69">
        <v>45096</v>
      </c>
      <c r="B1701" s="3" t="s">
        <v>190</v>
      </c>
      <c r="C1701" s="4" t="s">
        <v>4875</v>
      </c>
      <c r="D1701" s="5" t="s">
        <v>4876</v>
      </c>
      <c r="E1701" s="2" t="s">
        <v>83</v>
      </c>
      <c r="F1701" s="6" t="s">
        <v>179</v>
      </c>
      <c r="G1701" s="5" t="s">
        <v>4877</v>
      </c>
      <c r="H1701" s="2" t="s">
        <v>4501</v>
      </c>
      <c r="I1701" s="3" t="s">
        <v>4878</v>
      </c>
      <c r="J1701" s="7">
        <v>1</v>
      </c>
      <c r="K1701" s="70"/>
      <c r="L1701" s="9">
        <v>1</v>
      </c>
      <c r="M1701" s="3">
        <v>1409</v>
      </c>
      <c r="N1701" s="6">
        <v>1998</v>
      </c>
      <c r="O1701" s="10">
        <v>35825</v>
      </c>
      <c r="P1701" s="71" t="s">
        <v>4879</v>
      </c>
      <c r="R1701" s="6">
        <v>1990</v>
      </c>
      <c r="S1701" s="3" t="s">
        <v>283</v>
      </c>
      <c r="T1701" s="72"/>
      <c r="U1701" s="73"/>
      <c r="W1701" s="74" t="s">
        <v>62</v>
      </c>
      <c r="X1701" s="10" t="s">
        <v>56</v>
      </c>
      <c r="Y1701" s="10" t="s">
        <v>4501</v>
      </c>
      <c r="Z1701" s="75"/>
      <c r="AA1701" s="76"/>
      <c r="AB1701" s="77"/>
      <c r="AC1701" s="77"/>
      <c r="AD1701" s="10"/>
      <c r="AI1701" s="7"/>
      <c r="AJ1701" s="73"/>
      <c r="AK1701" s="7"/>
      <c r="AL1701" s="16"/>
      <c r="AW1701" s="6">
        <f t="shared" ca="1" si="28"/>
        <v>27</v>
      </c>
    </row>
    <row r="1702" ht="45" hidden="1" customHeight="1" outlineLevel="1">
      <c r="A1702" s="69">
        <v>45096</v>
      </c>
      <c r="B1702" s="3" t="s">
        <v>190</v>
      </c>
      <c r="C1702" s="4" t="s">
        <v>4880</v>
      </c>
      <c r="D1702" s="5" t="s">
        <v>4881</v>
      </c>
      <c r="E1702" s="2" t="s">
        <v>83</v>
      </c>
      <c r="F1702" s="6" t="s">
        <v>704</v>
      </c>
      <c r="G1702" s="5" t="s">
        <v>4882</v>
      </c>
      <c r="H1702" s="2" t="s">
        <v>4501</v>
      </c>
      <c r="I1702" s="3" t="s">
        <v>4883</v>
      </c>
      <c r="J1702" s="7">
        <v>1</v>
      </c>
      <c r="K1702" s="70"/>
      <c r="L1702" s="9">
        <v>1</v>
      </c>
      <c r="M1702" s="3">
        <v>1410</v>
      </c>
      <c r="N1702" s="6">
        <v>1998</v>
      </c>
      <c r="O1702" s="10">
        <v>35762</v>
      </c>
      <c r="P1702" s="71" t="s">
        <v>4884</v>
      </c>
      <c r="Q1702" s="10">
        <v>35867</v>
      </c>
      <c r="R1702" s="6">
        <v>1990</v>
      </c>
      <c r="S1702" s="3" t="s">
        <v>283</v>
      </c>
      <c r="T1702" s="72"/>
      <c r="U1702" s="73"/>
      <c r="W1702" s="74" t="s">
        <v>62</v>
      </c>
      <c r="X1702" s="10" t="s">
        <v>56</v>
      </c>
      <c r="Y1702" s="10" t="s">
        <v>4501</v>
      </c>
      <c r="Z1702" s="75"/>
      <c r="AA1702" s="76"/>
      <c r="AB1702" s="77"/>
      <c r="AC1702" s="77"/>
      <c r="AD1702" s="10"/>
      <c r="AI1702" s="7"/>
      <c r="AJ1702" s="73"/>
      <c r="AK1702" s="7"/>
      <c r="AL1702" s="16"/>
      <c r="AW1702" s="6">
        <f t="shared" ca="1" si="28"/>
        <v>27</v>
      </c>
    </row>
    <row r="1703" ht="45" customHeight="1" outlineLevel="1">
      <c r="A1703" s="69"/>
      <c r="B1703" s="3" t="s">
        <v>47</v>
      </c>
      <c r="D1703" s="5" t="s">
        <v>4885</v>
      </c>
      <c r="E1703" s="2" t="s">
        <v>63</v>
      </c>
      <c r="F1703" s="6" t="s">
        <v>172</v>
      </c>
      <c r="G1703" s="5" t="s">
        <v>4886</v>
      </c>
      <c r="H1703" s="2" t="s">
        <v>181</v>
      </c>
      <c r="I1703" s="3" t="s">
        <v>4887</v>
      </c>
      <c r="J1703" s="7">
        <v>1</v>
      </c>
      <c r="K1703" s="70" t="s">
        <v>53</v>
      </c>
      <c r="L1703" s="9">
        <v>1</v>
      </c>
      <c r="M1703" s="3">
        <v>1411</v>
      </c>
      <c r="N1703" s="6">
        <v>1998</v>
      </c>
      <c r="P1703" s="71"/>
      <c r="R1703" s="6">
        <v>1990</v>
      </c>
      <c r="S1703" s="3" t="s">
        <v>54</v>
      </c>
      <c r="T1703" s="72"/>
      <c r="U1703" s="73"/>
      <c r="W1703" s="2" t="s">
        <v>4888</v>
      </c>
      <c r="X1703" s="10" t="s">
        <v>56</v>
      </c>
      <c r="Y1703" s="10" t="s">
        <v>181</v>
      </c>
      <c r="Z1703" s="75"/>
      <c r="AA1703" s="76">
        <v>36697</v>
      </c>
      <c r="AB1703" s="77">
        <v>36697</v>
      </c>
      <c r="AC1703" s="77">
        <v>36697</v>
      </c>
      <c r="AD1703" s="10"/>
      <c r="AE1703" s="7">
        <v>1999</v>
      </c>
      <c r="AF1703" s="7">
        <v>18</v>
      </c>
      <c r="AG1703" s="7">
        <v>2000</v>
      </c>
      <c r="AH1703" s="7">
        <v>2000</v>
      </c>
      <c r="AI1703" s="7"/>
      <c r="AJ1703" s="73"/>
      <c r="AK1703" s="7"/>
      <c r="AL1703" s="16"/>
      <c r="AM1703" s="2" t="s">
        <v>53</v>
      </c>
      <c r="AO1703" s="6" t="s">
        <v>136</v>
      </c>
      <c r="AW1703" s="6">
        <f t="shared" ref="AW1703:AW1766" ca="1" si="29">IF(N1703&lt;&gt;0,(YEAR(TODAY())-N1703),(""))</f>
        <v>27</v>
      </c>
    </row>
    <row r="1704" ht="45" hidden="1" customHeight="1" outlineLevel="1">
      <c r="A1704" s="69"/>
      <c r="B1704" s="3" t="s">
        <v>47</v>
      </c>
      <c r="C1704" s="4" t="s">
        <v>4889</v>
      </c>
      <c r="D1704" s="5" t="s">
        <v>4890</v>
      </c>
      <c r="E1704" s="2" t="s">
        <v>63</v>
      </c>
      <c r="F1704" s="6" t="s">
        <v>428</v>
      </c>
      <c r="G1704" s="5" t="s">
        <v>4891</v>
      </c>
      <c r="H1704" s="2" t="s">
        <v>57</v>
      </c>
      <c r="I1704" s="3" t="s">
        <v>4892</v>
      </c>
      <c r="J1704" s="7">
        <v>1</v>
      </c>
      <c r="K1704" s="70"/>
      <c r="L1704" s="9">
        <v>1</v>
      </c>
      <c r="M1704" s="3">
        <v>1412</v>
      </c>
      <c r="N1704" s="6">
        <v>1998</v>
      </c>
      <c r="P1704" s="71"/>
      <c r="R1704" s="6">
        <v>1990</v>
      </c>
      <c r="S1704" s="3" t="s">
        <v>236</v>
      </c>
      <c r="T1704" s="72"/>
      <c r="U1704" s="73"/>
      <c r="W1704" s="2" t="s">
        <v>62</v>
      </c>
      <c r="X1704" s="10" t="s">
        <v>56</v>
      </c>
      <c r="Y1704" s="10" t="s">
        <v>57</v>
      </c>
      <c r="Z1704" s="75"/>
      <c r="AA1704" s="76"/>
      <c r="AB1704" s="77"/>
      <c r="AC1704" s="77"/>
      <c r="AD1704" s="10"/>
      <c r="AI1704" s="7"/>
      <c r="AJ1704" s="10">
        <v>43739</v>
      </c>
      <c r="AK1704" s="7">
        <v>2010</v>
      </c>
      <c r="AL1704" s="16"/>
      <c r="AW1704" s="6">
        <f t="shared" ca="1" si="29"/>
        <v>27</v>
      </c>
    </row>
    <row r="1705" ht="45" hidden="1" customHeight="1" outlineLevel="1">
      <c r="A1705" s="69"/>
      <c r="B1705" s="3" t="s">
        <v>47</v>
      </c>
      <c r="C1705" s="4" t="s">
        <v>1345</v>
      </c>
      <c r="D1705" s="5" t="s">
        <v>4893</v>
      </c>
      <c r="E1705" s="2" t="s">
        <v>63</v>
      </c>
      <c r="F1705" s="6" t="s">
        <v>428</v>
      </c>
      <c r="G1705" s="5" t="s">
        <v>4891</v>
      </c>
      <c r="H1705" s="2" t="s">
        <v>57</v>
      </c>
      <c r="I1705" s="3" t="s">
        <v>4894</v>
      </c>
      <c r="J1705" s="7">
        <v>1</v>
      </c>
      <c r="K1705" s="70"/>
      <c r="L1705" s="9">
        <v>1</v>
      </c>
      <c r="M1705" s="3">
        <v>1413</v>
      </c>
      <c r="N1705" s="6">
        <v>1998</v>
      </c>
      <c r="P1705" s="71"/>
      <c r="R1705" s="6">
        <v>1990</v>
      </c>
      <c r="S1705" s="3" t="s">
        <v>236</v>
      </c>
      <c r="T1705" s="72"/>
      <c r="U1705" s="73"/>
      <c r="W1705" s="2" t="s">
        <v>62</v>
      </c>
      <c r="X1705" s="10" t="s">
        <v>56</v>
      </c>
      <c r="Y1705" s="10" t="s">
        <v>57</v>
      </c>
      <c r="Z1705" s="75"/>
      <c r="AA1705" s="76"/>
      <c r="AB1705" s="77"/>
      <c r="AC1705" s="77"/>
      <c r="AD1705" s="10"/>
      <c r="AI1705" s="7"/>
      <c r="AJ1705" s="95">
        <v>41878</v>
      </c>
      <c r="AK1705" s="7">
        <v>2010</v>
      </c>
      <c r="AL1705" s="16"/>
      <c r="AW1705" s="6">
        <f t="shared" ca="1" si="29"/>
        <v>27</v>
      </c>
    </row>
    <row r="1706" ht="45" hidden="1" customHeight="1" outlineLevel="1">
      <c r="A1706" s="69">
        <v>44263</v>
      </c>
      <c r="B1706" s="3" t="s">
        <v>47</v>
      </c>
      <c r="C1706" s="4" t="s">
        <v>4895</v>
      </c>
      <c r="D1706" s="5" t="s">
        <v>4896</v>
      </c>
      <c r="E1706" s="2" t="s">
        <v>63</v>
      </c>
      <c r="F1706" s="6" t="s">
        <v>428</v>
      </c>
      <c r="G1706" s="5" t="s">
        <v>4891</v>
      </c>
      <c r="H1706" s="2" t="s">
        <v>57</v>
      </c>
      <c r="I1706" s="3" t="s">
        <v>4897</v>
      </c>
      <c r="J1706" s="7">
        <v>1</v>
      </c>
      <c r="K1706" s="70"/>
      <c r="L1706" s="9">
        <v>1</v>
      </c>
      <c r="M1706" s="3">
        <v>1414</v>
      </c>
      <c r="N1706" s="6">
        <v>1998</v>
      </c>
      <c r="P1706" s="71"/>
      <c r="R1706" s="6">
        <v>1990</v>
      </c>
      <c r="S1706" s="3" t="s">
        <v>236</v>
      </c>
      <c r="T1706" s="72"/>
      <c r="W1706" s="2" t="s">
        <v>62</v>
      </c>
      <c r="X1706" s="10" t="s">
        <v>504</v>
      </c>
      <c r="Y1706" s="10" t="s">
        <v>511</v>
      </c>
      <c r="Z1706" s="75"/>
      <c r="AA1706" s="76"/>
      <c r="AB1706" s="77"/>
      <c r="AC1706" s="77"/>
      <c r="AD1706" s="6"/>
      <c r="AI1706" s="7"/>
      <c r="AJ1706" s="10">
        <v>44392</v>
      </c>
      <c r="AK1706" s="7">
        <v>2020</v>
      </c>
      <c r="AL1706" s="16"/>
      <c r="AW1706" s="6">
        <f t="shared" ca="1" si="29"/>
        <v>27</v>
      </c>
    </row>
    <row r="1707" ht="45" hidden="1" customHeight="1" outlineLevel="1">
      <c r="A1707" s="69">
        <v>43985</v>
      </c>
      <c r="B1707" s="3" t="s">
        <v>1926</v>
      </c>
      <c r="D1707" s="5" t="s">
        <v>4898</v>
      </c>
      <c r="E1707" s="2" t="s">
        <v>63</v>
      </c>
      <c r="F1707" s="6" t="s">
        <v>428</v>
      </c>
      <c r="G1707" s="5" t="s">
        <v>4891</v>
      </c>
      <c r="H1707" s="2" t="s">
        <v>68</v>
      </c>
      <c r="I1707" s="3" t="s">
        <v>4899</v>
      </c>
      <c r="J1707" s="7">
        <v>1</v>
      </c>
      <c r="K1707" s="70"/>
      <c r="L1707" s="9">
        <v>1</v>
      </c>
      <c r="M1707" s="3">
        <v>1415</v>
      </c>
      <c r="N1707" s="6">
        <v>1998</v>
      </c>
      <c r="O1707" s="10">
        <v>35598</v>
      </c>
      <c r="P1707" s="71" t="s">
        <v>4900</v>
      </c>
      <c r="Q1707" s="10">
        <v>35935</v>
      </c>
      <c r="R1707" s="6">
        <v>1990</v>
      </c>
      <c r="S1707" s="3" t="s">
        <v>283</v>
      </c>
      <c r="T1707" s="72" t="s">
        <v>998</v>
      </c>
      <c r="U1707" s="73"/>
      <c r="W1707" s="74" t="s">
        <v>62</v>
      </c>
      <c r="X1707" s="10" t="s">
        <v>56</v>
      </c>
      <c r="Y1707" s="10" t="s">
        <v>68</v>
      </c>
      <c r="Z1707" s="75" t="s">
        <v>4870</v>
      </c>
      <c r="AA1707" s="76"/>
      <c r="AB1707" s="77"/>
      <c r="AC1707" s="77"/>
      <c r="AD1707" s="10"/>
      <c r="AI1707" s="7"/>
      <c r="AJ1707" s="73"/>
      <c r="AK1707" s="7"/>
      <c r="AL1707" s="16"/>
      <c r="AW1707" s="6">
        <f t="shared" ca="1" si="29"/>
        <v>27</v>
      </c>
    </row>
    <row r="1708" ht="45" hidden="1" customHeight="1" outlineLevel="1">
      <c r="A1708" s="69"/>
      <c r="B1708" s="3" t="s">
        <v>190</v>
      </c>
      <c r="C1708" s="4" t="s">
        <v>4901</v>
      </c>
      <c r="D1708" s="5" t="s">
        <v>4902</v>
      </c>
      <c r="E1708" s="2" t="s">
        <v>63</v>
      </c>
      <c r="F1708" s="6" t="s">
        <v>172</v>
      </c>
      <c r="G1708" s="5" t="s">
        <v>4689</v>
      </c>
      <c r="H1708" s="2" t="s">
        <v>288</v>
      </c>
      <c r="I1708" s="3" t="s">
        <v>4903</v>
      </c>
      <c r="J1708" s="7">
        <v>1</v>
      </c>
      <c r="K1708" s="104"/>
      <c r="L1708" s="9">
        <v>1</v>
      </c>
      <c r="M1708" s="3">
        <v>1416</v>
      </c>
      <c r="N1708" s="6">
        <v>1998</v>
      </c>
      <c r="P1708" s="71"/>
      <c r="R1708" s="6">
        <v>1990</v>
      </c>
      <c r="S1708" s="3" t="s">
        <v>283</v>
      </c>
      <c r="T1708" s="72"/>
      <c r="U1708" s="73"/>
      <c r="W1708" s="74" t="s">
        <v>62</v>
      </c>
      <c r="X1708" s="10" t="s">
        <v>56</v>
      </c>
      <c r="Y1708" s="10" t="s">
        <v>288</v>
      </c>
      <c r="Z1708" s="75"/>
      <c r="AA1708" s="76"/>
      <c r="AB1708" s="77"/>
      <c r="AC1708" s="77"/>
      <c r="AD1708" s="6"/>
      <c r="AI1708" s="7"/>
      <c r="AJ1708" s="73"/>
      <c r="AK1708" s="7"/>
      <c r="AL1708" s="16"/>
      <c r="AW1708" s="6">
        <f t="shared" ca="1" si="29"/>
        <v>27</v>
      </c>
    </row>
    <row r="1709" ht="45" hidden="1" customHeight="1" outlineLevel="1">
      <c r="A1709" s="69"/>
      <c r="B1709" s="3" t="s">
        <v>47</v>
      </c>
      <c r="C1709" s="4" t="s">
        <v>4904</v>
      </c>
      <c r="E1709" s="2" t="s">
        <v>83</v>
      </c>
      <c r="F1709" s="6" t="s">
        <v>84</v>
      </c>
      <c r="G1709" s="5" t="s">
        <v>85</v>
      </c>
      <c r="H1709" s="2" t="s">
        <v>57</v>
      </c>
      <c r="I1709" s="3" t="s">
        <v>4905</v>
      </c>
      <c r="J1709" s="7">
        <v>1</v>
      </c>
      <c r="K1709" s="104"/>
      <c r="L1709" s="9">
        <v>1</v>
      </c>
      <c r="M1709" s="3">
        <v>1417</v>
      </c>
      <c r="N1709" s="6">
        <v>1998</v>
      </c>
      <c r="P1709" s="71"/>
      <c r="R1709" s="6">
        <v>1990</v>
      </c>
      <c r="S1709" s="3" t="s">
        <v>236</v>
      </c>
      <c r="T1709" s="72"/>
      <c r="U1709" s="73"/>
      <c r="W1709" s="2" t="s">
        <v>62</v>
      </c>
      <c r="X1709" s="10" t="s">
        <v>56</v>
      </c>
      <c r="Y1709" s="10" t="s">
        <v>57</v>
      </c>
      <c r="Z1709" s="75"/>
      <c r="AA1709" s="76"/>
      <c r="AB1709" s="77"/>
      <c r="AC1709" s="77"/>
      <c r="AD1709" s="6"/>
      <c r="AI1709" s="7"/>
      <c r="AJ1709" s="95">
        <v>40598</v>
      </c>
      <c r="AK1709" s="7">
        <v>2010</v>
      </c>
      <c r="AL1709" s="16"/>
      <c r="AW1709" s="6">
        <f t="shared" ca="1" si="29"/>
        <v>27</v>
      </c>
    </row>
    <row r="1710" ht="45" hidden="1" customHeight="1" outlineLevel="1">
      <c r="A1710" s="69"/>
      <c r="B1710" s="3" t="s">
        <v>47</v>
      </c>
      <c r="C1710" s="4" t="s">
        <v>4906</v>
      </c>
      <c r="D1710" s="5" t="s">
        <v>4907</v>
      </c>
      <c r="E1710" s="2" t="s">
        <v>63</v>
      </c>
      <c r="F1710" s="6" t="s">
        <v>428</v>
      </c>
      <c r="G1710" s="5" t="s">
        <v>4908</v>
      </c>
      <c r="H1710" s="2" t="s">
        <v>51</v>
      </c>
      <c r="I1710" s="3" t="s">
        <v>4909</v>
      </c>
      <c r="J1710" s="7">
        <v>1</v>
      </c>
      <c r="K1710" s="104"/>
      <c r="L1710" s="9">
        <v>1</v>
      </c>
      <c r="M1710" s="3">
        <v>1418</v>
      </c>
      <c r="N1710" s="6">
        <v>1998</v>
      </c>
      <c r="P1710" s="71"/>
      <c r="R1710" s="6">
        <v>1990</v>
      </c>
      <c r="S1710" s="3" t="s">
        <v>236</v>
      </c>
      <c r="T1710" s="72"/>
      <c r="W1710" s="2" t="s">
        <v>62</v>
      </c>
      <c r="X1710" s="10" t="s">
        <v>56</v>
      </c>
      <c r="Y1710" s="10" t="s">
        <v>57</v>
      </c>
      <c r="Z1710" s="75" t="s">
        <v>58</v>
      </c>
      <c r="AA1710" s="76"/>
      <c r="AB1710" s="77"/>
      <c r="AC1710" s="77"/>
      <c r="AD1710" s="6"/>
      <c r="AI1710" s="7"/>
      <c r="AJ1710" s="10">
        <v>44837</v>
      </c>
      <c r="AK1710" s="7">
        <v>2020</v>
      </c>
      <c r="AL1710" s="16"/>
      <c r="AW1710" s="6">
        <f t="shared" ca="1" si="29"/>
        <v>27</v>
      </c>
    </row>
    <row r="1711" ht="45" hidden="1" customHeight="1" outlineLevel="1">
      <c r="A1711" s="69"/>
      <c r="B1711" s="3" t="s">
        <v>47</v>
      </c>
      <c r="C1711" s="4" t="s">
        <v>4904</v>
      </c>
      <c r="E1711" s="2" t="s">
        <v>83</v>
      </c>
      <c r="F1711" s="6" t="s">
        <v>84</v>
      </c>
      <c r="G1711" s="5" t="s">
        <v>85</v>
      </c>
      <c r="H1711" s="2" t="s">
        <v>57</v>
      </c>
      <c r="I1711" s="3" t="s">
        <v>4910</v>
      </c>
      <c r="J1711" s="7">
        <v>1</v>
      </c>
      <c r="K1711" s="104"/>
      <c r="L1711" s="9">
        <v>1</v>
      </c>
      <c r="M1711" s="3">
        <v>1419</v>
      </c>
      <c r="N1711" s="6">
        <v>1998</v>
      </c>
      <c r="P1711" s="71"/>
      <c r="R1711" s="6">
        <v>1990</v>
      </c>
      <c r="S1711" s="3" t="s">
        <v>236</v>
      </c>
      <c r="T1711" s="72"/>
      <c r="U1711" s="73"/>
      <c r="W1711" s="2" t="s">
        <v>62</v>
      </c>
      <c r="X1711" s="10" t="s">
        <v>56</v>
      </c>
      <c r="Y1711" s="10" t="s">
        <v>57</v>
      </c>
      <c r="Z1711" s="75"/>
      <c r="AA1711" s="76"/>
      <c r="AB1711" s="77"/>
      <c r="AC1711" s="77"/>
      <c r="AD1711" s="6"/>
      <c r="AI1711" s="7"/>
      <c r="AJ1711" s="95">
        <v>40598</v>
      </c>
      <c r="AK1711" s="7">
        <v>2010</v>
      </c>
      <c r="AL1711" s="16"/>
      <c r="AW1711" s="6">
        <f t="shared" ca="1" si="29"/>
        <v>27</v>
      </c>
    </row>
    <row r="1712" ht="45" hidden="1" customHeight="1" outlineLevel="1">
      <c r="A1712" s="69">
        <v>45096</v>
      </c>
      <c r="B1712" s="3" t="s">
        <v>190</v>
      </c>
      <c r="C1712" s="4" t="s">
        <v>4911</v>
      </c>
      <c r="D1712" s="5" t="s">
        <v>4912</v>
      </c>
      <c r="E1712" s="2" t="s">
        <v>83</v>
      </c>
      <c r="F1712" s="6" t="s">
        <v>84</v>
      </c>
      <c r="G1712" s="5" t="s">
        <v>2021</v>
      </c>
      <c r="H1712" s="2" t="s">
        <v>4501</v>
      </c>
      <c r="I1712" s="3" t="s">
        <v>4913</v>
      </c>
      <c r="J1712" s="7">
        <v>1</v>
      </c>
      <c r="K1712" s="104"/>
      <c r="L1712" s="9">
        <v>1</v>
      </c>
      <c r="M1712" s="3">
        <v>1420</v>
      </c>
      <c r="N1712" s="6">
        <v>1998</v>
      </c>
      <c r="O1712" s="10">
        <v>35846</v>
      </c>
      <c r="P1712" s="71" t="s">
        <v>4879</v>
      </c>
      <c r="Q1712" s="10">
        <v>35937</v>
      </c>
      <c r="R1712" s="6">
        <v>1990</v>
      </c>
      <c r="S1712" s="3" t="s">
        <v>283</v>
      </c>
      <c r="T1712" s="72"/>
      <c r="U1712" s="73"/>
      <c r="W1712" s="74" t="s">
        <v>62</v>
      </c>
      <c r="X1712" s="10" t="s">
        <v>56</v>
      </c>
      <c r="Y1712" s="10" t="s">
        <v>4501</v>
      </c>
      <c r="Z1712" s="75"/>
      <c r="AA1712" s="76"/>
      <c r="AB1712" s="77"/>
      <c r="AC1712" s="77"/>
      <c r="AD1712" s="6"/>
      <c r="AI1712" s="7"/>
      <c r="AJ1712" s="73"/>
      <c r="AK1712" s="7"/>
      <c r="AL1712" s="16"/>
      <c r="AW1712" s="6">
        <f t="shared" ca="1" si="29"/>
        <v>27</v>
      </c>
    </row>
    <row r="1713" ht="45" hidden="1" customHeight="1" outlineLevel="1">
      <c r="A1713" s="69"/>
      <c r="B1713" s="3" t="s">
        <v>190</v>
      </c>
      <c r="C1713" s="4" t="s">
        <v>4914</v>
      </c>
      <c r="D1713" s="5" t="s">
        <v>4915</v>
      </c>
      <c r="E1713" s="2" t="s">
        <v>63</v>
      </c>
      <c r="F1713" s="6" t="s">
        <v>172</v>
      </c>
      <c r="G1713" s="5" t="s">
        <v>1713</v>
      </c>
      <c r="H1713" s="2" t="s">
        <v>491</v>
      </c>
      <c r="I1713" s="3" t="s">
        <v>4916</v>
      </c>
      <c r="J1713" s="7">
        <v>1</v>
      </c>
      <c r="K1713" s="104"/>
      <c r="L1713" s="9">
        <v>1</v>
      </c>
      <c r="M1713" s="3">
        <v>1421</v>
      </c>
      <c r="N1713" s="6">
        <v>1998</v>
      </c>
      <c r="P1713" s="71"/>
      <c r="R1713" s="6">
        <v>1990</v>
      </c>
      <c r="S1713" s="3" t="s">
        <v>283</v>
      </c>
      <c r="T1713" s="72"/>
      <c r="U1713" s="73"/>
      <c r="W1713" s="74" t="s">
        <v>62</v>
      </c>
      <c r="X1713" s="10" t="s">
        <v>56</v>
      </c>
      <c r="Y1713" s="10" t="s">
        <v>523</v>
      </c>
      <c r="Z1713" s="75"/>
      <c r="AA1713" s="76"/>
      <c r="AB1713" s="77"/>
      <c r="AC1713" s="77"/>
      <c r="AD1713" s="6"/>
      <c r="AI1713" s="7"/>
      <c r="AJ1713" s="73"/>
      <c r="AK1713" s="7"/>
      <c r="AL1713" s="16"/>
      <c r="AW1713" s="6">
        <f t="shared" ca="1" si="29"/>
        <v>27</v>
      </c>
    </row>
    <row r="1714" ht="45" hidden="1" customHeight="1" outlineLevel="1">
      <c r="A1714" s="69">
        <v>43166</v>
      </c>
      <c r="B1714" s="3" t="s">
        <v>47</v>
      </c>
      <c r="C1714" s="4" t="s">
        <v>4917</v>
      </c>
      <c r="D1714" s="5" t="s">
        <v>4918</v>
      </c>
      <c r="E1714" s="2" t="s">
        <v>83</v>
      </c>
      <c r="F1714" s="6" t="s">
        <v>84</v>
      </c>
      <c r="G1714" s="5" t="s">
        <v>850</v>
      </c>
      <c r="H1714" s="2" t="s">
        <v>88</v>
      </c>
      <c r="I1714" s="3" t="s">
        <v>4919</v>
      </c>
      <c r="J1714" s="7">
        <v>1</v>
      </c>
      <c r="K1714" s="104"/>
      <c r="L1714" s="9">
        <v>1</v>
      </c>
      <c r="M1714" s="3">
        <v>1422</v>
      </c>
      <c r="N1714" s="6">
        <v>1998</v>
      </c>
      <c r="P1714" s="71"/>
      <c r="R1714" s="6">
        <v>1990</v>
      </c>
      <c r="S1714" s="3" t="s">
        <v>236</v>
      </c>
      <c r="T1714" s="72" t="s">
        <v>1136</v>
      </c>
      <c r="W1714" s="2" t="s">
        <v>62</v>
      </c>
      <c r="X1714" s="10" t="s">
        <v>91</v>
      </c>
      <c r="Y1714" s="10" t="s">
        <v>92</v>
      </c>
      <c r="Z1714" s="75"/>
      <c r="AA1714" s="76"/>
      <c r="AB1714" s="77"/>
      <c r="AC1714" s="77"/>
      <c r="AD1714" s="6"/>
      <c r="AI1714" s="7"/>
      <c r="AJ1714" s="10">
        <v>45126</v>
      </c>
      <c r="AK1714" s="7">
        <v>2020</v>
      </c>
      <c r="AL1714" s="16" t="s">
        <v>4920</v>
      </c>
      <c r="AW1714" s="6">
        <f t="shared" ca="1" si="29"/>
        <v>27</v>
      </c>
    </row>
    <row r="1715" ht="45" customHeight="1" outlineLevel="1">
      <c r="A1715" s="69"/>
      <c r="B1715" s="3" t="s">
        <v>47</v>
      </c>
      <c r="E1715" s="2" t="s">
        <v>83</v>
      </c>
      <c r="F1715" s="6" t="s">
        <v>84</v>
      </c>
      <c r="G1715" s="5" t="s">
        <v>1783</v>
      </c>
      <c r="H1715" s="2" t="s">
        <v>382</v>
      </c>
      <c r="I1715" s="3" t="s">
        <v>4921</v>
      </c>
      <c r="J1715" s="7">
        <v>1</v>
      </c>
      <c r="K1715" s="70" t="s">
        <v>53</v>
      </c>
      <c r="L1715" s="9">
        <v>1</v>
      </c>
      <c r="M1715" s="3">
        <v>1423</v>
      </c>
      <c r="N1715" s="6">
        <v>1998</v>
      </c>
      <c r="P1715" s="71"/>
      <c r="R1715" s="6">
        <v>1990</v>
      </c>
      <c r="S1715" s="3" t="s">
        <v>54</v>
      </c>
      <c r="T1715" s="72"/>
      <c r="U1715" s="73"/>
      <c r="W1715" s="2" t="s">
        <v>4922</v>
      </c>
      <c r="X1715" s="10" t="s">
        <v>91</v>
      </c>
      <c r="Y1715" s="10" t="s">
        <v>385</v>
      </c>
      <c r="Z1715" s="75"/>
      <c r="AA1715" s="76"/>
      <c r="AB1715" s="77"/>
      <c r="AC1715" s="77">
        <v>37657</v>
      </c>
      <c r="AD1715" s="10"/>
      <c r="AE1715" s="7">
        <v>2000</v>
      </c>
      <c r="AF1715" s="7">
        <v>23</v>
      </c>
      <c r="AG1715" s="7">
        <v>2003</v>
      </c>
      <c r="AH1715" s="7">
        <v>2000</v>
      </c>
      <c r="AI1715" s="7"/>
      <c r="AJ1715" s="73"/>
      <c r="AK1715" s="7"/>
      <c r="AL1715" s="16"/>
      <c r="AM1715" s="2" t="s">
        <v>59</v>
      </c>
      <c r="AO1715" s="6" t="s">
        <v>59</v>
      </c>
      <c r="AW1715" s="6">
        <f t="shared" ca="1" si="29"/>
        <v>27</v>
      </c>
    </row>
    <row r="1716" ht="45" hidden="1" customHeight="1" outlineLevel="1">
      <c r="A1716" s="69"/>
      <c r="B1716" s="3" t="s">
        <v>47</v>
      </c>
      <c r="C1716" s="4" t="s">
        <v>1393</v>
      </c>
      <c r="E1716" s="2" t="s">
        <v>83</v>
      </c>
      <c r="F1716" s="6" t="s">
        <v>84</v>
      </c>
      <c r="G1716" s="5" t="s">
        <v>2581</v>
      </c>
      <c r="H1716" s="2" t="s">
        <v>88</v>
      </c>
      <c r="I1716" s="3" t="s">
        <v>4923</v>
      </c>
      <c r="J1716" s="7">
        <v>1</v>
      </c>
      <c r="K1716" s="70"/>
      <c r="L1716" s="9">
        <v>1</v>
      </c>
      <c r="M1716" s="3">
        <v>1424</v>
      </c>
      <c r="N1716" s="6">
        <v>1998</v>
      </c>
      <c r="P1716" s="71"/>
      <c r="R1716" s="6">
        <v>1990</v>
      </c>
      <c r="S1716" s="3" t="s">
        <v>236</v>
      </c>
      <c r="T1716" s="72"/>
      <c r="U1716" s="73"/>
      <c r="W1716" s="2" t="s">
        <v>62</v>
      </c>
      <c r="X1716" s="10" t="s">
        <v>91</v>
      </c>
      <c r="Y1716" s="10" t="s">
        <v>92</v>
      </c>
      <c r="Z1716" s="75"/>
      <c r="AA1716" s="76"/>
      <c r="AB1716" s="77"/>
      <c r="AC1716" s="77"/>
      <c r="AD1716" s="10"/>
      <c r="AI1716" s="7"/>
      <c r="AJ1716" s="10">
        <v>36283</v>
      </c>
      <c r="AK1716" s="7">
        <v>1990</v>
      </c>
      <c r="AW1716" s="6">
        <f t="shared" ca="1" si="29"/>
        <v>27</v>
      </c>
    </row>
    <row r="1717" ht="45" customHeight="1" outlineLevel="1">
      <c r="A1717" s="69"/>
      <c r="B1717" s="3" t="s">
        <v>47</v>
      </c>
      <c r="E1717" s="2" t="s">
        <v>83</v>
      </c>
      <c r="F1717" s="6" t="s">
        <v>84</v>
      </c>
      <c r="G1717" s="5" t="s">
        <v>85</v>
      </c>
      <c r="H1717" s="2" t="s">
        <v>382</v>
      </c>
      <c r="I1717" s="3" t="s">
        <v>4924</v>
      </c>
      <c r="J1717" s="7">
        <v>1</v>
      </c>
      <c r="K1717" s="70" t="s">
        <v>53</v>
      </c>
      <c r="L1717" s="9">
        <v>1</v>
      </c>
      <c r="M1717" s="3">
        <v>1425</v>
      </c>
      <c r="N1717" s="6">
        <v>1998</v>
      </c>
      <c r="P1717" s="71"/>
      <c r="R1717" s="6">
        <v>1990</v>
      </c>
      <c r="S1717" s="3" t="s">
        <v>54</v>
      </c>
      <c r="T1717" s="72"/>
      <c r="U1717" s="73"/>
      <c r="W1717" s="2" t="s">
        <v>4925</v>
      </c>
      <c r="X1717" s="10" t="s">
        <v>91</v>
      </c>
      <c r="Y1717" s="10" t="s">
        <v>385</v>
      </c>
      <c r="Z1717" s="75"/>
      <c r="AA1717" s="76"/>
      <c r="AB1717" s="77">
        <v>36223</v>
      </c>
      <c r="AC1717" s="77"/>
      <c r="AD1717" s="6"/>
      <c r="AE1717" s="7">
        <v>1998</v>
      </c>
      <c r="AF1717" s="7">
        <v>15</v>
      </c>
      <c r="AG1717" s="7">
        <v>1999</v>
      </c>
      <c r="AH1717" s="7">
        <v>1990</v>
      </c>
      <c r="AI1717" s="7"/>
      <c r="AJ1717" s="73"/>
      <c r="AK1717" s="7"/>
      <c r="AL1717" s="16"/>
      <c r="AM1717" s="2" t="s">
        <v>59</v>
      </c>
      <c r="AO1717" s="6" t="s">
        <v>59</v>
      </c>
      <c r="AW1717" s="6">
        <f t="shared" ca="1" si="29"/>
        <v>27</v>
      </c>
    </row>
    <row r="1718" ht="45" customHeight="1" outlineLevel="1">
      <c r="A1718" s="69"/>
      <c r="B1718" s="3" t="s">
        <v>47</v>
      </c>
      <c r="D1718" s="5" t="s">
        <v>4926</v>
      </c>
      <c r="E1718" s="2" t="s">
        <v>48</v>
      </c>
      <c r="F1718" s="6" t="s">
        <v>564</v>
      </c>
      <c r="G1718" s="5" t="s">
        <v>565</v>
      </c>
      <c r="H1718" s="2" t="s">
        <v>977</v>
      </c>
      <c r="I1718" s="3" t="s">
        <v>4927</v>
      </c>
      <c r="J1718" s="7">
        <v>1</v>
      </c>
      <c r="K1718" s="70" t="s">
        <v>53</v>
      </c>
      <c r="L1718" s="9">
        <v>1</v>
      </c>
      <c r="M1718" s="3">
        <v>1426</v>
      </c>
      <c r="N1718" s="6">
        <v>1998</v>
      </c>
      <c r="P1718" s="71"/>
      <c r="R1718" s="6">
        <v>1990</v>
      </c>
      <c r="S1718" s="3" t="s">
        <v>54</v>
      </c>
      <c r="T1718" s="72"/>
      <c r="U1718" s="73"/>
      <c r="W1718" s="2" t="s">
        <v>4928</v>
      </c>
      <c r="X1718" s="10" t="s">
        <v>213</v>
      </c>
      <c r="Y1718" s="10" t="s">
        <v>980</v>
      </c>
      <c r="Z1718" s="75"/>
      <c r="AA1718" s="76">
        <v>37195</v>
      </c>
      <c r="AB1718" s="77"/>
      <c r="AC1718" s="77"/>
      <c r="AD1718" s="6"/>
      <c r="AE1718" s="7">
        <v>2000</v>
      </c>
      <c r="AF1718" s="7">
        <v>21</v>
      </c>
      <c r="AG1718" s="7">
        <v>2001</v>
      </c>
      <c r="AH1718" s="7">
        <v>2000</v>
      </c>
      <c r="AI1718" s="7"/>
      <c r="AJ1718" s="73"/>
      <c r="AK1718" s="7"/>
      <c r="AL1718" s="16"/>
      <c r="AW1718" s="6">
        <f t="shared" ca="1" si="29"/>
        <v>27</v>
      </c>
    </row>
    <row r="1719" ht="45" hidden="1" customHeight="1" outlineLevel="1">
      <c r="A1719" s="69"/>
      <c r="B1719" s="3" t="s">
        <v>47</v>
      </c>
      <c r="C1719" s="4" t="s">
        <v>4929</v>
      </c>
      <c r="E1719" s="2" t="s">
        <v>83</v>
      </c>
      <c r="F1719" s="6" t="s">
        <v>84</v>
      </c>
      <c r="G1719" s="5" t="s">
        <v>85</v>
      </c>
      <c r="H1719" s="2" t="s">
        <v>57</v>
      </c>
      <c r="I1719" s="96" t="s">
        <v>4930</v>
      </c>
      <c r="J1719" s="7">
        <v>1</v>
      </c>
      <c r="K1719" s="104"/>
      <c r="L1719" s="9">
        <v>1</v>
      </c>
      <c r="M1719" s="3">
        <v>1427</v>
      </c>
      <c r="N1719" s="6">
        <v>1998</v>
      </c>
      <c r="P1719" s="71"/>
      <c r="R1719" s="6">
        <v>1990</v>
      </c>
      <c r="S1719" s="3" t="s">
        <v>236</v>
      </c>
      <c r="T1719" s="72"/>
      <c r="U1719" s="73"/>
      <c r="W1719" s="2" t="s">
        <v>62</v>
      </c>
      <c r="X1719" s="10" t="s">
        <v>56</v>
      </c>
      <c r="Y1719" s="10" t="s">
        <v>57</v>
      </c>
      <c r="Z1719" s="75"/>
      <c r="AA1719" s="76"/>
      <c r="AB1719" s="77"/>
      <c r="AC1719" s="77"/>
      <c r="AD1719" s="6"/>
      <c r="AI1719" s="7"/>
      <c r="AJ1719" s="95">
        <v>38657</v>
      </c>
      <c r="AK1719" s="7">
        <v>2000</v>
      </c>
      <c r="AL1719" s="16"/>
      <c r="AW1719" s="6">
        <f t="shared" ca="1" si="29"/>
        <v>27</v>
      </c>
    </row>
    <row r="1720" ht="45" customHeight="1" outlineLevel="1">
      <c r="A1720" s="69">
        <v>41470</v>
      </c>
      <c r="B1720" s="3" t="s">
        <v>47</v>
      </c>
      <c r="C1720" s="4" t="s">
        <v>4931</v>
      </c>
      <c r="D1720" s="5" t="s">
        <v>4932</v>
      </c>
      <c r="E1720" s="2" t="s">
        <v>83</v>
      </c>
      <c r="F1720" s="6" t="s">
        <v>179</v>
      </c>
      <c r="G1720" s="5" t="s">
        <v>4933</v>
      </c>
      <c r="H1720" s="2" t="s">
        <v>4501</v>
      </c>
      <c r="I1720" s="3" t="s">
        <v>4934</v>
      </c>
      <c r="J1720" s="7">
        <v>1</v>
      </c>
      <c r="K1720" s="70" t="s">
        <v>53</v>
      </c>
      <c r="L1720" s="9">
        <v>1</v>
      </c>
      <c r="M1720" s="3">
        <v>1428</v>
      </c>
      <c r="N1720" s="6">
        <v>1998</v>
      </c>
      <c r="P1720" s="71"/>
      <c r="R1720" s="6">
        <v>1990</v>
      </c>
      <c r="S1720" s="3" t="s">
        <v>54</v>
      </c>
      <c r="T1720" s="72"/>
      <c r="U1720" s="73"/>
      <c r="W1720" s="2" t="s">
        <v>4935</v>
      </c>
      <c r="X1720" s="10" t="s">
        <v>56</v>
      </c>
      <c r="Y1720" s="10" t="s">
        <v>4501</v>
      </c>
      <c r="Z1720" s="75"/>
      <c r="AA1720" s="76"/>
      <c r="AB1720" s="77">
        <v>37448</v>
      </c>
      <c r="AC1720" s="77"/>
      <c r="AD1720" s="6"/>
      <c r="AE1720" s="7">
        <v>2000</v>
      </c>
      <c r="AF1720" s="7">
        <v>25</v>
      </c>
      <c r="AG1720" s="7">
        <v>2002</v>
      </c>
      <c r="AH1720" s="7">
        <v>2000</v>
      </c>
      <c r="AI1720" s="7"/>
      <c r="AJ1720" s="73"/>
      <c r="AK1720" s="7"/>
      <c r="AL1720" s="16" t="s">
        <v>4936</v>
      </c>
      <c r="AW1720" s="6">
        <f t="shared" ca="1" si="29"/>
        <v>27</v>
      </c>
    </row>
    <row r="1721" ht="45" customHeight="1" outlineLevel="1">
      <c r="A1721" s="69"/>
      <c r="B1721" s="3" t="s">
        <v>47</v>
      </c>
      <c r="D1721" s="5" t="s">
        <v>4937</v>
      </c>
      <c r="E1721" s="2" t="s">
        <v>83</v>
      </c>
      <c r="F1721" s="6" t="s">
        <v>704</v>
      </c>
      <c r="G1721" s="5" t="s">
        <v>705</v>
      </c>
      <c r="H1721" s="2" t="s">
        <v>68</v>
      </c>
      <c r="I1721" s="3" t="s">
        <v>4938</v>
      </c>
      <c r="J1721" s="7">
        <v>1</v>
      </c>
      <c r="K1721" s="70" t="s">
        <v>53</v>
      </c>
      <c r="L1721" s="9">
        <v>1</v>
      </c>
      <c r="M1721" s="3">
        <v>1429</v>
      </c>
      <c r="N1721" s="6">
        <v>1998</v>
      </c>
      <c r="P1721" s="71"/>
      <c r="R1721" s="6">
        <v>1990</v>
      </c>
      <c r="S1721" s="3" t="s">
        <v>54</v>
      </c>
      <c r="T1721" s="72"/>
      <c r="U1721" s="73"/>
      <c r="W1721" s="2" t="s">
        <v>4939</v>
      </c>
      <c r="X1721" s="10" t="s">
        <v>56</v>
      </c>
      <c r="Y1721" s="10" t="s">
        <v>68</v>
      </c>
      <c r="Z1721" s="75"/>
      <c r="AA1721" s="76"/>
      <c r="AB1721" s="77"/>
      <c r="AC1721" s="77" t="s">
        <v>208</v>
      </c>
      <c r="AD1721" s="10"/>
      <c r="AE1721" s="7">
        <v>2016</v>
      </c>
      <c r="AF1721" s="7">
        <v>82</v>
      </c>
      <c r="AG1721" s="7">
        <v>2019</v>
      </c>
      <c r="AH1721" s="7">
        <v>2010</v>
      </c>
      <c r="AI1721" s="7"/>
      <c r="AJ1721" s="73"/>
      <c r="AK1721" s="7"/>
      <c r="AL1721" s="99" t="s">
        <v>4940</v>
      </c>
      <c r="AU1721" s="16" t="s">
        <v>4491</v>
      </c>
      <c r="AW1721" s="6">
        <f t="shared" ca="1" si="29"/>
        <v>27</v>
      </c>
    </row>
    <row r="1722" ht="45" hidden="1" customHeight="1" outlineLevel="1">
      <c r="A1722" s="69"/>
      <c r="B1722" s="3" t="s">
        <v>190</v>
      </c>
      <c r="C1722" s="4" t="s">
        <v>4941</v>
      </c>
      <c r="D1722" s="5" t="s">
        <v>4942</v>
      </c>
      <c r="E1722" s="2" t="s">
        <v>83</v>
      </c>
      <c r="F1722" s="6" t="s">
        <v>179</v>
      </c>
      <c r="G1722" s="5" t="s">
        <v>4943</v>
      </c>
      <c r="H1722" s="2" t="s">
        <v>977</v>
      </c>
      <c r="I1722" s="3" t="s">
        <v>4944</v>
      </c>
      <c r="J1722" s="7">
        <v>1</v>
      </c>
      <c r="K1722" s="70"/>
      <c r="L1722" s="9">
        <v>1</v>
      </c>
      <c r="M1722" s="3">
        <v>1430</v>
      </c>
      <c r="N1722" s="6">
        <v>1998</v>
      </c>
      <c r="P1722" s="71"/>
      <c r="R1722" s="6">
        <v>1990</v>
      </c>
      <c r="S1722" s="3" t="s">
        <v>283</v>
      </c>
      <c r="T1722" s="72"/>
      <c r="U1722" s="73"/>
      <c r="W1722" s="74" t="s">
        <v>62</v>
      </c>
      <c r="X1722" s="10" t="s">
        <v>213</v>
      </c>
      <c r="Y1722" s="10" t="s">
        <v>980</v>
      </c>
      <c r="Z1722" s="75"/>
      <c r="AA1722" s="76"/>
      <c r="AB1722" s="77"/>
      <c r="AC1722" s="77"/>
      <c r="AD1722" s="10"/>
      <c r="AI1722" s="7"/>
      <c r="AJ1722" s="73"/>
      <c r="AK1722" s="7"/>
      <c r="AL1722" s="16"/>
      <c r="AW1722" s="6">
        <f t="shared" ca="1" si="29"/>
        <v>27</v>
      </c>
    </row>
    <row r="1723" ht="45" hidden="1" customHeight="1" outlineLevel="1">
      <c r="A1723" s="69"/>
      <c r="B1723" s="3" t="s">
        <v>47</v>
      </c>
      <c r="C1723" s="4" t="s">
        <v>1114</v>
      </c>
      <c r="E1723" s="2" t="s">
        <v>83</v>
      </c>
      <c r="F1723" s="6" t="s">
        <v>179</v>
      </c>
      <c r="G1723" s="5" t="s">
        <v>4945</v>
      </c>
      <c r="H1723" s="2" t="s">
        <v>51</v>
      </c>
      <c r="I1723" s="3" t="s">
        <v>4946</v>
      </c>
      <c r="J1723" s="7">
        <v>1</v>
      </c>
      <c r="K1723" s="70"/>
      <c r="L1723" s="9">
        <v>1</v>
      </c>
      <c r="M1723" s="3">
        <v>1431</v>
      </c>
      <c r="N1723" s="6">
        <v>1998</v>
      </c>
      <c r="P1723" s="71"/>
      <c r="R1723" s="6">
        <v>1990</v>
      </c>
      <c r="S1723" s="3" t="s">
        <v>236</v>
      </c>
      <c r="T1723" s="72"/>
      <c r="U1723" s="73"/>
      <c r="W1723" s="2" t="s">
        <v>62</v>
      </c>
      <c r="X1723" s="10" t="s">
        <v>56</v>
      </c>
      <c r="Y1723" s="10" t="s">
        <v>57</v>
      </c>
      <c r="Z1723" s="75" t="s">
        <v>58</v>
      </c>
      <c r="AA1723" s="76"/>
      <c r="AB1723" s="77"/>
      <c r="AC1723" s="77"/>
      <c r="AD1723" s="10"/>
      <c r="AI1723" s="7"/>
      <c r="AJ1723" s="95">
        <v>38028</v>
      </c>
      <c r="AK1723" s="7">
        <v>2000</v>
      </c>
      <c r="AL1723" s="16"/>
      <c r="AW1723" s="6">
        <f t="shared" ca="1" si="29"/>
        <v>27</v>
      </c>
    </row>
    <row r="1724" ht="45" customHeight="1">
      <c r="A1724" s="69"/>
      <c r="B1724" s="3" t="s">
        <v>47</v>
      </c>
      <c r="D1724" s="5" t="s">
        <v>4947</v>
      </c>
      <c r="E1724" s="2" t="s">
        <v>63</v>
      </c>
      <c r="F1724" s="6" t="s">
        <v>172</v>
      </c>
      <c r="G1724" s="5" t="s">
        <v>173</v>
      </c>
      <c r="H1724" s="2" t="s">
        <v>3735</v>
      </c>
      <c r="I1724" s="3" t="s">
        <v>4948</v>
      </c>
      <c r="J1724" s="7">
        <v>1</v>
      </c>
      <c r="K1724" s="70" t="s">
        <v>53</v>
      </c>
      <c r="L1724" s="9">
        <v>1</v>
      </c>
      <c r="M1724" s="3">
        <v>1432</v>
      </c>
      <c r="N1724" s="6">
        <v>1998</v>
      </c>
      <c r="P1724" s="71"/>
      <c r="R1724" s="6">
        <v>1990</v>
      </c>
      <c r="S1724" s="3" t="s">
        <v>54</v>
      </c>
      <c r="T1724" s="72"/>
      <c r="U1724" s="73"/>
      <c r="W1724" s="2" t="s">
        <v>4949</v>
      </c>
      <c r="X1724" s="10" t="s">
        <v>56</v>
      </c>
      <c r="Y1724" s="10" t="s">
        <v>68</v>
      </c>
      <c r="Z1724" s="75" t="s">
        <v>58</v>
      </c>
      <c r="AA1724" s="76">
        <v>36735</v>
      </c>
      <c r="AB1724" s="77">
        <v>36735</v>
      </c>
      <c r="AC1724" s="77"/>
      <c r="AD1724" s="6"/>
      <c r="AE1724" s="7">
        <v>1999</v>
      </c>
      <c r="AF1724" s="7">
        <v>19</v>
      </c>
      <c r="AG1724" s="7">
        <v>2000</v>
      </c>
      <c r="AH1724" s="7">
        <v>2000</v>
      </c>
      <c r="AI1724" s="7"/>
      <c r="AJ1724" s="73"/>
      <c r="AK1724" s="7"/>
      <c r="AL1724" s="16"/>
      <c r="AW1724" s="6">
        <f t="shared" ca="1" si="29"/>
        <v>27</v>
      </c>
    </row>
    <row r="1725" ht="45" hidden="1" customHeight="1" outlineLevel="1">
      <c r="A1725" s="69"/>
      <c r="B1725" s="3" t="s">
        <v>47</v>
      </c>
      <c r="C1725" s="4" t="s">
        <v>4950</v>
      </c>
      <c r="D1725" s="5" t="s">
        <v>4951</v>
      </c>
      <c r="E1725" s="2" t="s">
        <v>48</v>
      </c>
      <c r="F1725" s="6" t="s">
        <v>49</v>
      </c>
      <c r="G1725" s="5" t="s">
        <v>1889</v>
      </c>
      <c r="H1725" s="2" t="s">
        <v>181</v>
      </c>
      <c r="I1725" s="3" t="s">
        <v>4952</v>
      </c>
      <c r="J1725" s="7">
        <v>1</v>
      </c>
      <c r="K1725" s="104"/>
      <c r="L1725" s="9">
        <v>1</v>
      </c>
      <c r="M1725" s="3">
        <v>1433</v>
      </c>
      <c r="N1725" s="6">
        <v>1998</v>
      </c>
      <c r="O1725" s="10">
        <v>36028</v>
      </c>
      <c r="P1725" s="71" t="s">
        <v>4953</v>
      </c>
      <c r="Q1725" s="10" t="s">
        <v>1453</v>
      </c>
      <c r="R1725" s="6">
        <v>1990</v>
      </c>
      <c r="S1725" s="3" t="s">
        <v>236</v>
      </c>
      <c r="T1725" s="72"/>
      <c r="U1725" s="73">
        <v>42179</v>
      </c>
      <c r="W1725" s="2" t="s">
        <v>62</v>
      </c>
      <c r="X1725" s="10" t="s">
        <v>56</v>
      </c>
      <c r="Y1725" s="10" t="s">
        <v>181</v>
      </c>
      <c r="Z1725" s="75"/>
      <c r="AA1725" s="76"/>
      <c r="AB1725" s="77"/>
      <c r="AC1725" s="77"/>
      <c r="AD1725" s="6"/>
      <c r="AI1725" s="7"/>
      <c r="AJ1725" s="95">
        <v>42179</v>
      </c>
      <c r="AK1725" s="7">
        <v>2010</v>
      </c>
      <c r="AL1725" s="16"/>
      <c r="AW1725" s="6">
        <f t="shared" ca="1" si="29"/>
        <v>27</v>
      </c>
    </row>
    <row r="1726" ht="45" customHeight="1">
      <c r="A1726" s="69"/>
      <c r="B1726" s="3" t="s">
        <v>47</v>
      </c>
      <c r="D1726" s="5" t="s">
        <v>4954</v>
      </c>
      <c r="E1726" s="2" t="s">
        <v>83</v>
      </c>
      <c r="F1726" s="6" t="s">
        <v>704</v>
      </c>
      <c r="G1726" s="5" t="s">
        <v>4955</v>
      </c>
      <c r="H1726" s="2" t="s">
        <v>57</v>
      </c>
      <c r="I1726" s="3" t="s">
        <v>4956</v>
      </c>
      <c r="J1726" s="7">
        <v>1</v>
      </c>
      <c r="K1726" s="70" t="s">
        <v>53</v>
      </c>
      <c r="L1726" s="9">
        <v>1</v>
      </c>
      <c r="M1726" s="3">
        <v>1434</v>
      </c>
      <c r="N1726" s="6">
        <v>1998</v>
      </c>
      <c r="P1726" s="71"/>
      <c r="R1726" s="6">
        <v>1990</v>
      </c>
      <c r="S1726" s="3" t="s">
        <v>54</v>
      </c>
      <c r="T1726" s="72"/>
      <c r="U1726" s="73"/>
      <c r="W1726" s="2" t="s">
        <v>4957</v>
      </c>
      <c r="X1726" s="10" t="s">
        <v>56</v>
      </c>
      <c r="Y1726" s="10" t="s">
        <v>57</v>
      </c>
      <c r="Z1726" s="75"/>
      <c r="AA1726" s="76"/>
      <c r="AB1726" s="77"/>
      <c r="AC1726" s="77">
        <v>38176</v>
      </c>
      <c r="AD1726" s="10"/>
      <c r="AE1726" s="7">
        <v>2002</v>
      </c>
      <c r="AF1726" s="7">
        <v>37</v>
      </c>
      <c r="AG1726" s="7">
        <v>2004</v>
      </c>
      <c r="AH1726" s="7">
        <v>2000</v>
      </c>
      <c r="AI1726" s="7"/>
      <c r="AJ1726" s="73"/>
      <c r="AK1726" s="7"/>
      <c r="AL1726" s="16"/>
      <c r="AM1726" s="2" t="s">
        <v>59</v>
      </c>
      <c r="AW1726" s="6">
        <f t="shared" ca="1" si="29"/>
        <v>27</v>
      </c>
    </row>
    <row r="1727" ht="45" hidden="1" customHeight="1" outlineLevel="1">
      <c r="A1727" s="69"/>
      <c r="B1727" s="3" t="s">
        <v>47</v>
      </c>
      <c r="C1727" s="4" t="s">
        <v>4904</v>
      </c>
      <c r="E1727" s="2" t="s">
        <v>83</v>
      </c>
      <c r="F1727" s="6" t="s">
        <v>84</v>
      </c>
      <c r="G1727" s="5" t="s">
        <v>85</v>
      </c>
      <c r="H1727" s="2" t="s">
        <v>57</v>
      </c>
      <c r="I1727" s="3" t="s">
        <v>4958</v>
      </c>
      <c r="J1727" s="7">
        <v>1</v>
      </c>
      <c r="K1727" s="70"/>
      <c r="L1727" s="9">
        <v>1</v>
      </c>
      <c r="M1727" s="3">
        <v>1435</v>
      </c>
      <c r="N1727" s="6">
        <v>1998</v>
      </c>
      <c r="P1727" s="71"/>
      <c r="R1727" s="6">
        <v>1990</v>
      </c>
      <c r="S1727" s="3" t="s">
        <v>236</v>
      </c>
      <c r="T1727" s="72"/>
      <c r="U1727" s="73"/>
      <c r="W1727" s="2" t="s">
        <v>62</v>
      </c>
      <c r="X1727" s="10" t="s">
        <v>56</v>
      </c>
      <c r="Y1727" s="10" t="s">
        <v>57</v>
      </c>
      <c r="Z1727" s="75"/>
      <c r="AA1727" s="76"/>
      <c r="AB1727" s="77"/>
      <c r="AC1727" s="77"/>
      <c r="AD1727" s="10"/>
      <c r="AI1727" s="7"/>
      <c r="AJ1727" s="95">
        <v>40598</v>
      </c>
      <c r="AK1727" s="7">
        <v>2000</v>
      </c>
      <c r="AL1727" s="16"/>
      <c r="AW1727" s="6">
        <f t="shared" ca="1" si="29"/>
        <v>27</v>
      </c>
    </row>
    <row r="1728" ht="45" hidden="1" customHeight="1" outlineLevel="1">
      <c r="A1728" s="69">
        <v>43167</v>
      </c>
      <c r="B1728" s="3" t="s">
        <v>47</v>
      </c>
      <c r="C1728" s="204" t="s">
        <v>4959</v>
      </c>
      <c r="D1728" s="189" t="s">
        <v>4960</v>
      </c>
      <c r="E1728" s="2" t="s">
        <v>83</v>
      </c>
      <c r="F1728" s="6" t="s">
        <v>84</v>
      </c>
      <c r="G1728" s="5" t="s">
        <v>4961</v>
      </c>
      <c r="H1728" s="2" t="s">
        <v>288</v>
      </c>
      <c r="I1728" s="3" t="s">
        <v>4962</v>
      </c>
      <c r="J1728" s="7">
        <v>1</v>
      </c>
      <c r="K1728" s="70"/>
      <c r="L1728" s="9">
        <v>1</v>
      </c>
      <c r="M1728" s="3">
        <v>1436</v>
      </c>
      <c r="N1728" s="6">
        <v>1998</v>
      </c>
      <c r="P1728" s="71"/>
      <c r="R1728" s="6">
        <v>1990</v>
      </c>
      <c r="S1728" s="3" t="s">
        <v>236</v>
      </c>
      <c r="T1728" s="72" t="s">
        <v>1136</v>
      </c>
      <c r="W1728" s="2" t="s">
        <v>62</v>
      </c>
      <c r="X1728" s="10" t="s">
        <v>56</v>
      </c>
      <c r="Y1728" s="10" t="s">
        <v>57</v>
      </c>
      <c r="Z1728" s="75"/>
      <c r="AA1728" s="76"/>
      <c r="AB1728" s="77"/>
      <c r="AC1728" s="77"/>
      <c r="AD1728" s="6"/>
      <c r="AI1728" s="7"/>
      <c r="AJ1728" s="10">
        <v>44400</v>
      </c>
      <c r="AK1728" s="7">
        <v>2020</v>
      </c>
      <c r="AL1728" s="16"/>
      <c r="AW1728" s="6">
        <f t="shared" ca="1" si="29"/>
        <v>27</v>
      </c>
    </row>
    <row r="1729" ht="45" hidden="1" customHeight="1">
      <c r="A1729" s="69"/>
      <c r="B1729" s="3" t="s">
        <v>190</v>
      </c>
      <c r="C1729" s="205" t="s">
        <v>4963</v>
      </c>
      <c r="D1729" s="5" t="s">
        <v>4964</v>
      </c>
      <c r="E1729" s="2" t="s">
        <v>83</v>
      </c>
      <c r="F1729" s="6" t="s">
        <v>704</v>
      </c>
      <c r="G1729" s="5" t="s">
        <v>4882</v>
      </c>
      <c r="H1729" s="2" t="s">
        <v>4501</v>
      </c>
      <c r="I1729" s="3" t="s">
        <v>4965</v>
      </c>
      <c r="J1729" s="7">
        <v>1</v>
      </c>
      <c r="K1729" s="70"/>
      <c r="L1729" s="9">
        <v>1</v>
      </c>
      <c r="M1729" s="3">
        <v>1437</v>
      </c>
      <c r="N1729" s="6">
        <v>1998</v>
      </c>
      <c r="O1729" s="10">
        <v>36087</v>
      </c>
      <c r="P1729" s="71" t="s">
        <v>4966</v>
      </c>
      <c r="R1729" s="6">
        <v>1990</v>
      </c>
      <c r="S1729" s="3" t="s">
        <v>283</v>
      </c>
      <c r="T1729" s="72"/>
      <c r="U1729" s="73"/>
      <c r="W1729" s="74" t="s">
        <v>62</v>
      </c>
      <c r="X1729" s="10" t="s">
        <v>56</v>
      </c>
      <c r="Y1729" s="10" t="s">
        <v>57</v>
      </c>
      <c r="Z1729" s="75" t="s">
        <v>58</v>
      </c>
      <c r="AA1729" s="76"/>
      <c r="AB1729" s="77"/>
      <c r="AC1729" s="77"/>
      <c r="AD1729" s="10"/>
      <c r="AI1729" s="7"/>
      <c r="AJ1729" s="73"/>
      <c r="AK1729" s="7"/>
      <c r="AL1729" s="16"/>
      <c r="AW1729" s="6">
        <f t="shared" ca="1" si="29"/>
        <v>27</v>
      </c>
    </row>
    <row r="1730" ht="45" customHeight="1" outlineLevel="1">
      <c r="A1730" s="69"/>
      <c r="B1730" s="3" t="s">
        <v>47</v>
      </c>
      <c r="C1730" s="206" t="s">
        <v>4967</v>
      </c>
      <c r="D1730" s="5" t="s">
        <v>4968</v>
      </c>
      <c r="E1730" s="2" t="s">
        <v>48</v>
      </c>
      <c r="F1730" s="6" t="s">
        <v>49</v>
      </c>
      <c r="G1730" s="5" t="s">
        <v>468</v>
      </c>
      <c r="H1730" s="2" t="s">
        <v>68</v>
      </c>
      <c r="I1730" s="3" t="s">
        <v>4969</v>
      </c>
      <c r="J1730" s="7">
        <v>1</v>
      </c>
      <c r="K1730" s="70" t="s">
        <v>53</v>
      </c>
      <c r="L1730" s="9">
        <v>1</v>
      </c>
      <c r="M1730" s="3">
        <v>1438</v>
      </c>
      <c r="N1730" s="6">
        <v>1998</v>
      </c>
      <c r="P1730" s="71"/>
      <c r="R1730" s="6">
        <v>1990</v>
      </c>
      <c r="S1730" s="3" t="s">
        <v>54</v>
      </c>
      <c r="T1730" s="72"/>
      <c r="U1730" s="73"/>
      <c r="W1730" s="2" t="s">
        <v>4970</v>
      </c>
      <c r="X1730" s="10" t="s">
        <v>56</v>
      </c>
      <c r="Y1730" s="10" t="s">
        <v>68</v>
      </c>
      <c r="Z1730" s="75"/>
      <c r="AA1730" s="76"/>
      <c r="AB1730" s="77">
        <v>36696</v>
      </c>
      <c r="AC1730" s="77"/>
      <c r="AD1730" s="6"/>
      <c r="AE1730" s="7">
        <v>1999</v>
      </c>
      <c r="AF1730" s="7">
        <v>19</v>
      </c>
      <c r="AG1730" s="7">
        <v>2000</v>
      </c>
      <c r="AH1730" s="7">
        <v>2000</v>
      </c>
      <c r="AI1730" s="7"/>
      <c r="AJ1730" s="73"/>
      <c r="AK1730" s="7"/>
      <c r="AL1730" s="16"/>
      <c r="AM1730" s="2" t="s">
        <v>82</v>
      </c>
      <c r="AS1730" s="6" t="s">
        <v>73</v>
      </c>
      <c r="AU1730" s="16" t="s">
        <v>4971</v>
      </c>
      <c r="AW1730" s="6">
        <f t="shared" ca="1" si="29"/>
        <v>27</v>
      </c>
    </row>
    <row r="1731" ht="45" hidden="1" customHeight="1">
      <c r="A1731" s="69"/>
      <c r="B1731" s="3" t="s">
        <v>47</v>
      </c>
      <c r="C1731" s="4" t="s">
        <v>4972</v>
      </c>
      <c r="D1731" s="5" t="s">
        <v>4973</v>
      </c>
      <c r="E1731" s="2" t="s">
        <v>63</v>
      </c>
      <c r="F1731" s="6" t="s">
        <v>83</v>
      </c>
      <c r="G1731" s="5" t="s">
        <v>4429</v>
      </c>
      <c r="H1731" s="2" t="s">
        <v>4337</v>
      </c>
      <c r="I1731" s="3" t="s">
        <v>4974</v>
      </c>
      <c r="J1731" s="7">
        <v>1</v>
      </c>
      <c r="K1731" s="104"/>
      <c r="L1731" s="9">
        <v>1</v>
      </c>
      <c r="M1731" s="3">
        <v>1439</v>
      </c>
      <c r="N1731" s="6">
        <v>1998</v>
      </c>
      <c r="P1731" s="71"/>
      <c r="R1731" s="6">
        <v>1990</v>
      </c>
      <c r="S1731" s="3" t="s">
        <v>236</v>
      </c>
      <c r="T1731" s="72"/>
      <c r="U1731" s="73"/>
      <c r="W1731" s="2" t="s">
        <v>62</v>
      </c>
      <c r="X1731" s="10" t="s">
        <v>4339</v>
      </c>
      <c r="Y1731" s="10" t="s">
        <v>980</v>
      </c>
      <c r="Z1731" s="75"/>
      <c r="AA1731" s="76"/>
      <c r="AB1731" s="77"/>
      <c r="AC1731" s="77"/>
      <c r="AD1731" s="6"/>
      <c r="AI1731" s="7"/>
      <c r="AJ1731" s="10">
        <v>42378</v>
      </c>
      <c r="AK1731" s="7">
        <v>2010</v>
      </c>
      <c r="AL1731" s="16"/>
      <c r="AW1731" s="6">
        <f t="shared" ca="1" si="29"/>
        <v>27</v>
      </c>
    </row>
    <row r="1732" ht="45" hidden="1" customHeight="1" outlineLevel="1">
      <c r="A1732" s="69"/>
      <c r="B1732" s="3" t="s">
        <v>190</v>
      </c>
      <c r="C1732" s="4" t="s">
        <v>4975</v>
      </c>
      <c r="D1732" s="5" t="s">
        <v>4976</v>
      </c>
      <c r="E1732" s="2" t="s">
        <v>83</v>
      </c>
      <c r="F1732" s="6" t="s">
        <v>84</v>
      </c>
      <c r="G1732" s="5" t="s">
        <v>4977</v>
      </c>
      <c r="H1732" s="2" t="s">
        <v>491</v>
      </c>
      <c r="I1732" s="3" t="s">
        <v>4978</v>
      </c>
      <c r="J1732" s="7">
        <v>1</v>
      </c>
      <c r="K1732" s="104"/>
      <c r="L1732" s="9">
        <v>1</v>
      </c>
      <c r="M1732" s="3">
        <v>1440</v>
      </c>
      <c r="N1732" s="6">
        <v>1999</v>
      </c>
      <c r="P1732" s="71"/>
      <c r="R1732" s="6">
        <v>1990</v>
      </c>
      <c r="S1732" s="3" t="s">
        <v>283</v>
      </c>
      <c r="T1732" s="72"/>
      <c r="U1732" s="73"/>
      <c r="W1732" s="74" t="s">
        <v>62</v>
      </c>
      <c r="X1732" s="10" t="s">
        <v>56</v>
      </c>
      <c r="Y1732" s="10" t="s">
        <v>523</v>
      </c>
      <c r="Z1732" s="75"/>
      <c r="AA1732" s="76"/>
      <c r="AB1732" s="77"/>
      <c r="AC1732" s="77"/>
      <c r="AD1732" s="6"/>
      <c r="AI1732" s="7"/>
      <c r="AJ1732" s="73"/>
      <c r="AK1732" s="7"/>
      <c r="AL1732" s="16"/>
      <c r="AW1732" s="6">
        <f t="shared" ca="1" si="29"/>
        <v>26</v>
      </c>
    </row>
    <row r="1733" ht="45" hidden="1" customHeight="1">
      <c r="A1733" s="69"/>
      <c r="B1733" s="3" t="s">
        <v>47</v>
      </c>
      <c r="C1733" s="4" t="s">
        <v>4979</v>
      </c>
      <c r="D1733" s="5" t="s">
        <v>4980</v>
      </c>
      <c r="E1733" s="2" t="s">
        <v>63</v>
      </c>
      <c r="F1733" s="6" t="s">
        <v>428</v>
      </c>
      <c r="G1733" s="5" t="s">
        <v>4891</v>
      </c>
      <c r="H1733" s="2" t="s">
        <v>57</v>
      </c>
      <c r="I1733" s="3" t="s">
        <v>4981</v>
      </c>
      <c r="J1733" s="7">
        <v>1</v>
      </c>
      <c r="K1733" s="104"/>
      <c r="L1733" s="9">
        <v>1</v>
      </c>
      <c r="M1733" s="3">
        <v>1441</v>
      </c>
      <c r="N1733" s="6">
        <v>1999</v>
      </c>
      <c r="P1733" s="71"/>
      <c r="R1733" s="6">
        <v>1990</v>
      </c>
      <c r="S1733" s="3" t="s">
        <v>236</v>
      </c>
      <c r="T1733" s="72"/>
      <c r="U1733" s="73"/>
      <c r="W1733" s="2" t="s">
        <v>62</v>
      </c>
      <c r="X1733" s="10" t="s">
        <v>56</v>
      </c>
      <c r="Y1733" s="10" t="s">
        <v>57</v>
      </c>
      <c r="Z1733" s="75"/>
      <c r="AA1733" s="76"/>
      <c r="AB1733" s="77"/>
      <c r="AC1733" s="77"/>
      <c r="AD1733" s="6"/>
      <c r="AI1733" s="7"/>
      <c r="AJ1733" s="10">
        <v>43416</v>
      </c>
      <c r="AK1733" s="7">
        <v>2018</v>
      </c>
      <c r="AL1733" s="16"/>
      <c r="AW1733" s="6">
        <f t="shared" ca="1" si="29"/>
        <v>26</v>
      </c>
    </row>
    <row r="1734" ht="45" hidden="1" customHeight="1" outlineLevel="1">
      <c r="A1734" s="69"/>
      <c r="B1734" s="3" t="s">
        <v>47</v>
      </c>
      <c r="C1734" s="4" t="s">
        <v>4982</v>
      </c>
      <c r="D1734" s="5" t="s">
        <v>4983</v>
      </c>
      <c r="E1734" s="2" t="s">
        <v>83</v>
      </c>
      <c r="F1734" s="6" t="s">
        <v>84</v>
      </c>
      <c r="G1734" s="5" t="s">
        <v>3115</v>
      </c>
      <c r="H1734" s="2" t="s">
        <v>57</v>
      </c>
      <c r="I1734" s="3" t="s">
        <v>2063</v>
      </c>
      <c r="J1734" s="7">
        <v>1</v>
      </c>
      <c r="K1734" s="104"/>
      <c r="L1734" s="9">
        <v>1</v>
      </c>
      <c r="M1734" s="3">
        <v>1442</v>
      </c>
      <c r="N1734" s="6">
        <v>1999</v>
      </c>
      <c r="O1734" s="10">
        <v>35490</v>
      </c>
      <c r="P1734" s="71" t="s">
        <v>4250</v>
      </c>
      <c r="R1734" s="6">
        <v>1990</v>
      </c>
      <c r="S1734" s="3" t="s">
        <v>236</v>
      </c>
      <c r="T1734" s="72"/>
      <c r="W1734" s="2" t="s">
        <v>62</v>
      </c>
      <c r="X1734" s="10" t="s">
        <v>56</v>
      </c>
      <c r="Y1734" s="10" t="s">
        <v>288</v>
      </c>
      <c r="Z1734" s="75"/>
      <c r="AA1734" s="76"/>
      <c r="AB1734" s="77"/>
      <c r="AC1734" s="77"/>
      <c r="AD1734" s="10"/>
      <c r="AI1734" s="7"/>
      <c r="AJ1734" s="10">
        <v>44400</v>
      </c>
      <c r="AK1734" s="7">
        <v>2020</v>
      </c>
      <c r="AL1734" s="16"/>
      <c r="AW1734" s="6">
        <f t="shared" ca="1" si="29"/>
        <v>26</v>
      </c>
    </row>
    <row r="1735" ht="45" hidden="1" customHeight="1">
      <c r="A1735" s="69"/>
      <c r="B1735" s="3" t="s">
        <v>47</v>
      </c>
      <c r="C1735" s="4" t="s">
        <v>4984</v>
      </c>
      <c r="E1735" s="2" t="s">
        <v>48</v>
      </c>
      <c r="F1735" s="6" t="s">
        <v>564</v>
      </c>
      <c r="G1735" s="5" t="s">
        <v>565</v>
      </c>
      <c r="H1735" s="2" t="s">
        <v>508</v>
      </c>
      <c r="I1735" s="3" t="s">
        <v>4985</v>
      </c>
      <c r="J1735" s="7">
        <v>1</v>
      </c>
      <c r="K1735" s="104"/>
      <c r="L1735" s="9">
        <v>1</v>
      </c>
      <c r="M1735" s="3">
        <v>1443</v>
      </c>
      <c r="N1735" s="6">
        <v>1999</v>
      </c>
      <c r="P1735" s="71"/>
      <c r="R1735" s="6">
        <v>1990</v>
      </c>
      <c r="S1735" s="3" t="s">
        <v>236</v>
      </c>
      <c r="T1735" s="72"/>
      <c r="U1735" s="73"/>
      <c r="W1735" s="2" t="s">
        <v>62</v>
      </c>
      <c r="X1735" s="10" t="s">
        <v>504</v>
      </c>
      <c r="Y1735" s="10" t="s">
        <v>511</v>
      </c>
      <c r="Z1735" s="75"/>
      <c r="AA1735" s="76"/>
      <c r="AB1735" s="77"/>
      <c r="AC1735" s="77"/>
      <c r="AD1735" s="6"/>
      <c r="AI1735" s="7"/>
      <c r="AJ1735" s="95">
        <v>40323</v>
      </c>
      <c r="AK1735" s="7">
        <v>2010</v>
      </c>
      <c r="AL1735" s="16"/>
      <c r="AW1735" s="6">
        <f t="shared" ca="1" si="29"/>
        <v>26</v>
      </c>
    </row>
    <row r="1736" ht="45" hidden="1" customHeight="1">
      <c r="A1736" s="69"/>
      <c r="B1736" s="3" t="s">
        <v>47</v>
      </c>
      <c r="C1736" s="4" t="s">
        <v>4986</v>
      </c>
      <c r="E1736" s="2" t="s">
        <v>83</v>
      </c>
      <c r="F1736" s="6" t="s">
        <v>84</v>
      </c>
      <c r="G1736" s="5" t="s">
        <v>85</v>
      </c>
      <c r="H1736" s="2" t="s">
        <v>57</v>
      </c>
      <c r="I1736" s="3" t="s">
        <v>4987</v>
      </c>
      <c r="J1736" s="7">
        <v>1</v>
      </c>
      <c r="K1736" s="104"/>
      <c r="L1736" s="9">
        <v>1</v>
      </c>
      <c r="M1736" s="3">
        <v>1444</v>
      </c>
      <c r="N1736" s="6">
        <v>1999</v>
      </c>
      <c r="P1736" s="71"/>
      <c r="R1736" s="6">
        <v>1990</v>
      </c>
      <c r="S1736" s="3" t="s">
        <v>236</v>
      </c>
      <c r="T1736" s="72"/>
      <c r="U1736" s="73"/>
      <c r="W1736" s="2" t="s">
        <v>62</v>
      </c>
      <c r="X1736" s="10" t="s">
        <v>56</v>
      </c>
      <c r="Y1736" s="10" t="s">
        <v>57</v>
      </c>
      <c r="Z1736" s="75"/>
      <c r="AA1736" s="76"/>
      <c r="AB1736" s="77"/>
      <c r="AC1736" s="77"/>
      <c r="AD1736" s="6"/>
      <c r="AI1736" s="7"/>
      <c r="AJ1736" s="95">
        <v>40024</v>
      </c>
      <c r="AK1736" s="7">
        <v>2000</v>
      </c>
      <c r="AL1736" s="16"/>
      <c r="AW1736" s="6">
        <f t="shared" ca="1" si="29"/>
        <v>26</v>
      </c>
    </row>
    <row r="1737" ht="45" hidden="1" customHeight="1" outlineLevel="1">
      <c r="A1737" s="69"/>
      <c r="B1737" s="3" t="s">
        <v>47</v>
      </c>
      <c r="C1737" s="4" t="s">
        <v>4988</v>
      </c>
      <c r="D1737" s="5" t="s">
        <v>4989</v>
      </c>
      <c r="E1737" s="2" t="s">
        <v>83</v>
      </c>
      <c r="F1737" s="6" t="s">
        <v>704</v>
      </c>
      <c r="G1737" s="5" t="s">
        <v>4727</v>
      </c>
      <c r="H1737" s="2" t="s">
        <v>68</v>
      </c>
      <c r="I1737" s="3" t="s">
        <v>4990</v>
      </c>
      <c r="J1737" s="7">
        <v>1</v>
      </c>
      <c r="K1737" s="104"/>
      <c r="L1737" s="9">
        <v>1</v>
      </c>
      <c r="M1737" s="3">
        <v>1445</v>
      </c>
      <c r="N1737" s="6">
        <v>1999</v>
      </c>
      <c r="P1737" s="71"/>
      <c r="R1737" s="6">
        <v>1990</v>
      </c>
      <c r="S1737" s="3" t="s">
        <v>236</v>
      </c>
      <c r="T1737" s="72"/>
      <c r="U1737" s="73">
        <v>42548</v>
      </c>
      <c r="W1737" s="2" t="s">
        <v>62</v>
      </c>
      <c r="X1737" s="10" t="s">
        <v>56</v>
      </c>
      <c r="Y1737" s="10" t="s">
        <v>68</v>
      </c>
      <c r="Z1737" s="75"/>
      <c r="AA1737" s="76"/>
      <c r="AB1737" s="77"/>
      <c r="AC1737" s="77"/>
      <c r="AD1737" s="6"/>
      <c r="AI1737" s="7"/>
      <c r="AJ1737" s="10">
        <v>42520</v>
      </c>
      <c r="AK1737" s="7">
        <v>2010</v>
      </c>
      <c r="AL1737" s="99" t="s">
        <v>4173</v>
      </c>
      <c r="AW1737" s="6">
        <f t="shared" ca="1" si="29"/>
        <v>26</v>
      </c>
    </row>
    <row r="1738" ht="45" hidden="1" customHeight="1">
      <c r="A1738" s="132"/>
      <c r="B1738" s="3" t="s">
        <v>47</v>
      </c>
      <c r="C1738" s="206" t="s">
        <v>4991</v>
      </c>
      <c r="D1738" s="117" t="s">
        <v>4992</v>
      </c>
      <c r="E1738" s="2" t="s">
        <v>83</v>
      </c>
      <c r="F1738" s="6" t="s">
        <v>179</v>
      </c>
      <c r="G1738" s="5" t="s">
        <v>4993</v>
      </c>
      <c r="H1738" s="2" t="s">
        <v>57</v>
      </c>
      <c r="I1738" s="3" t="s">
        <v>4994</v>
      </c>
      <c r="J1738" s="7">
        <v>1</v>
      </c>
      <c r="K1738" s="145"/>
      <c r="L1738" s="9">
        <v>1</v>
      </c>
      <c r="M1738" s="3">
        <v>1446</v>
      </c>
      <c r="N1738" s="6">
        <v>1999</v>
      </c>
      <c r="P1738" s="71"/>
      <c r="R1738" s="6">
        <v>1990</v>
      </c>
      <c r="S1738" s="3" t="s">
        <v>236</v>
      </c>
      <c r="T1738" s="72"/>
      <c r="U1738" s="73"/>
      <c r="V1738" s="196">
        <v>43994</v>
      </c>
      <c r="W1738" s="2" t="s">
        <v>62</v>
      </c>
      <c r="X1738" s="10" t="s">
        <v>56</v>
      </c>
      <c r="Y1738" s="10" t="s">
        <v>57</v>
      </c>
      <c r="Z1738" s="75"/>
      <c r="AA1738" s="137"/>
      <c r="AB1738" s="138"/>
      <c r="AC1738" s="138"/>
      <c r="AD1738" s="141"/>
      <c r="AE1738" s="139"/>
      <c r="AG1738" s="139"/>
      <c r="AH1738" s="139"/>
      <c r="AI1738" s="139"/>
      <c r="AJ1738" s="136"/>
      <c r="AK1738" s="139"/>
      <c r="AL1738" s="16"/>
      <c r="AO1738" s="141"/>
      <c r="AP1738" s="141"/>
      <c r="AQ1738" s="117"/>
      <c r="AR1738" s="142"/>
      <c r="AS1738" s="141"/>
      <c r="AT1738" s="141"/>
      <c r="AU1738" s="140"/>
      <c r="AV1738" s="143"/>
      <c r="AW1738" s="6">
        <f t="shared" ca="1" si="29"/>
        <v>26</v>
      </c>
    </row>
    <row r="1739" ht="45" hidden="1" customHeight="1" outlineLevel="1">
      <c r="A1739" s="69"/>
      <c r="B1739" s="3" t="s">
        <v>47</v>
      </c>
      <c r="C1739" s="4" t="s">
        <v>4995</v>
      </c>
      <c r="D1739" s="5" t="s">
        <v>4996</v>
      </c>
      <c r="E1739" s="2" t="s">
        <v>48</v>
      </c>
      <c r="F1739" s="6" t="s">
        <v>49</v>
      </c>
      <c r="G1739" s="5" t="s">
        <v>2857</v>
      </c>
      <c r="H1739" s="2" t="s">
        <v>57</v>
      </c>
      <c r="I1739" s="3" t="s">
        <v>4997</v>
      </c>
      <c r="J1739" s="7">
        <v>1</v>
      </c>
      <c r="K1739" s="104"/>
      <c r="L1739" s="9">
        <v>1</v>
      </c>
      <c r="M1739" s="3">
        <v>1447</v>
      </c>
      <c r="N1739" s="6">
        <v>1999</v>
      </c>
      <c r="O1739" s="10">
        <v>36255</v>
      </c>
      <c r="P1739" s="71" t="s">
        <v>4998</v>
      </c>
      <c r="Q1739" s="10" t="s">
        <v>1453</v>
      </c>
      <c r="R1739" s="6">
        <v>1990</v>
      </c>
      <c r="S1739" s="3" t="s">
        <v>236</v>
      </c>
      <c r="T1739" s="72" t="s">
        <v>1136</v>
      </c>
      <c r="W1739" s="2" t="s">
        <v>4999</v>
      </c>
      <c r="X1739" s="10" t="s">
        <v>56</v>
      </c>
      <c r="Y1739" s="10" t="s">
        <v>57</v>
      </c>
      <c r="Z1739" s="75"/>
      <c r="AA1739" s="76"/>
      <c r="AB1739" s="77"/>
      <c r="AC1739" s="77"/>
      <c r="AD1739" s="6"/>
      <c r="AI1739" s="7"/>
      <c r="AJ1739" s="10">
        <v>44519</v>
      </c>
      <c r="AK1739" s="7">
        <v>2020</v>
      </c>
      <c r="AL1739" s="16"/>
      <c r="AW1739" s="6">
        <f t="shared" ca="1" si="29"/>
        <v>26</v>
      </c>
    </row>
    <row r="1740" ht="45" hidden="1" customHeight="1" outlineLevel="1">
      <c r="A1740" s="69"/>
      <c r="B1740" s="3" t="s">
        <v>47</v>
      </c>
      <c r="C1740" s="4" t="s">
        <v>5000</v>
      </c>
      <c r="D1740" s="5" t="s">
        <v>5001</v>
      </c>
      <c r="E1740" s="2" t="s">
        <v>63</v>
      </c>
      <c r="F1740" s="6" t="s">
        <v>428</v>
      </c>
      <c r="G1740" s="5" t="s">
        <v>4891</v>
      </c>
      <c r="H1740" s="2" t="s">
        <v>257</v>
      </c>
      <c r="I1740" s="3" t="s">
        <v>5002</v>
      </c>
      <c r="J1740" s="7">
        <v>1</v>
      </c>
      <c r="K1740" s="104"/>
      <c r="L1740" s="9">
        <v>1</v>
      </c>
      <c r="M1740" s="3">
        <v>1448</v>
      </c>
      <c r="N1740" s="6">
        <v>1999</v>
      </c>
      <c r="P1740" s="71"/>
      <c r="R1740" s="6">
        <v>1990</v>
      </c>
      <c r="S1740" s="3" t="s">
        <v>236</v>
      </c>
      <c r="T1740" s="72" t="s">
        <v>1136</v>
      </c>
      <c r="U1740" s="73"/>
      <c r="W1740" s="2" t="s">
        <v>62</v>
      </c>
      <c r="X1740" s="10" t="s">
        <v>56</v>
      </c>
      <c r="Y1740" s="10" t="s">
        <v>68</v>
      </c>
      <c r="Z1740" s="75" t="s">
        <v>260</v>
      </c>
      <c r="AA1740" s="76"/>
      <c r="AB1740" s="77"/>
      <c r="AC1740" s="77"/>
      <c r="AD1740" s="6"/>
      <c r="AI1740" s="7"/>
      <c r="AJ1740" s="10">
        <v>43340</v>
      </c>
      <c r="AK1740" s="7">
        <v>2010</v>
      </c>
      <c r="AL1740" s="16"/>
      <c r="AW1740" s="6">
        <f t="shared" ca="1" si="29"/>
        <v>26</v>
      </c>
    </row>
    <row r="1741" ht="45" hidden="1" customHeight="1">
      <c r="A1741" s="69"/>
      <c r="B1741" s="3" t="s">
        <v>47</v>
      </c>
      <c r="C1741" s="4" t="s">
        <v>351</v>
      </c>
      <c r="E1741" s="2" t="s">
        <v>1074</v>
      </c>
      <c r="F1741" s="6" t="s">
        <v>2026</v>
      </c>
      <c r="G1741" s="5" t="s">
        <v>5003</v>
      </c>
      <c r="H1741" s="2" t="s">
        <v>57</v>
      </c>
      <c r="I1741" s="3" t="s">
        <v>5004</v>
      </c>
      <c r="J1741" s="7">
        <v>1</v>
      </c>
      <c r="K1741" s="104"/>
      <c r="L1741" s="9">
        <v>1</v>
      </c>
      <c r="M1741" s="3">
        <v>1449</v>
      </c>
      <c r="N1741" s="6">
        <v>1999</v>
      </c>
      <c r="P1741" s="71"/>
      <c r="R1741" s="6">
        <v>1990</v>
      </c>
      <c r="S1741" s="3" t="s">
        <v>236</v>
      </c>
      <c r="T1741" s="72"/>
      <c r="U1741" s="73"/>
      <c r="W1741" s="2" t="s">
        <v>62</v>
      </c>
      <c r="X1741" s="10" t="s">
        <v>56</v>
      </c>
      <c r="Y1741" s="10" t="s">
        <v>57</v>
      </c>
      <c r="Z1741" s="75"/>
      <c r="AA1741" s="76"/>
      <c r="AB1741" s="77"/>
      <c r="AC1741" s="77"/>
      <c r="AD1741" s="6"/>
      <c r="AI1741" s="7"/>
      <c r="AJ1741" s="95">
        <v>39595</v>
      </c>
      <c r="AK1741" s="7">
        <v>2000</v>
      </c>
      <c r="AL1741" s="16"/>
      <c r="AW1741" s="6">
        <f t="shared" ca="1" si="29"/>
        <v>26</v>
      </c>
    </row>
    <row r="1742" ht="45" hidden="1" customHeight="1" outlineLevel="1">
      <c r="A1742" s="69"/>
      <c r="B1742" s="3" t="s">
        <v>47</v>
      </c>
      <c r="C1742" s="4" t="s">
        <v>351</v>
      </c>
      <c r="E1742" s="2" t="s">
        <v>83</v>
      </c>
      <c r="F1742" s="6" t="s">
        <v>84</v>
      </c>
      <c r="G1742" s="5" t="s">
        <v>797</v>
      </c>
      <c r="H1742" s="2" t="s">
        <v>57</v>
      </c>
      <c r="I1742" s="3" t="s">
        <v>5005</v>
      </c>
      <c r="J1742" s="7">
        <v>1</v>
      </c>
      <c r="K1742" s="104"/>
      <c r="L1742" s="9">
        <v>1</v>
      </c>
      <c r="M1742" s="3">
        <v>1450</v>
      </c>
      <c r="N1742" s="6">
        <v>1999</v>
      </c>
      <c r="P1742" s="71"/>
      <c r="R1742" s="6">
        <v>1990</v>
      </c>
      <c r="S1742" s="3" t="s">
        <v>236</v>
      </c>
      <c r="T1742" s="72"/>
      <c r="U1742" s="73"/>
      <c r="W1742" s="2" t="s">
        <v>62</v>
      </c>
      <c r="X1742" s="10" t="s">
        <v>56</v>
      </c>
      <c r="Y1742" s="10" t="s">
        <v>57</v>
      </c>
      <c r="Z1742" s="75"/>
      <c r="AA1742" s="76"/>
      <c r="AB1742" s="77"/>
      <c r="AC1742" s="77"/>
      <c r="AD1742" s="6"/>
      <c r="AI1742" s="7"/>
      <c r="AJ1742" s="95">
        <v>39595</v>
      </c>
      <c r="AK1742" s="7">
        <v>2000</v>
      </c>
      <c r="AL1742" s="16"/>
      <c r="AW1742" s="6">
        <f t="shared" ca="1" si="29"/>
        <v>26</v>
      </c>
    </row>
    <row r="1743" ht="45" hidden="1" customHeight="1" outlineLevel="1">
      <c r="A1743" s="69"/>
      <c r="B1743" s="3" t="s">
        <v>47</v>
      </c>
      <c r="C1743" s="4" t="s">
        <v>5006</v>
      </c>
      <c r="D1743" s="5" t="s">
        <v>5007</v>
      </c>
      <c r="E1743" s="2" t="s">
        <v>63</v>
      </c>
      <c r="F1743" s="6" t="s">
        <v>172</v>
      </c>
      <c r="G1743" s="5" t="s">
        <v>173</v>
      </c>
      <c r="H1743" s="2" t="s">
        <v>288</v>
      </c>
      <c r="I1743" s="3" t="s">
        <v>5008</v>
      </c>
      <c r="J1743" s="7">
        <v>1</v>
      </c>
      <c r="K1743" s="104"/>
      <c r="L1743" s="9">
        <v>1</v>
      </c>
      <c r="M1743" s="3">
        <v>1451</v>
      </c>
      <c r="N1743" s="6">
        <v>1999</v>
      </c>
      <c r="P1743" s="71"/>
      <c r="R1743" s="6">
        <v>1990</v>
      </c>
      <c r="S1743" s="3" t="s">
        <v>236</v>
      </c>
      <c r="T1743" s="72"/>
      <c r="U1743" s="73"/>
      <c r="W1743" s="2" t="s">
        <v>62</v>
      </c>
      <c r="X1743" s="10" t="s">
        <v>56</v>
      </c>
      <c r="Y1743" s="10" t="s">
        <v>288</v>
      </c>
      <c r="Z1743" s="75"/>
      <c r="AA1743" s="76"/>
      <c r="AB1743" s="77"/>
      <c r="AC1743" s="77"/>
      <c r="AD1743" s="6"/>
      <c r="AE1743" s="7" t="s">
        <v>5009</v>
      </c>
      <c r="AF1743" s="7" t="s">
        <v>5010</v>
      </c>
      <c r="AI1743" s="7"/>
      <c r="AJ1743" s="95">
        <v>41439</v>
      </c>
      <c r="AK1743" s="7">
        <v>2010</v>
      </c>
      <c r="AL1743" s="16" t="s">
        <v>5011</v>
      </c>
      <c r="AW1743" s="6">
        <f t="shared" ca="1" si="29"/>
        <v>26</v>
      </c>
    </row>
    <row r="1744" ht="45" hidden="1" customHeight="1" outlineLevel="1">
      <c r="A1744" s="69"/>
      <c r="B1744" s="3" t="s">
        <v>47</v>
      </c>
      <c r="C1744" s="4" t="s">
        <v>1263</v>
      </c>
      <c r="E1744" s="2" t="s">
        <v>83</v>
      </c>
      <c r="F1744" s="6" t="s">
        <v>704</v>
      </c>
      <c r="G1744" s="5" t="s">
        <v>5012</v>
      </c>
      <c r="H1744" s="2" t="s">
        <v>977</v>
      </c>
      <c r="I1744" s="3" t="s">
        <v>5013</v>
      </c>
      <c r="J1744" s="7">
        <v>1</v>
      </c>
      <c r="K1744" s="104"/>
      <c r="L1744" s="9">
        <v>1</v>
      </c>
      <c r="M1744" s="3">
        <v>1452</v>
      </c>
      <c r="N1744" s="6">
        <v>1999</v>
      </c>
      <c r="P1744" s="71"/>
      <c r="R1744" s="6">
        <v>1990</v>
      </c>
      <c r="S1744" s="3" t="s">
        <v>236</v>
      </c>
      <c r="T1744" s="72"/>
      <c r="U1744" s="73"/>
      <c r="W1744" s="2" t="s">
        <v>62</v>
      </c>
      <c r="X1744" s="10" t="s">
        <v>213</v>
      </c>
      <c r="Y1744" s="10" t="s">
        <v>980</v>
      </c>
      <c r="Z1744" s="75"/>
      <c r="AA1744" s="76"/>
      <c r="AB1744" s="77"/>
      <c r="AC1744" s="77"/>
      <c r="AD1744" s="6"/>
      <c r="AI1744" s="7"/>
      <c r="AJ1744" s="95">
        <v>38044</v>
      </c>
      <c r="AK1744" s="7">
        <v>2000</v>
      </c>
      <c r="AL1744" s="16"/>
      <c r="AW1744" s="6">
        <f t="shared" ca="1" si="29"/>
        <v>26</v>
      </c>
    </row>
    <row r="1745" ht="45" customHeight="1" outlineLevel="1">
      <c r="A1745" s="69"/>
      <c r="B1745" s="3" t="s">
        <v>47</v>
      </c>
      <c r="E1745" s="2" t="s">
        <v>63</v>
      </c>
      <c r="F1745" s="6" t="s">
        <v>428</v>
      </c>
      <c r="G1745" s="5" t="s">
        <v>5014</v>
      </c>
      <c r="H1745" s="2" t="s">
        <v>51</v>
      </c>
      <c r="I1745" s="3" t="s">
        <v>5015</v>
      </c>
      <c r="J1745" s="7">
        <v>1</v>
      </c>
      <c r="K1745" s="70" t="s">
        <v>53</v>
      </c>
      <c r="L1745" s="9">
        <v>1</v>
      </c>
      <c r="M1745" s="3">
        <v>1453</v>
      </c>
      <c r="N1745" s="6">
        <v>1999</v>
      </c>
      <c r="P1745" s="71"/>
      <c r="R1745" s="6">
        <v>1990</v>
      </c>
      <c r="S1745" s="3" t="s">
        <v>54</v>
      </c>
      <c r="T1745" s="72"/>
      <c r="U1745" s="73"/>
      <c r="W1745" s="2" t="s">
        <v>5016</v>
      </c>
      <c r="X1745" s="10" t="s">
        <v>56</v>
      </c>
      <c r="Y1745" s="10" t="s">
        <v>57</v>
      </c>
      <c r="Z1745" s="75" t="s">
        <v>58</v>
      </c>
      <c r="AA1745" s="76"/>
      <c r="AB1745" s="77">
        <v>38176</v>
      </c>
      <c r="AC1745" s="77">
        <v>38176</v>
      </c>
      <c r="AD1745" s="10"/>
      <c r="AE1745" s="7">
        <v>2002</v>
      </c>
      <c r="AF1745" s="7">
        <v>34</v>
      </c>
      <c r="AG1745" s="7">
        <v>2004</v>
      </c>
      <c r="AH1745" s="7">
        <v>2000</v>
      </c>
      <c r="AI1745" s="7"/>
      <c r="AJ1745" s="73"/>
      <c r="AK1745" s="7"/>
      <c r="AL1745" s="16" t="s">
        <v>5017</v>
      </c>
      <c r="AM1745" s="2" t="s">
        <v>59</v>
      </c>
      <c r="AO1745" s="6" t="s">
        <v>59</v>
      </c>
      <c r="AQ1745" s="5" t="s">
        <v>73</v>
      </c>
      <c r="AU1745" s="16" t="s">
        <v>5018</v>
      </c>
      <c r="AW1745" s="6">
        <f t="shared" ca="1" si="29"/>
        <v>26</v>
      </c>
    </row>
    <row r="1746" ht="45" hidden="1" customHeight="1">
      <c r="A1746" s="69"/>
      <c r="B1746" s="3" t="s">
        <v>190</v>
      </c>
      <c r="C1746" s="4" t="s">
        <v>5019</v>
      </c>
      <c r="D1746" s="5" t="s">
        <v>5020</v>
      </c>
      <c r="E1746" s="2" t="s">
        <v>83</v>
      </c>
      <c r="F1746" s="6" t="s">
        <v>84</v>
      </c>
      <c r="G1746" s="5" t="s">
        <v>1783</v>
      </c>
      <c r="H1746" s="2" t="s">
        <v>57</v>
      </c>
      <c r="I1746" s="3" t="s">
        <v>5021</v>
      </c>
      <c r="J1746" s="7">
        <v>1</v>
      </c>
      <c r="L1746" s="9">
        <v>1</v>
      </c>
      <c r="M1746" s="3">
        <v>1454</v>
      </c>
      <c r="N1746" s="6">
        <v>1999</v>
      </c>
      <c r="P1746" s="71"/>
      <c r="R1746" s="6">
        <v>1990</v>
      </c>
      <c r="S1746" s="3" t="s">
        <v>283</v>
      </c>
      <c r="T1746" s="72"/>
      <c r="U1746" s="73"/>
      <c r="W1746" s="74" t="s">
        <v>62</v>
      </c>
      <c r="X1746" s="10" t="s">
        <v>56</v>
      </c>
      <c r="Y1746" s="10" t="s">
        <v>57</v>
      </c>
      <c r="Z1746" s="75"/>
      <c r="AI1746" s="7"/>
      <c r="AJ1746" s="73"/>
      <c r="AK1746" s="7"/>
      <c r="AL1746" s="16"/>
      <c r="AW1746" s="6">
        <f t="shared" ca="1" si="29"/>
        <v>26</v>
      </c>
    </row>
    <row r="1747" ht="45" hidden="1" customHeight="1" outlineLevel="1">
      <c r="A1747" s="69"/>
      <c r="B1747" s="3" t="s">
        <v>47</v>
      </c>
      <c r="C1747" s="4" t="s">
        <v>1263</v>
      </c>
      <c r="E1747" s="2" t="s">
        <v>83</v>
      </c>
      <c r="F1747" s="6" t="s">
        <v>84</v>
      </c>
      <c r="G1747" s="5" t="s">
        <v>85</v>
      </c>
      <c r="H1747" s="2" t="s">
        <v>57</v>
      </c>
      <c r="I1747" s="3" t="s">
        <v>5022</v>
      </c>
      <c r="J1747" s="7">
        <v>1</v>
      </c>
      <c r="L1747" s="9">
        <v>1</v>
      </c>
      <c r="M1747" s="3">
        <v>1455</v>
      </c>
      <c r="N1747" s="6">
        <v>1999</v>
      </c>
      <c r="P1747" s="71"/>
      <c r="R1747" s="6">
        <v>1990</v>
      </c>
      <c r="S1747" s="3" t="s">
        <v>236</v>
      </c>
      <c r="T1747" s="72"/>
      <c r="U1747" s="73"/>
      <c r="W1747" s="2" t="s">
        <v>62</v>
      </c>
      <c r="X1747" s="10" t="s">
        <v>56</v>
      </c>
      <c r="Y1747" s="10" t="s">
        <v>57</v>
      </c>
      <c r="Z1747" s="75"/>
      <c r="AI1747" s="7"/>
      <c r="AJ1747" s="95">
        <v>38044</v>
      </c>
      <c r="AK1747" s="7">
        <v>2000</v>
      </c>
      <c r="AL1747" s="16"/>
      <c r="AW1747" s="6">
        <f t="shared" ca="1" si="29"/>
        <v>26</v>
      </c>
    </row>
    <row r="1748" ht="45" hidden="1" customHeight="1" outlineLevel="1">
      <c r="A1748" s="69"/>
      <c r="B1748" s="3" t="s">
        <v>47</v>
      </c>
      <c r="C1748" s="4" t="s">
        <v>351</v>
      </c>
      <c r="E1748" s="2" t="s">
        <v>83</v>
      </c>
      <c r="F1748" s="6" t="s">
        <v>84</v>
      </c>
      <c r="G1748" s="5" t="s">
        <v>5023</v>
      </c>
      <c r="H1748" s="2" t="s">
        <v>508</v>
      </c>
      <c r="I1748" s="3" t="s">
        <v>5024</v>
      </c>
      <c r="J1748" s="7">
        <v>1</v>
      </c>
      <c r="L1748" s="9">
        <v>1</v>
      </c>
      <c r="M1748" s="3">
        <v>1456</v>
      </c>
      <c r="N1748" s="6">
        <v>1999</v>
      </c>
      <c r="P1748" s="71"/>
      <c r="R1748" s="6">
        <v>1990</v>
      </c>
      <c r="S1748" s="3" t="s">
        <v>236</v>
      </c>
      <c r="T1748" s="72"/>
      <c r="U1748" s="73"/>
      <c r="W1748" s="2" t="s">
        <v>62</v>
      </c>
      <c r="X1748" s="10" t="s">
        <v>504</v>
      </c>
      <c r="Y1748" s="10" t="s">
        <v>511</v>
      </c>
      <c r="Z1748" s="75"/>
      <c r="AI1748" s="7"/>
      <c r="AJ1748" s="95">
        <v>39595</v>
      </c>
      <c r="AK1748" s="7">
        <v>2000</v>
      </c>
      <c r="AL1748" s="16"/>
      <c r="AW1748" s="6">
        <f t="shared" ca="1" si="29"/>
        <v>26</v>
      </c>
    </row>
    <row r="1749" ht="45" hidden="1" customHeight="1" outlineLevel="1">
      <c r="A1749" s="69"/>
      <c r="B1749" s="3" t="s">
        <v>47</v>
      </c>
      <c r="C1749" s="4" t="s">
        <v>5025</v>
      </c>
      <c r="E1749" s="2" t="s">
        <v>83</v>
      </c>
      <c r="F1749" s="6" t="s">
        <v>84</v>
      </c>
      <c r="G1749" s="5" t="s">
        <v>1679</v>
      </c>
      <c r="H1749" s="2" t="s">
        <v>57</v>
      </c>
      <c r="I1749" s="3" t="s">
        <v>2090</v>
      </c>
      <c r="J1749" s="7">
        <v>1</v>
      </c>
      <c r="L1749" s="9">
        <v>1</v>
      </c>
      <c r="M1749" s="3">
        <v>1457</v>
      </c>
      <c r="N1749" s="6">
        <v>1999</v>
      </c>
      <c r="P1749" s="71"/>
      <c r="R1749" s="6">
        <v>1990</v>
      </c>
      <c r="S1749" s="3" t="s">
        <v>236</v>
      </c>
      <c r="T1749" s="72"/>
      <c r="U1749" s="73"/>
      <c r="W1749" s="2" t="s">
        <v>62</v>
      </c>
      <c r="X1749" s="10" t="s">
        <v>56</v>
      </c>
      <c r="Y1749" s="10" t="s">
        <v>57</v>
      </c>
      <c r="Z1749" s="75"/>
      <c r="AI1749" s="7"/>
      <c r="AJ1749" s="95">
        <v>39981</v>
      </c>
      <c r="AK1749" s="7">
        <v>2000</v>
      </c>
      <c r="AL1749" s="16"/>
      <c r="AW1749" s="6">
        <f t="shared" ca="1" si="29"/>
        <v>26</v>
      </c>
    </row>
    <row r="1750" ht="45" hidden="1" customHeight="1" outlineLevel="1">
      <c r="A1750" s="69"/>
      <c r="B1750" s="3" t="s">
        <v>47</v>
      </c>
      <c r="C1750" s="4" t="s">
        <v>1263</v>
      </c>
      <c r="E1750" s="2" t="s">
        <v>83</v>
      </c>
      <c r="F1750" s="6" t="s">
        <v>84</v>
      </c>
      <c r="G1750" s="5" t="s">
        <v>85</v>
      </c>
      <c r="H1750" s="2" t="s">
        <v>382</v>
      </c>
      <c r="I1750" s="3" t="s">
        <v>5026</v>
      </c>
      <c r="J1750" s="7">
        <v>1</v>
      </c>
      <c r="L1750" s="9">
        <v>1</v>
      </c>
      <c r="M1750" s="3">
        <v>1458</v>
      </c>
      <c r="N1750" s="6">
        <v>1999</v>
      </c>
      <c r="P1750" s="71"/>
      <c r="R1750" s="6">
        <v>1990</v>
      </c>
      <c r="S1750" s="3" t="s">
        <v>236</v>
      </c>
      <c r="T1750" s="72"/>
      <c r="U1750" s="73"/>
      <c r="W1750" s="2" t="s">
        <v>62</v>
      </c>
      <c r="X1750" s="10" t="s">
        <v>91</v>
      </c>
      <c r="Y1750" s="10" t="s">
        <v>385</v>
      </c>
      <c r="Z1750" s="75"/>
      <c r="AI1750" s="7"/>
      <c r="AJ1750" s="95">
        <v>38044</v>
      </c>
      <c r="AK1750" s="7">
        <v>2000</v>
      </c>
      <c r="AL1750" s="16"/>
      <c r="AW1750" s="6">
        <f t="shared" ca="1" si="29"/>
        <v>26</v>
      </c>
    </row>
    <row r="1751" ht="45" hidden="1" customHeight="1">
      <c r="A1751" s="69">
        <v>43838</v>
      </c>
      <c r="B1751" s="3" t="s">
        <v>47</v>
      </c>
      <c r="C1751" s="4" t="s">
        <v>2767</v>
      </c>
      <c r="D1751" s="5" t="s">
        <v>5027</v>
      </c>
      <c r="E1751" s="2" t="s">
        <v>63</v>
      </c>
      <c r="F1751" s="6" t="s">
        <v>172</v>
      </c>
      <c r="G1751" s="5" t="s">
        <v>1268</v>
      </c>
      <c r="H1751" s="2" t="s">
        <v>3735</v>
      </c>
      <c r="I1751" s="3" t="s">
        <v>5028</v>
      </c>
      <c r="J1751" s="7">
        <v>1</v>
      </c>
      <c r="K1751" s="70"/>
      <c r="L1751" s="9">
        <v>1</v>
      </c>
      <c r="M1751" s="3">
        <v>1459</v>
      </c>
      <c r="N1751" s="6">
        <v>2000</v>
      </c>
      <c r="O1751" s="10">
        <v>36336</v>
      </c>
      <c r="P1751" s="71" t="s">
        <v>5029</v>
      </c>
      <c r="Q1751" s="10">
        <v>36570</v>
      </c>
      <c r="R1751" s="6">
        <v>2000</v>
      </c>
      <c r="S1751" s="3" t="s">
        <v>236</v>
      </c>
      <c r="T1751" s="72" t="s">
        <v>1136</v>
      </c>
      <c r="U1751" s="10">
        <v>43846</v>
      </c>
      <c r="W1751" s="2" t="s">
        <v>62</v>
      </c>
      <c r="X1751" s="10" t="s">
        <v>56</v>
      </c>
      <c r="Y1751" s="10" t="s">
        <v>68</v>
      </c>
      <c r="Z1751" s="75" t="s">
        <v>58</v>
      </c>
      <c r="AA1751" s="76"/>
      <c r="AB1751" s="77"/>
      <c r="AC1751" s="77"/>
      <c r="AD1751" s="10"/>
      <c r="AI1751" s="7"/>
      <c r="AJ1751" s="10">
        <v>43846</v>
      </c>
      <c r="AK1751" s="7">
        <v>2020</v>
      </c>
      <c r="AL1751" s="16"/>
      <c r="AW1751" s="6">
        <f t="shared" ca="1" si="29"/>
        <v>25</v>
      </c>
    </row>
    <row r="1752" ht="45" customHeight="1" outlineLevel="1">
      <c r="A1752" s="69"/>
      <c r="B1752" s="3" t="s">
        <v>47</v>
      </c>
      <c r="C1752" s="4" t="s">
        <v>5030</v>
      </c>
      <c r="D1752" s="5" t="s">
        <v>5031</v>
      </c>
      <c r="E1752" s="78" t="s">
        <v>83</v>
      </c>
      <c r="F1752" s="79" t="s">
        <v>704</v>
      </c>
      <c r="G1752" s="80" t="s">
        <v>2623</v>
      </c>
      <c r="H1752" s="78" t="s">
        <v>68</v>
      </c>
      <c r="I1752" s="81" t="s">
        <v>5032</v>
      </c>
      <c r="J1752" s="7">
        <v>1</v>
      </c>
      <c r="K1752" s="104" t="s">
        <v>53</v>
      </c>
      <c r="L1752" s="9">
        <v>1</v>
      </c>
      <c r="M1752" s="3">
        <v>1460</v>
      </c>
      <c r="N1752" s="6">
        <v>2000</v>
      </c>
      <c r="P1752" s="71"/>
      <c r="R1752" s="6">
        <v>2000</v>
      </c>
      <c r="S1752" s="3" t="s">
        <v>54</v>
      </c>
      <c r="T1752" s="72"/>
      <c r="U1752" s="73"/>
      <c r="W1752" s="78" t="s">
        <v>5033</v>
      </c>
      <c r="X1752" s="82" t="s">
        <v>56</v>
      </c>
      <c r="Y1752" s="82" t="s">
        <v>68</v>
      </c>
      <c r="Z1752" s="83" t="s">
        <v>260</v>
      </c>
      <c r="AA1752" s="76"/>
      <c r="AB1752" s="77">
        <v>42167</v>
      </c>
      <c r="AC1752" s="77"/>
      <c r="AD1752" s="6"/>
      <c r="AE1752" s="7">
        <v>2014</v>
      </c>
      <c r="AF1752" s="7">
        <v>75</v>
      </c>
      <c r="AG1752" s="7">
        <v>2015</v>
      </c>
      <c r="AH1752" s="7">
        <v>2010</v>
      </c>
      <c r="AI1752" s="7"/>
      <c r="AJ1752" s="73"/>
      <c r="AK1752" s="7"/>
      <c r="AL1752" s="102" t="s">
        <v>5034</v>
      </c>
      <c r="AM1752" s="2" t="s">
        <v>48</v>
      </c>
      <c r="AN1752" s="6" t="s">
        <v>73</v>
      </c>
      <c r="AO1752" s="6" t="s">
        <v>48</v>
      </c>
      <c r="AP1752" s="6" t="s">
        <v>73</v>
      </c>
      <c r="AQ1752" s="5" t="s">
        <v>73</v>
      </c>
      <c r="AU1752" s="16" t="s">
        <v>4491</v>
      </c>
      <c r="AW1752" s="6">
        <f t="shared" ca="1" si="29"/>
        <v>25</v>
      </c>
    </row>
    <row r="1753" ht="45" hidden="1" customHeight="1" outlineLevel="1">
      <c r="A1753" s="69"/>
      <c r="B1753" s="3" t="s">
        <v>47</v>
      </c>
      <c r="C1753" s="4" t="s">
        <v>5035</v>
      </c>
      <c r="D1753" s="5" t="s">
        <v>5036</v>
      </c>
      <c r="E1753" s="2" t="s">
        <v>63</v>
      </c>
      <c r="F1753" s="6" t="s">
        <v>172</v>
      </c>
      <c r="G1753" s="5" t="s">
        <v>173</v>
      </c>
      <c r="H1753" s="2" t="s">
        <v>3735</v>
      </c>
      <c r="I1753" s="3" t="s">
        <v>5037</v>
      </c>
      <c r="J1753" s="7">
        <v>1</v>
      </c>
      <c r="K1753" s="104"/>
      <c r="L1753" s="9">
        <v>1</v>
      </c>
      <c r="M1753" s="3">
        <v>1461</v>
      </c>
      <c r="N1753" s="6">
        <v>2000</v>
      </c>
      <c r="P1753" s="71"/>
      <c r="R1753" s="6">
        <v>2000</v>
      </c>
      <c r="S1753" s="3" t="s">
        <v>236</v>
      </c>
      <c r="T1753" s="72"/>
      <c r="U1753" s="73"/>
      <c r="W1753" s="2" t="s">
        <v>62</v>
      </c>
      <c r="X1753" s="10" t="s">
        <v>56</v>
      </c>
      <c r="Y1753" s="10" t="s">
        <v>68</v>
      </c>
      <c r="Z1753" s="75" t="s">
        <v>58</v>
      </c>
      <c r="AA1753" s="76"/>
      <c r="AB1753" s="77"/>
      <c r="AC1753" s="77"/>
      <c r="AD1753" s="6"/>
      <c r="AI1753" s="7"/>
      <c r="AJ1753" s="10">
        <v>43721</v>
      </c>
      <c r="AK1753" s="7">
        <v>2010</v>
      </c>
      <c r="AL1753" s="16"/>
      <c r="AW1753" s="6">
        <f t="shared" ca="1" si="29"/>
        <v>25</v>
      </c>
    </row>
    <row r="1754" ht="45" hidden="1" customHeight="1" outlineLevel="1">
      <c r="A1754" s="69">
        <v>44523</v>
      </c>
      <c r="B1754" s="3" t="s">
        <v>190</v>
      </c>
      <c r="C1754" s="4" t="s">
        <v>5038</v>
      </c>
      <c r="D1754" s="5" t="s">
        <v>5039</v>
      </c>
      <c r="E1754" s="2" t="s">
        <v>83</v>
      </c>
      <c r="F1754" s="6" t="s">
        <v>84</v>
      </c>
      <c r="G1754" s="5" t="s">
        <v>3818</v>
      </c>
      <c r="H1754" s="2" t="s">
        <v>491</v>
      </c>
      <c r="I1754" s="3" t="s">
        <v>5040</v>
      </c>
      <c r="J1754" s="7">
        <v>1</v>
      </c>
      <c r="K1754" s="104"/>
      <c r="L1754" s="9">
        <v>1</v>
      </c>
      <c r="M1754" s="3">
        <v>1462</v>
      </c>
      <c r="N1754" s="6">
        <v>2000</v>
      </c>
      <c r="O1754" s="10">
        <v>36615</v>
      </c>
      <c r="P1754" s="71" t="s">
        <v>5041</v>
      </c>
      <c r="Q1754" s="10">
        <v>36691</v>
      </c>
      <c r="R1754" s="6">
        <v>2000</v>
      </c>
      <c r="S1754" s="3" t="s">
        <v>283</v>
      </c>
      <c r="T1754" s="72" t="s">
        <v>998</v>
      </c>
      <c r="U1754" s="73"/>
      <c r="W1754" s="74" t="s">
        <v>62</v>
      </c>
      <c r="X1754" s="10" t="s">
        <v>56</v>
      </c>
      <c r="Y1754" s="10" t="s">
        <v>523</v>
      </c>
      <c r="Z1754" s="75"/>
      <c r="AA1754" s="76"/>
      <c r="AB1754" s="77"/>
      <c r="AC1754" s="77"/>
      <c r="AD1754" s="6"/>
      <c r="AI1754" s="7"/>
      <c r="AJ1754" s="73"/>
      <c r="AK1754" s="7"/>
      <c r="AL1754" s="16"/>
      <c r="AW1754" s="6">
        <f t="shared" ca="1" si="29"/>
        <v>25</v>
      </c>
    </row>
    <row r="1755" ht="45" customHeight="1" outlineLevel="1">
      <c r="A1755" s="69"/>
      <c r="B1755" s="3" t="s">
        <v>47</v>
      </c>
      <c r="D1755" s="5" t="s">
        <v>5042</v>
      </c>
      <c r="E1755" s="2" t="s">
        <v>83</v>
      </c>
      <c r="F1755" s="6" t="s">
        <v>704</v>
      </c>
      <c r="G1755" s="5" t="s">
        <v>705</v>
      </c>
      <c r="H1755" s="2" t="s">
        <v>68</v>
      </c>
      <c r="I1755" s="3" t="s">
        <v>5043</v>
      </c>
      <c r="J1755" s="7">
        <v>1</v>
      </c>
      <c r="K1755" s="104" t="s">
        <v>53</v>
      </c>
      <c r="L1755" s="9">
        <v>1</v>
      </c>
      <c r="M1755" s="3">
        <v>1463</v>
      </c>
      <c r="N1755" s="6">
        <v>2000</v>
      </c>
      <c r="P1755" s="71"/>
      <c r="R1755" s="6">
        <v>2000</v>
      </c>
      <c r="S1755" s="3" t="s">
        <v>54</v>
      </c>
      <c r="T1755" s="72"/>
      <c r="U1755" s="73"/>
      <c r="W1755" s="2" t="s">
        <v>5044</v>
      </c>
      <c r="X1755" s="10" t="s">
        <v>56</v>
      </c>
      <c r="Y1755" s="10" t="s">
        <v>68</v>
      </c>
      <c r="Z1755" s="75"/>
      <c r="AA1755" s="76"/>
      <c r="AB1755" s="77">
        <v>42626</v>
      </c>
      <c r="AC1755" s="77"/>
      <c r="AD1755" s="6"/>
      <c r="AE1755" s="7">
        <v>2000</v>
      </c>
      <c r="AF1755" s="7" t="s">
        <v>5045</v>
      </c>
      <c r="AI1755" s="7">
        <v>2013</v>
      </c>
      <c r="AJ1755" s="73"/>
      <c r="AK1755" s="7"/>
      <c r="AL1755" s="16" t="s">
        <v>5046</v>
      </c>
      <c r="AO1755" s="6" t="s">
        <v>53</v>
      </c>
      <c r="AP1755" s="6" t="s">
        <v>73</v>
      </c>
      <c r="AQ1755" s="5" t="s">
        <v>73</v>
      </c>
      <c r="AU1755" s="16" t="s">
        <v>5047</v>
      </c>
      <c r="AW1755" s="6">
        <f t="shared" ca="1" si="29"/>
        <v>25</v>
      </c>
    </row>
    <row r="1756" ht="45" customHeight="1" outlineLevel="1">
      <c r="A1756" s="69"/>
      <c r="B1756" s="3" t="s">
        <v>47</v>
      </c>
      <c r="E1756" s="2" t="s">
        <v>63</v>
      </c>
      <c r="F1756" s="6" t="s">
        <v>354</v>
      </c>
      <c r="G1756" s="5" t="s">
        <v>971</v>
      </c>
      <c r="H1756" s="2" t="s">
        <v>3735</v>
      </c>
      <c r="I1756" s="3" t="s">
        <v>5048</v>
      </c>
      <c r="J1756" s="7">
        <v>1</v>
      </c>
      <c r="K1756" s="70" t="s">
        <v>53</v>
      </c>
      <c r="L1756" s="9">
        <v>1</v>
      </c>
      <c r="M1756" s="3">
        <v>1464</v>
      </c>
      <c r="N1756" s="6">
        <v>2000</v>
      </c>
      <c r="P1756" s="71"/>
      <c r="R1756" s="6">
        <v>2000</v>
      </c>
      <c r="S1756" s="3" t="s">
        <v>54</v>
      </c>
      <c r="T1756" s="72"/>
      <c r="U1756" s="73"/>
      <c r="W1756" s="2" t="s">
        <v>5049</v>
      </c>
      <c r="X1756" s="10" t="s">
        <v>56</v>
      </c>
      <c r="Y1756" s="10" t="s">
        <v>68</v>
      </c>
      <c r="Z1756" s="75" t="s">
        <v>58</v>
      </c>
      <c r="AA1756" s="76">
        <v>38385</v>
      </c>
      <c r="AB1756" s="77">
        <v>38385</v>
      </c>
      <c r="AC1756" s="77"/>
      <c r="AD1756" s="6"/>
      <c r="AE1756" s="7">
        <v>2002</v>
      </c>
      <c r="AF1756" s="7">
        <v>35</v>
      </c>
      <c r="AG1756" s="7">
        <v>2005</v>
      </c>
      <c r="AH1756" s="7">
        <v>2000</v>
      </c>
      <c r="AI1756" s="7"/>
      <c r="AJ1756" s="73"/>
      <c r="AK1756" s="7"/>
      <c r="AL1756" s="16" t="s">
        <v>5050</v>
      </c>
      <c r="AM1756" s="2" t="s">
        <v>53</v>
      </c>
      <c r="AN1756" s="6" t="s">
        <v>73</v>
      </c>
      <c r="AO1756" s="6" t="s">
        <v>53</v>
      </c>
      <c r="AP1756" s="6" t="s">
        <v>73</v>
      </c>
      <c r="AQ1756" s="5" t="s">
        <v>73</v>
      </c>
      <c r="AU1756" s="16" t="s">
        <v>5050</v>
      </c>
      <c r="AW1756" s="6">
        <f t="shared" ca="1" si="29"/>
        <v>25</v>
      </c>
    </row>
    <row r="1757" ht="45" hidden="1" customHeight="1" outlineLevel="1">
      <c r="A1757" s="132">
        <v>42881</v>
      </c>
      <c r="B1757" s="3" t="s">
        <v>47</v>
      </c>
      <c r="C1757" s="144" t="s">
        <v>5051</v>
      </c>
      <c r="D1757" s="117" t="s">
        <v>5052</v>
      </c>
      <c r="E1757" s="2" t="s">
        <v>83</v>
      </c>
      <c r="F1757" s="6" t="s">
        <v>179</v>
      </c>
      <c r="G1757" s="5" t="s">
        <v>5053</v>
      </c>
      <c r="H1757" s="2" t="s">
        <v>51</v>
      </c>
      <c r="I1757" s="3" t="s">
        <v>5054</v>
      </c>
      <c r="J1757" s="7">
        <v>1</v>
      </c>
      <c r="K1757" s="145"/>
      <c r="L1757" s="9">
        <v>1</v>
      </c>
      <c r="M1757" s="3">
        <v>1465</v>
      </c>
      <c r="N1757" s="6">
        <v>2000</v>
      </c>
      <c r="P1757" s="71"/>
      <c r="R1757" s="6">
        <v>2000</v>
      </c>
      <c r="S1757" s="3" t="s">
        <v>236</v>
      </c>
      <c r="T1757" s="72" t="s">
        <v>1136</v>
      </c>
      <c r="U1757" s="10">
        <v>44027</v>
      </c>
      <c r="W1757" s="2" t="s">
        <v>62</v>
      </c>
      <c r="X1757" s="10" t="s">
        <v>56</v>
      </c>
      <c r="Y1757" s="10" t="s">
        <v>57</v>
      </c>
      <c r="Z1757" s="75" t="s">
        <v>58</v>
      </c>
      <c r="AA1757" s="137"/>
      <c r="AB1757" s="138"/>
      <c r="AC1757" s="138"/>
      <c r="AD1757" s="141"/>
      <c r="AE1757" s="139"/>
      <c r="AG1757" s="139"/>
      <c r="AH1757" s="139"/>
      <c r="AI1757" s="139"/>
      <c r="AJ1757" s="136">
        <v>44027</v>
      </c>
      <c r="AK1757" s="7">
        <v>2020</v>
      </c>
      <c r="AL1757" s="16"/>
      <c r="AO1757" s="141"/>
      <c r="AP1757" s="141"/>
      <c r="AQ1757" s="117"/>
      <c r="AR1757" s="142"/>
      <c r="AS1757" s="141"/>
      <c r="AT1757" s="141"/>
      <c r="AU1757" s="140"/>
      <c r="AV1757" s="143"/>
      <c r="AW1757" s="6">
        <f t="shared" ca="1" si="29"/>
        <v>25</v>
      </c>
    </row>
    <row r="1758" ht="45" hidden="1" customHeight="1" outlineLevel="1">
      <c r="A1758" s="69"/>
      <c r="B1758" s="3" t="s">
        <v>47</v>
      </c>
      <c r="C1758" s="4" t="s">
        <v>5055</v>
      </c>
      <c r="E1758" s="2" t="s">
        <v>83</v>
      </c>
      <c r="F1758" s="6" t="s">
        <v>704</v>
      </c>
      <c r="G1758" s="5" t="s">
        <v>5056</v>
      </c>
      <c r="H1758" s="2" t="s">
        <v>68</v>
      </c>
      <c r="I1758" s="96" t="s">
        <v>5057</v>
      </c>
      <c r="J1758" s="7">
        <v>1</v>
      </c>
      <c r="K1758" s="70"/>
      <c r="L1758" s="9">
        <v>1</v>
      </c>
      <c r="M1758" s="3">
        <v>1466</v>
      </c>
      <c r="N1758" s="6">
        <v>2000</v>
      </c>
      <c r="P1758" s="71"/>
      <c r="R1758" s="6">
        <v>2000</v>
      </c>
      <c r="S1758" s="3" t="s">
        <v>236</v>
      </c>
      <c r="T1758" s="72"/>
      <c r="U1758" s="73"/>
      <c r="W1758" s="2" t="s">
        <v>62</v>
      </c>
      <c r="X1758" s="10" t="s">
        <v>56</v>
      </c>
      <c r="Y1758" s="10" t="s">
        <v>68</v>
      </c>
      <c r="Z1758" s="75"/>
      <c r="AA1758" s="76"/>
      <c r="AB1758" s="77"/>
      <c r="AC1758" s="77"/>
      <c r="AD1758" s="10"/>
      <c r="AI1758" s="7"/>
      <c r="AJ1758" s="95">
        <v>39595</v>
      </c>
      <c r="AK1758" s="7">
        <v>2000</v>
      </c>
      <c r="AL1758" s="16"/>
      <c r="AW1758" s="6">
        <f t="shared" ca="1" si="29"/>
        <v>25</v>
      </c>
    </row>
    <row r="1759" ht="45" hidden="1" customHeight="1">
      <c r="A1759" s="69">
        <v>42788</v>
      </c>
      <c r="B1759" s="3" t="s">
        <v>47</v>
      </c>
      <c r="C1759" s="4" t="s">
        <v>5058</v>
      </c>
      <c r="D1759" s="5" t="s">
        <v>5059</v>
      </c>
      <c r="E1759" s="2" t="s">
        <v>83</v>
      </c>
      <c r="F1759" s="6" t="s">
        <v>704</v>
      </c>
      <c r="G1759" s="5" t="s">
        <v>5060</v>
      </c>
      <c r="H1759" s="2" t="s">
        <v>257</v>
      </c>
      <c r="I1759" s="3" t="s">
        <v>5061</v>
      </c>
      <c r="J1759" s="7">
        <v>1</v>
      </c>
      <c r="K1759" s="70"/>
      <c r="L1759" s="9">
        <v>1</v>
      </c>
      <c r="M1759" s="3">
        <v>1467</v>
      </c>
      <c r="N1759" s="6">
        <v>2000</v>
      </c>
      <c r="P1759" s="71"/>
      <c r="R1759" s="6">
        <v>2000</v>
      </c>
      <c r="S1759" s="3" t="s">
        <v>236</v>
      </c>
      <c r="T1759" s="72" t="s">
        <v>1136</v>
      </c>
      <c r="U1759" s="10">
        <v>43909</v>
      </c>
      <c r="W1759" s="2" t="s">
        <v>62</v>
      </c>
      <c r="X1759" s="10" t="s">
        <v>56</v>
      </c>
      <c r="Y1759" s="10" t="s">
        <v>68</v>
      </c>
      <c r="Z1759" s="75" t="s">
        <v>260</v>
      </c>
      <c r="AA1759" s="76"/>
      <c r="AB1759" s="77"/>
      <c r="AC1759" s="77"/>
      <c r="AD1759" s="10"/>
      <c r="AI1759" s="7"/>
      <c r="AJ1759" s="10">
        <v>43909</v>
      </c>
      <c r="AK1759" s="7">
        <v>2020</v>
      </c>
      <c r="AL1759" s="16"/>
      <c r="AW1759" s="6">
        <f t="shared" ca="1" si="29"/>
        <v>25</v>
      </c>
    </row>
    <row r="1760" ht="45" customHeight="1" outlineLevel="1">
      <c r="A1760" s="69"/>
      <c r="B1760" s="3" t="s">
        <v>47</v>
      </c>
      <c r="D1760" s="5" t="s">
        <v>5062</v>
      </c>
      <c r="E1760" s="2" t="s">
        <v>48</v>
      </c>
      <c r="F1760" s="6" t="s">
        <v>49</v>
      </c>
      <c r="G1760" s="5" t="s">
        <v>468</v>
      </c>
      <c r="H1760" s="2" t="s">
        <v>288</v>
      </c>
      <c r="I1760" s="3" t="s">
        <v>5063</v>
      </c>
      <c r="J1760" s="7">
        <v>1</v>
      </c>
      <c r="K1760" s="70" t="s">
        <v>53</v>
      </c>
      <c r="L1760" s="9">
        <v>1</v>
      </c>
      <c r="M1760" s="3">
        <v>1468</v>
      </c>
      <c r="N1760" s="6">
        <v>2000</v>
      </c>
      <c r="P1760" s="71"/>
      <c r="R1760" s="6">
        <v>2000</v>
      </c>
      <c r="S1760" s="3" t="s">
        <v>54</v>
      </c>
      <c r="T1760" s="72"/>
      <c r="U1760" s="73"/>
      <c r="W1760" s="2" t="s">
        <v>5064</v>
      </c>
      <c r="X1760" s="10" t="s">
        <v>56</v>
      </c>
      <c r="Y1760" s="10" t="s">
        <v>288</v>
      </c>
      <c r="Z1760" s="75"/>
      <c r="AA1760" s="76"/>
      <c r="AB1760" s="77">
        <v>37735</v>
      </c>
      <c r="AC1760" s="77"/>
      <c r="AD1760" s="6"/>
      <c r="AE1760" s="7">
        <v>2000</v>
      </c>
      <c r="AF1760" s="7">
        <v>25</v>
      </c>
      <c r="AG1760" s="7">
        <v>2003</v>
      </c>
      <c r="AH1760" s="7">
        <v>2000</v>
      </c>
      <c r="AI1760" s="7"/>
      <c r="AJ1760" s="73"/>
      <c r="AK1760" s="7"/>
      <c r="AL1760" s="16" t="s">
        <v>5065</v>
      </c>
      <c r="AM1760" s="2" t="s">
        <v>53</v>
      </c>
      <c r="AO1760" s="6" t="s">
        <v>100</v>
      </c>
      <c r="AP1760" s="6" t="s">
        <v>73</v>
      </c>
      <c r="AQ1760" s="5" t="s">
        <v>73</v>
      </c>
      <c r="AR1760" s="2" t="s">
        <v>73</v>
      </c>
      <c r="AT1760" s="6" t="s">
        <v>478</v>
      </c>
      <c r="AU1760" s="16" t="s">
        <v>479</v>
      </c>
      <c r="AW1760" s="6">
        <f t="shared" ca="1" si="29"/>
        <v>25</v>
      </c>
    </row>
    <row r="1761" ht="45" hidden="1" customHeight="1">
      <c r="A1761" s="69">
        <v>42825</v>
      </c>
      <c r="B1761" s="3" t="s">
        <v>190</v>
      </c>
      <c r="C1761" s="4" t="s">
        <v>5066</v>
      </c>
      <c r="D1761" s="5" t="s">
        <v>5067</v>
      </c>
      <c r="E1761" s="2" t="s">
        <v>83</v>
      </c>
      <c r="F1761" s="6" t="s">
        <v>704</v>
      </c>
      <c r="G1761" s="5" t="s">
        <v>5068</v>
      </c>
      <c r="H1761" s="2" t="s">
        <v>288</v>
      </c>
      <c r="I1761" s="3" t="s">
        <v>5069</v>
      </c>
      <c r="J1761" s="7">
        <v>1</v>
      </c>
      <c r="K1761" s="104"/>
      <c r="L1761" s="9">
        <v>1</v>
      </c>
      <c r="M1761" s="3">
        <v>1469</v>
      </c>
      <c r="N1761" s="6">
        <v>2000</v>
      </c>
      <c r="O1761" s="10">
        <v>36620</v>
      </c>
      <c r="P1761" s="71" t="s">
        <v>5070</v>
      </c>
      <c r="Q1761" s="10">
        <v>36824</v>
      </c>
      <c r="R1761" s="6">
        <v>2000</v>
      </c>
      <c r="S1761" s="3" t="s">
        <v>283</v>
      </c>
      <c r="T1761" s="72" t="s">
        <v>998</v>
      </c>
      <c r="U1761" s="73"/>
      <c r="W1761" s="74" t="s">
        <v>62</v>
      </c>
      <c r="X1761" s="10" t="s">
        <v>56</v>
      </c>
      <c r="Y1761" s="10" t="s">
        <v>288</v>
      </c>
      <c r="Z1761" s="75"/>
      <c r="AA1761" s="76"/>
      <c r="AB1761" s="77"/>
      <c r="AC1761" s="77"/>
      <c r="AD1761" s="6"/>
      <c r="AI1761" s="7"/>
      <c r="AJ1761" s="73"/>
      <c r="AK1761" s="7"/>
      <c r="AL1761" s="16" t="s">
        <v>5071</v>
      </c>
      <c r="AW1761" s="6">
        <f t="shared" ca="1" si="29"/>
        <v>25</v>
      </c>
    </row>
    <row r="1762" ht="45" hidden="1" customHeight="1" outlineLevel="1">
      <c r="A1762" s="69"/>
      <c r="B1762" s="3" t="s">
        <v>190</v>
      </c>
      <c r="C1762" s="4" t="s">
        <v>5072</v>
      </c>
      <c r="D1762" s="5" t="s">
        <v>5073</v>
      </c>
      <c r="E1762" s="2" t="s">
        <v>83</v>
      </c>
      <c r="F1762" s="6" t="s">
        <v>704</v>
      </c>
      <c r="G1762" s="5" t="s">
        <v>5068</v>
      </c>
      <c r="H1762" s="2" t="s">
        <v>257</v>
      </c>
      <c r="I1762" s="3" t="s">
        <v>5074</v>
      </c>
      <c r="J1762" s="7">
        <v>1</v>
      </c>
      <c r="K1762" s="104"/>
      <c r="L1762" s="9">
        <v>1</v>
      </c>
      <c r="M1762" s="3">
        <v>1470</v>
      </c>
      <c r="N1762" s="6">
        <v>2000</v>
      </c>
      <c r="O1762" s="10">
        <v>36620</v>
      </c>
      <c r="P1762" s="71" t="s">
        <v>5070</v>
      </c>
      <c r="Q1762" s="10">
        <v>36824</v>
      </c>
      <c r="R1762" s="6">
        <v>2000</v>
      </c>
      <c r="S1762" s="3" t="s">
        <v>939</v>
      </c>
      <c r="T1762" s="72"/>
      <c r="U1762" s="73"/>
      <c r="W1762" s="2" t="s">
        <v>62</v>
      </c>
      <c r="X1762" s="10" t="s">
        <v>56</v>
      </c>
      <c r="Y1762" s="10" t="s">
        <v>68</v>
      </c>
      <c r="Z1762" s="75" t="s">
        <v>260</v>
      </c>
      <c r="AA1762" s="76"/>
      <c r="AB1762" s="77"/>
      <c r="AC1762" s="77"/>
      <c r="AD1762" s="6"/>
      <c r="AI1762" s="7"/>
      <c r="AJ1762" s="73"/>
      <c r="AK1762" s="7"/>
      <c r="AL1762" s="16" t="s">
        <v>5075</v>
      </c>
      <c r="AW1762" s="6">
        <f t="shared" ca="1" si="29"/>
        <v>25</v>
      </c>
    </row>
    <row r="1763" ht="45" customHeight="1">
      <c r="A1763" s="69"/>
      <c r="B1763" s="3" t="s">
        <v>47</v>
      </c>
      <c r="D1763" s="5" t="s">
        <v>4947</v>
      </c>
      <c r="E1763" s="2" t="s">
        <v>63</v>
      </c>
      <c r="F1763" s="6" t="s">
        <v>172</v>
      </c>
      <c r="G1763" s="5" t="s">
        <v>173</v>
      </c>
      <c r="H1763" s="2" t="s">
        <v>3735</v>
      </c>
      <c r="I1763" s="3" t="s">
        <v>5076</v>
      </c>
      <c r="J1763" s="7">
        <v>1</v>
      </c>
      <c r="K1763" s="70" t="s">
        <v>53</v>
      </c>
      <c r="L1763" s="9">
        <v>1</v>
      </c>
      <c r="M1763" s="3">
        <v>1471</v>
      </c>
      <c r="N1763" s="6">
        <v>2000</v>
      </c>
      <c r="P1763" s="71"/>
      <c r="R1763" s="6">
        <v>2000</v>
      </c>
      <c r="S1763" s="3" t="s">
        <v>54</v>
      </c>
      <c r="T1763" s="72"/>
      <c r="U1763" s="73"/>
      <c r="W1763" s="2" t="s">
        <v>5077</v>
      </c>
      <c r="X1763" s="10" t="s">
        <v>56</v>
      </c>
      <c r="Y1763" s="10" t="s">
        <v>68</v>
      </c>
      <c r="Z1763" s="75" t="s">
        <v>58</v>
      </c>
      <c r="AA1763" s="76">
        <v>38385</v>
      </c>
      <c r="AB1763" s="77">
        <v>38385</v>
      </c>
      <c r="AC1763" s="77"/>
      <c r="AD1763" s="6"/>
      <c r="AE1763" s="7">
        <v>2002</v>
      </c>
      <c r="AF1763" s="7">
        <v>37</v>
      </c>
      <c r="AG1763" s="7">
        <v>2005</v>
      </c>
      <c r="AH1763" s="7">
        <v>2000</v>
      </c>
      <c r="AI1763" s="7"/>
      <c r="AJ1763" s="73"/>
      <c r="AK1763" s="7"/>
      <c r="AL1763" s="16"/>
      <c r="AW1763" s="6">
        <f t="shared" ca="1" si="29"/>
        <v>25</v>
      </c>
    </row>
    <row r="1764" ht="45" hidden="1" customHeight="1" outlineLevel="1">
      <c r="A1764" s="69">
        <v>41894</v>
      </c>
      <c r="B1764" s="3" t="s">
        <v>190</v>
      </c>
      <c r="C1764" s="4" t="s">
        <v>5078</v>
      </c>
      <c r="D1764" s="5" t="s">
        <v>5079</v>
      </c>
      <c r="E1764" s="2" t="s">
        <v>83</v>
      </c>
      <c r="F1764" s="6" t="s">
        <v>84</v>
      </c>
      <c r="G1764" s="5" t="s">
        <v>85</v>
      </c>
      <c r="H1764" s="2" t="s">
        <v>382</v>
      </c>
      <c r="I1764" s="3" t="s">
        <v>5080</v>
      </c>
      <c r="J1764" s="7">
        <v>1</v>
      </c>
      <c r="K1764" s="104"/>
      <c r="L1764" s="9">
        <v>1</v>
      </c>
      <c r="M1764" s="3">
        <v>1472</v>
      </c>
      <c r="N1764" s="6">
        <v>2001</v>
      </c>
      <c r="P1764" s="71"/>
      <c r="R1764" s="6">
        <v>2000</v>
      </c>
      <c r="S1764" s="3" t="s">
        <v>283</v>
      </c>
      <c r="T1764" s="72"/>
      <c r="U1764" s="73"/>
      <c r="W1764" s="74" t="s">
        <v>62</v>
      </c>
      <c r="X1764" s="10" t="s">
        <v>91</v>
      </c>
      <c r="Y1764" s="10" t="s">
        <v>92</v>
      </c>
      <c r="Z1764" s="75"/>
      <c r="AA1764" s="76"/>
      <c r="AB1764" s="77"/>
      <c r="AC1764" s="77"/>
      <c r="AD1764" s="6"/>
      <c r="AI1764" s="7"/>
      <c r="AJ1764" s="73"/>
      <c r="AK1764" s="7"/>
      <c r="AL1764" s="16"/>
      <c r="AW1764" s="6">
        <f t="shared" ca="1" si="29"/>
        <v>24</v>
      </c>
    </row>
    <row r="1765" ht="45" customHeight="1">
      <c r="A1765" s="69"/>
      <c r="B1765" s="3" t="s">
        <v>47</v>
      </c>
      <c r="D1765" s="5" t="s">
        <v>5081</v>
      </c>
      <c r="E1765" s="2" t="s">
        <v>63</v>
      </c>
      <c r="F1765" s="6" t="s">
        <v>83</v>
      </c>
      <c r="G1765" s="5" t="s">
        <v>4163</v>
      </c>
      <c r="H1765" s="2" t="s">
        <v>382</v>
      </c>
      <c r="I1765" s="3" t="s">
        <v>5082</v>
      </c>
      <c r="J1765" s="7">
        <v>1</v>
      </c>
      <c r="K1765" s="70" t="s">
        <v>53</v>
      </c>
      <c r="L1765" s="9">
        <v>1</v>
      </c>
      <c r="M1765" s="3">
        <v>1473</v>
      </c>
      <c r="N1765" s="6">
        <v>2001</v>
      </c>
      <c r="P1765" s="71"/>
      <c r="R1765" s="6">
        <v>2000</v>
      </c>
      <c r="S1765" s="3" t="s">
        <v>54</v>
      </c>
      <c r="T1765" s="72"/>
      <c r="U1765" s="73"/>
      <c r="W1765" s="2" t="s">
        <v>5083</v>
      </c>
      <c r="X1765" s="10" t="s">
        <v>91</v>
      </c>
      <c r="Y1765" s="10" t="s">
        <v>385</v>
      </c>
      <c r="Z1765" s="75"/>
      <c r="AA1765" s="76">
        <v>41232</v>
      </c>
      <c r="AB1765" s="77">
        <v>41232</v>
      </c>
      <c r="AC1765" s="77">
        <v>41232</v>
      </c>
      <c r="AD1765" s="6"/>
      <c r="AE1765" s="7">
        <v>2010</v>
      </c>
      <c r="AF1765" s="7">
        <v>66</v>
      </c>
      <c r="AG1765" s="7">
        <v>2012</v>
      </c>
      <c r="AH1765" s="7">
        <v>2010</v>
      </c>
      <c r="AI1765" s="7"/>
      <c r="AJ1765" s="73"/>
      <c r="AK1765" s="7"/>
      <c r="AL1765" s="75" t="s">
        <v>5084</v>
      </c>
      <c r="AM1765" s="2" t="s">
        <v>59</v>
      </c>
      <c r="AO1765" s="6" t="s">
        <v>59</v>
      </c>
      <c r="AU1765" s="5"/>
      <c r="AV1765" s="111"/>
      <c r="AW1765" s="6">
        <f t="shared" ca="1" si="29"/>
        <v>24</v>
      </c>
    </row>
    <row r="1766" ht="45" hidden="1" customHeight="1">
      <c r="A1766" s="69">
        <v>44004</v>
      </c>
      <c r="B1766" s="3" t="s">
        <v>190</v>
      </c>
      <c r="C1766" s="4" t="s">
        <v>5085</v>
      </c>
      <c r="D1766" s="5" t="s">
        <v>5086</v>
      </c>
      <c r="E1766" s="2" t="s">
        <v>63</v>
      </c>
      <c r="F1766" s="6" t="s">
        <v>217</v>
      </c>
      <c r="G1766" s="5" t="s">
        <v>5087</v>
      </c>
      <c r="H1766" s="2" t="s">
        <v>68</v>
      </c>
      <c r="I1766" s="3" t="s">
        <v>5088</v>
      </c>
      <c r="J1766" s="7">
        <v>1</v>
      </c>
      <c r="K1766" s="104"/>
      <c r="L1766" s="9">
        <v>1</v>
      </c>
      <c r="M1766" s="3">
        <v>1474</v>
      </c>
      <c r="N1766" s="6">
        <v>2001</v>
      </c>
      <c r="P1766" s="71"/>
      <c r="R1766" s="6">
        <v>2000</v>
      </c>
      <c r="S1766" s="3" t="s">
        <v>283</v>
      </c>
      <c r="T1766" s="72"/>
      <c r="U1766" s="73"/>
      <c r="W1766" s="74" t="s">
        <v>62</v>
      </c>
      <c r="X1766" s="10" t="s">
        <v>56</v>
      </c>
      <c r="Y1766" s="10" t="s">
        <v>68</v>
      </c>
      <c r="Z1766" s="75"/>
      <c r="AA1766" s="76"/>
      <c r="AB1766" s="77"/>
      <c r="AC1766" s="77"/>
      <c r="AD1766" s="6"/>
      <c r="AI1766" s="7"/>
      <c r="AJ1766" s="73"/>
      <c r="AK1766" s="7"/>
      <c r="AL1766" s="16"/>
      <c r="AW1766" s="6">
        <f t="shared" ca="1" si="29"/>
        <v>24</v>
      </c>
    </row>
    <row r="1767" ht="45" hidden="1" customHeight="1" outlineLevel="1">
      <c r="A1767" s="69"/>
      <c r="B1767" s="3" t="s">
        <v>190</v>
      </c>
      <c r="C1767" s="116" t="s">
        <v>5089</v>
      </c>
      <c r="D1767" s="5" t="s">
        <v>5090</v>
      </c>
      <c r="E1767" s="2" t="s">
        <v>63</v>
      </c>
      <c r="F1767" s="6" t="s">
        <v>84</v>
      </c>
      <c r="G1767" s="5" t="s">
        <v>3818</v>
      </c>
      <c r="H1767" s="2" t="s">
        <v>508</v>
      </c>
      <c r="I1767" s="3" t="s">
        <v>5091</v>
      </c>
      <c r="J1767" s="7">
        <v>1</v>
      </c>
      <c r="K1767" s="104"/>
      <c r="L1767" s="9">
        <v>1</v>
      </c>
      <c r="M1767" s="3">
        <v>1475</v>
      </c>
      <c r="N1767" s="6">
        <v>2001</v>
      </c>
      <c r="P1767" s="71"/>
      <c r="R1767" s="6">
        <v>2000</v>
      </c>
      <c r="S1767" s="3" t="s">
        <v>283</v>
      </c>
      <c r="T1767" s="72"/>
      <c r="U1767" s="73"/>
      <c r="W1767" s="74" t="s">
        <v>62</v>
      </c>
      <c r="X1767" s="10" t="s">
        <v>504</v>
      </c>
      <c r="Y1767" s="10" t="s">
        <v>511</v>
      </c>
      <c r="Z1767" s="75"/>
      <c r="AA1767" s="76"/>
      <c r="AB1767" s="77"/>
      <c r="AC1767" s="77"/>
      <c r="AD1767" s="6"/>
      <c r="AI1767" s="7"/>
      <c r="AJ1767" s="73"/>
      <c r="AK1767" s="7"/>
      <c r="AL1767" s="16"/>
      <c r="AW1767" s="6">
        <f t="shared" ref="AW1767:AW1830" ca="1" si="30">IF(N1767&lt;&gt;0,(YEAR(TODAY())-N1767),(""))</f>
        <v>24</v>
      </c>
    </row>
    <row r="1768" ht="45" hidden="1" customHeight="1">
      <c r="A1768" s="69"/>
      <c r="B1768" s="3" t="s">
        <v>47</v>
      </c>
      <c r="C1768" s="4" t="s">
        <v>5092</v>
      </c>
      <c r="D1768" s="5" t="s">
        <v>5093</v>
      </c>
      <c r="E1768" s="2" t="s">
        <v>83</v>
      </c>
      <c r="F1768" s="6" t="s">
        <v>179</v>
      </c>
      <c r="G1768" s="5" t="s">
        <v>5094</v>
      </c>
      <c r="H1768" s="2" t="s">
        <v>257</v>
      </c>
      <c r="I1768" s="96" t="s">
        <v>5095</v>
      </c>
      <c r="J1768" s="7">
        <v>1</v>
      </c>
      <c r="K1768" s="104"/>
      <c r="L1768" s="9">
        <v>1</v>
      </c>
      <c r="M1768" s="3">
        <v>1476</v>
      </c>
      <c r="N1768" s="6">
        <v>2001</v>
      </c>
      <c r="P1768" s="71"/>
      <c r="R1768" s="6">
        <v>2000</v>
      </c>
      <c r="S1768" s="3" t="s">
        <v>236</v>
      </c>
      <c r="T1768" s="72"/>
      <c r="U1768" s="73"/>
      <c r="W1768" s="2" t="s">
        <v>62</v>
      </c>
      <c r="X1768" s="10" t="s">
        <v>56</v>
      </c>
      <c r="Y1768" s="10" t="s">
        <v>68</v>
      </c>
      <c r="Z1768" s="75" t="s">
        <v>260</v>
      </c>
      <c r="AA1768" s="76"/>
      <c r="AB1768" s="77"/>
      <c r="AC1768" s="77"/>
      <c r="AD1768" s="6"/>
      <c r="AI1768" s="7"/>
      <c r="AJ1768" s="95">
        <v>40939</v>
      </c>
      <c r="AK1768" s="7">
        <v>2010</v>
      </c>
      <c r="AL1768" s="16"/>
      <c r="AW1768" s="6">
        <f t="shared" ca="1" si="30"/>
        <v>24</v>
      </c>
    </row>
    <row r="1769" ht="45" hidden="1" customHeight="1" outlineLevel="1">
      <c r="A1769" s="69"/>
      <c r="B1769" s="3" t="s">
        <v>47</v>
      </c>
      <c r="C1769" s="4" t="s">
        <v>5096</v>
      </c>
      <c r="D1769" s="5" t="s">
        <v>5097</v>
      </c>
      <c r="E1769" s="2" t="s">
        <v>83</v>
      </c>
      <c r="F1769" s="6" t="s">
        <v>84</v>
      </c>
      <c r="G1769" s="5" t="s">
        <v>85</v>
      </c>
      <c r="H1769" s="2" t="s">
        <v>51</v>
      </c>
      <c r="I1769" s="3" t="s">
        <v>5098</v>
      </c>
      <c r="J1769" s="7">
        <v>1</v>
      </c>
      <c r="K1769" s="104"/>
      <c r="L1769" s="9">
        <v>1</v>
      </c>
      <c r="M1769" s="3">
        <v>1477</v>
      </c>
      <c r="N1769" s="6">
        <v>2001</v>
      </c>
      <c r="P1769" s="71"/>
      <c r="R1769" s="6">
        <v>2000</v>
      </c>
      <c r="S1769" s="3" t="s">
        <v>236</v>
      </c>
      <c r="T1769" s="72"/>
      <c r="U1769" s="73"/>
      <c r="W1769" s="2" t="s">
        <v>62</v>
      </c>
      <c r="X1769" s="10" t="s">
        <v>56</v>
      </c>
      <c r="Y1769" s="10" t="s">
        <v>57</v>
      </c>
      <c r="Z1769" s="75" t="s">
        <v>58</v>
      </c>
      <c r="AA1769" s="76"/>
      <c r="AB1769" s="77"/>
      <c r="AC1769" s="77"/>
      <c r="AD1769" s="6"/>
      <c r="AI1769" s="7"/>
      <c r="AJ1769" s="95">
        <v>40968</v>
      </c>
      <c r="AK1769" s="7">
        <v>2010</v>
      </c>
      <c r="AL1769" s="16"/>
      <c r="AW1769" s="6">
        <f t="shared" ca="1" si="30"/>
        <v>24</v>
      </c>
    </row>
    <row r="1770" s="86" customFormat="1" ht="45" customHeight="1" outlineLevel="1">
      <c r="A1770" s="69"/>
      <c r="B1770" s="3" t="s">
        <v>47</v>
      </c>
      <c r="C1770" s="4" t="s">
        <v>5099</v>
      </c>
      <c r="D1770" s="5"/>
      <c r="E1770" s="2" t="s">
        <v>83</v>
      </c>
      <c r="F1770" s="6" t="s">
        <v>84</v>
      </c>
      <c r="G1770" s="5" t="s">
        <v>85</v>
      </c>
      <c r="H1770" s="2" t="s">
        <v>382</v>
      </c>
      <c r="I1770" s="3" t="s">
        <v>5100</v>
      </c>
      <c r="J1770" s="7">
        <v>1</v>
      </c>
      <c r="K1770" s="70" t="s">
        <v>53</v>
      </c>
      <c r="L1770" s="9">
        <v>1</v>
      </c>
      <c r="M1770" s="3">
        <v>1478</v>
      </c>
      <c r="N1770" s="6">
        <v>2001</v>
      </c>
      <c r="O1770" s="10"/>
      <c r="P1770" s="71"/>
      <c r="Q1770" s="10"/>
      <c r="R1770" s="6">
        <v>2000</v>
      </c>
      <c r="S1770" s="3" t="s">
        <v>54</v>
      </c>
      <c r="T1770" s="72"/>
      <c r="U1770" s="73"/>
      <c r="V1770" s="12"/>
      <c r="W1770" s="2" t="s">
        <v>5101</v>
      </c>
      <c r="X1770" s="10" t="s">
        <v>91</v>
      </c>
      <c r="Y1770" s="10" t="s">
        <v>385</v>
      </c>
      <c r="Z1770" s="75"/>
      <c r="AA1770" s="76"/>
      <c r="AB1770" s="77">
        <v>39721</v>
      </c>
      <c r="AC1770" s="77"/>
      <c r="AD1770" s="6"/>
      <c r="AE1770" s="7">
        <v>2005</v>
      </c>
      <c r="AF1770" s="7">
        <v>46</v>
      </c>
      <c r="AG1770" s="7">
        <v>2008</v>
      </c>
      <c r="AH1770" s="7">
        <v>2000</v>
      </c>
      <c r="AI1770" s="7"/>
      <c r="AJ1770" s="73"/>
      <c r="AK1770" s="7"/>
      <c r="AL1770" s="16"/>
      <c r="AM1770" s="2" t="s">
        <v>59</v>
      </c>
      <c r="AN1770" s="6"/>
      <c r="AO1770" s="6" t="s">
        <v>59</v>
      </c>
      <c r="AP1770" s="6"/>
      <c r="AQ1770" s="5"/>
      <c r="AR1770" s="2"/>
      <c r="AS1770" s="6"/>
      <c r="AT1770" s="6"/>
      <c r="AU1770" s="16"/>
      <c r="AV1770" s="17"/>
      <c r="AW1770" s="6">
        <f t="shared" ca="1" si="30"/>
        <v>24</v>
      </c>
    </row>
    <row r="1771" ht="45" hidden="1" customHeight="1" outlineLevel="1">
      <c r="A1771" s="132"/>
      <c r="B1771" s="3" t="s">
        <v>47</v>
      </c>
      <c r="C1771" s="144" t="s">
        <v>5102</v>
      </c>
      <c r="D1771" s="117" t="s">
        <v>5103</v>
      </c>
      <c r="E1771" s="2" t="s">
        <v>83</v>
      </c>
      <c r="F1771" s="6" t="s">
        <v>179</v>
      </c>
      <c r="G1771" s="5" t="s">
        <v>319</v>
      </c>
      <c r="H1771" s="2" t="s">
        <v>288</v>
      </c>
      <c r="I1771" s="3" t="s">
        <v>5104</v>
      </c>
      <c r="J1771" s="7">
        <v>1</v>
      </c>
      <c r="K1771" s="145"/>
      <c r="L1771" s="9">
        <v>1</v>
      </c>
      <c r="M1771" s="3">
        <v>1479</v>
      </c>
      <c r="N1771" s="6">
        <v>2001</v>
      </c>
      <c r="P1771" s="71"/>
      <c r="R1771" s="6">
        <v>2000</v>
      </c>
      <c r="S1771" s="3" t="s">
        <v>236</v>
      </c>
      <c r="T1771" s="72"/>
      <c r="U1771" s="10">
        <v>44025</v>
      </c>
      <c r="W1771" s="2" t="s">
        <v>62</v>
      </c>
      <c r="X1771" s="10" t="s">
        <v>56</v>
      </c>
      <c r="Y1771" s="10" t="s">
        <v>288</v>
      </c>
      <c r="Z1771" s="75"/>
      <c r="AA1771" s="137"/>
      <c r="AB1771" s="138"/>
      <c r="AC1771" s="138"/>
      <c r="AD1771" s="141"/>
      <c r="AE1771" s="139"/>
      <c r="AG1771" s="139"/>
      <c r="AH1771" s="139"/>
      <c r="AI1771" s="139"/>
      <c r="AJ1771" s="136">
        <v>44025</v>
      </c>
      <c r="AK1771" s="7">
        <v>2020</v>
      </c>
      <c r="AL1771" s="16"/>
      <c r="AO1771" s="141"/>
      <c r="AP1771" s="141"/>
      <c r="AQ1771" s="117"/>
      <c r="AR1771" s="142"/>
      <c r="AS1771" s="141"/>
      <c r="AT1771" s="141"/>
      <c r="AU1771" s="140"/>
      <c r="AV1771" s="143"/>
      <c r="AW1771" s="6">
        <f t="shared" ca="1" si="30"/>
        <v>24</v>
      </c>
    </row>
    <row r="1772" ht="45" hidden="1" customHeight="1" outlineLevel="1">
      <c r="A1772" s="69">
        <v>44509</v>
      </c>
      <c r="B1772" s="3" t="s">
        <v>190</v>
      </c>
      <c r="C1772" s="4" t="s">
        <v>5105</v>
      </c>
      <c r="D1772" s="5" t="s">
        <v>5106</v>
      </c>
      <c r="E1772" s="2" t="s">
        <v>83</v>
      </c>
      <c r="F1772" s="6" t="s">
        <v>84</v>
      </c>
      <c r="G1772" s="5" t="s">
        <v>85</v>
      </c>
      <c r="H1772" s="2" t="s">
        <v>57</v>
      </c>
      <c r="I1772" s="3" t="s">
        <v>5107</v>
      </c>
      <c r="J1772" s="7">
        <v>1</v>
      </c>
      <c r="K1772" s="104"/>
      <c r="L1772" s="9">
        <v>1</v>
      </c>
      <c r="M1772" s="3">
        <v>1480</v>
      </c>
      <c r="N1772" s="6">
        <v>2001</v>
      </c>
      <c r="P1772" s="71"/>
      <c r="R1772" s="6">
        <v>2000</v>
      </c>
      <c r="S1772" s="3" t="s">
        <v>283</v>
      </c>
      <c r="T1772" s="72" t="s">
        <v>998</v>
      </c>
      <c r="U1772" s="73"/>
      <c r="W1772" s="74" t="s">
        <v>62</v>
      </c>
      <c r="X1772" s="10" t="s">
        <v>56</v>
      </c>
      <c r="Y1772" s="10" t="s">
        <v>57</v>
      </c>
      <c r="Z1772" s="75"/>
      <c r="AA1772" s="76"/>
      <c r="AB1772" s="77"/>
      <c r="AC1772" s="77"/>
      <c r="AD1772" s="6"/>
      <c r="AI1772" s="7"/>
      <c r="AJ1772" s="73"/>
      <c r="AK1772" s="7"/>
      <c r="AL1772" s="16"/>
      <c r="AW1772" s="6">
        <f t="shared" ca="1" si="30"/>
        <v>24</v>
      </c>
    </row>
    <row r="1773" ht="45" customHeight="1">
      <c r="A1773" s="69"/>
      <c r="B1773" s="3" t="s">
        <v>47</v>
      </c>
      <c r="D1773" s="5" t="s">
        <v>5108</v>
      </c>
      <c r="E1773" s="2" t="s">
        <v>63</v>
      </c>
      <c r="F1773" s="6" t="s">
        <v>172</v>
      </c>
      <c r="G1773" s="5" t="s">
        <v>173</v>
      </c>
      <c r="H1773" s="2" t="s">
        <v>3735</v>
      </c>
      <c r="I1773" s="3" t="s">
        <v>5109</v>
      </c>
      <c r="J1773" s="7">
        <v>1</v>
      </c>
      <c r="K1773" s="70" t="s">
        <v>53</v>
      </c>
      <c r="L1773" s="9">
        <v>1</v>
      </c>
      <c r="M1773" s="3">
        <v>1481</v>
      </c>
      <c r="N1773" s="6">
        <v>2001</v>
      </c>
      <c r="P1773" s="71"/>
      <c r="R1773" s="6">
        <v>2000</v>
      </c>
      <c r="S1773" s="3" t="s">
        <v>54</v>
      </c>
      <c r="T1773" s="72"/>
      <c r="U1773" s="73"/>
      <c r="W1773" s="2" t="s">
        <v>5077</v>
      </c>
      <c r="X1773" s="10" t="s">
        <v>56</v>
      </c>
      <c r="Y1773" s="10" t="s">
        <v>68</v>
      </c>
      <c r="Z1773" s="75" t="s">
        <v>58</v>
      </c>
      <c r="AA1773" s="76">
        <v>39721</v>
      </c>
      <c r="AB1773" s="77">
        <v>39721</v>
      </c>
      <c r="AC1773" s="6"/>
      <c r="AD1773" s="6"/>
      <c r="AE1773" s="7">
        <v>2004</v>
      </c>
      <c r="AF1773" s="7">
        <v>45</v>
      </c>
      <c r="AG1773" s="7">
        <v>2004</v>
      </c>
      <c r="AH1773" s="7">
        <v>2000</v>
      </c>
      <c r="AI1773" s="7"/>
      <c r="AJ1773" s="73"/>
      <c r="AK1773" s="7"/>
      <c r="AL1773" s="16"/>
      <c r="AW1773" s="6">
        <f t="shared" ca="1" si="30"/>
        <v>24</v>
      </c>
    </row>
    <row r="1774" ht="45" customHeight="1" outlineLevel="1">
      <c r="A1774" s="69">
        <v>42940</v>
      </c>
      <c r="B1774" s="3" t="s">
        <v>190</v>
      </c>
      <c r="C1774" s="4" t="s">
        <v>5110</v>
      </c>
      <c r="D1774" s="5" t="s">
        <v>5111</v>
      </c>
      <c r="E1774" s="2" t="s">
        <v>63</v>
      </c>
      <c r="F1774" s="6" t="s">
        <v>83</v>
      </c>
      <c r="G1774" s="5" t="s">
        <v>5112</v>
      </c>
      <c r="H1774" s="2" t="s">
        <v>51</v>
      </c>
      <c r="I1774" s="3" t="s">
        <v>5113</v>
      </c>
      <c r="J1774" s="7">
        <v>1</v>
      </c>
      <c r="K1774" s="104" t="s">
        <v>1978</v>
      </c>
      <c r="L1774" s="9">
        <v>1</v>
      </c>
      <c r="M1774" s="3">
        <v>1482</v>
      </c>
      <c r="N1774" s="6">
        <v>2001</v>
      </c>
      <c r="P1774" s="71"/>
      <c r="R1774" s="6">
        <v>2000</v>
      </c>
      <c r="S1774" s="3" t="s">
        <v>1980</v>
      </c>
      <c r="T1774" s="72"/>
      <c r="U1774" s="73"/>
      <c r="V1774" s="12">
        <v>41898</v>
      </c>
      <c r="W1774" s="74" t="s">
        <v>5114</v>
      </c>
      <c r="X1774" s="10" t="s">
        <v>56</v>
      </c>
      <c r="Y1774" s="10" t="s">
        <v>57</v>
      </c>
      <c r="Z1774" s="75" t="s">
        <v>58</v>
      </c>
      <c r="AA1774" s="76"/>
      <c r="AB1774" s="77"/>
      <c r="AC1774" s="6"/>
      <c r="AD1774" s="6"/>
      <c r="AI1774" s="7"/>
      <c r="AJ1774" s="73"/>
      <c r="AK1774" s="7"/>
      <c r="AL1774" s="99"/>
      <c r="AW1774" s="6">
        <f t="shared" ca="1" si="30"/>
        <v>24</v>
      </c>
    </row>
    <row r="1775" ht="45" customHeight="1" outlineLevel="1">
      <c r="A1775" s="69">
        <v>44489</v>
      </c>
      <c r="B1775" s="3" t="s">
        <v>190</v>
      </c>
      <c r="C1775" s="4" t="s">
        <v>5115</v>
      </c>
      <c r="D1775" s="5" t="s">
        <v>5116</v>
      </c>
      <c r="E1775" s="2" t="s">
        <v>63</v>
      </c>
      <c r="F1775" s="6" t="s">
        <v>64</v>
      </c>
      <c r="G1775" s="5" t="s">
        <v>728</v>
      </c>
      <c r="H1775" s="2" t="s">
        <v>288</v>
      </c>
      <c r="I1775" s="3" t="s">
        <v>5117</v>
      </c>
      <c r="J1775" s="7">
        <v>1</v>
      </c>
      <c r="K1775" s="104" t="s">
        <v>1978</v>
      </c>
      <c r="L1775" s="9">
        <v>1</v>
      </c>
      <c r="M1775" s="3">
        <v>1483</v>
      </c>
      <c r="N1775" s="6">
        <v>2001</v>
      </c>
      <c r="P1775" s="71"/>
      <c r="R1775" s="6">
        <v>2000</v>
      </c>
      <c r="S1775" s="3" t="s">
        <v>1980</v>
      </c>
      <c r="T1775" s="72"/>
      <c r="U1775" s="73"/>
      <c r="V1775" s="12">
        <v>40736</v>
      </c>
      <c r="W1775" s="74" t="s">
        <v>5118</v>
      </c>
      <c r="X1775" s="10" t="s">
        <v>56</v>
      </c>
      <c r="Y1775" s="10" t="s">
        <v>288</v>
      </c>
      <c r="Z1775" s="75"/>
      <c r="AA1775" s="76"/>
      <c r="AB1775" s="77"/>
      <c r="AC1775" s="77"/>
      <c r="AD1775" s="6"/>
      <c r="AI1775" s="7"/>
      <c r="AJ1775" s="73"/>
      <c r="AK1775" s="7"/>
      <c r="AL1775" s="16" t="s">
        <v>5119</v>
      </c>
      <c r="AM1775" s="2" t="s">
        <v>53</v>
      </c>
      <c r="AN1775" s="6" t="s">
        <v>73</v>
      </c>
      <c r="AO1775" s="6" t="s">
        <v>53</v>
      </c>
      <c r="AP1775" s="6" t="s">
        <v>73</v>
      </c>
      <c r="AQ1775" s="5" t="s">
        <v>73</v>
      </c>
      <c r="AR1775" s="87"/>
      <c r="AS1775" s="88"/>
      <c r="AT1775" s="88"/>
      <c r="AU1775" s="89"/>
      <c r="AV1775" s="90"/>
      <c r="AW1775" s="6">
        <f t="shared" ca="1" si="30"/>
        <v>24</v>
      </c>
    </row>
    <row r="1776" ht="45" hidden="1" customHeight="1" outlineLevel="1">
      <c r="A1776" s="132">
        <v>44019</v>
      </c>
      <c r="B1776" s="3" t="s">
        <v>1926</v>
      </c>
      <c r="C1776" s="144" t="s">
        <v>5120</v>
      </c>
      <c r="D1776" s="117" t="s">
        <v>5121</v>
      </c>
      <c r="E1776" s="2" t="s">
        <v>83</v>
      </c>
      <c r="F1776" s="141" t="s">
        <v>179</v>
      </c>
      <c r="G1776" s="117" t="s">
        <v>5122</v>
      </c>
      <c r="H1776" s="2" t="s">
        <v>382</v>
      </c>
      <c r="I1776" s="194" t="s">
        <v>5123</v>
      </c>
      <c r="J1776" s="7">
        <v>1</v>
      </c>
      <c r="K1776" s="145"/>
      <c r="L1776" s="9">
        <v>1</v>
      </c>
      <c r="M1776" s="194">
        <v>1484</v>
      </c>
      <c r="N1776" s="141">
        <v>2001</v>
      </c>
      <c r="P1776" s="71"/>
      <c r="R1776" s="6">
        <v>2000</v>
      </c>
      <c r="S1776" s="3" t="s">
        <v>283</v>
      </c>
      <c r="T1776" s="72" t="s">
        <v>1136</v>
      </c>
      <c r="U1776" s="73"/>
      <c r="W1776" s="74" t="s">
        <v>62</v>
      </c>
      <c r="X1776" s="10" t="s">
        <v>91</v>
      </c>
      <c r="Y1776" s="10" t="s">
        <v>385</v>
      </c>
      <c r="Z1776" s="75"/>
      <c r="AA1776" s="137"/>
      <c r="AB1776" s="138"/>
      <c r="AC1776" s="138"/>
      <c r="AD1776" s="141"/>
      <c r="AE1776" s="139"/>
      <c r="AG1776" s="139"/>
      <c r="AH1776" s="139"/>
      <c r="AI1776" s="139"/>
      <c r="AJ1776" s="160"/>
      <c r="AK1776" s="139"/>
      <c r="AL1776" s="16"/>
      <c r="AO1776" s="141"/>
      <c r="AP1776" s="141"/>
      <c r="AQ1776" s="117"/>
      <c r="AR1776" s="142"/>
      <c r="AS1776" s="141"/>
      <c r="AT1776" s="141"/>
      <c r="AU1776" s="140"/>
      <c r="AV1776" s="143"/>
      <c r="AW1776" s="6">
        <f t="shared" ca="1" si="30"/>
        <v>24</v>
      </c>
    </row>
    <row r="1777" ht="45" customHeight="1" outlineLevel="1">
      <c r="A1777" s="69"/>
      <c r="B1777" s="3" t="s">
        <v>47</v>
      </c>
      <c r="D1777" s="5" t="s">
        <v>5124</v>
      </c>
      <c r="E1777" s="2" t="s">
        <v>83</v>
      </c>
      <c r="F1777" s="6" t="s">
        <v>704</v>
      </c>
      <c r="G1777" s="5" t="s">
        <v>2643</v>
      </c>
      <c r="H1777" s="2" t="s">
        <v>68</v>
      </c>
      <c r="I1777" s="3" t="s">
        <v>5125</v>
      </c>
      <c r="J1777" s="7">
        <v>1</v>
      </c>
      <c r="K1777" s="70" t="s">
        <v>53</v>
      </c>
      <c r="L1777" s="9">
        <v>1</v>
      </c>
      <c r="M1777" s="3">
        <v>1485</v>
      </c>
      <c r="N1777" s="6">
        <v>2001</v>
      </c>
      <c r="P1777" s="71"/>
      <c r="R1777" s="6">
        <v>2000</v>
      </c>
      <c r="S1777" s="3" t="s">
        <v>54</v>
      </c>
      <c r="T1777" s="72"/>
      <c r="U1777" s="73"/>
      <c r="W1777" s="2" t="s">
        <v>5126</v>
      </c>
      <c r="X1777" s="10" t="s">
        <v>56</v>
      </c>
      <c r="Y1777" s="10" t="s">
        <v>68</v>
      </c>
      <c r="Z1777" s="75"/>
      <c r="AA1777" s="76"/>
      <c r="AB1777" s="77">
        <v>38182</v>
      </c>
      <c r="AC1777" s="77"/>
      <c r="AD1777" s="6"/>
      <c r="AE1777" s="7">
        <v>2002</v>
      </c>
      <c r="AF1777" s="7">
        <v>35</v>
      </c>
      <c r="AG1777" s="7">
        <v>2004</v>
      </c>
      <c r="AH1777" s="7">
        <v>2000</v>
      </c>
      <c r="AI1777" s="7"/>
      <c r="AJ1777" s="73"/>
      <c r="AK1777" s="7"/>
      <c r="AL1777" s="16" t="s">
        <v>5127</v>
      </c>
      <c r="AM1777" s="2" t="s">
        <v>53</v>
      </c>
      <c r="AW1777" s="6">
        <f t="shared" ca="1" si="30"/>
        <v>24</v>
      </c>
    </row>
    <row r="1778" ht="45" customHeight="1" outlineLevel="1">
      <c r="A1778" s="69"/>
      <c r="B1778" s="3" t="s">
        <v>47</v>
      </c>
      <c r="D1778" s="5" t="s">
        <v>5128</v>
      </c>
      <c r="E1778" s="2" t="s">
        <v>63</v>
      </c>
      <c r="F1778" s="6" t="s">
        <v>172</v>
      </c>
      <c r="G1778" s="5" t="s">
        <v>173</v>
      </c>
      <c r="H1778" s="2" t="s">
        <v>3735</v>
      </c>
      <c r="I1778" s="3" t="s">
        <v>5129</v>
      </c>
      <c r="J1778" s="7">
        <v>1</v>
      </c>
      <c r="K1778" s="70" t="s">
        <v>53</v>
      </c>
      <c r="L1778" s="9">
        <v>1</v>
      </c>
      <c r="M1778" s="3">
        <v>1486</v>
      </c>
      <c r="N1778" s="6">
        <v>2001</v>
      </c>
      <c r="P1778" s="71"/>
      <c r="R1778" s="6">
        <v>2000</v>
      </c>
      <c r="S1778" s="3" t="s">
        <v>54</v>
      </c>
      <c r="T1778" s="72"/>
      <c r="U1778" s="73"/>
      <c r="W1778" s="2" t="s">
        <v>5130</v>
      </c>
      <c r="X1778" s="10" t="s">
        <v>56</v>
      </c>
      <c r="Y1778" s="10" t="s">
        <v>68</v>
      </c>
      <c r="Z1778" s="75" t="s">
        <v>58</v>
      </c>
      <c r="AA1778" s="76">
        <v>38386</v>
      </c>
      <c r="AB1778" s="77">
        <v>38386</v>
      </c>
      <c r="AC1778" s="77"/>
      <c r="AD1778" s="6"/>
      <c r="AE1778" s="7">
        <v>2003</v>
      </c>
      <c r="AF1778" s="7">
        <v>39</v>
      </c>
      <c r="AG1778" s="7">
        <v>2005</v>
      </c>
      <c r="AH1778" s="7">
        <v>2000</v>
      </c>
      <c r="AI1778" s="7"/>
      <c r="AJ1778" s="73"/>
      <c r="AK1778" s="7"/>
      <c r="AL1778" s="16"/>
      <c r="AW1778" s="6">
        <f t="shared" ca="1" si="30"/>
        <v>24</v>
      </c>
    </row>
    <row r="1779" ht="45" customHeight="1" outlineLevel="1">
      <c r="A1779" s="69"/>
      <c r="B1779" s="3" t="s">
        <v>47</v>
      </c>
      <c r="C1779" s="4" t="s">
        <v>5131</v>
      </c>
      <c r="D1779" s="5" t="s">
        <v>5132</v>
      </c>
      <c r="E1779" s="2" t="s">
        <v>83</v>
      </c>
      <c r="F1779" s="6" t="s">
        <v>84</v>
      </c>
      <c r="G1779" s="5" t="s">
        <v>85</v>
      </c>
      <c r="H1779" s="2" t="s">
        <v>57</v>
      </c>
      <c r="I1779" s="3" t="s">
        <v>5133</v>
      </c>
      <c r="J1779" s="7">
        <v>1</v>
      </c>
      <c r="K1779" s="70" t="s">
        <v>53</v>
      </c>
      <c r="L1779" s="9">
        <v>1</v>
      </c>
      <c r="M1779" s="3">
        <v>1487</v>
      </c>
      <c r="N1779" s="6">
        <v>2001</v>
      </c>
      <c r="P1779" s="71"/>
      <c r="R1779" s="6">
        <v>2000</v>
      </c>
      <c r="S1779" s="3" t="s">
        <v>54</v>
      </c>
      <c r="T1779" s="72"/>
      <c r="U1779" s="73"/>
      <c r="W1779" s="2" t="s">
        <v>5134</v>
      </c>
      <c r="X1779" s="10" t="s">
        <v>56</v>
      </c>
      <c r="Y1779" s="10" t="s">
        <v>57</v>
      </c>
      <c r="Z1779" s="75"/>
      <c r="AA1779" s="76"/>
      <c r="AB1779" s="77"/>
      <c r="AC1779" s="77" t="s">
        <v>208</v>
      </c>
      <c r="AD1779" s="6"/>
      <c r="AE1779" s="93">
        <v>2007</v>
      </c>
      <c r="AF1779" s="7">
        <v>55</v>
      </c>
      <c r="AG1779" s="93">
        <v>2019</v>
      </c>
      <c r="AH1779" s="7">
        <v>2010</v>
      </c>
      <c r="AI1779" s="7"/>
      <c r="AJ1779" s="73"/>
      <c r="AK1779" s="7"/>
      <c r="AL1779" s="16" t="s">
        <v>5135</v>
      </c>
      <c r="AM1779" s="2" t="s">
        <v>59</v>
      </c>
      <c r="AW1779" s="6">
        <f t="shared" ca="1" si="30"/>
        <v>24</v>
      </c>
    </row>
    <row r="1780" ht="45" customHeight="1" outlineLevel="1">
      <c r="A1780" s="69"/>
      <c r="B1780" s="3" t="s">
        <v>47</v>
      </c>
      <c r="C1780" s="4" t="s">
        <v>5136</v>
      </c>
      <c r="D1780" s="5" t="s">
        <v>5137</v>
      </c>
      <c r="E1780" s="2" t="s">
        <v>83</v>
      </c>
      <c r="F1780" s="6" t="s">
        <v>84</v>
      </c>
      <c r="G1780" s="5" t="s">
        <v>797</v>
      </c>
      <c r="H1780" s="2" t="s">
        <v>57</v>
      </c>
      <c r="I1780" s="3" t="s">
        <v>5138</v>
      </c>
      <c r="J1780" s="7">
        <v>1</v>
      </c>
      <c r="K1780" s="70" t="s">
        <v>53</v>
      </c>
      <c r="L1780" s="9">
        <v>1</v>
      </c>
      <c r="M1780" s="3">
        <v>1488</v>
      </c>
      <c r="N1780" s="6">
        <v>2002</v>
      </c>
      <c r="P1780" s="71"/>
      <c r="R1780" s="6">
        <v>2000</v>
      </c>
      <c r="S1780" s="3" t="s">
        <v>54</v>
      </c>
      <c r="T1780" s="72"/>
      <c r="U1780" s="73"/>
      <c r="W1780" s="2" t="s">
        <v>5139</v>
      </c>
      <c r="X1780" s="10" t="s">
        <v>56</v>
      </c>
      <c r="Y1780" s="10" t="s">
        <v>57</v>
      </c>
      <c r="Z1780" s="75"/>
      <c r="AA1780" s="76" t="s">
        <v>208</v>
      </c>
      <c r="AB1780" s="77"/>
      <c r="AC1780" s="77" t="s">
        <v>208</v>
      </c>
      <c r="AD1780" s="6"/>
      <c r="AE1780" s="7">
        <v>2016</v>
      </c>
      <c r="AF1780" s="7">
        <v>82</v>
      </c>
      <c r="AG1780" s="7">
        <v>2019</v>
      </c>
      <c r="AH1780" s="7">
        <v>2010</v>
      </c>
      <c r="AI1780" s="7"/>
      <c r="AJ1780" s="73"/>
      <c r="AK1780" s="7"/>
      <c r="AL1780" s="16" t="s">
        <v>5140</v>
      </c>
      <c r="AW1780" s="6">
        <f t="shared" ca="1" si="30"/>
        <v>23</v>
      </c>
    </row>
    <row r="1781" ht="45" customHeight="1" outlineLevel="1">
      <c r="A1781" s="69"/>
      <c r="B1781" s="3" t="s">
        <v>47</v>
      </c>
      <c r="D1781" s="5" t="s">
        <v>5141</v>
      </c>
      <c r="E1781" s="2" t="s">
        <v>63</v>
      </c>
      <c r="F1781" s="6" t="s">
        <v>217</v>
      </c>
      <c r="G1781" s="5" t="s">
        <v>5142</v>
      </c>
      <c r="H1781" s="2" t="s">
        <v>288</v>
      </c>
      <c r="I1781" s="3" t="s">
        <v>5143</v>
      </c>
      <c r="J1781" s="7">
        <v>1</v>
      </c>
      <c r="K1781" s="70" t="s">
        <v>53</v>
      </c>
      <c r="L1781" s="9">
        <v>1</v>
      </c>
      <c r="M1781" s="3">
        <v>1489</v>
      </c>
      <c r="N1781" s="6">
        <v>2002</v>
      </c>
      <c r="P1781" s="71"/>
      <c r="R1781" s="6">
        <v>2000</v>
      </c>
      <c r="S1781" s="3" t="s">
        <v>54</v>
      </c>
      <c r="T1781" s="72"/>
      <c r="U1781" s="73"/>
      <c r="W1781" s="100" t="s">
        <v>5144</v>
      </c>
      <c r="X1781" s="10" t="s">
        <v>56</v>
      </c>
      <c r="Y1781" s="10" t="s">
        <v>288</v>
      </c>
      <c r="Z1781" s="75"/>
      <c r="AA1781" s="76"/>
      <c r="AB1781" s="77">
        <v>39454</v>
      </c>
      <c r="AC1781" s="77"/>
      <c r="AD1781" s="6"/>
      <c r="AE1781" s="7">
        <v>2005</v>
      </c>
      <c r="AF1781" s="7">
        <v>47</v>
      </c>
      <c r="AG1781" s="7">
        <v>2008</v>
      </c>
      <c r="AH1781" s="7">
        <v>2000</v>
      </c>
      <c r="AI1781" s="7"/>
      <c r="AJ1781" s="73"/>
      <c r="AK1781" s="7"/>
      <c r="AL1781" s="16" t="s">
        <v>5145</v>
      </c>
      <c r="AM1781" s="2" t="s">
        <v>53</v>
      </c>
      <c r="AN1781" s="6" t="s">
        <v>73</v>
      </c>
      <c r="AO1781" s="6" t="s">
        <v>53</v>
      </c>
      <c r="AP1781" s="6" t="s">
        <v>73</v>
      </c>
      <c r="AQ1781" s="5" t="s">
        <v>73</v>
      </c>
      <c r="AR1781" s="87" t="s">
        <v>73</v>
      </c>
      <c r="AS1781" s="88" t="s">
        <v>73</v>
      </c>
      <c r="AT1781" s="88" t="s">
        <v>4769</v>
      </c>
      <c r="AU1781" s="89" t="s">
        <v>5146</v>
      </c>
      <c r="AV1781" s="90"/>
      <c r="AW1781" s="6">
        <f t="shared" ca="1" si="30"/>
        <v>23</v>
      </c>
    </row>
    <row r="1782" ht="45" hidden="1" customHeight="1" outlineLevel="1">
      <c r="A1782" s="69">
        <v>42880</v>
      </c>
      <c r="B1782" s="3" t="s">
        <v>190</v>
      </c>
      <c r="C1782" s="4" t="s">
        <v>5147</v>
      </c>
      <c r="D1782" s="5" t="s">
        <v>5148</v>
      </c>
      <c r="E1782" s="2" t="s">
        <v>83</v>
      </c>
      <c r="F1782" s="6" t="s">
        <v>704</v>
      </c>
      <c r="G1782" s="5" t="s">
        <v>705</v>
      </c>
      <c r="H1782" s="2" t="s">
        <v>51</v>
      </c>
      <c r="I1782" s="3" t="s">
        <v>5149</v>
      </c>
      <c r="J1782" s="7">
        <v>1</v>
      </c>
      <c r="K1782" s="104"/>
      <c r="L1782" s="9">
        <v>1</v>
      </c>
      <c r="M1782" s="3">
        <v>1490</v>
      </c>
      <c r="N1782" s="6">
        <v>2002</v>
      </c>
      <c r="P1782" s="71"/>
      <c r="R1782" s="6">
        <v>2000</v>
      </c>
      <c r="S1782" s="3" t="s">
        <v>283</v>
      </c>
      <c r="T1782" s="72" t="s">
        <v>998</v>
      </c>
      <c r="U1782" s="73"/>
      <c r="W1782" s="74" t="s">
        <v>62</v>
      </c>
      <c r="X1782" s="10" t="s">
        <v>56</v>
      </c>
      <c r="Y1782" s="10" t="s">
        <v>57</v>
      </c>
      <c r="Z1782" s="75" t="s">
        <v>58</v>
      </c>
      <c r="AA1782" s="76"/>
      <c r="AB1782" s="77"/>
      <c r="AC1782" s="77"/>
      <c r="AD1782" s="6"/>
      <c r="AI1782" s="7"/>
      <c r="AJ1782" s="73"/>
      <c r="AK1782" s="7"/>
      <c r="AL1782" s="16"/>
      <c r="AW1782" s="6">
        <f t="shared" ca="1" si="30"/>
        <v>23</v>
      </c>
    </row>
    <row r="1783" ht="45" hidden="1" customHeight="1" outlineLevel="1">
      <c r="A1783" s="69">
        <v>45076</v>
      </c>
      <c r="B1783" s="3" t="s">
        <v>47</v>
      </c>
      <c r="C1783" s="116" t="s">
        <v>5150</v>
      </c>
      <c r="D1783" s="5" t="s">
        <v>5151</v>
      </c>
      <c r="E1783" s="2" t="s">
        <v>63</v>
      </c>
      <c r="F1783" s="6" t="s">
        <v>172</v>
      </c>
      <c r="G1783" s="5" t="s">
        <v>173</v>
      </c>
      <c r="H1783" s="2" t="s">
        <v>57</v>
      </c>
      <c r="I1783" s="3" t="s">
        <v>5152</v>
      </c>
      <c r="J1783" s="7">
        <v>1</v>
      </c>
      <c r="K1783" s="104"/>
      <c r="L1783" s="9">
        <v>1</v>
      </c>
      <c r="M1783" s="3">
        <v>1491</v>
      </c>
      <c r="N1783" s="6">
        <v>2002</v>
      </c>
      <c r="P1783" s="71"/>
      <c r="R1783" s="6">
        <v>2000</v>
      </c>
      <c r="S1783" s="3" t="s">
        <v>236</v>
      </c>
      <c r="T1783" s="72" t="s">
        <v>1136</v>
      </c>
      <c r="U1783" s="73"/>
      <c r="W1783" s="2" t="s">
        <v>62</v>
      </c>
      <c r="X1783" s="10" t="s">
        <v>56</v>
      </c>
      <c r="Y1783" s="10" t="s">
        <v>57</v>
      </c>
      <c r="Z1783" s="75"/>
      <c r="AA1783" s="76"/>
      <c r="AB1783" s="77"/>
      <c r="AC1783" s="77"/>
      <c r="AD1783" s="6"/>
      <c r="AI1783" s="7"/>
      <c r="AK1783" s="7"/>
      <c r="AL1783" s="16"/>
      <c r="AW1783" s="6">
        <f t="shared" ca="1" si="30"/>
        <v>23</v>
      </c>
    </row>
    <row r="1784" ht="45" customHeight="1" outlineLevel="1">
      <c r="A1784" s="69"/>
      <c r="B1784" s="3" t="s">
        <v>47</v>
      </c>
      <c r="D1784" s="5" t="s">
        <v>5153</v>
      </c>
      <c r="E1784" s="2" t="s">
        <v>83</v>
      </c>
      <c r="F1784" s="6" t="s">
        <v>84</v>
      </c>
      <c r="G1784" s="5" t="s">
        <v>1728</v>
      </c>
      <c r="H1784" s="2" t="s">
        <v>257</v>
      </c>
      <c r="I1784" s="3" t="s">
        <v>5154</v>
      </c>
      <c r="J1784" s="7">
        <v>1</v>
      </c>
      <c r="K1784" s="104" t="s">
        <v>53</v>
      </c>
      <c r="L1784" s="9">
        <v>1</v>
      </c>
      <c r="M1784" s="3">
        <v>1492</v>
      </c>
      <c r="N1784" s="6">
        <v>2002</v>
      </c>
      <c r="P1784" s="71"/>
      <c r="R1784" s="6">
        <v>2000</v>
      </c>
      <c r="S1784" s="3" t="s">
        <v>54</v>
      </c>
      <c r="T1784" s="72"/>
      <c r="U1784" s="73"/>
      <c r="W1784" s="2" t="s">
        <v>5155</v>
      </c>
      <c r="X1784" s="10" t="s">
        <v>56</v>
      </c>
      <c r="Y1784" s="10" t="s">
        <v>68</v>
      </c>
      <c r="Z1784" s="75" t="s">
        <v>260</v>
      </c>
      <c r="AA1784" s="76">
        <v>42068</v>
      </c>
      <c r="AB1784" s="77">
        <v>42068</v>
      </c>
      <c r="AC1784" s="77">
        <v>42068</v>
      </c>
      <c r="AD1784" s="6"/>
      <c r="AE1784" s="7">
        <v>2014</v>
      </c>
      <c r="AF1784" s="7">
        <v>75</v>
      </c>
      <c r="AG1784" s="7">
        <v>2015</v>
      </c>
      <c r="AH1784" s="7">
        <v>2010</v>
      </c>
      <c r="AI1784" s="7"/>
      <c r="AJ1784" s="73"/>
      <c r="AK1784" s="7"/>
      <c r="AL1784" s="102" t="s">
        <v>5156</v>
      </c>
      <c r="AW1784" s="6">
        <f t="shared" ca="1" si="30"/>
        <v>23</v>
      </c>
    </row>
    <row r="1785" ht="45" hidden="1" customHeight="1" outlineLevel="1">
      <c r="A1785" s="69"/>
      <c r="B1785" s="3" t="s">
        <v>47</v>
      </c>
      <c r="C1785" s="4" t="s">
        <v>5157</v>
      </c>
      <c r="D1785" s="5" t="s">
        <v>5158</v>
      </c>
      <c r="E1785" s="2" t="s">
        <v>83</v>
      </c>
      <c r="F1785" s="6" t="s">
        <v>84</v>
      </c>
      <c r="G1785" s="5" t="s">
        <v>3115</v>
      </c>
      <c r="H1785" s="2" t="s">
        <v>57</v>
      </c>
      <c r="I1785" s="3" t="s">
        <v>5159</v>
      </c>
      <c r="J1785" s="7">
        <v>1</v>
      </c>
      <c r="K1785" s="104"/>
      <c r="L1785" s="9">
        <v>1</v>
      </c>
      <c r="M1785" s="3">
        <v>1493</v>
      </c>
      <c r="N1785" s="6">
        <v>2002</v>
      </c>
      <c r="P1785" s="71"/>
      <c r="R1785" s="6">
        <v>2000</v>
      </c>
      <c r="S1785" s="3" t="s">
        <v>236</v>
      </c>
      <c r="T1785" s="72" t="s">
        <v>1136</v>
      </c>
      <c r="U1785" s="10">
        <v>44497</v>
      </c>
      <c r="W1785" s="2" t="s">
        <v>62</v>
      </c>
      <c r="X1785" s="10" t="s">
        <v>56</v>
      </c>
      <c r="Y1785" s="10" t="s">
        <v>57</v>
      </c>
      <c r="Z1785" s="75"/>
      <c r="AA1785" s="76"/>
      <c r="AB1785" s="77"/>
      <c r="AC1785" s="77"/>
      <c r="AD1785" s="6"/>
      <c r="AI1785" s="7"/>
      <c r="AJ1785" s="10">
        <v>44495</v>
      </c>
      <c r="AK1785" s="7">
        <v>2020</v>
      </c>
      <c r="AL1785" s="16"/>
      <c r="AW1785" s="6">
        <f t="shared" ca="1" si="30"/>
        <v>23</v>
      </c>
    </row>
    <row r="1786" ht="45" hidden="1" customHeight="1" outlineLevel="1">
      <c r="A1786" s="69"/>
      <c r="B1786" s="3" t="s">
        <v>190</v>
      </c>
      <c r="C1786" s="4" t="s">
        <v>5160</v>
      </c>
      <c r="D1786" s="5" t="s">
        <v>5161</v>
      </c>
      <c r="E1786" s="2" t="s">
        <v>83</v>
      </c>
      <c r="F1786" s="6" t="s">
        <v>704</v>
      </c>
      <c r="G1786" s="5" t="s">
        <v>705</v>
      </c>
      <c r="H1786" s="2" t="s">
        <v>288</v>
      </c>
      <c r="I1786" s="3" t="s">
        <v>5162</v>
      </c>
      <c r="J1786" s="7">
        <v>1</v>
      </c>
      <c r="K1786" s="104"/>
      <c r="L1786" s="9">
        <v>1</v>
      </c>
      <c r="M1786" s="3">
        <v>1494</v>
      </c>
      <c r="N1786" s="6">
        <v>2002</v>
      </c>
      <c r="O1786" s="10">
        <v>37296</v>
      </c>
      <c r="P1786" s="71"/>
      <c r="R1786" s="6">
        <v>2000</v>
      </c>
      <c r="S1786" s="3" t="s">
        <v>283</v>
      </c>
      <c r="T1786" s="72"/>
      <c r="U1786" s="73"/>
      <c r="W1786" s="74" t="s">
        <v>62</v>
      </c>
      <c r="X1786" s="10" t="s">
        <v>56</v>
      </c>
      <c r="Y1786" s="10" t="s">
        <v>288</v>
      </c>
      <c r="Z1786" s="75"/>
      <c r="AA1786" s="76"/>
      <c r="AB1786" s="77"/>
      <c r="AC1786" s="77"/>
      <c r="AD1786" s="6"/>
      <c r="AI1786" s="7"/>
      <c r="AJ1786" s="73"/>
      <c r="AK1786" s="7"/>
      <c r="AL1786" s="16"/>
      <c r="AW1786" s="6">
        <f t="shared" ca="1" si="30"/>
        <v>23</v>
      </c>
    </row>
    <row r="1787" ht="45" customHeight="1" outlineLevel="1">
      <c r="A1787" s="69"/>
      <c r="B1787" s="3" t="s">
        <v>47</v>
      </c>
      <c r="D1787" s="5" t="s">
        <v>5163</v>
      </c>
      <c r="E1787" s="2" t="s">
        <v>83</v>
      </c>
      <c r="F1787" s="6" t="s">
        <v>704</v>
      </c>
      <c r="G1787" s="5" t="s">
        <v>705</v>
      </c>
      <c r="H1787" s="2" t="s">
        <v>51</v>
      </c>
      <c r="I1787" s="3" t="s">
        <v>5164</v>
      </c>
      <c r="J1787" s="7">
        <v>1</v>
      </c>
      <c r="K1787" s="70" t="s">
        <v>53</v>
      </c>
      <c r="L1787" s="9">
        <v>1</v>
      </c>
      <c r="M1787" s="3">
        <v>1495</v>
      </c>
      <c r="N1787" s="6">
        <v>2002</v>
      </c>
      <c r="P1787" s="71"/>
      <c r="R1787" s="6">
        <v>2000</v>
      </c>
      <c r="S1787" s="3" t="s">
        <v>54</v>
      </c>
      <c r="T1787" s="72"/>
      <c r="U1787" s="73"/>
      <c r="W1787" s="2" t="s">
        <v>5165</v>
      </c>
      <c r="X1787" s="10" t="s">
        <v>56</v>
      </c>
      <c r="Y1787" s="10" t="s">
        <v>57</v>
      </c>
      <c r="Z1787" s="75"/>
      <c r="AA1787" s="2"/>
      <c r="AB1787" s="77">
        <v>39493</v>
      </c>
      <c r="AC1787" s="6"/>
      <c r="AD1787" s="6"/>
      <c r="AE1787" s="7" t="s">
        <v>5166</v>
      </c>
      <c r="AF1787" s="7" t="s">
        <v>5167</v>
      </c>
      <c r="AG1787" s="7">
        <v>2008</v>
      </c>
      <c r="AH1787" s="7">
        <v>2000</v>
      </c>
      <c r="AI1787" s="7"/>
      <c r="AJ1787" s="73"/>
      <c r="AK1787" s="7"/>
      <c r="AL1787" s="16"/>
      <c r="AM1787" s="2" t="s">
        <v>59</v>
      </c>
      <c r="AW1787" s="6">
        <f t="shared" ca="1" si="30"/>
        <v>23</v>
      </c>
    </row>
    <row r="1788" ht="45" customHeight="1" outlineLevel="1">
      <c r="A1788" s="69">
        <v>43902</v>
      </c>
      <c r="B1788" s="3" t="s">
        <v>190</v>
      </c>
      <c r="C1788" s="4" t="s">
        <v>5168</v>
      </c>
      <c r="D1788" s="5" t="s">
        <v>5169</v>
      </c>
      <c r="E1788" s="2" t="s">
        <v>63</v>
      </c>
      <c r="F1788" s="6" t="s">
        <v>428</v>
      </c>
      <c r="G1788" s="5" t="s">
        <v>5014</v>
      </c>
      <c r="H1788" s="2" t="s">
        <v>288</v>
      </c>
      <c r="I1788" s="3" t="s">
        <v>5170</v>
      </c>
      <c r="J1788" s="7">
        <v>1</v>
      </c>
      <c r="K1788" s="70" t="s">
        <v>53</v>
      </c>
      <c r="L1788" s="9">
        <v>1</v>
      </c>
      <c r="M1788" s="3">
        <v>1496</v>
      </c>
      <c r="N1788" s="6">
        <v>2002</v>
      </c>
      <c r="P1788" s="71"/>
      <c r="R1788" s="6">
        <v>2000</v>
      </c>
      <c r="S1788" s="3" t="s">
        <v>195</v>
      </c>
      <c r="T1788" s="72"/>
      <c r="U1788" s="73"/>
      <c r="W1788" s="74" t="s">
        <v>5171</v>
      </c>
      <c r="X1788" s="10" t="s">
        <v>56</v>
      </c>
      <c r="Y1788" s="10" t="s">
        <v>288</v>
      </c>
      <c r="Z1788" s="75"/>
      <c r="AA1788" s="76">
        <v>38387</v>
      </c>
      <c r="AB1788" s="77"/>
      <c r="AC1788" s="77"/>
      <c r="AD1788" s="6"/>
      <c r="AE1788" s="7">
        <v>2003</v>
      </c>
      <c r="AF1788" s="7">
        <v>39</v>
      </c>
      <c r="AG1788" s="7">
        <v>2005</v>
      </c>
      <c r="AH1788" s="7">
        <v>2000</v>
      </c>
      <c r="AI1788" s="7"/>
      <c r="AJ1788" s="73"/>
      <c r="AK1788" s="7"/>
      <c r="AL1788" s="16"/>
      <c r="AM1788" s="2" t="s">
        <v>53</v>
      </c>
      <c r="AN1788" s="6" t="s">
        <v>73</v>
      </c>
      <c r="AO1788" s="6" t="s">
        <v>53</v>
      </c>
      <c r="AP1788" s="6" t="s">
        <v>73</v>
      </c>
      <c r="AQ1788" s="5" t="s">
        <v>73</v>
      </c>
      <c r="AR1788" s="2" t="s">
        <v>104</v>
      </c>
      <c r="AW1788" s="6">
        <f t="shared" ca="1" si="30"/>
        <v>23</v>
      </c>
    </row>
    <row r="1789" ht="45" customHeight="1" outlineLevel="1">
      <c r="A1789" s="69"/>
      <c r="B1789" s="3" t="s">
        <v>47</v>
      </c>
      <c r="E1789" s="78" t="s">
        <v>63</v>
      </c>
      <c r="F1789" s="79" t="s">
        <v>172</v>
      </c>
      <c r="G1789" s="80" t="s">
        <v>173</v>
      </c>
      <c r="H1789" s="78" t="s">
        <v>491</v>
      </c>
      <c r="I1789" s="81" t="s">
        <v>5172</v>
      </c>
      <c r="J1789" s="7">
        <v>1</v>
      </c>
      <c r="K1789" s="70" t="s">
        <v>53</v>
      </c>
      <c r="L1789" s="9">
        <v>1</v>
      </c>
      <c r="M1789" s="3">
        <v>1497</v>
      </c>
      <c r="N1789" s="6">
        <v>2002</v>
      </c>
      <c r="P1789" s="71"/>
      <c r="R1789" s="6">
        <v>2000</v>
      </c>
      <c r="S1789" s="3" t="s">
        <v>54</v>
      </c>
      <c r="T1789" s="72"/>
      <c r="U1789" s="73"/>
      <c r="W1789" s="78" t="s">
        <v>5173</v>
      </c>
      <c r="X1789" s="82" t="s">
        <v>56</v>
      </c>
      <c r="Y1789" s="82" t="s">
        <v>523</v>
      </c>
      <c r="Z1789" s="83" t="s">
        <v>4870</v>
      </c>
      <c r="AA1789" s="76"/>
      <c r="AB1789" s="77">
        <v>40570</v>
      </c>
      <c r="AC1789" s="77">
        <v>40570</v>
      </c>
      <c r="AD1789" s="6"/>
      <c r="AE1789" s="7">
        <v>2006</v>
      </c>
      <c r="AF1789" s="7">
        <v>51</v>
      </c>
      <c r="AG1789" s="7">
        <v>2011</v>
      </c>
      <c r="AH1789" s="7">
        <v>2010</v>
      </c>
      <c r="AI1789" s="7"/>
      <c r="AJ1789" s="73"/>
      <c r="AK1789" s="7"/>
      <c r="AL1789" s="16"/>
      <c r="AM1789" s="2" t="s">
        <v>59</v>
      </c>
      <c r="AW1789" s="6">
        <f t="shared" ca="1" si="30"/>
        <v>23</v>
      </c>
    </row>
    <row r="1790" ht="45" customHeight="1" outlineLevel="1">
      <c r="A1790" s="69"/>
      <c r="B1790" s="3" t="s">
        <v>47</v>
      </c>
      <c r="D1790" s="5" t="s">
        <v>5174</v>
      </c>
      <c r="E1790" s="2" t="s">
        <v>63</v>
      </c>
      <c r="F1790" s="6" t="s">
        <v>172</v>
      </c>
      <c r="G1790" s="5" t="s">
        <v>173</v>
      </c>
      <c r="H1790" s="2" t="s">
        <v>3735</v>
      </c>
      <c r="I1790" s="3" t="s">
        <v>5175</v>
      </c>
      <c r="J1790" s="7">
        <v>1</v>
      </c>
      <c r="K1790" s="70" t="s">
        <v>53</v>
      </c>
      <c r="L1790" s="9">
        <v>1</v>
      </c>
      <c r="M1790" s="3">
        <v>1498</v>
      </c>
      <c r="N1790" s="6">
        <v>2002</v>
      </c>
      <c r="P1790" s="71"/>
      <c r="R1790" s="6">
        <v>2000</v>
      </c>
      <c r="S1790" s="3" t="s">
        <v>54</v>
      </c>
      <c r="T1790" s="72"/>
      <c r="U1790" s="73"/>
      <c r="W1790" s="2" t="s">
        <v>5176</v>
      </c>
      <c r="X1790" s="10" t="s">
        <v>56</v>
      </c>
      <c r="Y1790" s="10" t="s">
        <v>68</v>
      </c>
      <c r="Z1790" s="75" t="s">
        <v>58</v>
      </c>
      <c r="AA1790" s="76">
        <v>41942</v>
      </c>
      <c r="AB1790" s="77">
        <v>41942</v>
      </c>
      <c r="AC1790" s="77"/>
      <c r="AD1790" s="6"/>
      <c r="AE1790" s="7">
        <v>2013</v>
      </c>
      <c r="AF1790" s="7">
        <v>74</v>
      </c>
      <c r="AG1790" s="7">
        <v>2014</v>
      </c>
      <c r="AH1790" s="7">
        <v>2010</v>
      </c>
      <c r="AI1790" s="7"/>
      <c r="AJ1790" s="73"/>
      <c r="AK1790" s="7"/>
      <c r="AL1790" s="16" t="s">
        <v>5177</v>
      </c>
      <c r="AW1790" s="6">
        <f t="shared" ca="1" si="30"/>
        <v>23</v>
      </c>
    </row>
    <row r="1791" ht="45" hidden="1" customHeight="1">
      <c r="A1791" s="69">
        <v>43949</v>
      </c>
      <c r="B1791" s="3" t="s">
        <v>47</v>
      </c>
      <c r="C1791" s="4" t="s">
        <v>5178</v>
      </c>
      <c r="D1791" s="5" t="s">
        <v>5179</v>
      </c>
      <c r="E1791" s="2" t="s">
        <v>83</v>
      </c>
      <c r="F1791" s="6" t="s">
        <v>84</v>
      </c>
      <c r="G1791" s="5" t="s">
        <v>85</v>
      </c>
      <c r="H1791" s="2" t="s">
        <v>288</v>
      </c>
      <c r="I1791" s="3" t="s">
        <v>5180</v>
      </c>
      <c r="J1791" s="7">
        <v>1</v>
      </c>
      <c r="K1791" s="70"/>
      <c r="L1791" s="9">
        <v>1</v>
      </c>
      <c r="M1791" s="3">
        <v>1499</v>
      </c>
      <c r="N1791" s="6">
        <v>2002</v>
      </c>
      <c r="P1791" s="71"/>
      <c r="R1791" s="6">
        <v>2000</v>
      </c>
      <c r="S1791" s="3" t="s">
        <v>236</v>
      </c>
      <c r="T1791" s="72"/>
      <c r="W1791" s="2" t="s">
        <v>62</v>
      </c>
      <c r="X1791" s="10" t="s">
        <v>504</v>
      </c>
      <c r="Y1791" s="10" t="s">
        <v>501</v>
      </c>
      <c r="Z1791" s="75"/>
      <c r="AA1791" s="76"/>
      <c r="AB1791" s="77"/>
      <c r="AC1791" s="77"/>
      <c r="AD1791" s="6"/>
      <c r="AI1791" s="7"/>
      <c r="AJ1791" s="10">
        <v>44400</v>
      </c>
      <c r="AK1791" s="7">
        <v>2020</v>
      </c>
      <c r="AL1791" s="16"/>
      <c r="AW1791" s="6">
        <f t="shared" ca="1" si="30"/>
        <v>23</v>
      </c>
    </row>
    <row r="1792" ht="45" customHeight="1" outlineLevel="1">
      <c r="A1792" s="69"/>
      <c r="B1792" s="3" t="s">
        <v>47</v>
      </c>
      <c r="C1792" s="4" t="s">
        <v>5181</v>
      </c>
      <c r="D1792" s="5" t="s">
        <v>5182</v>
      </c>
      <c r="E1792" s="2" t="s">
        <v>1074</v>
      </c>
      <c r="F1792" s="6" t="s">
        <v>1075</v>
      </c>
      <c r="G1792" s="5" t="s">
        <v>3368</v>
      </c>
      <c r="H1792" s="2" t="s">
        <v>288</v>
      </c>
      <c r="I1792" s="3" t="s">
        <v>5183</v>
      </c>
      <c r="J1792" s="7">
        <v>1</v>
      </c>
      <c r="K1792" s="70" t="s">
        <v>53</v>
      </c>
      <c r="L1792" s="9">
        <v>1</v>
      </c>
      <c r="M1792" s="3">
        <v>1500</v>
      </c>
      <c r="N1792" s="6">
        <v>2002</v>
      </c>
      <c r="P1792" s="71"/>
      <c r="R1792" s="6">
        <v>2000</v>
      </c>
      <c r="S1792" s="3" t="s">
        <v>54</v>
      </c>
      <c r="T1792" s="72"/>
      <c r="U1792" s="73"/>
      <c r="W1792" s="100" t="s">
        <v>5184</v>
      </c>
      <c r="X1792" s="10" t="s">
        <v>56</v>
      </c>
      <c r="Y1792" s="10" t="s">
        <v>288</v>
      </c>
      <c r="Z1792" s="75"/>
      <c r="AA1792" s="76">
        <v>38386</v>
      </c>
      <c r="AB1792" s="77">
        <v>38386</v>
      </c>
      <c r="AC1792" s="77">
        <v>38386</v>
      </c>
      <c r="AD1792" s="10"/>
      <c r="AE1792" s="7">
        <v>2002</v>
      </c>
      <c r="AF1792" s="7">
        <v>38</v>
      </c>
      <c r="AG1792" s="7">
        <v>2005</v>
      </c>
      <c r="AH1792" s="7">
        <v>2000</v>
      </c>
      <c r="AI1792" s="7"/>
      <c r="AJ1792" s="73"/>
      <c r="AK1792" s="7"/>
      <c r="AL1792" s="16"/>
      <c r="AM1792" s="2" t="s">
        <v>53</v>
      </c>
      <c r="AN1792" s="6" t="s">
        <v>73</v>
      </c>
      <c r="AO1792" s="6" t="s">
        <v>53</v>
      </c>
      <c r="AP1792" s="6" t="s">
        <v>73</v>
      </c>
      <c r="AQ1792" s="5" t="s">
        <v>73</v>
      </c>
      <c r="AR1792" s="2" t="s">
        <v>104</v>
      </c>
      <c r="AS1792" s="6" t="s">
        <v>73</v>
      </c>
      <c r="AT1792" s="6">
        <v>2012</v>
      </c>
      <c r="AU1792" s="16" t="s">
        <v>5185</v>
      </c>
      <c r="AW1792" s="6">
        <f t="shared" ca="1" si="30"/>
        <v>23</v>
      </c>
    </row>
    <row r="1793" ht="45" customHeight="1" outlineLevel="1">
      <c r="A1793" s="69"/>
      <c r="B1793" s="3" t="s">
        <v>47</v>
      </c>
      <c r="D1793" s="5" t="s">
        <v>5186</v>
      </c>
      <c r="E1793" s="2" t="s">
        <v>63</v>
      </c>
      <c r="F1793" s="6" t="s">
        <v>217</v>
      </c>
      <c r="G1793" s="5" t="s">
        <v>221</v>
      </c>
      <c r="H1793" s="2" t="s">
        <v>288</v>
      </c>
      <c r="I1793" s="195" t="s">
        <v>5187</v>
      </c>
      <c r="J1793" s="7">
        <v>1</v>
      </c>
      <c r="K1793" s="70" t="s">
        <v>53</v>
      </c>
      <c r="L1793" s="9">
        <v>1</v>
      </c>
      <c r="M1793" s="3">
        <v>1501</v>
      </c>
      <c r="N1793" s="6">
        <v>2002</v>
      </c>
      <c r="P1793" s="71"/>
      <c r="R1793" s="6">
        <v>2000</v>
      </c>
      <c r="S1793" s="3" t="s">
        <v>54</v>
      </c>
      <c r="T1793" s="72"/>
      <c r="U1793" s="73"/>
      <c r="W1793" s="2" t="s">
        <v>5188</v>
      </c>
      <c r="X1793" s="10" t="s">
        <v>56</v>
      </c>
      <c r="Y1793" s="10" t="s">
        <v>288</v>
      </c>
      <c r="Z1793" s="75"/>
      <c r="AA1793" s="76">
        <v>40060</v>
      </c>
      <c r="AB1793" s="77">
        <v>40060</v>
      </c>
      <c r="AC1793" s="77"/>
      <c r="AD1793" s="6"/>
      <c r="AE1793" s="7">
        <v>2007</v>
      </c>
      <c r="AF1793" s="7">
        <v>55</v>
      </c>
      <c r="AG1793" s="7">
        <v>2009</v>
      </c>
      <c r="AH1793" s="7">
        <v>2000</v>
      </c>
      <c r="AI1793" s="7"/>
      <c r="AJ1793" s="73"/>
      <c r="AK1793" s="7"/>
      <c r="AL1793" s="16" t="s">
        <v>5189</v>
      </c>
      <c r="AM1793" s="2" t="s">
        <v>53</v>
      </c>
      <c r="AN1793" s="6" t="s">
        <v>73</v>
      </c>
      <c r="AO1793" s="6" t="s">
        <v>53</v>
      </c>
      <c r="AP1793" s="6" t="s">
        <v>73</v>
      </c>
      <c r="AQ1793" s="5" t="s">
        <v>73</v>
      </c>
      <c r="AR1793" s="2" t="s">
        <v>104</v>
      </c>
      <c r="AS1793" s="6" t="s">
        <v>73</v>
      </c>
      <c r="AT1793" s="6" t="s">
        <v>5190</v>
      </c>
      <c r="AU1793" s="16" t="s">
        <v>5191</v>
      </c>
      <c r="AW1793" s="6">
        <f t="shared" ca="1" si="30"/>
        <v>23</v>
      </c>
    </row>
    <row r="1794" ht="45" hidden="1" customHeight="1">
      <c r="A1794" s="69"/>
      <c r="B1794" s="3" t="s">
        <v>190</v>
      </c>
      <c r="C1794" s="97" t="s">
        <v>5192</v>
      </c>
      <c r="D1794" s="5" t="s">
        <v>5193</v>
      </c>
      <c r="E1794" s="2" t="s">
        <v>83</v>
      </c>
      <c r="F1794" s="6" t="s">
        <v>704</v>
      </c>
      <c r="G1794" s="5" t="s">
        <v>1017</v>
      </c>
      <c r="H1794" s="2" t="s">
        <v>288</v>
      </c>
      <c r="I1794" s="3" t="s">
        <v>5194</v>
      </c>
      <c r="J1794" s="7">
        <v>1</v>
      </c>
      <c r="K1794" s="104"/>
      <c r="L1794" s="9">
        <v>1</v>
      </c>
      <c r="M1794" s="3">
        <v>1502</v>
      </c>
      <c r="N1794" s="6">
        <v>2002</v>
      </c>
      <c r="P1794" s="71"/>
      <c r="R1794" s="6">
        <v>2000</v>
      </c>
      <c r="S1794" s="3" t="s">
        <v>283</v>
      </c>
      <c r="T1794" s="72"/>
      <c r="U1794" s="73"/>
      <c r="W1794" s="74" t="s">
        <v>62</v>
      </c>
      <c r="X1794" s="10" t="s">
        <v>56</v>
      </c>
      <c r="Y1794" s="10" t="s">
        <v>288</v>
      </c>
      <c r="Z1794" s="75"/>
      <c r="AA1794" s="2"/>
      <c r="AB1794" s="6"/>
      <c r="AC1794" s="6"/>
      <c r="AD1794" s="6"/>
      <c r="AI1794" s="7"/>
      <c r="AJ1794" s="73"/>
      <c r="AK1794" s="7"/>
      <c r="AL1794" s="16"/>
      <c r="AW1794" s="6">
        <f t="shared" ca="1" si="30"/>
        <v>23</v>
      </c>
    </row>
    <row r="1795" ht="45" hidden="1" customHeight="1">
      <c r="A1795" s="69"/>
      <c r="B1795" s="3" t="s">
        <v>190</v>
      </c>
      <c r="C1795" s="4" t="s">
        <v>5195</v>
      </c>
      <c r="D1795" s="5" t="s">
        <v>5196</v>
      </c>
      <c r="E1795" s="2" t="s">
        <v>1074</v>
      </c>
      <c r="F1795" s="6" t="s">
        <v>2154</v>
      </c>
      <c r="G1795" s="5" t="s">
        <v>2155</v>
      </c>
      <c r="H1795" s="2" t="s">
        <v>51</v>
      </c>
      <c r="I1795" s="3" t="s">
        <v>5197</v>
      </c>
      <c r="J1795" s="7">
        <v>1</v>
      </c>
      <c r="K1795" s="104"/>
      <c r="L1795" s="9">
        <v>1</v>
      </c>
      <c r="M1795" s="3">
        <v>1503</v>
      </c>
      <c r="N1795" s="6">
        <v>2002</v>
      </c>
      <c r="P1795" s="71"/>
      <c r="R1795" s="6">
        <v>2000</v>
      </c>
      <c r="S1795" s="3" t="s">
        <v>283</v>
      </c>
      <c r="T1795" s="72"/>
      <c r="U1795" s="73"/>
      <c r="W1795" s="74" t="s">
        <v>62</v>
      </c>
      <c r="X1795" s="10" t="s">
        <v>56</v>
      </c>
      <c r="Y1795" s="10" t="s">
        <v>57</v>
      </c>
      <c r="Z1795" s="75" t="s">
        <v>58</v>
      </c>
      <c r="AA1795" s="2"/>
      <c r="AB1795" s="6"/>
      <c r="AC1795" s="6"/>
      <c r="AD1795" s="6"/>
      <c r="AI1795" s="7"/>
      <c r="AJ1795" s="73"/>
      <c r="AK1795" s="7"/>
      <c r="AL1795" s="16"/>
      <c r="AW1795" s="6">
        <f t="shared" ca="1" si="30"/>
        <v>23</v>
      </c>
    </row>
    <row r="1796" ht="45" hidden="1" customHeight="1">
      <c r="A1796" s="69"/>
      <c r="B1796" s="3" t="s">
        <v>47</v>
      </c>
      <c r="C1796" s="4" t="s">
        <v>5198</v>
      </c>
      <c r="D1796" s="5" t="s">
        <v>3138</v>
      </c>
      <c r="E1796" s="2" t="s">
        <v>694</v>
      </c>
      <c r="F1796" s="6" t="s">
        <v>5199</v>
      </c>
      <c r="G1796" s="5" t="s">
        <v>5200</v>
      </c>
      <c r="H1796" s="2" t="s">
        <v>57</v>
      </c>
      <c r="I1796" s="3" t="s">
        <v>5201</v>
      </c>
      <c r="J1796" s="7">
        <v>0</v>
      </c>
      <c r="L1796" s="9">
        <v>1</v>
      </c>
      <c r="M1796" s="3">
        <v>1504</v>
      </c>
      <c r="N1796" s="6">
        <v>2002</v>
      </c>
      <c r="P1796" s="71"/>
      <c r="R1796" s="6">
        <v>2000</v>
      </c>
      <c r="S1796" s="3" t="s">
        <v>939</v>
      </c>
      <c r="T1796" s="72"/>
      <c r="U1796" s="73"/>
      <c r="W1796" s="2" t="s">
        <v>62</v>
      </c>
      <c r="X1796" s="10" t="s">
        <v>56</v>
      </c>
      <c r="Y1796" s="10" t="s">
        <v>57</v>
      </c>
      <c r="Z1796" s="75"/>
      <c r="AI1796" s="7"/>
      <c r="AJ1796" s="73"/>
      <c r="AK1796" s="7"/>
      <c r="AL1796" s="16"/>
      <c r="AW1796" s="6">
        <f t="shared" ca="1" si="30"/>
        <v>23</v>
      </c>
    </row>
    <row r="1797" ht="45" customHeight="1">
      <c r="A1797" s="69"/>
      <c r="B1797" s="3" t="s">
        <v>47</v>
      </c>
      <c r="C1797" s="4" t="s">
        <v>5202</v>
      </c>
      <c r="D1797" s="5" t="s">
        <v>5203</v>
      </c>
      <c r="E1797" s="2" t="s">
        <v>63</v>
      </c>
      <c r="F1797" s="6" t="s">
        <v>172</v>
      </c>
      <c r="G1797" s="5" t="s">
        <v>791</v>
      </c>
      <c r="H1797" s="2" t="s">
        <v>3735</v>
      </c>
      <c r="I1797" s="3" t="s">
        <v>5204</v>
      </c>
      <c r="J1797" s="7">
        <v>1</v>
      </c>
      <c r="K1797" s="104" t="s">
        <v>53</v>
      </c>
      <c r="L1797" s="9">
        <v>1</v>
      </c>
      <c r="M1797" s="3">
        <v>1505</v>
      </c>
      <c r="N1797" s="6">
        <v>2002</v>
      </c>
      <c r="P1797" s="71"/>
      <c r="R1797" s="6">
        <v>2000</v>
      </c>
      <c r="S1797" s="3" t="s">
        <v>54</v>
      </c>
      <c r="T1797" s="72"/>
      <c r="U1797" s="73"/>
      <c r="W1797" s="2" t="s">
        <v>5205</v>
      </c>
      <c r="X1797" s="10" t="s">
        <v>56</v>
      </c>
      <c r="Y1797" s="10" t="s">
        <v>68</v>
      </c>
      <c r="Z1797" s="75" t="s">
        <v>58</v>
      </c>
      <c r="AA1797" s="13" t="s">
        <v>208</v>
      </c>
      <c r="AB1797" s="14" t="s">
        <v>208</v>
      </c>
      <c r="AE1797" s="7">
        <v>2015</v>
      </c>
      <c r="AF1797" s="7">
        <v>81</v>
      </c>
      <c r="AG1797" s="7">
        <v>2017</v>
      </c>
      <c r="AI1797" s="7"/>
      <c r="AJ1797" s="73"/>
      <c r="AK1797" s="7"/>
      <c r="AL1797" s="16" t="s">
        <v>5206</v>
      </c>
      <c r="AW1797" s="6">
        <f t="shared" ca="1" si="30"/>
        <v>23</v>
      </c>
    </row>
    <row r="1798" ht="45" hidden="1" customHeight="1">
      <c r="A1798" s="69"/>
      <c r="B1798" s="3" t="s">
        <v>47</v>
      </c>
      <c r="C1798" s="144" t="s">
        <v>1914</v>
      </c>
      <c r="D1798" s="5" t="s">
        <v>5207</v>
      </c>
      <c r="E1798" s="2" t="s">
        <v>83</v>
      </c>
      <c r="F1798" s="6" t="s">
        <v>84</v>
      </c>
      <c r="G1798" s="5" t="s">
        <v>85</v>
      </c>
      <c r="H1798" s="2" t="s">
        <v>491</v>
      </c>
      <c r="I1798" s="3" t="s">
        <v>5208</v>
      </c>
      <c r="J1798" s="7">
        <v>1</v>
      </c>
      <c r="K1798" s="104"/>
      <c r="L1798" s="9">
        <v>1</v>
      </c>
      <c r="M1798" s="3">
        <v>1506</v>
      </c>
      <c r="N1798" s="6">
        <v>2003</v>
      </c>
      <c r="P1798" s="71"/>
      <c r="R1798" s="6">
        <v>2000</v>
      </c>
      <c r="S1798" s="3" t="s">
        <v>236</v>
      </c>
      <c r="T1798" s="72"/>
      <c r="U1798" s="73"/>
      <c r="W1798" s="2" t="s">
        <v>62</v>
      </c>
      <c r="X1798" s="10" t="s">
        <v>56</v>
      </c>
      <c r="Y1798" s="10" t="s">
        <v>523</v>
      </c>
      <c r="Z1798" s="75"/>
      <c r="AA1798" s="2"/>
      <c r="AB1798" s="6"/>
      <c r="AC1798" s="6"/>
      <c r="AD1798" s="6"/>
      <c r="AI1798" s="7"/>
      <c r="AJ1798" s="10">
        <v>42339</v>
      </c>
      <c r="AK1798" s="7">
        <v>2010</v>
      </c>
      <c r="AL1798" s="16"/>
      <c r="AM1798" s="2" t="s">
        <v>59</v>
      </c>
      <c r="AW1798" s="6">
        <f t="shared" ca="1" si="30"/>
        <v>22</v>
      </c>
    </row>
    <row r="1799" ht="45" customHeight="1">
      <c r="A1799" s="69"/>
      <c r="B1799" s="3" t="s">
        <v>47</v>
      </c>
      <c r="E1799" s="2" t="s">
        <v>83</v>
      </c>
      <c r="F1799" s="6" t="s">
        <v>84</v>
      </c>
      <c r="G1799" s="5" t="s">
        <v>85</v>
      </c>
      <c r="H1799" s="2" t="s">
        <v>88</v>
      </c>
      <c r="I1799" s="3" t="s">
        <v>5209</v>
      </c>
      <c r="J1799" s="7">
        <v>1</v>
      </c>
      <c r="K1799" s="70" t="s">
        <v>53</v>
      </c>
      <c r="L1799" s="9">
        <v>1</v>
      </c>
      <c r="M1799" s="3">
        <v>1507</v>
      </c>
      <c r="N1799" s="6">
        <v>2003</v>
      </c>
      <c r="P1799" s="71"/>
      <c r="R1799" s="6">
        <v>2000</v>
      </c>
      <c r="S1799" s="3" t="s">
        <v>54</v>
      </c>
      <c r="T1799" s="72"/>
      <c r="U1799" s="73"/>
      <c r="W1799" s="2" t="s">
        <v>5210</v>
      </c>
      <c r="X1799" s="10" t="s">
        <v>91</v>
      </c>
      <c r="Y1799" s="10" t="s">
        <v>92</v>
      </c>
      <c r="Z1799" s="75"/>
      <c r="AA1799" s="76"/>
      <c r="AB1799" s="77">
        <v>38385</v>
      </c>
      <c r="AC1799" s="77">
        <v>38387</v>
      </c>
      <c r="AD1799" s="10"/>
      <c r="AE1799" s="7">
        <v>2003</v>
      </c>
      <c r="AF1799" s="7">
        <v>39</v>
      </c>
      <c r="AG1799" s="7">
        <v>2005</v>
      </c>
      <c r="AH1799" s="7">
        <v>2000</v>
      </c>
      <c r="AI1799" s="7"/>
      <c r="AJ1799" s="73"/>
      <c r="AK1799" s="7"/>
      <c r="AL1799" s="15" t="s">
        <v>5211</v>
      </c>
      <c r="AM1799" s="2" t="s">
        <v>59</v>
      </c>
      <c r="AO1799" s="6" t="s">
        <v>59</v>
      </c>
      <c r="AW1799" s="6">
        <f t="shared" ca="1" si="30"/>
        <v>22</v>
      </c>
    </row>
    <row r="1800" ht="45" customHeight="1">
      <c r="A1800" s="69"/>
      <c r="B1800" s="3" t="s">
        <v>47</v>
      </c>
      <c r="E1800" s="2" t="s">
        <v>63</v>
      </c>
      <c r="F1800" s="6" t="s">
        <v>1230</v>
      </c>
      <c r="G1800" s="5" t="s">
        <v>5212</v>
      </c>
      <c r="H1800" s="2" t="s">
        <v>288</v>
      </c>
      <c r="I1800" s="3" t="s">
        <v>5213</v>
      </c>
      <c r="J1800" s="7">
        <v>1</v>
      </c>
      <c r="K1800" s="70" t="s">
        <v>53</v>
      </c>
      <c r="L1800" s="9">
        <v>1</v>
      </c>
      <c r="M1800" s="3">
        <v>1508</v>
      </c>
      <c r="N1800" s="6">
        <v>2003</v>
      </c>
      <c r="P1800" s="71"/>
      <c r="R1800" s="6">
        <v>2000</v>
      </c>
      <c r="S1800" s="3" t="s">
        <v>54</v>
      </c>
      <c r="T1800" s="72"/>
      <c r="U1800" s="73"/>
      <c r="W1800" s="2" t="s">
        <v>5214</v>
      </c>
      <c r="X1800" s="10" t="s">
        <v>56</v>
      </c>
      <c r="Y1800" s="10" t="s">
        <v>288</v>
      </c>
      <c r="Z1800" s="75"/>
      <c r="AA1800" s="76">
        <v>38898</v>
      </c>
      <c r="AB1800" s="77">
        <v>38898</v>
      </c>
      <c r="AC1800" s="77"/>
      <c r="AD1800" s="6"/>
      <c r="AE1800" s="7">
        <v>2003</v>
      </c>
      <c r="AF1800" s="7">
        <v>41</v>
      </c>
      <c r="AG1800" s="7">
        <v>2006</v>
      </c>
      <c r="AH1800" s="7">
        <v>2000</v>
      </c>
      <c r="AI1800" s="7"/>
      <c r="AJ1800" s="73"/>
      <c r="AK1800" s="7"/>
      <c r="AL1800" s="16"/>
      <c r="AM1800" s="2" t="s">
        <v>53</v>
      </c>
      <c r="AO1800" s="6" t="s">
        <v>136</v>
      </c>
      <c r="AP1800" s="6" t="s">
        <v>104</v>
      </c>
      <c r="AR1800" s="2" t="s">
        <v>104</v>
      </c>
      <c r="AU1800" s="16" t="s">
        <v>5215</v>
      </c>
      <c r="AW1800" s="6">
        <f t="shared" ca="1" si="30"/>
        <v>22</v>
      </c>
    </row>
    <row r="1801" ht="45" customHeight="1">
      <c r="A1801" s="69"/>
      <c r="B1801" s="3" t="s">
        <v>47</v>
      </c>
      <c r="D1801" s="5" t="s">
        <v>5216</v>
      </c>
      <c r="E1801" s="2" t="s">
        <v>63</v>
      </c>
      <c r="F1801" s="6" t="s">
        <v>172</v>
      </c>
      <c r="G1801" s="5" t="s">
        <v>173</v>
      </c>
      <c r="H1801" s="2" t="s">
        <v>57</v>
      </c>
      <c r="I1801" s="3" t="s">
        <v>5217</v>
      </c>
      <c r="J1801" s="7">
        <v>1</v>
      </c>
      <c r="K1801" s="70" t="s">
        <v>53</v>
      </c>
      <c r="L1801" s="9">
        <v>1</v>
      </c>
      <c r="M1801" s="3">
        <v>1509</v>
      </c>
      <c r="N1801" s="6">
        <v>2003</v>
      </c>
      <c r="P1801" s="71"/>
      <c r="R1801" s="6">
        <v>2000</v>
      </c>
      <c r="S1801" s="3" t="s">
        <v>54</v>
      </c>
      <c r="T1801" s="72"/>
      <c r="U1801" s="73"/>
      <c r="W1801" s="2" t="s">
        <v>5218</v>
      </c>
      <c r="X1801" s="10" t="s">
        <v>56</v>
      </c>
      <c r="Y1801" s="10" t="s">
        <v>57</v>
      </c>
      <c r="Z1801" s="75"/>
      <c r="AA1801" s="76"/>
      <c r="AB1801" s="77">
        <v>42177</v>
      </c>
      <c r="AC1801" s="77">
        <v>42177</v>
      </c>
      <c r="AD1801" s="10"/>
      <c r="AE1801" s="7">
        <v>2013</v>
      </c>
      <c r="AF1801" s="7">
        <v>74</v>
      </c>
      <c r="AG1801" s="7">
        <v>2015</v>
      </c>
      <c r="AH1801" s="7">
        <v>2010</v>
      </c>
      <c r="AI1801" s="7"/>
      <c r="AJ1801" s="73"/>
      <c r="AK1801" s="7"/>
      <c r="AL1801" s="16" t="s">
        <v>5219</v>
      </c>
      <c r="AM1801" s="2" t="s">
        <v>59</v>
      </c>
      <c r="AW1801" s="6">
        <f t="shared" ca="1" si="30"/>
        <v>22</v>
      </c>
    </row>
    <row r="1802" ht="45" customHeight="1" outlineLevel="1">
      <c r="A1802" s="69"/>
      <c r="B1802" s="3" t="s">
        <v>47</v>
      </c>
      <c r="D1802" s="5" t="s">
        <v>5220</v>
      </c>
      <c r="E1802" s="2" t="s">
        <v>63</v>
      </c>
      <c r="F1802" s="6" t="s">
        <v>898</v>
      </c>
      <c r="G1802" s="5" t="s">
        <v>899</v>
      </c>
      <c r="H1802" s="2" t="s">
        <v>4337</v>
      </c>
      <c r="I1802" s="3" t="s">
        <v>5221</v>
      </c>
      <c r="J1802" s="7">
        <v>1</v>
      </c>
      <c r="K1802" s="70" t="s">
        <v>53</v>
      </c>
      <c r="L1802" s="9">
        <v>1</v>
      </c>
      <c r="M1802" s="3">
        <v>1510</v>
      </c>
      <c r="N1802" s="6">
        <v>2003</v>
      </c>
      <c r="P1802" s="71"/>
      <c r="R1802" s="6">
        <v>2000</v>
      </c>
      <c r="S1802" s="3" t="s">
        <v>54</v>
      </c>
      <c r="T1802" s="72"/>
      <c r="U1802" s="73"/>
      <c r="W1802" s="2" t="s">
        <v>5222</v>
      </c>
      <c r="X1802" s="10" t="s">
        <v>4339</v>
      </c>
      <c r="Y1802" s="10" t="s">
        <v>980</v>
      </c>
      <c r="Z1802" s="75"/>
      <c r="AA1802" s="76">
        <v>40738</v>
      </c>
      <c r="AB1802" s="77"/>
      <c r="AC1802" s="77"/>
      <c r="AD1802" s="6"/>
      <c r="AE1802" s="7">
        <v>2008</v>
      </c>
      <c r="AF1802" s="7">
        <v>58</v>
      </c>
      <c r="AG1802" s="7">
        <v>2011</v>
      </c>
      <c r="AH1802" s="7">
        <v>2010</v>
      </c>
      <c r="AI1802" s="7"/>
      <c r="AJ1802" s="73"/>
      <c r="AK1802" s="7"/>
      <c r="AL1802" s="16"/>
      <c r="AM1802" s="2" t="s">
        <v>53</v>
      </c>
      <c r="AN1802" s="6" t="s">
        <v>73</v>
      </c>
      <c r="AO1802" s="6" t="s">
        <v>53</v>
      </c>
      <c r="AP1802" s="6" t="s">
        <v>73</v>
      </c>
      <c r="AW1802" s="6">
        <f t="shared" ca="1" si="30"/>
        <v>22</v>
      </c>
    </row>
    <row r="1803" ht="45" customHeight="1" outlineLevel="1">
      <c r="A1803" s="69">
        <v>45321</v>
      </c>
      <c r="B1803" s="3" t="s">
        <v>47</v>
      </c>
      <c r="C1803" s="4" t="s">
        <v>5223</v>
      </c>
      <c r="D1803" s="5" t="s">
        <v>5224</v>
      </c>
      <c r="E1803" s="2" t="s">
        <v>83</v>
      </c>
      <c r="F1803" s="6" t="s">
        <v>704</v>
      </c>
      <c r="G1803" s="5" t="s">
        <v>705</v>
      </c>
      <c r="H1803" s="2" t="s">
        <v>51</v>
      </c>
      <c r="I1803" s="195" t="s">
        <v>5225</v>
      </c>
      <c r="J1803" s="7">
        <v>1</v>
      </c>
      <c r="K1803" s="70" t="s">
        <v>1748</v>
      </c>
      <c r="L1803" s="9">
        <v>1</v>
      </c>
      <c r="M1803" s="3">
        <v>1511</v>
      </c>
      <c r="N1803" s="6">
        <v>2003</v>
      </c>
      <c r="O1803" s="10">
        <v>37788</v>
      </c>
      <c r="P1803" s="71" t="s">
        <v>5226</v>
      </c>
      <c r="Q1803" s="10">
        <v>37811</v>
      </c>
      <c r="R1803" s="6">
        <v>2000</v>
      </c>
      <c r="S1803" s="3" t="s">
        <v>2102</v>
      </c>
      <c r="T1803" s="72" t="s">
        <v>998</v>
      </c>
      <c r="U1803" s="73"/>
      <c r="V1803" s="12">
        <v>39112</v>
      </c>
      <c r="W1803" s="2" t="s">
        <v>5227</v>
      </c>
      <c r="X1803" s="10" t="s">
        <v>56</v>
      </c>
      <c r="Y1803" s="10" t="s">
        <v>57</v>
      </c>
      <c r="Z1803" s="75"/>
      <c r="AA1803" s="76"/>
      <c r="AB1803" s="77"/>
      <c r="AC1803" s="77"/>
      <c r="AD1803" s="6"/>
      <c r="AE1803" s="7">
        <v>2007</v>
      </c>
      <c r="AF1803" s="7">
        <v>52</v>
      </c>
      <c r="AG1803" s="93"/>
      <c r="AI1803" s="7">
        <v>2024</v>
      </c>
      <c r="AJ1803" s="73"/>
      <c r="AK1803" s="7"/>
      <c r="AL1803" s="75" t="s">
        <v>5228</v>
      </c>
      <c r="AM1803" s="2" t="s">
        <v>59</v>
      </c>
      <c r="AW1803" s="6">
        <f t="shared" ca="1" si="30"/>
        <v>22</v>
      </c>
    </row>
    <row r="1804" ht="45" customHeight="1">
      <c r="A1804" s="69"/>
      <c r="B1804" s="3" t="s">
        <v>190</v>
      </c>
      <c r="C1804" s="4" t="s">
        <v>5229</v>
      </c>
      <c r="D1804" s="5" t="s">
        <v>5230</v>
      </c>
      <c r="E1804" s="2" t="s">
        <v>48</v>
      </c>
      <c r="F1804" s="6" t="s">
        <v>49</v>
      </c>
      <c r="G1804" s="5" t="s">
        <v>1889</v>
      </c>
      <c r="H1804" s="2" t="s">
        <v>288</v>
      </c>
      <c r="I1804" s="3" t="s">
        <v>5231</v>
      </c>
      <c r="J1804" s="7">
        <v>1</v>
      </c>
      <c r="K1804" s="104" t="s">
        <v>1748</v>
      </c>
      <c r="L1804" s="9">
        <v>1</v>
      </c>
      <c r="M1804" s="3">
        <v>1512</v>
      </c>
      <c r="N1804" s="6">
        <v>2003</v>
      </c>
      <c r="P1804" s="71"/>
      <c r="R1804" s="6">
        <v>2000</v>
      </c>
      <c r="S1804" s="3" t="s">
        <v>1749</v>
      </c>
      <c r="T1804" s="72"/>
      <c r="U1804" s="73"/>
      <c r="W1804" s="74" t="s">
        <v>5232</v>
      </c>
      <c r="X1804" s="10" t="s">
        <v>56</v>
      </c>
      <c r="Y1804" s="10" t="s">
        <v>288</v>
      </c>
      <c r="Z1804" s="75"/>
      <c r="AA1804" s="76"/>
      <c r="AB1804" s="77"/>
      <c r="AC1804" s="77"/>
      <c r="AD1804" s="6"/>
      <c r="AI1804" s="7"/>
      <c r="AJ1804" s="73"/>
      <c r="AK1804" s="7"/>
      <c r="AL1804" s="16" t="s">
        <v>5233</v>
      </c>
      <c r="AW1804" s="6">
        <f t="shared" ca="1" si="30"/>
        <v>22</v>
      </c>
    </row>
    <row r="1805" ht="45" customHeight="1" outlineLevel="1">
      <c r="A1805" s="69"/>
      <c r="B1805" s="3" t="s">
        <v>47</v>
      </c>
      <c r="E1805" s="2" t="s">
        <v>83</v>
      </c>
      <c r="F1805" s="6" t="s">
        <v>704</v>
      </c>
      <c r="G1805" s="5" t="s">
        <v>705</v>
      </c>
      <c r="H1805" s="2" t="s">
        <v>88</v>
      </c>
      <c r="I1805" s="3" t="s">
        <v>5234</v>
      </c>
      <c r="J1805" s="7">
        <v>1</v>
      </c>
      <c r="K1805" s="70" t="s">
        <v>53</v>
      </c>
      <c r="L1805" s="9">
        <v>1</v>
      </c>
      <c r="M1805" s="3">
        <v>1513</v>
      </c>
      <c r="N1805" s="6">
        <v>2003</v>
      </c>
      <c r="P1805" s="71"/>
      <c r="R1805" s="6">
        <v>2000</v>
      </c>
      <c r="S1805" s="3" t="s">
        <v>54</v>
      </c>
      <c r="T1805" s="72"/>
      <c r="U1805" s="73"/>
      <c r="W1805" s="2" t="s">
        <v>5235</v>
      </c>
      <c r="X1805" s="10" t="s">
        <v>91</v>
      </c>
      <c r="Y1805" s="10" t="s">
        <v>92</v>
      </c>
      <c r="Z1805" s="75"/>
      <c r="AA1805" s="76"/>
      <c r="AB1805" s="77">
        <v>39492</v>
      </c>
      <c r="AC1805" s="77"/>
      <c r="AD1805" s="6"/>
      <c r="AE1805" s="7">
        <v>2005</v>
      </c>
      <c r="AF1805" s="7">
        <v>47</v>
      </c>
      <c r="AG1805" s="7">
        <v>2008</v>
      </c>
      <c r="AH1805" s="7">
        <v>2000</v>
      </c>
      <c r="AI1805" s="7"/>
      <c r="AJ1805" s="73"/>
      <c r="AK1805" s="7"/>
      <c r="AM1805" s="2" t="s">
        <v>59</v>
      </c>
      <c r="AO1805" s="6" t="s">
        <v>59</v>
      </c>
      <c r="AW1805" s="6">
        <f t="shared" ca="1" si="30"/>
        <v>22</v>
      </c>
    </row>
    <row r="1806" ht="45" customHeight="1" outlineLevel="1">
      <c r="A1806" s="69"/>
      <c r="B1806" s="3" t="s">
        <v>47</v>
      </c>
      <c r="D1806" s="5" t="s">
        <v>5236</v>
      </c>
      <c r="E1806" s="2" t="s">
        <v>83</v>
      </c>
      <c r="F1806" s="6" t="s">
        <v>704</v>
      </c>
      <c r="G1806" s="5" t="s">
        <v>996</v>
      </c>
      <c r="H1806" s="2" t="s">
        <v>57</v>
      </c>
      <c r="I1806" s="3" t="s">
        <v>5237</v>
      </c>
      <c r="J1806" s="7">
        <v>1</v>
      </c>
      <c r="K1806" s="70" t="s">
        <v>53</v>
      </c>
      <c r="L1806" s="9">
        <v>1</v>
      </c>
      <c r="M1806" s="3">
        <v>1514</v>
      </c>
      <c r="N1806" s="6">
        <v>2003</v>
      </c>
      <c r="P1806" s="71"/>
      <c r="R1806" s="6">
        <v>2000</v>
      </c>
      <c r="S1806" s="3" t="s">
        <v>54</v>
      </c>
      <c r="T1806" s="72"/>
      <c r="U1806" s="73"/>
      <c r="W1806" s="2" t="s">
        <v>5238</v>
      </c>
      <c r="X1806" s="10" t="s">
        <v>56</v>
      </c>
      <c r="Y1806" s="10" t="s">
        <v>57</v>
      </c>
      <c r="Z1806" s="75"/>
      <c r="AA1806" s="76"/>
      <c r="AB1806" s="77">
        <v>40911</v>
      </c>
      <c r="AC1806" s="77">
        <v>40911</v>
      </c>
      <c r="AD1806" s="6"/>
      <c r="AE1806" s="7">
        <v>2006</v>
      </c>
      <c r="AF1806" s="7">
        <v>51</v>
      </c>
      <c r="AG1806" s="7">
        <v>2012</v>
      </c>
      <c r="AH1806" s="7">
        <v>2010</v>
      </c>
      <c r="AI1806" s="7"/>
      <c r="AJ1806" s="73"/>
      <c r="AK1806" s="7"/>
      <c r="AL1806" s="99"/>
      <c r="AM1806" s="2" t="s">
        <v>59</v>
      </c>
      <c r="AW1806" s="6">
        <f t="shared" ca="1" si="30"/>
        <v>22</v>
      </c>
    </row>
    <row r="1807" ht="45" customHeight="1" outlineLevel="1">
      <c r="A1807" s="69"/>
      <c r="B1807" s="3" t="s">
        <v>47</v>
      </c>
      <c r="C1807" s="4" t="s">
        <v>5239</v>
      </c>
      <c r="D1807" s="5" t="s">
        <v>5240</v>
      </c>
      <c r="E1807" s="2" t="s">
        <v>83</v>
      </c>
      <c r="F1807" s="6" t="s">
        <v>704</v>
      </c>
      <c r="G1807" s="5" t="s">
        <v>705</v>
      </c>
      <c r="H1807" s="2" t="s">
        <v>57</v>
      </c>
      <c r="I1807" s="195" t="s">
        <v>5241</v>
      </c>
      <c r="J1807" s="7">
        <v>1</v>
      </c>
      <c r="K1807" s="70" t="s">
        <v>53</v>
      </c>
      <c r="L1807" s="9">
        <v>1</v>
      </c>
      <c r="M1807" s="3">
        <v>1515</v>
      </c>
      <c r="N1807" s="6">
        <v>2004</v>
      </c>
      <c r="P1807" s="71"/>
      <c r="R1807" s="6">
        <v>2000</v>
      </c>
      <c r="S1807" s="3" t="s">
        <v>54</v>
      </c>
      <c r="T1807" s="72"/>
      <c r="U1807" s="173">
        <v>42016</v>
      </c>
      <c r="V1807" s="196"/>
      <c r="W1807" s="2" t="s">
        <v>5242</v>
      </c>
      <c r="X1807" s="10" t="s">
        <v>56</v>
      </c>
      <c r="Y1807" s="10" t="s">
        <v>57</v>
      </c>
      <c r="Z1807" s="75"/>
      <c r="AA1807" s="76"/>
      <c r="AB1807" s="77">
        <v>41891</v>
      </c>
      <c r="AC1807" s="77">
        <v>41891</v>
      </c>
      <c r="AD1807" s="6"/>
      <c r="AE1807" s="7">
        <v>2010</v>
      </c>
      <c r="AF1807" s="7">
        <v>64</v>
      </c>
      <c r="AG1807" s="7">
        <v>2014</v>
      </c>
      <c r="AH1807" s="7">
        <v>2010</v>
      </c>
      <c r="AI1807" s="7"/>
      <c r="AJ1807" s="73"/>
      <c r="AK1807" s="7"/>
      <c r="AL1807" s="207" t="s">
        <v>5243</v>
      </c>
      <c r="AM1807" s="2" t="s">
        <v>59</v>
      </c>
      <c r="AO1807" s="6" t="s">
        <v>136</v>
      </c>
      <c r="AU1807" s="16" t="s">
        <v>5244</v>
      </c>
      <c r="AW1807" s="6">
        <f t="shared" ca="1" si="30"/>
        <v>21</v>
      </c>
    </row>
    <row r="1808" ht="45" hidden="1" customHeight="1" outlineLevel="1">
      <c r="A1808" s="69"/>
      <c r="B1808" s="3" t="s">
        <v>47</v>
      </c>
      <c r="C1808" s="4" t="s">
        <v>5051</v>
      </c>
      <c r="D1808" s="5" t="s">
        <v>5245</v>
      </c>
      <c r="E1808" s="2" t="s">
        <v>63</v>
      </c>
      <c r="F1808" s="6" t="s">
        <v>428</v>
      </c>
      <c r="G1808" s="5" t="s">
        <v>5246</v>
      </c>
      <c r="H1808" s="2" t="s">
        <v>4337</v>
      </c>
      <c r="I1808" s="3" t="s">
        <v>5247</v>
      </c>
      <c r="J1808" s="7">
        <v>1</v>
      </c>
      <c r="L1808" s="9">
        <v>1</v>
      </c>
      <c r="M1808" s="3">
        <v>1516</v>
      </c>
      <c r="N1808" s="6">
        <v>2004</v>
      </c>
      <c r="P1808" s="71"/>
      <c r="R1808" s="6">
        <v>2000</v>
      </c>
      <c r="S1808" s="3" t="s">
        <v>236</v>
      </c>
      <c r="T1808" s="72" t="s">
        <v>1136</v>
      </c>
      <c r="U1808" s="10">
        <v>44027</v>
      </c>
      <c r="W1808" s="2" t="s">
        <v>62</v>
      </c>
      <c r="X1808" s="10" t="s">
        <v>4339</v>
      </c>
      <c r="Y1808" s="10" t="s">
        <v>92</v>
      </c>
      <c r="Z1808" s="75"/>
      <c r="AJ1808" s="10">
        <v>44027</v>
      </c>
      <c r="AK1808" s="7">
        <v>2020</v>
      </c>
      <c r="AL1808" s="16"/>
      <c r="AW1808" s="6">
        <f t="shared" ca="1" si="30"/>
        <v>21</v>
      </c>
    </row>
    <row r="1809" ht="45" customHeight="1" outlineLevel="1">
      <c r="A1809" s="69"/>
      <c r="B1809" s="3" t="s">
        <v>47</v>
      </c>
      <c r="C1809" s="4" t="s">
        <v>5248</v>
      </c>
      <c r="D1809" s="5" t="s">
        <v>5249</v>
      </c>
      <c r="E1809" s="2" t="s">
        <v>63</v>
      </c>
      <c r="F1809" s="6" t="s">
        <v>172</v>
      </c>
      <c r="G1809" s="5" t="s">
        <v>173</v>
      </c>
      <c r="H1809" s="2" t="s">
        <v>3735</v>
      </c>
      <c r="I1809" s="3" t="s">
        <v>5250</v>
      </c>
      <c r="J1809" s="7">
        <v>1</v>
      </c>
      <c r="K1809" s="70" t="s">
        <v>53</v>
      </c>
      <c r="L1809" s="9">
        <v>1</v>
      </c>
      <c r="M1809" s="3">
        <v>1517</v>
      </c>
      <c r="N1809" s="6">
        <v>2004</v>
      </c>
      <c r="P1809" s="71"/>
      <c r="R1809" s="6">
        <v>2000</v>
      </c>
      <c r="S1809" s="3" t="s">
        <v>54</v>
      </c>
      <c r="T1809" s="72"/>
      <c r="U1809" s="73"/>
      <c r="W1809" s="2" t="s">
        <v>5251</v>
      </c>
      <c r="X1809" s="10" t="s">
        <v>56</v>
      </c>
      <c r="Y1809" s="10" t="s">
        <v>68</v>
      </c>
      <c r="Z1809" s="75" t="s">
        <v>58</v>
      </c>
      <c r="AA1809" s="208">
        <v>44270</v>
      </c>
      <c r="AB1809" s="10">
        <v>44270</v>
      </c>
      <c r="AC1809" s="6"/>
      <c r="AD1809" s="6"/>
      <c r="AE1809" s="7">
        <v>2018</v>
      </c>
      <c r="AF1809" s="7">
        <v>90</v>
      </c>
      <c r="AI1809" s="7"/>
      <c r="AJ1809" s="73"/>
      <c r="AK1809" s="7"/>
      <c r="AL1809" s="16" t="s">
        <v>5252</v>
      </c>
      <c r="AW1809" s="6">
        <f t="shared" ca="1" si="30"/>
        <v>21</v>
      </c>
    </row>
    <row r="1810" ht="45" hidden="1" customHeight="1" outlineLevel="1">
      <c r="A1810" s="69"/>
      <c r="B1810" s="3" t="s">
        <v>47</v>
      </c>
      <c r="C1810" s="4" t="s">
        <v>5253</v>
      </c>
      <c r="D1810" s="5" t="s">
        <v>5254</v>
      </c>
      <c r="E1810" s="2" t="s">
        <v>83</v>
      </c>
      <c r="F1810" s="6" t="s">
        <v>179</v>
      </c>
      <c r="G1810" s="5" t="s">
        <v>5255</v>
      </c>
      <c r="H1810" s="2" t="s">
        <v>57</v>
      </c>
      <c r="I1810" s="3" t="s">
        <v>5256</v>
      </c>
      <c r="J1810" s="7">
        <v>1</v>
      </c>
      <c r="K1810" s="104"/>
      <c r="L1810" s="9">
        <v>1</v>
      </c>
      <c r="M1810" s="3">
        <v>1518</v>
      </c>
      <c r="N1810" s="6">
        <v>2004</v>
      </c>
      <c r="P1810" s="71"/>
      <c r="R1810" s="6">
        <v>2000</v>
      </c>
      <c r="S1810" s="3" t="s">
        <v>236</v>
      </c>
      <c r="T1810" s="72"/>
      <c r="U1810" s="73"/>
      <c r="W1810" s="2" t="s">
        <v>62</v>
      </c>
      <c r="X1810" s="10" t="s">
        <v>56</v>
      </c>
      <c r="Y1810" s="10" t="s">
        <v>57</v>
      </c>
      <c r="Z1810" s="75"/>
      <c r="AA1810" s="76"/>
      <c r="AB1810" s="6"/>
      <c r="AC1810" s="6"/>
      <c r="AD1810" s="6"/>
      <c r="AI1810" s="7"/>
      <c r="AJ1810" s="10">
        <v>42342</v>
      </c>
      <c r="AK1810" s="7">
        <v>2010</v>
      </c>
      <c r="AL1810" s="16"/>
      <c r="AM1810" s="2" t="s">
        <v>59</v>
      </c>
      <c r="AW1810" s="6">
        <f t="shared" ca="1" si="30"/>
        <v>21</v>
      </c>
    </row>
    <row r="1811" ht="45" hidden="1" customHeight="1" outlineLevel="1">
      <c r="A1811" s="132"/>
      <c r="B1811" s="3" t="s">
        <v>190</v>
      </c>
      <c r="C1811" s="144" t="s">
        <v>4819</v>
      </c>
      <c r="D1811" s="117" t="s">
        <v>5257</v>
      </c>
      <c r="E1811" s="2" t="s">
        <v>83</v>
      </c>
      <c r="F1811" s="6" t="s">
        <v>179</v>
      </c>
      <c r="G1811" s="5" t="s">
        <v>5258</v>
      </c>
      <c r="H1811" s="2" t="s">
        <v>57</v>
      </c>
      <c r="I1811" s="3" t="s">
        <v>5259</v>
      </c>
      <c r="J1811" s="7">
        <v>1</v>
      </c>
      <c r="K1811" s="145"/>
      <c r="L1811" s="9">
        <v>1</v>
      </c>
      <c r="M1811" s="3">
        <v>1519</v>
      </c>
      <c r="N1811" s="6">
        <v>2004</v>
      </c>
      <c r="P1811" s="71"/>
      <c r="R1811" s="6">
        <v>2000</v>
      </c>
      <c r="S1811" s="3" t="s">
        <v>283</v>
      </c>
      <c r="T1811" s="72"/>
      <c r="U1811" s="73"/>
      <c r="W1811" s="74" t="s">
        <v>62</v>
      </c>
      <c r="X1811" s="10" t="s">
        <v>56</v>
      </c>
      <c r="Y1811" s="10" t="s">
        <v>57</v>
      </c>
      <c r="Z1811" s="75"/>
      <c r="AA1811" s="142"/>
      <c r="AB1811" s="209"/>
      <c r="AC1811" s="210"/>
      <c r="AD1811" s="141"/>
      <c r="AE1811" s="139"/>
      <c r="AG1811" s="139"/>
      <c r="AH1811" s="139"/>
      <c r="AI1811" s="139"/>
      <c r="AJ1811" s="160"/>
      <c r="AK1811" s="139"/>
      <c r="AL1811" s="16"/>
      <c r="AO1811" s="141"/>
      <c r="AP1811" s="141"/>
      <c r="AQ1811" s="117"/>
      <c r="AR1811" s="142"/>
      <c r="AS1811" s="141"/>
      <c r="AT1811" s="141"/>
      <c r="AU1811" s="140"/>
      <c r="AV1811" s="143"/>
      <c r="AW1811" s="6">
        <f t="shared" ca="1" si="30"/>
        <v>21</v>
      </c>
    </row>
    <row r="1812" ht="45" hidden="1" customHeight="1" outlineLevel="1">
      <c r="A1812" s="69"/>
      <c r="B1812" s="3" t="s">
        <v>47</v>
      </c>
      <c r="C1812" s="4" t="s">
        <v>3061</v>
      </c>
      <c r="D1812" s="5" t="s">
        <v>5260</v>
      </c>
      <c r="E1812" s="2" t="s">
        <v>63</v>
      </c>
      <c r="F1812" s="6" t="s">
        <v>172</v>
      </c>
      <c r="G1812" s="5" t="s">
        <v>791</v>
      </c>
      <c r="H1812" s="2" t="s">
        <v>508</v>
      </c>
      <c r="I1812" s="3" t="s">
        <v>5261</v>
      </c>
      <c r="J1812" s="7">
        <v>1</v>
      </c>
      <c r="L1812" s="9">
        <v>1</v>
      </c>
      <c r="M1812" s="3">
        <v>1520</v>
      </c>
      <c r="N1812" s="6">
        <v>2004</v>
      </c>
      <c r="O1812" s="10">
        <v>38008</v>
      </c>
      <c r="P1812" s="71" t="s">
        <v>5262</v>
      </c>
      <c r="Q1812" s="10" t="s">
        <v>1453</v>
      </c>
      <c r="R1812" s="6">
        <v>2000</v>
      </c>
      <c r="S1812" s="3" t="s">
        <v>236</v>
      </c>
      <c r="T1812" s="72"/>
      <c r="U1812" s="73">
        <v>41887</v>
      </c>
      <c r="W1812" s="2" t="s">
        <v>62</v>
      </c>
      <c r="X1812" s="10" t="s">
        <v>56</v>
      </c>
      <c r="Y1812" s="10" t="s">
        <v>511</v>
      </c>
      <c r="Z1812" s="75"/>
      <c r="AI1812" s="7"/>
      <c r="AJ1812" s="95">
        <v>41914</v>
      </c>
      <c r="AK1812" s="7">
        <v>2010</v>
      </c>
      <c r="AL1812" s="16"/>
      <c r="AW1812" s="6">
        <f t="shared" ca="1" si="30"/>
        <v>21</v>
      </c>
    </row>
    <row r="1813" ht="45" hidden="1" customHeight="1" outlineLevel="1">
      <c r="A1813" s="69"/>
      <c r="B1813" s="3" t="s">
        <v>47</v>
      </c>
      <c r="C1813" s="4" t="s">
        <v>3134</v>
      </c>
      <c r="D1813" s="5" t="s">
        <v>5263</v>
      </c>
      <c r="E1813" s="2" t="s">
        <v>83</v>
      </c>
      <c r="F1813" s="6" t="s">
        <v>931</v>
      </c>
      <c r="G1813" s="5" t="s">
        <v>5264</v>
      </c>
      <c r="H1813" s="2" t="s">
        <v>57</v>
      </c>
      <c r="I1813" s="3" t="s">
        <v>5265</v>
      </c>
      <c r="J1813" s="7">
        <v>1</v>
      </c>
      <c r="K1813" s="104"/>
      <c r="L1813" s="9">
        <v>1</v>
      </c>
      <c r="M1813" s="3">
        <v>1521</v>
      </c>
      <c r="N1813" s="6">
        <v>2004</v>
      </c>
      <c r="P1813" s="71"/>
      <c r="R1813" s="6">
        <v>2000</v>
      </c>
      <c r="S1813" s="3" t="s">
        <v>236</v>
      </c>
      <c r="T1813" s="72"/>
      <c r="U1813" s="73"/>
      <c r="W1813" s="2" t="s">
        <v>62</v>
      </c>
      <c r="X1813" s="10" t="s">
        <v>56</v>
      </c>
      <c r="Y1813" s="10" t="s">
        <v>57</v>
      </c>
      <c r="Z1813" s="75"/>
      <c r="AA1813" s="2"/>
      <c r="AB1813" s="211"/>
      <c r="AC1813" s="84"/>
      <c r="AD1813" s="6"/>
      <c r="AI1813" s="7"/>
      <c r="AJ1813" s="95">
        <v>41877</v>
      </c>
      <c r="AK1813" s="7">
        <v>2010</v>
      </c>
      <c r="AL1813" s="16"/>
      <c r="AM1813" s="2" t="s">
        <v>82</v>
      </c>
      <c r="AW1813" s="6">
        <f t="shared" ca="1" si="30"/>
        <v>21</v>
      </c>
    </row>
    <row r="1814" ht="45" customHeight="1" outlineLevel="1">
      <c r="A1814" s="69"/>
      <c r="B1814" s="3" t="s">
        <v>47</v>
      </c>
      <c r="E1814" s="2" t="s">
        <v>83</v>
      </c>
      <c r="F1814" s="6" t="s">
        <v>84</v>
      </c>
      <c r="G1814" s="5" t="s">
        <v>85</v>
      </c>
      <c r="H1814" s="2" t="s">
        <v>57</v>
      </c>
      <c r="I1814" s="3" t="s">
        <v>5266</v>
      </c>
      <c r="J1814" s="7">
        <v>1</v>
      </c>
      <c r="K1814" s="70" t="s">
        <v>53</v>
      </c>
      <c r="L1814" s="9">
        <v>1</v>
      </c>
      <c r="M1814" s="3">
        <v>1522</v>
      </c>
      <c r="N1814" s="6">
        <v>2005</v>
      </c>
      <c r="P1814" s="71"/>
      <c r="R1814" s="6">
        <v>2000</v>
      </c>
      <c r="S1814" s="3" t="s">
        <v>54</v>
      </c>
      <c r="T1814" s="72"/>
      <c r="U1814" s="73"/>
      <c r="W1814" s="2" t="s">
        <v>5267</v>
      </c>
      <c r="X1814" s="10" t="s">
        <v>56</v>
      </c>
      <c r="Y1814" s="10" t="s">
        <v>57</v>
      </c>
      <c r="Z1814" s="75"/>
      <c r="AA1814" s="76">
        <v>39454</v>
      </c>
      <c r="AB1814" s="77" t="s">
        <v>5268</v>
      </c>
      <c r="AC1814" s="77"/>
      <c r="AD1814" s="6"/>
      <c r="AE1814" s="7">
        <v>2005</v>
      </c>
      <c r="AF1814" s="7">
        <v>47</v>
      </c>
      <c r="AG1814" s="7">
        <v>2008</v>
      </c>
      <c r="AH1814" s="7">
        <v>2000</v>
      </c>
      <c r="AI1814" s="7"/>
      <c r="AJ1814" s="73"/>
      <c r="AK1814" s="7"/>
      <c r="AL1814" s="16"/>
      <c r="AM1814" s="2" t="s">
        <v>59</v>
      </c>
      <c r="AW1814" s="6">
        <f t="shared" ca="1" si="30"/>
        <v>20</v>
      </c>
    </row>
    <row r="1815" ht="45" hidden="1" customHeight="1">
      <c r="A1815" s="69">
        <v>41914</v>
      </c>
      <c r="B1815" s="3" t="s">
        <v>190</v>
      </c>
      <c r="C1815" s="4" t="s">
        <v>5269</v>
      </c>
      <c r="D1815" s="5" t="s">
        <v>5270</v>
      </c>
      <c r="E1815" s="2" t="s">
        <v>63</v>
      </c>
      <c r="F1815" s="6" t="s">
        <v>172</v>
      </c>
      <c r="G1815" s="5" t="s">
        <v>173</v>
      </c>
      <c r="H1815" s="2" t="s">
        <v>3735</v>
      </c>
      <c r="I1815" s="3" t="s">
        <v>5271</v>
      </c>
      <c r="J1815" s="7">
        <v>1</v>
      </c>
      <c r="K1815" s="70"/>
      <c r="L1815" s="9">
        <v>1</v>
      </c>
      <c r="M1815" s="3">
        <v>1523</v>
      </c>
      <c r="N1815" s="6">
        <v>2005</v>
      </c>
      <c r="P1815" s="71"/>
      <c r="R1815" s="6">
        <v>2000</v>
      </c>
      <c r="S1815" s="3" t="s">
        <v>283</v>
      </c>
      <c r="T1815" s="72" t="s">
        <v>1136</v>
      </c>
      <c r="U1815" s="73"/>
      <c r="W1815" s="74" t="s">
        <v>62</v>
      </c>
      <c r="X1815" s="10" t="s">
        <v>56</v>
      </c>
      <c r="Y1815" s="10" t="s">
        <v>68</v>
      </c>
      <c r="Z1815" s="75" t="s">
        <v>58</v>
      </c>
      <c r="AA1815" s="76"/>
      <c r="AB1815" s="77"/>
      <c r="AC1815" s="77"/>
      <c r="AD1815" s="6"/>
      <c r="AI1815" s="7"/>
      <c r="AJ1815" s="73"/>
      <c r="AK1815" s="7"/>
      <c r="AL1815" s="16"/>
      <c r="AW1815" s="6">
        <f t="shared" ca="1" si="30"/>
        <v>20</v>
      </c>
    </row>
    <row r="1816" ht="45" hidden="1" customHeight="1" outlineLevel="1">
      <c r="A1816" s="69"/>
      <c r="B1816" s="3" t="s">
        <v>47</v>
      </c>
      <c r="C1816" s="4" t="s">
        <v>5272</v>
      </c>
      <c r="D1816" s="5" t="s">
        <v>5273</v>
      </c>
      <c r="E1816" s="2" t="s">
        <v>83</v>
      </c>
      <c r="F1816" s="6" t="s">
        <v>704</v>
      </c>
      <c r="G1816" s="5" t="s">
        <v>705</v>
      </c>
      <c r="H1816" s="2" t="s">
        <v>68</v>
      </c>
      <c r="I1816" s="3" t="s">
        <v>5274</v>
      </c>
      <c r="J1816" s="7">
        <v>1</v>
      </c>
      <c r="K1816" s="104"/>
      <c r="L1816" s="9">
        <v>1</v>
      </c>
      <c r="M1816" s="3">
        <v>1524</v>
      </c>
      <c r="N1816" s="6">
        <v>2005</v>
      </c>
      <c r="P1816" s="71"/>
      <c r="R1816" s="6">
        <v>2000</v>
      </c>
      <c r="S1816" s="3" t="s">
        <v>236</v>
      </c>
      <c r="T1816" s="72"/>
      <c r="U1816" s="73"/>
      <c r="W1816" s="2" t="s">
        <v>62</v>
      </c>
      <c r="X1816" s="10" t="s">
        <v>56</v>
      </c>
      <c r="Y1816" s="10" t="s">
        <v>68</v>
      </c>
      <c r="Z1816" s="75"/>
      <c r="AA1816" s="76"/>
      <c r="AB1816" s="77"/>
      <c r="AC1816" s="77"/>
      <c r="AD1816" s="6"/>
      <c r="AI1816" s="7"/>
      <c r="AJ1816" s="10">
        <v>42488</v>
      </c>
      <c r="AK1816" s="7">
        <v>2010</v>
      </c>
      <c r="AL1816" s="16" t="s">
        <v>5275</v>
      </c>
      <c r="AW1816" s="6">
        <f t="shared" ca="1" si="30"/>
        <v>20</v>
      </c>
    </row>
    <row r="1817" ht="45" hidden="1" customHeight="1">
      <c r="A1817" s="69"/>
      <c r="B1817" s="3" t="s">
        <v>190</v>
      </c>
      <c r="C1817" s="4" t="s">
        <v>5276</v>
      </c>
      <c r="D1817" s="5" t="s">
        <v>5277</v>
      </c>
      <c r="E1817" s="2" t="s">
        <v>1074</v>
      </c>
      <c r="F1817" s="6" t="s">
        <v>2154</v>
      </c>
      <c r="G1817" s="5" t="s">
        <v>2155</v>
      </c>
      <c r="H1817" s="2" t="s">
        <v>57</v>
      </c>
      <c r="I1817" s="3" t="s">
        <v>5278</v>
      </c>
      <c r="J1817" s="7">
        <v>1</v>
      </c>
      <c r="K1817" s="104"/>
      <c r="L1817" s="9">
        <v>1</v>
      </c>
      <c r="M1817" s="3">
        <v>1525</v>
      </c>
      <c r="N1817" s="6">
        <v>2005</v>
      </c>
      <c r="P1817" s="71"/>
      <c r="R1817" s="6">
        <v>2000</v>
      </c>
      <c r="S1817" s="3" t="s">
        <v>283</v>
      </c>
      <c r="T1817" s="72"/>
      <c r="U1817" s="73"/>
      <c r="W1817" s="74" t="s">
        <v>62</v>
      </c>
      <c r="X1817" s="10" t="s">
        <v>56</v>
      </c>
      <c r="Y1817" s="10" t="s">
        <v>57</v>
      </c>
      <c r="Z1817" s="75"/>
      <c r="AA1817" s="76"/>
      <c r="AB1817" s="77"/>
      <c r="AC1817" s="77"/>
      <c r="AD1817" s="6"/>
      <c r="AI1817" s="7"/>
      <c r="AJ1817" s="73"/>
      <c r="AK1817" s="7"/>
      <c r="AL1817" s="16"/>
      <c r="AW1817" s="6">
        <f t="shared" ca="1" si="30"/>
        <v>20</v>
      </c>
    </row>
    <row r="1818" ht="45" hidden="1" customHeight="1">
      <c r="A1818" s="69"/>
      <c r="B1818" s="3" t="s">
        <v>47</v>
      </c>
      <c r="C1818" s="4" t="s">
        <v>5279</v>
      </c>
      <c r="D1818" s="5" t="s">
        <v>5280</v>
      </c>
      <c r="E1818" s="2" t="s">
        <v>83</v>
      </c>
      <c r="F1818" s="6" t="s">
        <v>84</v>
      </c>
      <c r="G1818" s="5" t="s">
        <v>85</v>
      </c>
      <c r="H1818" s="2" t="s">
        <v>57</v>
      </c>
      <c r="I1818" s="3" t="s">
        <v>5281</v>
      </c>
      <c r="J1818" s="7">
        <v>1</v>
      </c>
      <c r="K1818" s="104"/>
      <c r="L1818" s="9">
        <v>1</v>
      </c>
      <c r="M1818" s="3">
        <v>1526</v>
      </c>
      <c r="N1818" s="6">
        <v>2005</v>
      </c>
      <c r="P1818" s="71"/>
      <c r="R1818" s="6">
        <v>2000</v>
      </c>
      <c r="S1818" s="3" t="s">
        <v>236</v>
      </c>
      <c r="T1818" s="72"/>
      <c r="U1818" s="73"/>
      <c r="W1818" s="2" t="s">
        <v>62</v>
      </c>
      <c r="X1818" s="10" t="s">
        <v>56</v>
      </c>
      <c r="Y1818" s="10" t="s">
        <v>57</v>
      </c>
      <c r="Z1818" s="75" t="s">
        <v>905</v>
      </c>
      <c r="AA1818" s="76"/>
      <c r="AB1818" s="77"/>
      <c r="AC1818" s="77"/>
      <c r="AD1818" s="6"/>
      <c r="AI1818" s="7"/>
      <c r="AJ1818" s="10">
        <v>42341</v>
      </c>
      <c r="AK1818" s="7">
        <v>2010</v>
      </c>
      <c r="AL1818" s="99"/>
      <c r="AM1818" s="2" t="s">
        <v>59</v>
      </c>
      <c r="AW1818" s="6">
        <f t="shared" ca="1" si="30"/>
        <v>20</v>
      </c>
    </row>
    <row r="1819" ht="45" hidden="1" customHeight="1">
      <c r="A1819" s="132">
        <v>45329</v>
      </c>
      <c r="B1819" s="3" t="s">
        <v>47</v>
      </c>
      <c r="C1819" s="144" t="s">
        <v>5282</v>
      </c>
      <c r="D1819" s="117" t="s">
        <v>5283</v>
      </c>
      <c r="E1819" s="2" t="s">
        <v>83</v>
      </c>
      <c r="F1819" s="6" t="s">
        <v>179</v>
      </c>
      <c r="G1819" s="5" t="s">
        <v>921</v>
      </c>
      <c r="H1819" s="2" t="s">
        <v>68</v>
      </c>
      <c r="I1819" s="3" t="s">
        <v>5284</v>
      </c>
      <c r="J1819" s="7">
        <v>1</v>
      </c>
      <c r="K1819" s="145"/>
      <c r="L1819" s="9">
        <v>1</v>
      </c>
      <c r="M1819" s="3">
        <v>1527</v>
      </c>
      <c r="N1819" s="6">
        <v>2005</v>
      </c>
      <c r="O1819" s="10">
        <v>38239</v>
      </c>
      <c r="P1819" s="71" t="s">
        <v>5285</v>
      </c>
      <c r="Q1819" s="10">
        <v>38672</v>
      </c>
      <c r="R1819" s="6">
        <v>2000</v>
      </c>
      <c r="S1819" s="3" t="s">
        <v>236</v>
      </c>
      <c r="T1819" s="72" t="s">
        <v>1136</v>
      </c>
      <c r="W1819" s="2" t="s">
        <v>62</v>
      </c>
      <c r="X1819" s="10" t="s">
        <v>56</v>
      </c>
      <c r="Y1819" s="10" t="s">
        <v>68</v>
      </c>
      <c r="Z1819" s="75"/>
      <c r="AA1819" s="137"/>
      <c r="AB1819" s="138"/>
      <c r="AC1819" s="138"/>
      <c r="AD1819" s="141"/>
      <c r="AE1819" s="139"/>
      <c r="AG1819" s="139"/>
      <c r="AH1819" s="139"/>
      <c r="AI1819" s="139"/>
      <c r="AJ1819" s="10">
        <v>45327</v>
      </c>
      <c r="AK1819" s="6">
        <v>2020</v>
      </c>
      <c r="AL1819" s="16" t="s">
        <v>5286</v>
      </c>
      <c r="AO1819" s="141"/>
      <c r="AP1819" s="141"/>
      <c r="AQ1819" s="117"/>
      <c r="AR1819" s="142"/>
      <c r="AS1819" s="141"/>
      <c r="AT1819" s="141"/>
      <c r="AU1819" s="140"/>
      <c r="AV1819" s="143"/>
      <c r="AW1819" s="6">
        <f t="shared" ca="1" si="30"/>
        <v>20</v>
      </c>
    </row>
    <row r="1820" ht="45" customHeight="1" outlineLevel="1">
      <c r="A1820" s="69"/>
      <c r="B1820" s="3" t="s">
        <v>47</v>
      </c>
      <c r="D1820" s="5" t="s">
        <v>5287</v>
      </c>
      <c r="E1820" s="2" t="s">
        <v>63</v>
      </c>
      <c r="F1820" s="6" t="s">
        <v>172</v>
      </c>
      <c r="G1820" s="5" t="s">
        <v>173</v>
      </c>
      <c r="H1820" s="2" t="s">
        <v>51</v>
      </c>
      <c r="I1820" s="3" t="s">
        <v>5288</v>
      </c>
      <c r="J1820" s="7">
        <v>1</v>
      </c>
      <c r="K1820" s="70" t="s">
        <v>53</v>
      </c>
      <c r="L1820" s="9">
        <v>1</v>
      </c>
      <c r="M1820" s="3">
        <v>1528</v>
      </c>
      <c r="N1820" s="6">
        <v>2005</v>
      </c>
      <c r="P1820" s="71"/>
      <c r="R1820" s="6">
        <v>2000</v>
      </c>
      <c r="S1820" s="3" t="s">
        <v>54</v>
      </c>
      <c r="T1820" s="72"/>
      <c r="U1820" s="73"/>
      <c r="W1820" s="2" t="s">
        <v>5289</v>
      </c>
      <c r="X1820" s="10" t="s">
        <v>56</v>
      </c>
      <c r="Y1820" s="10" t="s">
        <v>57</v>
      </c>
      <c r="Z1820" s="75" t="s">
        <v>58</v>
      </c>
      <c r="AA1820" s="76">
        <v>41731</v>
      </c>
      <c r="AB1820" s="77">
        <v>41731</v>
      </c>
      <c r="AC1820" s="77">
        <v>41731</v>
      </c>
      <c r="AD1820" s="6"/>
      <c r="AE1820" s="7" t="s">
        <v>5290</v>
      </c>
      <c r="AF1820" s="7" t="s">
        <v>5291</v>
      </c>
      <c r="AG1820" s="7">
        <v>2014</v>
      </c>
      <c r="AH1820" s="7">
        <v>2010</v>
      </c>
      <c r="AI1820" s="7"/>
      <c r="AJ1820" s="73"/>
      <c r="AK1820" s="7"/>
      <c r="AL1820" s="16" t="s">
        <v>5292</v>
      </c>
      <c r="AM1820" s="2" t="s">
        <v>59</v>
      </c>
      <c r="AO1820" s="6" t="s">
        <v>73</v>
      </c>
      <c r="AW1820" s="6">
        <f t="shared" ca="1" si="30"/>
        <v>20</v>
      </c>
    </row>
    <row r="1821" ht="45" hidden="1" customHeight="1" outlineLevel="1">
      <c r="A1821" s="69">
        <v>44494</v>
      </c>
      <c r="B1821" s="3" t="s">
        <v>1926</v>
      </c>
      <c r="C1821" s="116" t="s">
        <v>5293</v>
      </c>
      <c r="D1821" s="5" t="s">
        <v>5294</v>
      </c>
      <c r="E1821" s="2" t="s">
        <v>48</v>
      </c>
      <c r="F1821" s="6" t="s">
        <v>49</v>
      </c>
      <c r="G1821" s="5" t="s">
        <v>5295</v>
      </c>
      <c r="H1821" s="2" t="s">
        <v>508</v>
      </c>
      <c r="I1821" s="3" t="s">
        <v>5296</v>
      </c>
      <c r="J1821" s="7">
        <v>1</v>
      </c>
      <c r="K1821" s="70"/>
      <c r="L1821" s="9">
        <v>1</v>
      </c>
      <c r="M1821" s="3">
        <v>1529</v>
      </c>
      <c r="N1821" s="6">
        <v>2006</v>
      </c>
      <c r="P1821" s="71"/>
      <c r="R1821" s="6">
        <v>2000</v>
      </c>
      <c r="S1821" s="3" t="s">
        <v>283</v>
      </c>
      <c r="T1821" s="72" t="s">
        <v>998</v>
      </c>
      <c r="U1821" s="73"/>
      <c r="W1821" s="74" t="s">
        <v>62</v>
      </c>
      <c r="X1821" s="10" t="s">
        <v>504</v>
      </c>
      <c r="Y1821" s="10" t="s">
        <v>511</v>
      </c>
      <c r="Z1821" s="75"/>
      <c r="AA1821" s="76"/>
      <c r="AB1821" s="77"/>
      <c r="AC1821" s="77"/>
      <c r="AD1821" s="6"/>
      <c r="AI1821" s="7"/>
      <c r="AJ1821" s="73"/>
      <c r="AK1821" s="7"/>
      <c r="AL1821" s="16"/>
      <c r="AW1821" s="6">
        <f t="shared" ca="1" si="30"/>
        <v>19</v>
      </c>
    </row>
    <row r="1822" ht="45" hidden="1" customHeight="1" outlineLevel="1">
      <c r="A1822" s="69"/>
      <c r="B1822" s="3" t="s">
        <v>47</v>
      </c>
      <c r="C1822" s="4" t="s">
        <v>1345</v>
      </c>
      <c r="D1822" s="5" t="s">
        <v>5297</v>
      </c>
      <c r="E1822" s="2" t="s">
        <v>83</v>
      </c>
      <c r="F1822" s="6" t="s">
        <v>84</v>
      </c>
      <c r="G1822" s="5" t="s">
        <v>1671</v>
      </c>
      <c r="H1822" s="2" t="s">
        <v>508</v>
      </c>
      <c r="I1822" s="96" t="s">
        <v>5298</v>
      </c>
      <c r="J1822" s="7">
        <v>1</v>
      </c>
      <c r="K1822" s="104"/>
      <c r="L1822" s="9">
        <v>1</v>
      </c>
      <c r="M1822" s="3">
        <v>1530</v>
      </c>
      <c r="N1822" s="6">
        <v>2006</v>
      </c>
      <c r="P1822" s="71"/>
      <c r="R1822" s="6">
        <v>2000</v>
      </c>
      <c r="S1822" s="3" t="s">
        <v>236</v>
      </c>
      <c r="T1822" s="72"/>
      <c r="U1822" s="73"/>
      <c r="W1822" s="2" t="s">
        <v>62</v>
      </c>
      <c r="X1822" s="10" t="s">
        <v>504</v>
      </c>
      <c r="Y1822" s="10" t="s">
        <v>511</v>
      </c>
      <c r="Z1822" s="75"/>
      <c r="AA1822" s="76"/>
      <c r="AB1822" s="77"/>
      <c r="AC1822" s="77"/>
      <c r="AD1822" s="6"/>
      <c r="AI1822" s="7"/>
      <c r="AJ1822" s="95">
        <v>41878</v>
      </c>
      <c r="AK1822" s="7">
        <v>2010</v>
      </c>
      <c r="AL1822" s="16"/>
      <c r="AW1822" s="6">
        <f t="shared" ca="1" si="30"/>
        <v>19</v>
      </c>
    </row>
    <row r="1823" ht="45" hidden="1" customHeight="1" outlineLevel="1">
      <c r="A1823" s="69">
        <v>41400</v>
      </c>
      <c r="B1823" s="3" t="s">
        <v>190</v>
      </c>
      <c r="C1823" s="4" t="s">
        <v>5299</v>
      </c>
      <c r="D1823" s="5" t="s">
        <v>5300</v>
      </c>
      <c r="E1823" s="2" t="s">
        <v>83</v>
      </c>
      <c r="F1823" s="6" t="s">
        <v>84</v>
      </c>
      <c r="G1823" s="5" t="s">
        <v>1671</v>
      </c>
      <c r="H1823" s="2" t="s">
        <v>3735</v>
      </c>
      <c r="I1823" s="3" t="s">
        <v>5301</v>
      </c>
      <c r="J1823" s="7">
        <v>1</v>
      </c>
      <c r="K1823" s="70"/>
      <c r="L1823" s="9">
        <v>1</v>
      </c>
      <c r="M1823" s="3">
        <v>1531</v>
      </c>
      <c r="N1823" s="6">
        <v>2006</v>
      </c>
      <c r="P1823" s="71"/>
      <c r="R1823" s="6">
        <v>2000</v>
      </c>
      <c r="S1823" s="3" t="s">
        <v>283</v>
      </c>
      <c r="T1823" s="72"/>
      <c r="U1823" s="73"/>
      <c r="W1823" s="74" t="s">
        <v>62</v>
      </c>
      <c r="X1823" s="10" t="s">
        <v>56</v>
      </c>
      <c r="Y1823" s="10" t="s">
        <v>68</v>
      </c>
      <c r="Z1823" s="75" t="s">
        <v>58</v>
      </c>
      <c r="AA1823" s="76"/>
      <c r="AB1823" s="77"/>
      <c r="AC1823" s="77"/>
      <c r="AD1823" s="6"/>
      <c r="AI1823" s="7"/>
      <c r="AJ1823" s="73"/>
      <c r="AK1823" s="7"/>
      <c r="AL1823" s="16"/>
      <c r="AW1823" s="6">
        <f t="shared" ca="1" si="30"/>
        <v>19</v>
      </c>
    </row>
    <row r="1824" ht="45" hidden="1" customHeight="1" outlineLevel="1">
      <c r="A1824" s="69"/>
      <c r="B1824" s="3" t="s">
        <v>47</v>
      </c>
      <c r="C1824" s="4" t="s">
        <v>5302</v>
      </c>
      <c r="E1824" s="2" t="s">
        <v>83</v>
      </c>
      <c r="F1824" s="6" t="s">
        <v>84</v>
      </c>
      <c r="G1824" s="5" t="s">
        <v>85</v>
      </c>
      <c r="H1824" s="2" t="s">
        <v>57</v>
      </c>
      <c r="I1824" s="3" t="s">
        <v>5303</v>
      </c>
      <c r="J1824" s="7">
        <v>1</v>
      </c>
      <c r="K1824" s="70"/>
      <c r="L1824" s="9">
        <v>1</v>
      </c>
      <c r="M1824" s="3">
        <v>1532</v>
      </c>
      <c r="N1824" s="6">
        <v>2006</v>
      </c>
      <c r="P1824" s="71"/>
      <c r="R1824" s="6">
        <v>2000</v>
      </c>
      <c r="S1824" s="3" t="s">
        <v>236</v>
      </c>
      <c r="T1824" s="72"/>
      <c r="U1824" s="73"/>
      <c r="W1824" s="2" t="s">
        <v>62</v>
      </c>
      <c r="X1824" s="10" t="s">
        <v>56</v>
      </c>
      <c r="Y1824" s="10" t="s">
        <v>57</v>
      </c>
      <c r="Z1824" s="75"/>
      <c r="AA1824" s="76"/>
      <c r="AB1824" s="77"/>
      <c r="AC1824" s="77"/>
      <c r="AD1824" s="10"/>
      <c r="AI1824" s="7"/>
      <c r="AJ1824" s="95">
        <v>40598</v>
      </c>
      <c r="AK1824" s="7">
        <v>2010</v>
      </c>
      <c r="AL1824" s="16"/>
      <c r="AW1824" s="6">
        <f t="shared" ca="1" si="30"/>
        <v>19</v>
      </c>
    </row>
    <row r="1825" ht="45" hidden="1" customHeight="1" outlineLevel="1">
      <c r="A1825" s="69"/>
      <c r="B1825" s="3" t="s">
        <v>190</v>
      </c>
      <c r="C1825" s="4" t="s">
        <v>5304</v>
      </c>
      <c r="D1825" s="5" t="s">
        <v>5305</v>
      </c>
      <c r="E1825" s="2" t="s">
        <v>83</v>
      </c>
      <c r="F1825" s="6" t="s">
        <v>84</v>
      </c>
      <c r="G1825" s="5" t="s">
        <v>835</v>
      </c>
      <c r="H1825" s="2" t="s">
        <v>3735</v>
      </c>
      <c r="I1825" s="3" t="s">
        <v>5306</v>
      </c>
      <c r="J1825" s="7">
        <v>1</v>
      </c>
      <c r="K1825" s="70"/>
      <c r="L1825" s="9">
        <v>1</v>
      </c>
      <c r="M1825" s="3">
        <v>1533</v>
      </c>
      <c r="N1825" s="6">
        <v>2006</v>
      </c>
      <c r="P1825" s="71"/>
      <c r="R1825" s="6">
        <v>2000</v>
      </c>
      <c r="S1825" s="3" t="s">
        <v>283</v>
      </c>
      <c r="T1825" s="72"/>
      <c r="U1825" s="73"/>
      <c r="W1825" s="74" t="s">
        <v>62</v>
      </c>
      <c r="X1825" s="10" t="s">
        <v>56</v>
      </c>
      <c r="Y1825" s="10" t="s">
        <v>68</v>
      </c>
      <c r="Z1825" s="75" t="s">
        <v>58</v>
      </c>
      <c r="AA1825" s="76"/>
      <c r="AB1825" s="77"/>
      <c r="AC1825" s="77"/>
      <c r="AD1825" s="10"/>
      <c r="AI1825" s="7"/>
      <c r="AJ1825" s="73"/>
      <c r="AK1825" s="7"/>
      <c r="AL1825" s="16"/>
      <c r="AW1825" s="6">
        <f t="shared" ca="1" si="30"/>
        <v>19</v>
      </c>
    </row>
    <row r="1826" ht="45" hidden="1" customHeight="1" outlineLevel="1">
      <c r="A1826" s="69"/>
      <c r="B1826" s="3" t="s">
        <v>47</v>
      </c>
      <c r="C1826" s="4" t="s">
        <v>5307</v>
      </c>
      <c r="E1826" s="2" t="s">
        <v>83</v>
      </c>
      <c r="F1826" s="6" t="s">
        <v>179</v>
      </c>
      <c r="G1826" s="5" t="s">
        <v>2584</v>
      </c>
      <c r="H1826" s="2" t="s">
        <v>57</v>
      </c>
      <c r="I1826" s="3" t="s">
        <v>5308</v>
      </c>
      <c r="J1826" s="7">
        <v>1</v>
      </c>
      <c r="K1826" s="70"/>
      <c r="L1826" s="9">
        <v>1</v>
      </c>
      <c r="M1826" s="3">
        <v>1534</v>
      </c>
      <c r="N1826" s="6">
        <v>2006</v>
      </c>
      <c r="P1826" s="71"/>
      <c r="R1826" s="6">
        <v>2000</v>
      </c>
      <c r="S1826" s="3" t="s">
        <v>236</v>
      </c>
      <c r="T1826" s="72"/>
      <c r="U1826" s="73"/>
      <c r="W1826" s="2" t="s">
        <v>62</v>
      </c>
      <c r="X1826" s="10" t="s">
        <v>56</v>
      </c>
      <c r="Y1826" s="10" t="s">
        <v>57</v>
      </c>
      <c r="Z1826" s="75"/>
      <c r="AG1826" s="93"/>
      <c r="AH1826" s="93"/>
      <c r="AI1826" s="7"/>
      <c r="AJ1826" s="95">
        <v>40338</v>
      </c>
      <c r="AK1826" s="7">
        <v>2010</v>
      </c>
      <c r="AL1826" s="99"/>
      <c r="AW1826" s="6">
        <f t="shared" ca="1" si="30"/>
        <v>19</v>
      </c>
    </row>
    <row r="1827" ht="45" customHeight="1" outlineLevel="1">
      <c r="A1827" s="69">
        <v>45239</v>
      </c>
      <c r="B1827" s="3" t="s">
        <v>1926</v>
      </c>
      <c r="C1827" s="4" t="s">
        <v>5309</v>
      </c>
      <c r="D1827" s="5" t="s">
        <v>5310</v>
      </c>
      <c r="E1827" s="2" t="s">
        <v>1074</v>
      </c>
      <c r="F1827" s="6" t="s">
        <v>2092</v>
      </c>
      <c r="G1827" s="5" t="s">
        <v>3818</v>
      </c>
      <c r="H1827" s="2" t="s">
        <v>508</v>
      </c>
      <c r="I1827" s="3" t="s">
        <v>5311</v>
      </c>
      <c r="J1827" s="7">
        <v>1</v>
      </c>
      <c r="K1827" s="70" t="s">
        <v>53</v>
      </c>
      <c r="L1827" s="9">
        <v>1</v>
      </c>
      <c r="M1827" s="3">
        <v>1535</v>
      </c>
      <c r="N1827" s="6">
        <v>2006</v>
      </c>
      <c r="O1827" s="10">
        <v>38897</v>
      </c>
      <c r="P1827" s="71" t="s">
        <v>5312</v>
      </c>
      <c r="Q1827" s="10">
        <v>38901</v>
      </c>
      <c r="R1827" s="6">
        <v>2000</v>
      </c>
      <c r="S1827" s="3" t="s">
        <v>195</v>
      </c>
      <c r="T1827" s="72"/>
      <c r="U1827" s="73"/>
      <c r="W1827" s="74" t="s">
        <v>5313</v>
      </c>
      <c r="X1827" s="10" t="s">
        <v>504</v>
      </c>
      <c r="Y1827" s="10" t="s">
        <v>511</v>
      </c>
      <c r="Z1827" s="75"/>
      <c r="AA1827" s="13">
        <v>42515</v>
      </c>
      <c r="AE1827" s="7">
        <v>2010</v>
      </c>
      <c r="AF1827" s="7">
        <v>64</v>
      </c>
      <c r="AG1827" s="7">
        <v>2016</v>
      </c>
      <c r="AH1827" s="7">
        <v>2010</v>
      </c>
      <c r="AI1827" s="7"/>
      <c r="AJ1827" s="73"/>
      <c r="AK1827" s="7"/>
      <c r="AL1827" s="75" t="s">
        <v>5314</v>
      </c>
      <c r="AW1827" s="6">
        <f t="shared" ca="1" si="30"/>
        <v>19</v>
      </c>
    </row>
    <row r="1828" ht="45" customHeight="1" outlineLevel="1">
      <c r="A1828" s="69"/>
      <c r="B1828" s="3" t="s">
        <v>47</v>
      </c>
      <c r="D1828" s="5" t="s">
        <v>5315</v>
      </c>
      <c r="E1828" s="2" t="s">
        <v>1074</v>
      </c>
      <c r="F1828" s="6" t="s">
        <v>2026</v>
      </c>
      <c r="G1828" s="5" t="s">
        <v>5003</v>
      </c>
      <c r="H1828" s="2" t="s">
        <v>288</v>
      </c>
      <c r="I1828" s="3" t="s">
        <v>5316</v>
      </c>
      <c r="J1828" s="7">
        <v>1</v>
      </c>
      <c r="K1828" s="70" t="s">
        <v>53</v>
      </c>
      <c r="L1828" s="9">
        <v>1</v>
      </c>
      <c r="M1828" s="3">
        <v>1536</v>
      </c>
      <c r="N1828" s="6">
        <v>2006</v>
      </c>
      <c r="P1828" s="71"/>
      <c r="R1828" s="6">
        <v>2000</v>
      </c>
      <c r="S1828" s="3" t="s">
        <v>54</v>
      </c>
      <c r="T1828" s="72"/>
      <c r="U1828" s="73"/>
      <c r="W1828" s="100" t="s">
        <v>5317</v>
      </c>
      <c r="X1828" s="10" t="s">
        <v>56</v>
      </c>
      <c r="Y1828" s="10" t="s">
        <v>288</v>
      </c>
      <c r="Z1828" s="75"/>
      <c r="AA1828" s="76">
        <v>41884</v>
      </c>
      <c r="AB1828" s="77">
        <v>41884</v>
      </c>
      <c r="AC1828" s="77"/>
      <c r="AD1828" s="6"/>
      <c r="AE1828" s="7">
        <v>2009</v>
      </c>
      <c r="AF1828" s="7">
        <v>62</v>
      </c>
      <c r="AG1828" s="7">
        <v>2014</v>
      </c>
      <c r="AH1828" s="7">
        <v>2010</v>
      </c>
      <c r="AI1828" s="7"/>
      <c r="AJ1828" s="73"/>
      <c r="AK1828" s="7"/>
      <c r="AL1828" s="75"/>
      <c r="AM1828" s="2" t="s">
        <v>53</v>
      </c>
      <c r="AN1828" s="6" t="s">
        <v>73</v>
      </c>
      <c r="AO1828" s="6" t="s">
        <v>53</v>
      </c>
      <c r="AP1828" s="6" t="s">
        <v>73</v>
      </c>
      <c r="AQ1828" s="5" t="s">
        <v>73</v>
      </c>
      <c r="AR1828" s="2" t="s">
        <v>104</v>
      </c>
      <c r="AS1828" s="6" t="s">
        <v>104</v>
      </c>
      <c r="AU1828" s="16" t="s">
        <v>5318</v>
      </c>
      <c r="AW1828" s="6">
        <f t="shared" ca="1" si="30"/>
        <v>19</v>
      </c>
    </row>
    <row r="1829" ht="45" hidden="1" customHeight="1" outlineLevel="1">
      <c r="A1829" s="69"/>
      <c r="B1829" s="3" t="s">
        <v>190</v>
      </c>
      <c r="C1829" s="4" t="s">
        <v>5276</v>
      </c>
      <c r="D1829" s="5" t="s">
        <v>5319</v>
      </c>
      <c r="E1829" s="2" t="s">
        <v>1074</v>
      </c>
      <c r="F1829" s="6" t="s">
        <v>2154</v>
      </c>
      <c r="G1829" s="5" t="s">
        <v>2155</v>
      </c>
      <c r="H1829" s="2" t="s">
        <v>382</v>
      </c>
      <c r="I1829" s="3" t="s">
        <v>5320</v>
      </c>
      <c r="J1829" s="7">
        <v>1</v>
      </c>
      <c r="L1829" s="9">
        <v>1</v>
      </c>
      <c r="M1829" s="3">
        <v>1537</v>
      </c>
      <c r="N1829" s="6">
        <v>2006</v>
      </c>
      <c r="P1829" s="71"/>
      <c r="R1829" s="6">
        <v>2000</v>
      </c>
      <c r="S1829" s="3" t="s">
        <v>283</v>
      </c>
      <c r="T1829" s="72"/>
      <c r="U1829" s="73"/>
      <c r="W1829" s="74" t="s">
        <v>62</v>
      </c>
      <c r="X1829" s="10" t="s">
        <v>91</v>
      </c>
      <c r="Y1829" s="10" t="s">
        <v>385</v>
      </c>
      <c r="Z1829" s="75"/>
      <c r="AI1829" s="7"/>
      <c r="AJ1829" s="73"/>
      <c r="AK1829" s="7"/>
      <c r="AL1829" s="16"/>
      <c r="AW1829" s="6">
        <f t="shared" ca="1" si="30"/>
        <v>19</v>
      </c>
    </row>
    <row r="1830" ht="45" hidden="1" customHeight="1">
      <c r="A1830" s="69"/>
      <c r="B1830" s="3" t="s">
        <v>47</v>
      </c>
      <c r="C1830" s="4" t="s">
        <v>5321</v>
      </c>
      <c r="D1830" s="5" t="s">
        <v>5322</v>
      </c>
      <c r="E1830" s="2" t="s">
        <v>83</v>
      </c>
      <c r="F1830" s="6" t="s">
        <v>84</v>
      </c>
      <c r="G1830" s="5" t="s">
        <v>85</v>
      </c>
      <c r="H1830" s="2" t="s">
        <v>57</v>
      </c>
      <c r="I1830" s="3" t="s">
        <v>5323</v>
      </c>
      <c r="J1830" s="7">
        <v>1</v>
      </c>
      <c r="K1830" s="70"/>
      <c r="L1830" s="9">
        <v>1</v>
      </c>
      <c r="M1830" s="3">
        <v>1538</v>
      </c>
      <c r="N1830" s="6">
        <v>2006</v>
      </c>
      <c r="P1830" s="71"/>
      <c r="R1830" s="6">
        <v>2000</v>
      </c>
      <c r="S1830" s="3" t="s">
        <v>236</v>
      </c>
      <c r="T1830" s="72"/>
      <c r="U1830" s="173">
        <v>42003</v>
      </c>
      <c r="V1830" s="196"/>
      <c r="W1830" s="2" t="s">
        <v>62</v>
      </c>
      <c r="X1830" s="10" t="s">
        <v>56</v>
      </c>
      <c r="Y1830" s="10" t="s">
        <v>57</v>
      </c>
      <c r="Z1830" s="75"/>
      <c r="AA1830" s="76"/>
      <c r="AB1830" s="77"/>
      <c r="AC1830" s="77"/>
      <c r="AD1830" s="6"/>
      <c r="AI1830" s="7"/>
      <c r="AJ1830" s="10">
        <v>42003</v>
      </c>
      <c r="AK1830" s="7">
        <v>2010</v>
      </c>
      <c r="AL1830" s="16"/>
      <c r="AW1830" s="6">
        <f t="shared" ca="1" si="30"/>
        <v>19</v>
      </c>
    </row>
    <row r="1831" ht="45" hidden="1" customHeight="1">
      <c r="A1831" s="69"/>
      <c r="B1831" s="3" t="s">
        <v>47</v>
      </c>
      <c r="C1831" s="4" t="s">
        <v>5324</v>
      </c>
      <c r="D1831" s="5" t="s">
        <v>5325</v>
      </c>
      <c r="E1831" s="2" t="s">
        <v>83</v>
      </c>
      <c r="F1831" s="6" t="s">
        <v>84</v>
      </c>
      <c r="G1831" s="5" t="s">
        <v>5326</v>
      </c>
      <c r="H1831" s="2" t="s">
        <v>57</v>
      </c>
      <c r="I1831" s="3" t="s">
        <v>5327</v>
      </c>
      <c r="J1831" s="7">
        <v>1</v>
      </c>
      <c r="K1831" s="104"/>
      <c r="L1831" s="9">
        <v>1</v>
      </c>
      <c r="M1831" s="3">
        <v>1539</v>
      </c>
      <c r="N1831" s="6">
        <v>2007</v>
      </c>
      <c r="P1831" s="71"/>
      <c r="R1831" s="6">
        <v>2000</v>
      </c>
      <c r="S1831" s="3" t="s">
        <v>236</v>
      </c>
      <c r="T1831" s="72"/>
      <c r="W1831" s="175"/>
      <c r="X1831" s="10" t="s">
        <v>504</v>
      </c>
      <c r="Y1831" s="10" t="s">
        <v>501</v>
      </c>
      <c r="Z1831" s="75"/>
      <c r="AA1831" s="76"/>
      <c r="AB1831" s="77"/>
      <c r="AC1831" s="77"/>
      <c r="AD1831" s="10"/>
      <c r="AI1831" s="7"/>
      <c r="AJ1831" s="10">
        <v>44400</v>
      </c>
      <c r="AK1831" s="7">
        <v>2020</v>
      </c>
      <c r="AL1831" s="16"/>
      <c r="AW1831" s="6">
        <f t="shared" ref="AW1831:AW1894" ca="1" si="31">IF(N1831&lt;&gt;0,(YEAR(TODAY())-N1831),(""))</f>
        <v>18</v>
      </c>
    </row>
    <row r="1832" ht="45" customHeight="1" outlineLevel="1">
      <c r="A1832" s="69">
        <v>42940</v>
      </c>
      <c r="B1832" s="3" t="s">
        <v>190</v>
      </c>
      <c r="C1832" s="4" t="s">
        <v>5328</v>
      </c>
      <c r="D1832" s="5" t="s">
        <v>5329</v>
      </c>
      <c r="E1832" s="2" t="s">
        <v>63</v>
      </c>
      <c r="F1832" s="6" t="s">
        <v>354</v>
      </c>
      <c r="G1832" s="5" t="s">
        <v>971</v>
      </c>
      <c r="H1832" s="2" t="s">
        <v>382</v>
      </c>
      <c r="I1832" s="3" t="s">
        <v>5330</v>
      </c>
      <c r="J1832" s="7">
        <v>1</v>
      </c>
      <c r="K1832" s="104" t="s">
        <v>1978</v>
      </c>
      <c r="L1832" s="9">
        <v>1</v>
      </c>
      <c r="M1832" s="3">
        <v>1540</v>
      </c>
      <c r="N1832" s="6">
        <v>2007</v>
      </c>
      <c r="P1832" s="71"/>
      <c r="R1832" s="6">
        <v>2000</v>
      </c>
      <c r="S1832" s="3" t="s">
        <v>1980</v>
      </c>
      <c r="T1832" s="72"/>
      <c r="U1832" s="73"/>
      <c r="V1832" s="12">
        <v>40711</v>
      </c>
      <c r="W1832" s="74" t="s">
        <v>5331</v>
      </c>
      <c r="X1832" s="10" t="s">
        <v>91</v>
      </c>
      <c r="Y1832" s="10" t="s">
        <v>385</v>
      </c>
      <c r="Z1832" s="75"/>
      <c r="AA1832" s="76"/>
      <c r="AB1832" s="77"/>
      <c r="AC1832" s="77"/>
      <c r="AD1832" s="6"/>
      <c r="AI1832" s="7"/>
      <c r="AJ1832" s="73"/>
      <c r="AK1832" s="7"/>
      <c r="AL1832" s="16"/>
      <c r="AM1832" s="2" t="s">
        <v>59</v>
      </c>
      <c r="AO1832" s="6" t="s">
        <v>59</v>
      </c>
      <c r="AW1832" s="6">
        <f t="shared" ca="1" si="31"/>
        <v>18</v>
      </c>
    </row>
    <row r="1833" ht="45" hidden="1" customHeight="1" outlineLevel="1">
      <c r="A1833" s="69">
        <v>44599</v>
      </c>
      <c r="B1833" s="3" t="s">
        <v>190</v>
      </c>
      <c r="C1833" s="4" t="s">
        <v>5332</v>
      </c>
      <c r="D1833" s="85" t="s">
        <v>5333</v>
      </c>
      <c r="E1833" s="2" t="s">
        <v>63</v>
      </c>
      <c r="F1833" s="6" t="s">
        <v>172</v>
      </c>
      <c r="G1833" s="5" t="s">
        <v>2994</v>
      </c>
      <c r="H1833" s="2" t="s">
        <v>3735</v>
      </c>
      <c r="I1833" s="3" t="s">
        <v>5334</v>
      </c>
      <c r="J1833" s="7">
        <v>1</v>
      </c>
      <c r="K1833" s="104"/>
      <c r="L1833" s="9">
        <v>1</v>
      </c>
      <c r="M1833" s="3">
        <v>1541</v>
      </c>
      <c r="N1833" s="6">
        <v>2007</v>
      </c>
      <c r="O1833" s="10">
        <v>39095</v>
      </c>
      <c r="P1833" s="71" t="s">
        <v>5335</v>
      </c>
      <c r="Q1833" s="10">
        <v>39309</v>
      </c>
      <c r="R1833" s="6">
        <v>2000</v>
      </c>
      <c r="S1833" s="3" t="s">
        <v>283</v>
      </c>
      <c r="T1833" s="72"/>
      <c r="U1833" s="73"/>
      <c r="W1833" s="74" t="s">
        <v>62</v>
      </c>
      <c r="X1833" s="10" t="s">
        <v>56</v>
      </c>
      <c r="Y1833" s="10" t="s">
        <v>68</v>
      </c>
      <c r="Z1833" s="75" t="s">
        <v>58</v>
      </c>
      <c r="AA1833" s="76"/>
      <c r="AB1833" s="77"/>
      <c r="AC1833" s="77"/>
      <c r="AD1833" s="6"/>
      <c r="AI1833" s="7"/>
      <c r="AJ1833" s="73"/>
      <c r="AK1833" s="7"/>
      <c r="AL1833" s="16"/>
      <c r="AW1833" s="6">
        <f t="shared" ca="1" si="31"/>
        <v>18</v>
      </c>
    </row>
    <row r="1834" ht="45" customHeight="1" outlineLevel="1">
      <c r="A1834" s="69"/>
      <c r="B1834" s="3" t="s">
        <v>47</v>
      </c>
      <c r="D1834" s="5" t="s">
        <v>5336</v>
      </c>
      <c r="E1834" s="2" t="s">
        <v>1074</v>
      </c>
      <c r="F1834" s="6" t="s">
        <v>2092</v>
      </c>
      <c r="G1834" s="5" t="s">
        <v>3419</v>
      </c>
      <c r="H1834" s="2" t="s">
        <v>288</v>
      </c>
      <c r="I1834" s="3" t="s">
        <v>5337</v>
      </c>
      <c r="J1834" s="7">
        <v>1</v>
      </c>
      <c r="K1834" s="70" t="s">
        <v>53</v>
      </c>
      <c r="L1834" s="9">
        <v>1</v>
      </c>
      <c r="M1834" s="3">
        <v>1542</v>
      </c>
      <c r="N1834" s="6">
        <v>2007</v>
      </c>
      <c r="P1834" s="71"/>
      <c r="R1834" s="6">
        <v>2000</v>
      </c>
      <c r="S1834" s="3" t="s">
        <v>54</v>
      </c>
      <c r="T1834" s="72"/>
      <c r="U1834" s="73"/>
      <c r="W1834" s="2" t="s">
        <v>5338</v>
      </c>
      <c r="X1834" s="10" t="s">
        <v>56</v>
      </c>
      <c r="Y1834" s="10" t="s">
        <v>288</v>
      </c>
      <c r="Z1834" s="75"/>
      <c r="AA1834" s="76">
        <v>41333</v>
      </c>
      <c r="AB1834" s="77">
        <v>41333</v>
      </c>
      <c r="AC1834" s="77"/>
      <c r="AD1834" s="10"/>
      <c r="AE1834" s="7">
        <v>2010</v>
      </c>
      <c r="AF1834" s="7">
        <v>66</v>
      </c>
      <c r="AG1834" s="7">
        <v>2013</v>
      </c>
      <c r="AH1834" s="7">
        <v>2010</v>
      </c>
      <c r="AI1834" s="7"/>
      <c r="AJ1834" s="73"/>
      <c r="AK1834" s="7"/>
      <c r="AL1834" s="99"/>
      <c r="AM1834" s="2" t="s">
        <v>53</v>
      </c>
      <c r="AN1834" s="6" t="s">
        <v>73</v>
      </c>
      <c r="AO1834" s="6" t="s">
        <v>53</v>
      </c>
      <c r="AP1834" s="6" t="s">
        <v>73</v>
      </c>
      <c r="AQ1834" s="5" t="s">
        <v>73</v>
      </c>
      <c r="AR1834" s="2" t="s">
        <v>104</v>
      </c>
      <c r="AS1834" s="6" t="s">
        <v>104</v>
      </c>
      <c r="AU1834" s="16" t="s">
        <v>5339</v>
      </c>
      <c r="AW1834" s="6">
        <f t="shared" ca="1" si="31"/>
        <v>18</v>
      </c>
    </row>
    <row r="1835" ht="45" hidden="1" customHeight="1">
      <c r="A1835" s="69">
        <v>42324</v>
      </c>
      <c r="B1835" s="3" t="s">
        <v>190</v>
      </c>
      <c r="C1835" s="4" t="s">
        <v>5340</v>
      </c>
      <c r="D1835" s="5" t="s">
        <v>5341</v>
      </c>
      <c r="E1835" s="2" t="s">
        <v>63</v>
      </c>
      <c r="F1835" s="6" t="s">
        <v>172</v>
      </c>
      <c r="G1835" s="5" t="s">
        <v>173</v>
      </c>
      <c r="H1835" s="2" t="s">
        <v>88</v>
      </c>
      <c r="I1835" s="3" t="s">
        <v>5342</v>
      </c>
      <c r="J1835" s="7">
        <v>1</v>
      </c>
      <c r="K1835" s="104"/>
      <c r="L1835" s="9">
        <v>1</v>
      </c>
      <c r="M1835" s="3">
        <v>1543</v>
      </c>
      <c r="N1835" s="6">
        <v>2007</v>
      </c>
      <c r="P1835" s="71"/>
      <c r="R1835" s="6">
        <v>2000</v>
      </c>
      <c r="S1835" s="3" t="s">
        <v>283</v>
      </c>
      <c r="T1835" s="72" t="s">
        <v>998</v>
      </c>
      <c r="U1835" s="73"/>
      <c r="W1835" s="74" t="s">
        <v>62</v>
      </c>
      <c r="X1835" s="10" t="s">
        <v>91</v>
      </c>
      <c r="Y1835" s="10" t="s">
        <v>214</v>
      </c>
      <c r="Z1835" s="75"/>
      <c r="AA1835" s="76"/>
      <c r="AB1835" s="77"/>
      <c r="AC1835" s="77"/>
      <c r="AD1835" s="6"/>
      <c r="AG1835" s="93"/>
      <c r="AH1835" s="93"/>
      <c r="AI1835" s="7" t="s">
        <v>5343</v>
      </c>
      <c r="AJ1835" s="73"/>
      <c r="AK1835" s="7"/>
      <c r="AW1835" s="6">
        <f t="shared" ca="1" si="31"/>
        <v>18</v>
      </c>
    </row>
    <row r="1836" ht="45" hidden="1" customHeight="1" outlineLevel="1">
      <c r="A1836" s="69"/>
      <c r="B1836" s="3" t="s">
        <v>47</v>
      </c>
      <c r="C1836" s="4" t="s">
        <v>5344</v>
      </c>
      <c r="D1836" s="5" t="s">
        <v>5345</v>
      </c>
      <c r="E1836" s="2" t="s">
        <v>83</v>
      </c>
      <c r="F1836" s="6" t="s">
        <v>84</v>
      </c>
      <c r="G1836" s="5" t="s">
        <v>797</v>
      </c>
      <c r="H1836" s="2" t="s">
        <v>501</v>
      </c>
      <c r="I1836" s="3" t="s">
        <v>5346</v>
      </c>
      <c r="J1836" s="7">
        <v>1</v>
      </c>
      <c r="K1836" s="104"/>
      <c r="L1836" s="9">
        <v>1</v>
      </c>
      <c r="M1836" s="3">
        <v>1544</v>
      </c>
      <c r="N1836" s="6">
        <v>2007</v>
      </c>
      <c r="P1836" s="71"/>
      <c r="R1836" s="6">
        <v>2000</v>
      </c>
      <c r="S1836" s="3" t="s">
        <v>236</v>
      </c>
      <c r="T1836" s="72"/>
      <c r="U1836" s="73">
        <v>42443</v>
      </c>
      <c r="W1836" s="2" t="s">
        <v>62</v>
      </c>
      <c r="X1836" s="10" t="s">
        <v>56</v>
      </c>
      <c r="Y1836" s="10" t="s">
        <v>501</v>
      </c>
      <c r="Z1836" s="75"/>
      <c r="AA1836" s="76"/>
      <c r="AB1836" s="77"/>
      <c r="AC1836" s="77"/>
      <c r="AD1836" s="6"/>
      <c r="AG1836" s="93"/>
      <c r="AH1836" s="93"/>
      <c r="AI1836" s="7"/>
      <c r="AJ1836" s="10">
        <v>42443</v>
      </c>
      <c r="AK1836" s="7">
        <v>2010</v>
      </c>
      <c r="AL1836" s="99" t="s">
        <v>5347</v>
      </c>
      <c r="AW1836" s="6">
        <f t="shared" ca="1" si="31"/>
        <v>18</v>
      </c>
    </row>
    <row r="1837" ht="45" customHeight="1">
      <c r="A1837" s="69">
        <v>43860</v>
      </c>
      <c r="B1837" s="3" t="s">
        <v>190</v>
      </c>
      <c r="C1837" s="4" t="s">
        <v>5348</v>
      </c>
      <c r="D1837" s="5" t="s">
        <v>5349</v>
      </c>
      <c r="E1837" s="2" t="s">
        <v>83</v>
      </c>
      <c r="F1837" s="6" t="s">
        <v>84</v>
      </c>
      <c r="G1837" s="5" t="s">
        <v>85</v>
      </c>
      <c r="H1837" s="2" t="s">
        <v>88</v>
      </c>
      <c r="I1837" s="3" t="s">
        <v>5350</v>
      </c>
      <c r="J1837" s="7">
        <v>1</v>
      </c>
      <c r="K1837" s="104" t="s">
        <v>1748</v>
      </c>
      <c r="L1837" s="9">
        <v>1</v>
      </c>
      <c r="M1837" s="3">
        <v>1545</v>
      </c>
      <c r="N1837" s="6">
        <v>2007</v>
      </c>
      <c r="P1837" s="71"/>
      <c r="R1837" s="6">
        <v>2000</v>
      </c>
      <c r="S1837" s="3" t="s">
        <v>1749</v>
      </c>
      <c r="T1837" s="72"/>
      <c r="U1837" s="73"/>
      <c r="W1837" s="74" t="s">
        <v>5351</v>
      </c>
      <c r="X1837" s="10" t="s">
        <v>91</v>
      </c>
      <c r="Y1837" s="10" t="s">
        <v>214</v>
      </c>
      <c r="Z1837" s="75"/>
      <c r="AA1837" s="76"/>
      <c r="AB1837" s="77" t="s">
        <v>208</v>
      </c>
      <c r="AC1837" s="77" t="s">
        <v>208</v>
      </c>
      <c r="AD1837" s="6"/>
      <c r="AE1837" s="7">
        <v>2014</v>
      </c>
      <c r="AF1837" s="7">
        <v>77</v>
      </c>
      <c r="AG1837" s="93"/>
      <c r="AH1837" s="93"/>
      <c r="AI1837" s="7"/>
      <c r="AJ1837" s="73"/>
      <c r="AK1837" s="7"/>
      <c r="AM1837" s="2" t="s">
        <v>59</v>
      </c>
      <c r="AO1837" s="6" t="s">
        <v>59</v>
      </c>
      <c r="AW1837" s="6">
        <f t="shared" ca="1" si="31"/>
        <v>18</v>
      </c>
    </row>
    <row r="1838" ht="45" hidden="1" customHeight="1">
      <c r="A1838" s="69"/>
      <c r="B1838" s="3" t="s">
        <v>47</v>
      </c>
      <c r="C1838" s="4" t="s">
        <v>5352</v>
      </c>
      <c r="D1838" s="5" t="s">
        <v>5353</v>
      </c>
      <c r="E1838" s="2" t="s">
        <v>83</v>
      </c>
      <c r="F1838" s="6" t="s">
        <v>84</v>
      </c>
      <c r="G1838" s="5" t="s">
        <v>85</v>
      </c>
      <c r="H1838" s="2" t="s">
        <v>57</v>
      </c>
      <c r="I1838" s="3" t="s">
        <v>5354</v>
      </c>
      <c r="J1838" s="7">
        <v>1</v>
      </c>
      <c r="L1838" s="9">
        <v>1</v>
      </c>
      <c r="M1838" s="3">
        <v>1546</v>
      </c>
      <c r="N1838" s="6">
        <v>2007</v>
      </c>
      <c r="P1838" s="71"/>
      <c r="R1838" s="6">
        <v>2000</v>
      </c>
      <c r="S1838" s="3" t="s">
        <v>236</v>
      </c>
      <c r="T1838" s="72"/>
      <c r="U1838" s="73">
        <v>43509</v>
      </c>
      <c r="W1838" s="2" t="s">
        <v>62</v>
      </c>
      <c r="X1838" s="10" t="s">
        <v>56</v>
      </c>
      <c r="Y1838" s="10" t="s">
        <v>57</v>
      </c>
      <c r="Z1838" s="75"/>
      <c r="AJ1838" s="10">
        <v>43509</v>
      </c>
      <c r="AK1838" s="7">
        <v>2010</v>
      </c>
      <c r="AL1838" s="5"/>
      <c r="AU1838" s="5"/>
      <c r="AV1838" s="111"/>
      <c r="AW1838" s="6">
        <f t="shared" ca="1" si="31"/>
        <v>18</v>
      </c>
    </row>
    <row r="1839" ht="45" hidden="1" customHeight="1">
      <c r="A1839" s="69"/>
      <c r="B1839" s="3" t="s">
        <v>190</v>
      </c>
      <c r="C1839" s="4" t="s">
        <v>5355</v>
      </c>
      <c r="D1839" s="5" t="s">
        <v>5356</v>
      </c>
      <c r="E1839" s="2" t="s">
        <v>63</v>
      </c>
      <c r="F1839" s="6" t="s">
        <v>172</v>
      </c>
      <c r="G1839" s="5" t="s">
        <v>173</v>
      </c>
      <c r="H1839" s="2" t="s">
        <v>288</v>
      </c>
      <c r="I1839" s="3" t="s">
        <v>5357</v>
      </c>
      <c r="J1839" s="7">
        <v>1</v>
      </c>
      <c r="K1839" s="70"/>
      <c r="L1839" s="9">
        <v>1</v>
      </c>
      <c r="M1839" s="3">
        <v>1547</v>
      </c>
      <c r="N1839" s="6">
        <v>2007</v>
      </c>
      <c r="P1839" s="71"/>
      <c r="R1839" s="6">
        <v>2000</v>
      </c>
      <c r="S1839" s="3" t="s">
        <v>283</v>
      </c>
      <c r="T1839" s="72"/>
      <c r="U1839" s="73"/>
      <c r="W1839" s="74" t="s">
        <v>62</v>
      </c>
      <c r="X1839" s="10" t="s">
        <v>56</v>
      </c>
      <c r="Y1839" s="10" t="s">
        <v>288</v>
      </c>
      <c r="Z1839" s="75"/>
      <c r="AA1839" s="76"/>
      <c r="AB1839" s="77"/>
      <c r="AC1839" s="77"/>
      <c r="AD1839" s="10"/>
      <c r="AG1839" s="93"/>
      <c r="AH1839" s="93"/>
      <c r="AI1839" s="7"/>
      <c r="AJ1839" s="73"/>
      <c r="AK1839" s="7"/>
      <c r="AL1839" s="16"/>
      <c r="AW1839" s="6">
        <f t="shared" ca="1" si="31"/>
        <v>18</v>
      </c>
    </row>
    <row r="1840" ht="45" customHeight="1">
      <c r="A1840" s="69"/>
      <c r="B1840" s="3" t="s">
        <v>47</v>
      </c>
      <c r="C1840" s="4" t="s">
        <v>5358</v>
      </c>
      <c r="D1840" s="5" t="s">
        <v>5359</v>
      </c>
      <c r="E1840" s="2" t="s">
        <v>48</v>
      </c>
      <c r="F1840" s="6" t="s">
        <v>564</v>
      </c>
      <c r="G1840" s="5" t="s">
        <v>5360</v>
      </c>
      <c r="H1840" s="2" t="s">
        <v>51</v>
      </c>
      <c r="I1840" s="195" t="s">
        <v>5361</v>
      </c>
      <c r="J1840" s="7">
        <v>1</v>
      </c>
      <c r="K1840" s="70" t="s">
        <v>53</v>
      </c>
      <c r="L1840" s="9">
        <v>0</v>
      </c>
      <c r="M1840" s="3">
        <v>1548</v>
      </c>
      <c r="N1840" s="6">
        <v>2007</v>
      </c>
      <c r="P1840" s="71"/>
      <c r="R1840" s="6">
        <v>2000</v>
      </c>
      <c r="S1840" s="3" t="s">
        <v>54</v>
      </c>
      <c r="T1840" s="72"/>
      <c r="U1840" s="73"/>
      <c r="W1840" s="2" t="s">
        <v>5362</v>
      </c>
      <c r="X1840" s="10" t="s">
        <v>56</v>
      </c>
      <c r="Y1840" s="10" t="s">
        <v>57</v>
      </c>
      <c r="Z1840" s="75" t="s">
        <v>58</v>
      </c>
      <c r="AA1840" s="76"/>
      <c r="AB1840" s="77">
        <v>42268</v>
      </c>
      <c r="AC1840" s="77">
        <v>42268</v>
      </c>
      <c r="AD1840" s="6"/>
      <c r="AE1840" s="7">
        <v>2007</v>
      </c>
      <c r="AF1840" s="7">
        <v>55</v>
      </c>
      <c r="AG1840" s="7">
        <v>2015</v>
      </c>
      <c r="AH1840" s="7">
        <v>2010</v>
      </c>
      <c r="AI1840" s="7"/>
      <c r="AJ1840" s="73"/>
      <c r="AK1840" s="7"/>
      <c r="AL1840" s="102" t="s">
        <v>5363</v>
      </c>
      <c r="AM1840" s="2" t="s">
        <v>59</v>
      </c>
      <c r="AW1840" s="6">
        <f t="shared" ca="1" si="31"/>
        <v>18</v>
      </c>
    </row>
    <row r="1841" ht="45" customHeight="1">
      <c r="A1841" s="69"/>
      <c r="B1841" s="3" t="s">
        <v>47</v>
      </c>
      <c r="D1841" s="5" t="s">
        <v>5359</v>
      </c>
      <c r="E1841" s="2" t="s">
        <v>48</v>
      </c>
      <c r="F1841" s="6" t="s">
        <v>564</v>
      </c>
      <c r="G1841" s="5" t="s">
        <v>4547</v>
      </c>
      <c r="H1841" s="2" t="s">
        <v>57</v>
      </c>
      <c r="I1841" s="195" t="s">
        <v>5364</v>
      </c>
      <c r="J1841" s="7">
        <v>1</v>
      </c>
      <c r="K1841" s="70" t="s">
        <v>53</v>
      </c>
      <c r="L1841" s="9">
        <v>1</v>
      </c>
      <c r="M1841" s="3">
        <v>1548</v>
      </c>
      <c r="N1841" s="6">
        <v>2007</v>
      </c>
      <c r="P1841" s="71"/>
      <c r="R1841" s="6">
        <v>2000</v>
      </c>
      <c r="S1841" s="3" t="s">
        <v>54</v>
      </c>
      <c r="T1841" s="72"/>
      <c r="U1841" s="73"/>
      <c r="W1841" s="2" t="s">
        <v>5365</v>
      </c>
      <c r="X1841" s="10" t="s">
        <v>56</v>
      </c>
      <c r="Y1841" s="10" t="s">
        <v>57</v>
      </c>
      <c r="Z1841" s="75"/>
      <c r="AA1841" s="76">
        <v>42262</v>
      </c>
      <c r="AB1841" s="77">
        <v>42262</v>
      </c>
      <c r="AC1841" s="77">
        <v>42262</v>
      </c>
      <c r="AD1841" s="6"/>
      <c r="AE1841" s="7">
        <v>2007</v>
      </c>
      <c r="AF1841" s="7">
        <v>55</v>
      </c>
      <c r="AG1841" s="7">
        <v>2015</v>
      </c>
      <c r="AH1841" s="7">
        <v>2010</v>
      </c>
      <c r="AI1841" s="7"/>
      <c r="AJ1841" s="73"/>
      <c r="AK1841" s="7"/>
      <c r="AL1841" s="102" t="s">
        <v>5363</v>
      </c>
      <c r="AM1841" s="2" t="s">
        <v>59</v>
      </c>
      <c r="AO1841" s="6" t="s">
        <v>53</v>
      </c>
      <c r="AP1841" s="6" t="s">
        <v>73</v>
      </c>
      <c r="AQ1841" s="5" t="s">
        <v>73</v>
      </c>
      <c r="AW1841" s="6">
        <f t="shared" ca="1" si="31"/>
        <v>18</v>
      </c>
    </row>
    <row r="1842" ht="45" customHeight="1" outlineLevel="1">
      <c r="A1842" s="69"/>
      <c r="B1842" s="3" t="s">
        <v>47</v>
      </c>
      <c r="D1842" s="5" t="s">
        <v>5359</v>
      </c>
      <c r="E1842" s="2" t="s">
        <v>48</v>
      </c>
      <c r="F1842" s="6" t="s">
        <v>564</v>
      </c>
      <c r="G1842" s="5" t="s">
        <v>4547</v>
      </c>
      <c r="H1842" s="2" t="s">
        <v>57</v>
      </c>
      <c r="I1842" s="195" t="s">
        <v>5366</v>
      </c>
      <c r="J1842" s="7">
        <v>1</v>
      </c>
      <c r="K1842" s="70" t="s">
        <v>53</v>
      </c>
      <c r="L1842" s="9">
        <v>0</v>
      </c>
      <c r="M1842" s="3">
        <v>1548</v>
      </c>
      <c r="N1842" s="6">
        <v>2007</v>
      </c>
      <c r="P1842" s="71"/>
      <c r="R1842" s="6">
        <v>2000</v>
      </c>
      <c r="S1842" s="3" t="s">
        <v>54</v>
      </c>
      <c r="T1842" s="72"/>
      <c r="U1842" s="73"/>
      <c r="W1842" s="2" t="s">
        <v>5367</v>
      </c>
      <c r="X1842" s="10" t="s">
        <v>56</v>
      </c>
      <c r="Y1842" s="10" t="s">
        <v>57</v>
      </c>
      <c r="Z1842" s="75"/>
      <c r="AA1842" s="76">
        <v>42263</v>
      </c>
      <c r="AB1842" s="77">
        <v>42263</v>
      </c>
      <c r="AC1842" s="77">
        <v>42263</v>
      </c>
      <c r="AD1842" s="6"/>
      <c r="AE1842" s="7">
        <v>2007</v>
      </c>
      <c r="AF1842" s="7">
        <v>55</v>
      </c>
      <c r="AG1842" s="7">
        <v>2015</v>
      </c>
      <c r="AH1842" s="7">
        <v>2010</v>
      </c>
      <c r="AI1842" s="7"/>
      <c r="AJ1842" s="73"/>
      <c r="AK1842" s="7"/>
      <c r="AL1842" s="102" t="s">
        <v>5363</v>
      </c>
      <c r="AM1842" s="2" t="s">
        <v>59</v>
      </c>
      <c r="AO1842" s="6" t="s">
        <v>53</v>
      </c>
      <c r="AP1842" s="6" t="s">
        <v>104</v>
      </c>
      <c r="AQ1842" s="5" t="s">
        <v>73</v>
      </c>
      <c r="AW1842" s="6">
        <f t="shared" ca="1" si="31"/>
        <v>18</v>
      </c>
    </row>
    <row r="1843" ht="45" customHeight="1" outlineLevel="1">
      <c r="A1843" s="69"/>
      <c r="B1843" s="3" t="s">
        <v>47</v>
      </c>
      <c r="D1843" s="5" t="s">
        <v>5359</v>
      </c>
      <c r="E1843" s="2" t="s">
        <v>48</v>
      </c>
      <c r="F1843" s="6" t="s">
        <v>564</v>
      </c>
      <c r="G1843" s="5" t="s">
        <v>4547</v>
      </c>
      <c r="H1843" s="2" t="s">
        <v>51</v>
      </c>
      <c r="I1843" s="195" t="s">
        <v>5368</v>
      </c>
      <c r="J1843" s="7">
        <v>1</v>
      </c>
      <c r="K1843" s="70" t="s">
        <v>53</v>
      </c>
      <c r="L1843" s="9">
        <v>0</v>
      </c>
      <c r="M1843" s="3">
        <v>1548</v>
      </c>
      <c r="N1843" s="6">
        <v>2007</v>
      </c>
      <c r="P1843" s="71"/>
      <c r="R1843" s="6">
        <v>2000</v>
      </c>
      <c r="S1843" s="3" t="s">
        <v>54</v>
      </c>
      <c r="T1843" s="72"/>
      <c r="U1843" s="73"/>
      <c r="W1843" s="2" t="s">
        <v>5369</v>
      </c>
      <c r="X1843" s="10" t="s">
        <v>56</v>
      </c>
      <c r="Y1843" s="10" t="s">
        <v>57</v>
      </c>
      <c r="Z1843" s="75" t="s">
        <v>58</v>
      </c>
      <c r="AA1843" s="76"/>
      <c r="AB1843" s="77">
        <v>42263</v>
      </c>
      <c r="AC1843" s="77">
        <v>42263</v>
      </c>
      <c r="AD1843" s="6"/>
      <c r="AE1843" s="7">
        <v>2007</v>
      </c>
      <c r="AF1843" s="7">
        <v>55</v>
      </c>
      <c r="AG1843" s="7">
        <v>2015</v>
      </c>
      <c r="AH1843" s="7">
        <v>2010</v>
      </c>
      <c r="AI1843" s="7"/>
      <c r="AJ1843" s="73"/>
      <c r="AK1843" s="7"/>
      <c r="AL1843" s="102" t="s">
        <v>5363</v>
      </c>
      <c r="AM1843" s="2" t="s">
        <v>59</v>
      </c>
      <c r="AO1843" s="6" t="s">
        <v>53</v>
      </c>
      <c r="AP1843" s="6" t="s">
        <v>104</v>
      </c>
      <c r="AQ1843" s="5" t="s">
        <v>73</v>
      </c>
      <c r="AW1843" s="6">
        <f t="shared" ca="1" si="31"/>
        <v>18</v>
      </c>
    </row>
    <row r="1844" ht="45" customHeight="1" outlineLevel="1">
      <c r="A1844" s="69"/>
      <c r="B1844" s="3" t="s">
        <v>47</v>
      </c>
      <c r="D1844" s="5" t="s">
        <v>5359</v>
      </c>
      <c r="E1844" s="2" t="s">
        <v>48</v>
      </c>
      <c r="F1844" s="6" t="s">
        <v>564</v>
      </c>
      <c r="G1844" s="5" t="s">
        <v>4547</v>
      </c>
      <c r="H1844" s="2" t="s">
        <v>57</v>
      </c>
      <c r="I1844" s="195" t="s">
        <v>5370</v>
      </c>
      <c r="J1844" s="7">
        <v>1</v>
      </c>
      <c r="K1844" s="70" t="s">
        <v>53</v>
      </c>
      <c r="L1844" s="9">
        <v>0</v>
      </c>
      <c r="M1844" s="3">
        <v>1548</v>
      </c>
      <c r="N1844" s="6">
        <v>2007</v>
      </c>
      <c r="P1844" s="71"/>
      <c r="R1844" s="6">
        <v>2000</v>
      </c>
      <c r="S1844" s="3" t="s">
        <v>54</v>
      </c>
      <c r="T1844" s="72"/>
      <c r="U1844" s="73"/>
      <c r="W1844" s="2" t="s">
        <v>5371</v>
      </c>
      <c r="X1844" s="10" t="s">
        <v>56</v>
      </c>
      <c r="Y1844" s="10" t="s">
        <v>57</v>
      </c>
      <c r="Z1844" s="75"/>
      <c r="AA1844" s="76"/>
      <c r="AB1844" s="77">
        <v>42262</v>
      </c>
      <c r="AC1844" s="77">
        <v>42262</v>
      </c>
      <c r="AD1844" s="6"/>
      <c r="AE1844" s="7">
        <v>2007</v>
      </c>
      <c r="AF1844" s="7">
        <v>55</v>
      </c>
      <c r="AG1844" s="7">
        <v>2015</v>
      </c>
      <c r="AH1844" s="7">
        <v>2010</v>
      </c>
      <c r="AI1844" s="7"/>
      <c r="AJ1844" s="73"/>
      <c r="AK1844" s="7"/>
      <c r="AL1844" s="102" t="s">
        <v>5363</v>
      </c>
      <c r="AM1844" s="2" t="s">
        <v>59</v>
      </c>
      <c r="AO1844" s="6" t="s">
        <v>53</v>
      </c>
      <c r="AP1844" s="6" t="s">
        <v>73</v>
      </c>
      <c r="AQ1844" s="5" t="s">
        <v>73</v>
      </c>
      <c r="AW1844" s="6">
        <f t="shared" ca="1" si="31"/>
        <v>18</v>
      </c>
    </row>
    <row r="1845" ht="45" customHeight="1" outlineLevel="1">
      <c r="A1845" s="69"/>
      <c r="B1845" s="3" t="s">
        <v>47</v>
      </c>
      <c r="D1845" s="5" t="s">
        <v>5359</v>
      </c>
      <c r="E1845" s="2" t="s">
        <v>48</v>
      </c>
      <c r="F1845" s="6" t="s">
        <v>564</v>
      </c>
      <c r="G1845" s="5" t="s">
        <v>4547</v>
      </c>
      <c r="H1845" s="2" t="s">
        <v>57</v>
      </c>
      <c r="I1845" s="195" t="s">
        <v>5372</v>
      </c>
      <c r="J1845" s="7">
        <v>1</v>
      </c>
      <c r="K1845" s="70" t="s">
        <v>53</v>
      </c>
      <c r="L1845" s="9">
        <v>0</v>
      </c>
      <c r="M1845" s="3">
        <v>1548</v>
      </c>
      <c r="N1845" s="6">
        <v>2007</v>
      </c>
      <c r="P1845" s="71"/>
      <c r="R1845" s="6">
        <v>2000</v>
      </c>
      <c r="S1845" s="3" t="s">
        <v>54</v>
      </c>
      <c r="T1845" s="72"/>
      <c r="U1845" s="73"/>
      <c r="W1845" s="2" t="s">
        <v>5373</v>
      </c>
      <c r="X1845" s="10" t="s">
        <v>56</v>
      </c>
      <c r="Y1845" s="10" t="s">
        <v>57</v>
      </c>
      <c r="Z1845" s="75"/>
      <c r="AA1845" s="76"/>
      <c r="AB1845" s="77">
        <v>42263</v>
      </c>
      <c r="AC1845" s="77">
        <v>42263</v>
      </c>
      <c r="AD1845" s="6"/>
      <c r="AE1845" s="7">
        <v>2007</v>
      </c>
      <c r="AF1845" s="7">
        <v>55</v>
      </c>
      <c r="AG1845" s="7">
        <v>2015</v>
      </c>
      <c r="AH1845" s="7">
        <v>2010</v>
      </c>
      <c r="AI1845" s="7"/>
      <c r="AJ1845" s="73"/>
      <c r="AK1845" s="7"/>
      <c r="AL1845" s="102" t="s">
        <v>5363</v>
      </c>
      <c r="AM1845" s="2" t="s">
        <v>59</v>
      </c>
      <c r="AO1845" s="6" t="s">
        <v>53</v>
      </c>
      <c r="AP1845" s="6" t="s">
        <v>104</v>
      </c>
      <c r="AQ1845" s="5" t="s">
        <v>73</v>
      </c>
      <c r="AW1845" s="6">
        <f t="shared" ca="1" si="31"/>
        <v>18</v>
      </c>
    </row>
    <row r="1846" ht="45" customHeight="1" outlineLevel="1">
      <c r="A1846" s="69"/>
      <c r="B1846" s="3" t="s">
        <v>47</v>
      </c>
      <c r="D1846" s="5" t="s">
        <v>5359</v>
      </c>
      <c r="E1846" s="2" t="s">
        <v>48</v>
      </c>
      <c r="F1846" s="6" t="s">
        <v>564</v>
      </c>
      <c r="G1846" s="5" t="s">
        <v>4547</v>
      </c>
      <c r="H1846" s="2" t="s">
        <v>57</v>
      </c>
      <c r="I1846" s="195" t="s">
        <v>5374</v>
      </c>
      <c r="J1846" s="7">
        <v>1</v>
      </c>
      <c r="K1846" s="70" t="s">
        <v>53</v>
      </c>
      <c r="L1846" s="9">
        <v>0</v>
      </c>
      <c r="M1846" s="3">
        <v>1548</v>
      </c>
      <c r="N1846" s="6">
        <v>2007</v>
      </c>
      <c r="P1846" s="71"/>
      <c r="R1846" s="6">
        <v>2000</v>
      </c>
      <c r="S1846" s="3" t="s">
        <v>54</v>
      </c>
      <c r="T1846" s="72"/>
      <c r="U1846" s="73"/>
      <c r="W1846" s="2" t="s">
        <v>5375</v>
      </c>
      <c r="X1846" s="10" t="s">
        <v>56</v>
      </c>
      <c r="Y1846" s="10" t="s">
        <v>57</v>
      </c>
      <c r="Z1846" s="75"/>
      <c r="AA1846" s="76"/>
      <c r="AB1846" s="77">
        <v>42263</v>
      </c>
      <c r="AC1846" s="77">
        <v>42263</v>
      </c>
      <c r="AD1846" s="6"/>
      <c r="AE1846" s="7">
        <v>2007</v>
      </c>
      <c r="AF1846" s="7">
        <v>55</v>
      </c>
      <c r="AG1846" s="7">
        <v>2015</v>
      </c>
      <c r="AH1846" s="7">
        <v>2010</v>
      </c>
      <c r="AI1846" s="7"/>
      <c r="AJ1846" s="73"/>
      <c r="AK1846" s="7"/>
      <c r="AL1846" s="102" t="s">
        <v>5363</v>
      </c>
      <c r="AM1846" s="2" t="s">
        <v>59</v>
      </c>
      <c r="AO1846" s="6" t="s">
        <v>53</v>
      </c>
      <c r="AP1846" s="6" t="s">
        <v>104</v>
      </c>
      <c r="AQ1846" s="5" t="s">
        <v>73</v>
      </c>
      <c r="AW1846" s="6">
        <f t="shared" ca="1" si="31"/>
        <v>18</v>
      </c>
    </row>
    <row r="1847" ht="45" customHeight="1" outlineLevel="1">
      <c r="A1847" s="69"/>
      <c r="B1847" s="3" t="s">
        <v>47</v>
      </c>
      <c r="D1847" s="5" t="s">
        <v>5359</v>
      </c>
      <c r="E1847" s="2" t="s">
        <v>48</v>
      </c>
      <c r="F1847" s="6" t="s">
        <v>564</v>
      </c>
      <c r="G1847" s="5" t="s">
        <v>5376</v>
      </c>
      <c r="H1847" s="2" t="s">
        <v>57</v>
      </c>
      <c r="I1847" s="195" t="s">
        <v>5377</v>
      </c>
      <c r="J1847" s="7">
        <v>1</v>
      </c>
      <c r="K1847" s="70" t="s">
        <v>53</v>
      </c>
      <c r="L1847" s="9">
        <v>0</v>
      </c>
      <c r="M1847" s="3">
        <v>1548</v>
      </c>
      <c r="N1847" s="6">
        <v>2007</v>
      </c>
      <c r="P1847" s="71"/>
      <c r="R1847" s="6">
        <v>2000</v>
      </c>
      <c r="S1847" s="3" t="s">
        <v>54</v>
      </c>
      <c r="T1847" s="72"/>
      <c r="U1847" s="73"/>
      <c r="W1847" s="2" t="s">
        <v>5378</v>
      </c>
      <c r="X1847" s="10" t="s">
        <v>56</v>
      </c>
      <c r="Y1847" s="10" t="s">
        <v>57</v>
      </c>
      <c r="Z1847" s="75"/>
      <c r="AA1847" s="76"/>
      <c r="AB1847" s="77">
        <v>42261</v>
      </c>
      <c r="AC1847" s="77">
        <v>42261</v>
      </c>
      <c r="AD1847" s="6"/>
      <c r="AE1847" s="7">
        <v>2007</v>
      </c>
      <c r="AF1847" s="7">
        <v>55</v>
      </c>
      <c r="AG1847" s="7">
        <v>2015</v>
      </c>
      <c r="AH1847" s="7">
        <v>2010</v>
      </c>
      <c r="AI1847" s="7"/>
      <c r="AJ1847" s="73"/>
      <c r="AK1847" s="7"/>
      <c r="AL1847" s="102" t="s">
        <v>5363</v>
      </c>
      <c r="AM1847" s="2" t="s">
        <v>59</v>
      </c>
      <c r="AW1847" s="6">
        <f t="shared" ca="1" si="31"/>
        <v>18</v>
      </c>
    </row>
    <row r="1848" ht="45" customHeight="1" outlineLevel="1">
      <c r="A1848" s="69"/>
      <c r="B1848" s="3" t="s">
        <v>47</v>
      </c>
      <c r="D1848" s="5" t="s">
        <v>5359</v>
      </c>
      <c r="E1848" s="2" t="s">
        <v>48</v>
      </c>
      <c r="F1848" s="6" t="s">
        <v>564</v>
      </c>
      <c r="G1848" s="5" t="s">
        <v>4035</v>
      </c>
      <c r="H1848" s="2" t="s">
        <v>51</v>
      </c>
      <c r="I1848" s="195" t="s">
        <v>5379</v>
      </c>
      <c r="J1848" s="7">
        <v>1</v>
      </c>
      <c r="K1848" s="70" t="s">
        <v>53</v>
      </c>
      <c r="L1848" s="9">
        <v>0</v>
      </c>
      <c r="M1848" s="3">
        <v>1548</v>
      </c>
      <c r="N1848" s="6">
        <v>2007</v>
      </c>
      <c r="P1848" s="71"/>
      <c r="R1848" s="6">
        <v>2000</v>
      </c>
      <c r="S1848" s="3" t="s">
        <v>54</v>
      </c>
      <c r="T1848" s="72"/>
      <c r="U1848" s="73"/>
      <c r="W1848" s="2" t="s">
        <v>5380</v>
      </c>
      <c r="X1848" s="10" t="s">
        <v>56</v>
      </c>
      <c r="Y1848" s="10" t="s">
        <v>57</v>
      </c>
      <c r="Z1848" s="75" t="s">
        <v>58</v>
      </c>
      <c r="AA1848" s="76">
        <v>42261</v>
      </c>
      <c r="AB1848" s="77">
        <v>42261</v>
      </c>
      <c r="AC1848" s="77">
        <v>42261</v>
      </c>
      <c r="AD1848" s="6"/>
      <c r="AE1848" s="7">
        <v>2007</v>
      </c>
      <c r="AF1848" s="7">
        <v>55</v>
      </c>
      <c r="AG1848" s="7">
        <v>2015</v>
      </c>
      <c r="AH1848" s="7">
        <v>2010</v>
      </c>
      <c r="AI1848" s="7"/>
      <c r="AJ1848" s="73"/>
      <c r="AK1848" s="7"/>
      <c r="AL1848" s="102" t="s">
        <v>5363</v>
      </c>
      <c r="AM1848" s="2" t="s">
        <v>59</v>
      </c>
      <c r="AW1848" s="6">
        <f t="shared" ca="1" si="31"/>
        <v>18</v>
      </c>
    </row>
    <row r="1849" ht="45" customHeight="1">
      <c r="A1849" s="69"/>
      <c r="B1849" s="3" t="s">
        <v>47</v>
      </c>
      <c r="D1849" s="5" t="s">
        <v>5359</v>
      </c>
      <c r="E1849" s="2" t="s">
        <v>48</v>
      </c>
      <c r="F1849" s="6" t="s">
        <v>564</v>
      </c>
      <c r="G1849" s="5" t="s">
        <v>4035</v>
      </c>
      <c r="H1849" s="2" t="s">
        <v>57</v>
      </c>
      <c r="I1849" s="195" t="s">
        <v>5381</v>
      </c>
      <c r="J1849" s="7">
        <v>1</v>
      </c>
      <c r="K1849" s="70" t="s">
        <v>53</v>
      </c>
      <c r="L1849" s="9">
        <v>0</v>
      </c>
      <c r="M1849" s="3">
        <v>1548</v>
      </c>
      <c r="N1849" s="6">
        <v>2007</v>
      </c>
      <c r="P1849" s="71"/>
      <c r="R1849" s="6">
        <v>2000</v>
      </c>
      <c r="S1849" s="3" t="s">
        <v>54</v>
      </c>
      <c r="T1849" s="72"/>
      <c r="U1849" s="73"/>
      <c r="W1849" s="2" t="s">
        <v>5382</v>
      </c>
      <c r="X1849" s="10" t="s">
        <v>56</v>
      </c>
      <c r="Y1849" s="10" t="s">
        <v>57</v>
      </c>
      <c r="Z1849" s="75"/>
      <c r="AA1849" s="76"/>
      <c r="AB1849" s="77">
        <v>42262</v>
      </c>
      <c r="AC1849" s="77">
        <v>42262</v>
      </c>
      <c r="AD1849" s="6"/>
      <c r="AE1849" s="7">
        <v>2007</v>
      </c>
      <c r="AF1849" s="7">
        <v>55</v>
      </c>
      <c r="AG1849" s="7">
        <v>2015</v>
      </c>
      <c r="AH1849" s="7">
        <v>2010</v>
      </c>
      <c r="AI1849" s="7"/>
      <c r="AJ1849" s="73"/>
      <c r="AK1849" s="7"/>
      <c r="AL1849" s="102" t="s">
        <v>5363</v>
      </c>
      <c r="AM1849" s="2" t="s">
        <v>59</v>
      </c>
      <c r="AW1849" s="6">
        <f t="shared" ca="1" si="31"/>
        <v>18</v>
      </c>
    </row>
    <row r="1850" ht="45" customHeight="1" outlineLevel="1">
      <c r="A1850" s="69"/>
      <c r="B1850" s="3" t="s">
        <v>47</v>
      </c>
      <c r="D1850" s="5" t="s">
        <v>5359</v>
      </c>
      <c r="E1850" s="2" t="s">
        <v>48</v>
      </c>
      <c r="F1850" s="6" t="s">
        <v>564</v>
      </c>
      <c r="G1850" s="5" t="s">
        <v>4035</v>
      </c>
      <c r="H1850" s="2" t="s">
        <v>57</v>
      </c>
      <c r="I1850" s="195" t="s">
        <v>5383</v>
      </c>
      <c r="J1850" s="7">
        <v>1</v>
      </c>
      <c r="K1850" s="70" t="s">
        <v>53</v>
      </c>
      <c r="L1850" s="9">
        <v>0</v>
      </c>
      <c r="M1850" s="3">
        <v>1548</v>
      </c>
      <c r="N1850" s="6">
        <v>2007</v>
      </c>
      <c r="P1850" s="71"/>
      <c r="R1850" s="6">
        <v>2000</v>
      </c>
      <c r="S1850" s="3" t="s">
        <v>54</v>
      </c>
      <c r="T1850" s="72"/>
      <c r="U1850" s="73"/>
      <c r="W1850" s="2" t="s">
        <v>5384</v>
      </c>
      <c r="X1850" s="10" t="s">
        <v>56</v>
      </c>
      <c r="Y1850" s="10" t="s">
        <v>57</v>
      </c>
      <c r="Z1850" s="75"/>
      <c r="AA1850" s="76"/>
      <c r="AB1850" s="77">
        <v>42262</v>
      </c>
      <c r="AC1850" s="77">
        <v>42262</v>
      </c>
      <c r="AD1850" s="6"/>
      <c r="AE1850" s="7">
        <v>2007</v>
      </c>
      <c r="AF1850" s="7">
        <v>55</v>
      </c>
      <c r="AG1850" s="7">
        <v>2015</v>
      </c>
      <c r="AH1850" s="7">
        <v>2010</v>
      </c>
      <c r="AI1850" s="7"/>
      <c r="AJ1850" s="73"/>
      <c r="AK1850" s="7"/>
      <c r="AL1850" s="102" t="s">
        <v>5363</v>
      </c>
      <c r="AM1850" s="2" t="s">
        <v>59</v>
      </c>
      <c r="AW1850" s="6">
        <f t="shared" ca="1" si="31"/>
        <v>18</v>
      </c>
    </row>
    <row r="1851" ht="45" customHeight="1" outlineLevel="1">
      <c r="A1851" s="69"/>
      <c r="B1851" s="3" t="s">
        <v>47</v>
      </c>
      <c r="D1851" s="5" t="s">
        <v>5359</v>
      </c>
      <c r="E1851" s="2" t="s">
        <v>48</v>
      </c>
      <c r="F1851" s="6" t="s">
        <v>564</v>
      </c>
      <c r="G1851" s="5" t="s">
        <v>4035</v>
      </c>
      <c r="H1851" s="2" t="s">
        <v>57</v>
      </c>
      <c r="I1851" s="195" t="s">
        <v>5385</v>
      </c>
      <c r="J1851" s="7">
        <v>1</v>
      </c>
      <c r="K1851" s="70" t="s">
        <v>53</v>
      </c>
      <c r="L1851" s="9">
        <v>0</v>
      </c>
      <c r="M1851" s="3">
        <v>1548</v>
      </c>
      <c r="N1851" s="6">
        <v>2007</v>
      </c>
      <c r="P1851" s="71"/>
      <c r="R1851" s="6">
        <v>2000</v>
      </c>
      <c r="S1851" s="3" t="s">
        <v>54</v>
      </c>
      <c r="T1851" s="72"/>
      <c r="U1851" s="73"/>
      <c r="W1851" s="2" t="s">
        <v>5386</v>
      </c>
      <c r="X1851" s="10" t="s">
        <v>56</v>
      </c>
      <c r="Y1851" s="10" t="s">
        <v>57</v>
      </c>
      <c r="Z1851" s="75"/>
      <c r="AA1851" s="76"/>
      <c r="AB1851" s="77">
        <v>42262</v>
      </c>
      <c r="AC1851" s="77">
        <v>42262</v>
      </c>
      <c r="AD1851" s="6"/>
      <c r="AE1851" s="7">
        <v>2007</v>
      </c>
      <c r="AF1851" s="7">
        <v>55</v>
      </c>
      <c r="AG1851" s="7">
        <v>2015</v>
      </c>
      <c r="AH1851" s="7">
        <v>2010</v>
      </c>
      <c r="AI1851" s="7"/>
      <c r="AJ1851" s="73"/>
      <c r="AK1851" s="7"/>
      <c r="AL1851" s="102" t="s">
        <v>5363</v>
      </c>
      <c r="AM1851" s="2" t="s">
        <v>59</v>
      </c>
      <c r="AW1851" s="6">
        <f t="shared" ca="1" si="31"/>
        <v>18</v>
      </c>
    </row>
    <row r="1852" ht="45" customHeight="1" outlineLevel="1">
      <c r="A1852" s="69"/>
      <c r="B1852" s="3" t="s">
        <v>47</v>
      </c>
      <c r="D1852" s="5" t="s">
        <v>5359</v>
      </c>
      <c r="E1852" s="2" t="s">
        <v>48</v>
      </c>
      <c r="F1852" s="6" t="s">
        <v>564</v>
      </c>
      <c r="G1852" s="5" t="s">
        <v>4035</v>
      </c>
      <c r="H1852" s="2" t="s">
        <v>57</v>
      </c>
      <c r="I1852" s="195" t="s">
        <v>5387</v>
      </c>
      <c r="J1852" s="7">
        <v>1</v>
      </c>
      <c r="K1852" s="70" t="s">
        <v>53</v>
      </c>
      <c r="L1852" s="9">
        <v>0</v>
      </c>
      <c r="M1852" s="3">
        <v>1548</v>
      </c>
      <c r="N1852" s="6">
        <v>2007</v>
      </c>
      <c r="P1852" s="71"/>
      <c r="R1852" s="6">
        <v>2000</v>
      </c>
      <c r="S1852" s="3" t="s">
        <v>54</v>
      </c>
      <c r="T1852" s="72"/>
      <c r="U1852" s="73"/>
      <c r="W1852" s="2" t="s">
        <v>5388</v>
      </c>
      <c r="X1852" s="10" t="s">
        <v>56</v>
      </c>
      <c r="Y1852" s="10" t="s">
        <v>57</v>
      </c>
      <c r="Z1852" s="75"/>
      <c r="AA1852" s="76"/>
      <c r="AB1852" s="77">
        <v>42262</v>
      </c>
      <c r="AC1852" s="77">
        <v>42262</v>
      </c>
      <c r="AD1852" s="6"/>
      <c r="AE1852" s="7">
        <v>2007</v>
      </c>
      <c r="AF1852" s="7">
        <v>55</v>
      </c>
      <c r="AG1852" s="7">
        <v>2015</v>
      </c>
      <c r="AH1852" s="7">
        <v>2010</v>
      </c>
      <c r="AI1852" s="7"/>
      <c r="AJ1852" s="73"/>
      <c r="AK1852" s="7"/>
      <c r="AL1852" s="102" t="s">
        <v>5363</v>
      </c>
      <c r="AM1852" s="2" t="s">
        <v>59</v>
      </c>
      <c r="AW1852" s="6">
        <f t="shared" ca="1" si="31"/>
        <v>18</v>
      </c>
    </row>
    <row r="1853" ht="45" customHeight="1">
      <c r="A1853" s="69"/>
      <c r="B1853" s="3" t="s">
        <v>47</v>
      </c>
      <c r="D1853" s="5" t="s">
        <v>5359</v>
      </c>
      <c r="E1853" s="2" t="s">
        <v>48</v>
      </c>
      <c r="F1853" s="6" t="s">
        <v>564</v>
      </c>
      <c r="G1853" s="5" t="s">
        <v>4035</v>
      </c>
      <c r="H1853" s="2" t="s">
        <v>57</v>
      </c>
      <c r="I1853" s="195" t="s">
        <v>5389</v>
      </c>
      <c r="J1853" s="7">
        <v>1</v>
      </c>
      <c r="K1853" s="70" t="s">
        <v>53</v>
      </c>
      <c r="L1853" s="9">
        <v>0</v>
      </c>
      <c r="M1853" s="3">
        <v>1548</v>
      </c>
      <c r="N1853" s="6">
        <v>2007</v>
      </c>
      <c r="P1853" s="71"/>
      <c r="R1853" s="6">
        <v>2000</v>
      </c>
      <c r="S1853" s="3" t="s">
        <v>54</v>
      </c>
      <c r="T1853" s="72"/>
      <c r="U1853" s="73"/>
      <c r="W1853" s="2" t="s">
        <v>5390</v>
      </c>
      <c r="X1853" s="10" t="s">
        <v>56</v>
      </c>
      <c r="Y1853" s="10" t="s">
        <v>57</v>
      </c>
      <c r="Z1853" s="75"/>
      <c r="AA1853" s="76"/>
      <c r="AB1853" s="77">
        <v>42262</v>
      </c>
      <c r="AC1853" s="77">
        <v>42262</v>
      </c>
      <c r="AD1853" s="6"/>
      <c r="AE1853" s="7">
        <v>2007</v>
      </c>
      <c r="AF1853" s="7">
        <v>55</v>
      </c>
      <c r="AG1853" s="7">
        <v>2015</v>
      </c>
      <c r="AH1853" s="7">
        <v>2010</v>
      </c>
      <c r="AI1853" s="7"/>
      <c r="AJ1853" s="73"/>
      <c r="AK1853" s="7"/>
      <c r="AL1853" s="102" t="s">
        <v>5363</v>
      </c>
      <c r="AM1853" s="2" t="s">
        <v>59</v>
      </c>
      <c r="AW1853" s="6">
        <f t="shared" ca="1" si="31"/>
        <v>18</v>
      </c>
    </row>
    <row r="1854" ht="45" customHeight="1" outlineLevel="1">
      <c r="A1854" s="69"/>
      <c r="B1854" s="3" t="s">
        <v>47</v>
      </c>
      <c r="D1854" s="5" t="s">
        <v>5359</v>
      </c>
      <c r="E1854" s="2" t="s">
        <v>48</v>
      </c>
      <c r="F1854" s="6" t="s">
        <v>564</v>
      </c>
      <c r="G1854" s="5" t="s">
        <v>5391</v>
      </c>
      <c r="H1854" s="2" t="s">
        <v>51</v>
      </c>
      <c r="I1854" s="195" t="s">
        <v>5392</v>
      </c>
      <c r="J1854" s="7">
        <v>1</v>
      </c>
      <c r="K1854" s="70" t="s">
        <v>53</v>
      </c>
      <c r="L1854" s="9">
        <v>0</v>
      </c>
      <c r="M1854" s="3">
        <v>1548</v>
      </c>
      <c r="N1854" s="6">
        <v>2007</v>
      </c>
      <c r="P1854" s="71"/>
      <c r="R1854" s="6">
        <v>2000</v>
      </c>
      <c r="S1854" s="3" t="s">
        <v>54</v>
      </c>
      <c r="T1854" s="72"/>
      <c r="U1854" s="73"/>
      <c r="W1854" s="2" t="s">
        <v>5393</v>
      </c>
      <c r="X1854" s="10" t="s">
        <v>56</v>
      </c>
      <c r="Y1854" s="10" t="s">
        <v>57</v>
      </c>
      <c r="Z1854" s="75" t="s">
        <v>58</v>
      </c>
      <c r="AA1854" s="76">
        <v>42263</v>
      </c>
      <c r="AB1854" s="77">
        <v>42263</v>
      </c>
      <c r="AC1854" s="77">
        <v>42263</v>
      </c>
      <c r="AD1854" s="6"/>
      <c r="AE1854" s="7">
        <v>2007</v>
      </c>
      <c r="AF1854" s="7">
        <v>55</v>
      </c>
      <c r="AG1854" s="7">
        <v>2015</v>
      </c>
      <c r="AH1854" s="7">
        <v>2010</v>
      </c>
      <c r="AI1854" s="7"/>
      <c r="AJ1854" s="73"/>
      <c r="AK1854" s="7"/>
      <c r="AL1854" s="102" t="s">
        <v>5363</v>
      </c>
      <c r="AM1854" s="2" t="s">
        <v>59</v>
      </c>
      <c r="AO1854" s="6" t="s">
        <v>53</v>
      </c>
      <c r="AP1854" s="6" t="s">
        <v>104</v>
      </c>
      <c r="AQ1854" s="5" t="s">
        <v>73</v>
      </c>
      <c r="AW1854" s="6">
        <f t="shared" ca="1" si="31"/>
        <v>18</v>
      </c>
    </row>
    <row r="1855" ht="45" customHeight="1" outlineLevel="1">
      <c r="A1855" s="69"/>
      <c r="B1855" s="3" t="s">
        <v>47</v>
      </c>
      <c r="D1855" s="5" t="s">
        <v>5359</v>
      </c>
      <c r="E1855" s="2" t="s">
        <v>48</v>
      </c>
      <c r="F1855" s="6" t="s">
        <v>564</v>
      </c>
      <c r="G1855" s="5" t="s">
        <v>5391</v>
      </c>
      <c r="H1855" s="2" t="s">
        <v>57</v>
      </c>
      <c r="I1855" s="195" t="s">
        <v>5394</v>
      </c>
      <c r="J1855" s="7">
        <v>1</v>
      </c>
      <c r="K1855" s="70" t="s">
        <v>53</v>
      </c>
      <c r="L1855" s="9">
        <v>0</v>
      </c>
      <c r="M1855" s="3">
        <v>1548</v>
      </c>
      <c r="N1855" s="6">
        <v>2007</v>
      </c>
      <c r="P1855" s="71"/>
      <c r="R1855" s="6">
        <v>2000</v>
      </c>
      <c r="S1855" s="3" t="s">
        <v>54</v>
      </c>
      <c r="T1855" s="72"/>
      <c r="U1855" s="73"/>
      <c r="W1855" s="2" t="s">
        <v>5395</v>
      </c>
      <c r="X1855" s="10" t="s">
        <v>56</v>
      </c>
      <c r="Y1855" s="10" t="s">
        <v>57</v>
      </c>
      <c r="Z1855" s="75"/>
      <c r="AA1855" s="76"/>
      <c r="AB1855" s="77">
        <v>42263</v>
      </c>
      <c r="AC1855" s="77">
        <v>42263</v>
      </c>
      <c r="AD1855" s="6"/>
      <c r="AE1855" s="7">
        <v>2007</v>
      </c>
      <c r="AF1855" s="7">
        <v>55</v>
      </c>
      <c r="AG1855" s="7">
        <v>2015</v>
      </c>
      <c r="AH1855" s="7">
        <v>2010</v>
      </c>
      <c r="AI1855" s="7"/>
      <c r="AJ1855" s="73"/>
      <c r="AK1855" s="7"/>
      <c r="AL1855" s="102" t="s">
        <v>5363</v>
      </c>
      <c r="AM1855" s="2" t="s">
        <v>59</v>
      </c>
      <c r="AO1855" s="6" t="s">
        <v>59</v>
      </c>
      <c r="AP1855" s="6" t="s">
        <v>104</v>
      </c>
      <c r="AQ1855" s="5" t="s">
        <v>104</v>
      </c>
      <c r="AU1855" s="16" t="s">
        <v>5396</v>
      </c>
      <c r="AW1855" s="6">
        <f t="shared" ca="1" si="31"/>
        <v>18</v>
      </c>
    </row>
    <row r="1856" ht="45" customHeight="1" outlineLevel="1">
      <c r="A1856" s="69"/>
      <c r="B1856" s="3" t="s">
        <v>47</v>
      </c>
      <c r="D1856" s="5" t="s">
        <v>5359</v>
      </c>
      <c r="E1856" s="2" t="s">
        <v>48</v>
      </c>
      <c r="F1856" s="6" t="s">
        <v>564</v>
      </c>
      <c r="G1856" s="5" t="s">
        <v>5391</v>
      </c>
      <c r="H1856" s="2" t="s">
        <v>51</v>
      </c>
      <c r="I1856" s="195" t="s">
        <v>5397</v>
      </c>
      <c r="J1856" s="7">
        <v>1</v>
      </c>
      <c r="K1856" s="70" t="s">
        <v>53</v>
      </c>
      <c r="L1856" s="9">
        <v>0</v>
      </c>
      <c r="M1856" s="3">
        <v>1548</v>
      </c>
      <c r="N1856" s="6">
        <v>2007</v>
      </c>
      <c r="P1856" s="71"/>
      <c r="R1856" s="6">
        <v>2000</v>
      </c>
      <c r="S1856" s="3" t="s">
        <v>54</v>
      </c>
      <c r="T1856" s="72"/>
      <c r="U1856" s="73"/>
      <c r="W1856" s="2" t="s">
        <v>5398</v>
      </c>
      <c r="X1856" s="10" t="s">
        <v>56</v>
      </c>
      <c r="Y1856" s="10" t="s">
        <v>57</v>
      </c>
      <c r="Z1856" s="75" t="s">
        <v>58</v>
      </c>
      <c r="AA1856" s="76"/>
      <c r="AB1856" s="77">
        <v>42263</v>
      </c>
      <c r="AC1856" s="77">
        <v>42263</v>
      </c>
      <c r="AD1856" s="6"/>
      <c r="AE1856" s="7">
        <v>2007</v>
      </c>
      <c r="AF1856" s="7">
        <v>55</v>
      </c>
      <c r="AG1856" s="7">
        <v>2015</v>
      </c>
      <c r="AH1856" s="7">
        <v>2010</v>
      </c>
      <c r="AI1856" s="7"/>
      <c r="AJ1856" s="73"/>
      <c r="AK1856" s="7"/>
      <c r="AL1856" s="102" t="s">
        <v>5363</v>
      </c>
      <c r="AM1856" s="2" t="s">
        <v>59</v>
      </c>
      <c r="AO1856" s="6" t="s">
        <v>59</v>
      </c>
      <c r="AP1856" s="6" t="s">
        <v>104</v>
      </c>
      <c r="AQ1856" s="5" t="s">
        <v>104</v>
      </c>
      <c r="AU1856" s="16" t="s">
        <v>5396</v>
      </c>
      <c r="AW1856" s="6">
        <f t="shared" ca="1" si="31"/>
        <v>18</v>
      </c>
    </row>
    <row r="1857" ht="45" customHeight="1" outlineLevel="1">
      <c r="A1857" s="69"/>
      <c r="B1857" s="3" t="s">
        <v>47</v>
      </c>
      <c r="D1857" s="5" t="s">
        <v>5359</v>
      </c>
      <c r="E1857" s="2" t="s">
        <v>48</v>
      </c>
      <c r="F1857" s="6" t="s">
        <v>564</v>
      </c>
      <c r="G1857" s="5" t="s">
        <v>5391</v>
      </c>
      <c r="H1857" s="2" t="s">
        <v>288</v>
      </c>
      <c r="I1857" s="195" t="s">
        <v>5399</v>
      </c>
      <c r="J1857" s="7">
        <v>1</v>
      </c>
      <c r="K1857" s="70" t="s">
        <v>53</v>
      </c>
      <c r="L1857" s="9">
        <v>0</v>
      </c>
      <c r="M1857" s="3">
        <v>1548</v>
      </c>
      <c r="N1857" s="6">
        <v>2007</v>
      </c>
      <c r="P1857" s="71"/>
      <c r="R1857" s="6">
        <v>2000</v>
      </c>
      <c r="S1857" s="3" t="s">
        <v>54</v>
      </c>
      <c r="T1857" s="72"/>
      <c r="U1857" s="73"/>
      <c r="W1857" s="2" t="s">
        <v>5400</v>
      </c>
      <c r="X1857" s="10" t="s">
        <v>56</v>
      </c>
      <c r="Y1857" s="10" t="s">
        <v>288</v>
      </c>
      <c r="Z1857" s="75"/>
      <c r="AA1857" s="76">
        <v>42263</v>
      </c>
      <c r="AB1857" s="77">
        <v>42263</v>
      </c>
      <c r="AC1857" s="77"/>
      <c r="AD1857" s="6"/>
      <c r="AE1857" s="7">
        <v>2007</v>
      </c>
      <c r="AF1857" s="7">
        <v>55</v>
      </c>
      <c r="AG1857" s="7">
        <v>2015</v>
      </c>
      <c r="AH1857" s="7">
        <v>2010</v>
      </c>
      <c r="AI1857" s="7"/>
      <c r="AJ1857" s="73"/>
      <c r="AK1857" s="7"/>
      <c r="AL1857" s="102" t="s">
        <v>5363</v>
      </c>
      <c r="AM1857" s="2" t="s">
        <v>53</v>
      </c>
      <c r="AO1857" s="6" t="s">
        <v>53</v>
      </c>
      <c r="AP1857" s="6" t="s">
        <v>104</v>
      </c>
      <c r="AQ1857" s="5" t="s">
        <v>73</v>
      </c>
      <c r="AW1857" s="6">
        <f t="shared" ca="1" si="31"/>
        <v>18</v>
      </c>
    </row>
    <row r="1858" ht="45" customHeight="1" outlineLevel="1">
      <c r="A1858" s="69"/>
      <c r="B1858" s="3" t="s">
        <v>47</v>
      </c>
      <c r="D1858" s="5" t="s">
        <v>5359</v>
      </c>
      <c r="E1858" s="2" t="s">
        <v>48</v>
      </c>
      <c r="F1858" s="6" t="s">
        <v>564</v>
      </c>
      <c r="G1858" s="5" t="s">
        <v>5401</v>
      </c>
      <c r="H1858" s="2" t="s">
        <v>57</v>
      </c>
      <c r="I1858" s="195" t="s">
        <v>5402</v>
      </c>
      <c r="J1858" s="7">
        <v>1</v>
      </c>
      <c r="K1858" s="70" t="s">
        <v>53</v>
      </c>
      <c r="L1858" s="9">
        <v>0</v>
      </c>
      <c r="M1858" s="3">
        <v>1548</v>
      </c>
      <c r="N1858" s="6">
        <v>2007</v>
      </c>
      <c r="P1858" s="71"/>
      <c r="R1858" s="6">
        <v>2000</v>
      </c>
      <c r="S1858" s="3" t="s">
        <v>54</v>
      </c>
      <c r="T1858" s="72"/>
      <c r="U1858" s="73"/>
      <c r="W1858" s="2" t="s">
        <v>5403</v>
      </c>
      <c r="X1858" s="10" t="s">
        <v>56</v>
      </c>
      <c r="Y1858" s="10" t="s">
        <v>57</v>
      </c>
      <c r="Z1858" s="75"/>
      <c r="AA1858" s="76"/>
      <c r="AB1858" s="77">
        <v>42264</v>
      </c>
      <c r="AC1858" s="77">
        <v>42264</v>
      </c>
      <c r="AD1858" s="6"/>
      <c r="AE1858" s="7">
        <v>2007</v>
      </c>
      <c r="AF1858" s="7">
        <v>55</v>
      </c>
      <c r="AG1858" s="7">
        <v>2015</v>
      </c>
      <c r="AH1858" s="7">
        <v>2010</v>
      </c>
      <c r="AI1858" s="7"/>
      <c r="AJ1858" s="73"/>
      <c r="AK1858" s="7"/>
      <c r="AL1858" s="102" t="s">
        <v>5363</v>
      </c>
      <c r="AM1858" s="2" t="s">
        <v>59</v>
      </c>
      <c r="AN1858" s="6" t="s">
        <v>73</v>
      </c>
      <c r="AO1858" s="6" t="s">
        <v>59</v>
      </c>
      <c r="AP1858" s="6" t="s">
        <v>73</v>
      </c>
      <c r="AQ1858" s="5" t="s">
        <v>73</v>
      </c>
      <c r="AU1858" s="16" t="s">
        <v>5404</v>
      </c>
      <c r="AW1858" s="6">
        <f t="shared" ca="1" si="31"/>
        <v>18</v>
      </c>
    </row>
    <row r="1859" ht="45" customHeight="1">
      <c r="A1859" s="69"/>
      <c r="B1859" s="3" t="s">
        <v>47</v>
      </c>
      <c r="D1859" s="5" t="s">
        <v>5359</v>
      </c>
      <c r="E1859" s="2" t="s">
        <v>48</v>
      </c>
      <c r="F1859" s="6" t="s">
        <v>564</v>
      </c>
      <c r="G1859" s="5" t="s">
        <v>5401</v>
      </c>
      <c r="H1859" s="2" t="s">
        <v>57</v>
      </c>
      <c r="I1859" s="195" t="s">
        <v>5405</v>
      </c>
      <c r="J1859" s="7">
        <v>1</v>
      </c>
      <c r="K1859" s="70" t="s">
        <v>53</v>
      </c>
      <c r="L1859" s="9">
        <v>0</v>
      </c>
      <c r="M1859" s="3">
        <v>1548</v>
      </c>
      <c r="N1859" s="6">
        <v>2007</v>
      </c>
      <c r="P1859" s="71"/>
      <c r="R1859" s="6">
        <v>2000</v>
      </c>
      <c r="S1859" s="3" t="s">
        <v>54</v>
      </c>
      <c r="T1859" s="72"/>
      <c r="U1859" s="73"/>
      <c r="W1859" s="2" t="s">
        <v>5406</v>
      </c>
      <c r="X1859" s="10" t="s">
        <v>56</v>
      </c>
      <c r="Y1859" s="10" t="s">
        <v>57</v>
      </c>
      <c r="Z1859" s="75"/>
      <c r="AA1859" s="76"/>
      <c r="AB1859" s="77">
        <v>42264</v>
      </c>
      <c r="AC1859" s="77">
        <v>42264</v>
      </c>
      <c r="AD1859" s="6"/>
      <c r="AE1859" s="7">
        <v>2007</v>
      </c>
      <c r="AF1859" s="7">
        <v>55</v>
      </c>
      <c r="AG1859" s="7">
        <v>2015</v>
      </c>
      <c r="AH1859" s="7">
        <v>2010</v>
      </c>
      <c r="AI1859" s="7"/>
      <c r="AJ1859" s="73"/>
      <c r="AK1859" s="7"/>
      <c r="AL1859" s="102" t="s">
        <v>5363</v>
      </c>
      <c r="AM1859" s="2" t="s">
        <v>59</v>
      </c>
      <c r="AN1859" s="6" t="s">
        <v>73</v>
      </c>
      <c r="AO1859" s="6" t="s">
        <v>53</v>
      </c>
      <c r="AP1859" s="6" t="s">
        <v>73</v>
      </c>
      <c r="AQ1859" s="5" t="s">
        <v>73</v>
      </c>
      <c r="AW1859" s="6">
        <f t="shared" ca="1" si="31"/>
        <v>18</v>
      </c>
    </row>
    <row r="1860" ht="45" customHeight="1">
      <c r="A1860" s="69"/>
      <c r="B1860" s="3" t="s">
        <v>47</v>
      </c>
      <c r="D1860" s="5" t="s">
        <v>5359</v>
      </c>
      <c r="E1860" s="2" t="s">
        <v>48</v>
      </c>
      <c r="F1860" s="6" t="s">
        <v>564</v>
      </c>
      <c r="G1860" s="5" t="s">
        <v>5401</v>
      </c>
      <c r="H1860" s="2" t="s">
        <v>57</v>
      </c>
      <c r="I1860" s="195" t="s">
        <v>5407</v>
      </c>
      <c r="J1860" s="7">
        <v>1</v>
      </c>
      <c r="K1860" s="70" t="s">
        <v>53</v>
      </c>
      <c r="L1860" s="9">
        <v>0</v>
      </c>
      <c r="M1860" s="3">
        <v>1548</v>
      </c>
      <c r="N1860" s="6">
        <v>2007</v>
      </c>
      <c r="P1860" s="71"/>
      <c r="R1860" s="6">
        <v>2000</v>
      </c>
      <c r="S1860" s="3" t="s">
        <v>54</v>
      </c>
      <c r="T1860" s="72"/>
      <c r="U1860" s="73"/>
      <c r="W1860" s="2" t="s">
        <v>5408</v>
      </c>
      <c r="X1860" s="10" t="s">
        <v>56</v>
      </c>
      <c r="Y1860" s="10" t="s">
        <v>57</v>
      </c>
      <c r="Z1860" s="75"/>
      <c r="AA1860" s="76"/>
      <c r="AB1860" s="77">
        <v>42264</v>
      </c>
      <c r="AC1860" s="77">
        <v>42264</v>
      </c>
      <c r="AD1860" s="6"/>
      <c r="AE1860" s="7">
        <v>2007</v>
      </c>
      <c r="AF1860" s="7">
        <v>55</v>
      </c>
      <c r="AG1860" s="7">
        <v>2015</v>
      </c>
      <c r="AH1860" s="7">
        <v>2010</v>
      </c>
      <c r="AI1860" s="7"/>
      <c r="AJ1860" s="73"/>
      <c r="AK1860" s="7"/>
      <c r="AL1860" s="102" t="s">
        <v>5363</v>
      </c>
      <c r="AM1860" s="2" t="s">
        <v>59</v>
      </c>
      <c r="AN1860" s="6" t="s">
        <v>104</v>
      </c>
      <c r="AO1860" s="6" t="s">
        <v>53</v>
      </c>
      <c r="AP1860" s="6" t="s">
        <v>104</v>
      </c>
      <c r="AQ1860" s="5" t="s">
        <v>104</v>
      </c>
      <c r="AW1860" s="6">
        <f t="shared" ca="1" si="31"/>
        <v>18</v>
      </c>
    </row>
    <row r="1861" ht="45" customHeight="1" outlineLevel="1">
      <c r="A1861" s="69"/>
      <c r="B1861" s="3" t="s">
        <v>47</v>
      </c>
      <c r="D1861" s="5" t="s">
        <v>5359</v>
      </c>
      <c r="E1861" s="2" t="s">
        <v>48</v>
      </c>
      <c r="F1861" s="6" t="s">
        <v>564</v>
      </c>
      <c r="G1861" s="5" t="s">
        <v>5401</v>
      </c>
      <c r="H1861" s="2" t="s">
        <v>257</v>
      </c>
      <c r="I1861" s="195" t="s">
        <v>5409</v>
      </c>
      <c r="J1861" s="7">
        <v>1</v>
      </c>
      <c r="K1861" s="70" t="s">
        <v>53</v>
      </c>
      <c r="L1861" s="9">
        <v>0</v>
      </c>
      <c r="M1861" s="3">
        <v>1548</v>
      </c>
      <c r="N1861" s="6">
        <v>2007</v>
      </c>
      <c r="P1861" s="71"/>
      <c r="R1861" s="6">
        <v>2000</v>
      </c>
      <c r="S1861" s="3" t="s">
        <v>54</v>
      </c>
      <c r="T1861" s="72"/>
      <c r="U1861" s="73"/>
      <c r="W1861" s="2" t="s">
        <v>5410</v>
      </c>
      <c r="X1861" s="10" t="s">
        <v>56</v>
      </c>
      <c r="Y1861" s="10" t="s">
        <v>68</v>
      </c>
      <c r="Z1861" s="75"/>
      <c r="AA1861" s="76">
        <v>42265</v>
      </c>
      <c r="AB1861" s="77">
        <v>42265</v>
      </c>
      <c r="AC1861" s="77"/>
      <c r="AD1861" s="6"/>
      <c r="AE1861" s="7">
        <v>2007</v>
      </c>
      <c r="AF1861" s="7">
        <v>55</v>
      </c>
      <c r="AG1861" s="7">
        <v>2015</v>
      </c>
      <c r="AH1861" s="7">
        <v>2010</v>
      </c>
      <c r="AI1861" s="7"/>
      <c r="AJ1861" s="73"/>
      <c r="AK1861" s="7"/>
      <c r="AL1861" s="102" t="s">
        <v>5363</v>
      </c>
      <c r="AM1861" s="2" t="s">
        <v>53</v>
      </c>
      <c r="AN1861" s="6" t="s">
        <v>73</v>
      </c>
      <c r="AO1861" s="6" t="s">
        <v>53</v>
      </c>
      <c r="AP1861" s="6" t="s">
        <v>73</v>
      </c>
      <c r="AQ1861" s="5" t="s">
        <v>73</v>
      </c>
      <c r="AR1861" s="2" t="s">
        <v>73</v>
      </c>
      <c r="AT1861" s="84" t="s">
        <v>5411</v>
      </c>
      <c r="AW1861" s="6">
        <f t="shared" ca="1" si="31"/>
        <v>18</v>
      </c>
    </row>
    <row r="1862" ht="45" customHeight="1" outlineLevel="1">
      <c r="A1862" s="69"/>
      <c r="B1862" s="3" t="s">
        <v>47</v>
      </c>
      <c r="D1862" s="5" t="s">
        <v>5359</v>
      </c>
      <c r="E1862" s="2" t="s">
        <v>48</v>
      </c>
      <c r="F1862" s="6" t="s">
        <v>564</v>
      </c>
      <c r="G1862" s="5" t="s">
        <v>837</v>
      </c>
      <c r="H1862" s="2" t="s">
        <v>57</v>
      </c>
      <c r="I1862" s="195" t="s">
        <v>5412</v>
      </c>
      <c r="J1862" s="7">
        <v>1</v>
      </c>
      <c r="K1862" s="70" t="s">
        <v>53</v>
      </c>
      <c r="L1862" s="9">
        <v>0</v>
      </c>
      <c r="M1862" s="3">
        <v>1548</v>
      </c>
      <c r="N1862" s="6">
        <v>2007</v>
      </c>
      <c r="P1862" s="71"/>
      <c r="R1862" s="6">
        <v>2000</v>
      </c>
      <c r="S1862" s="3" t="s">
        <v>54</v>
      </c>
      <c r="T1862" s="72"/>
      <c r="U1862" s="73"/>
      <c r="W1862" s="2" t="s">
        <v>5413</v>
      </c>
      <c r="X1862" s="10" t="s">
        <v>56</v>
      </c>
      <c r="Y1862" s="10" t="s">
        <v>57</v>
      </c>
      <c r="Z1862" s="75"/>
      <c r="AA1862" s="76">
        <v>42264</v>
      </c>
      <c r="AB1862" s="77">
        <v>42264</v>
      </c>
      <c r="AC1862" s="77">
        <v>42264</v>
      </c>
      <c r="AD1862" s="6"/>
      <c r="AE1862" s="7">
        <v>2007</v>
      </c>
      <c r="AF1862" s="7">
        <v>55</v>
      </c>
      <c r="AG1862" s="7">
        <v>2015</v>
      </c>
      <c r="AH1862" s="7">
        <v>2010</v>
      </c>
      <c r="AI1862" s="7"/>
      <c r="AJ1862" s="73"/>
      <c r="AK1862" s="7"/>
      <c r="AL1862" s="102" t="s">
        <v>5363</v>
      </c>
      <c r="AM1862" s="2" t="s">
        <v>59</v>
      </c>
      <c r="AO1862" s="6" t="s">
        <v>53</v>
      </c>
      <c r="AP1862" s="6" t="s">
        <v>73</v>
      </c>
      <c r="AQ1862" s="5" t="s">
        <v>73</v>
      </c>
      <c r="AW1862" s="6">
        <f t="shared" ca="1" si="31"/>
        <v>18</v>
      </c>
    </row>
    <row r="1863" ht="45" customHeight="1" outlineLevel="1">
      <c r="A1863" s="69"/>
      <c r="B1863" s="3" t="s">
        <v>47</v>
      </c>
      <c r="D1863" s="5" t="s">
        <v>5359</v>
      </c>
      <c r="E1863" s="2" t="s">
        <v>48</v>
      </c>
      <c r="F1863" s="6" t="s">
        <v>564</v>
      </c>
      <c r="G1863" s="5" t="s">
        <v>837</v>
      </c>
      <c r="H1863" s="2" t="s">
        <v>57</v>
      </c>
      <c r="I1863" s="195" t="s">
        <v>5414</v>
      </c>
      <c r="J1863" s="7">
        <v>1</v>
      </c>
      <c r="K1863" s="70" t="s">
        <v>53</v>
      </c>
      <c r="L1863" s="9">
        <v>0</v>
      </c>
      <c r="M1863" s="3">
        <v>1548</v>
      </c>
      <c r="N1863" s="6">
        <v>2007</v>
      </c>
      <c r="P1863" s="71"/>
      <c r="R1863" s="6">
        <v>2000</v>
      </c>
      <c r="S1863" s="3" t="s">
        <v>54</v>
      </c>
      <c r="T1863" s="72"/>
      <c r="U1863" s="73"/>
      <c r="W1863" s="2" t="s">
        <v>5415</v>
      </c>
      <c r="X1863" s="10" t="s">
        <v>56</v>
      </c>
      <c r="Y1863" s="10" t="s">
        <v>57</v>
      </c>
      <c r="Z1863" s="75"/>
      <c r="AA1863" s="76"/>
      <c r="AB1863" s="77">
        <v>42264</v>
      </c>
      <c r="AC1863" s="77">
        <v>42264</v>
      </c>
      <c r="AD1863" s="6"/>
      <c r="AE1863" s="7">
        <v>2007</v>
      </c>
      <c r="AF1863" s="7">
        <v>55</v>
      </c>
      <c r="AG1863" s="7">
        <v>2015</v>
      </c>
      <c r="AH1863" s="7">
        <v>2010</v>
      </c>
      <c r="AI1863" s="7"/>
      <c r="AJ1863" s="73"/>
      <c r="AK1863" s="7"/>
      <c r="AL1863" s="102" t="s">
        <v>5363</v>
      </c>
      <c r="AM1863" s="2" t="s">
        <v>59</v>
      </c>
      <c r="AO1863" s="6" t="s">
        <v>53</v>
      </c>
      <c r="AP1863" s="6" t="s">
        <v>73</v>
      </c>
      <c r="AQ1863" s="5" t="s">
        <v>73</v>
      </c>
      <c r="AW1863" s="6">
        <f t="shared" ca="1" si="31"/>
        <v>18</v>
      </c>
    </row>
    <row r="1864" ht="45" customHeight="1" outlineLevel="1">
      <c r="A1864" s="69"/>
      <c r="B1864" s="3" t="s">
        <v>47</v>
      </c>
      <c r="D1864" s="5" t="s">
        <v>5359</v>
      </c>
      <c r="E1864" s="2" t="s">
        <v>48</v>
      </c>
      <c r="F1864" s="6" t="s">
        <v>564</v>
      </c>
      <c r="G1864" s="5" t="s">
        <v>837</v>
      </c>
      <c r="H1864" s="2" t="s">
        <v>57</v>
      </c>
      <c r="I1864" s="195" t="s">
        <v>5416</v>
      </c>
      <c r="J1864" s="7">
        <v>1</v>
      </c>
      <c r="K1864" s="70" t="s">
        <v>53</v>
      </c>
      <c r="L1864" s="9">
        <v>0</v>
      </c>
      <c r="M1864" s="3">
        <v>1548</v>
      </c>
      <c r="N1864" s="6">
        <v>2007</v>
      </c>
      <c r="P1864" s="71"/>
      <c r="R1864" s="6">
        <v>2000</v>
      </c>
      <c r="S1864" s="3" t="s">
        <v>54</v>
      </c>
      <c r="T1864" s="72"/>
      <c r="U1864" s="73"/>
      <c r="W1864" s="2" t="s">
        <v>5417</v>
      </c>
      <c r="X1864" s="10" t="s">
        <v>56</v>
      </c>
      <c r="Y1864" s="10" t="s">
        <v>57</v>
      </c>
      <c r="Z1864" s="75"/>
      <c r="AA1864" s="76"/>
      <c r="AB1864" s="77">
        <v>42264</v>
      </c>
      <c r="AC1864" s="77">
        <v>42264</v>
      </c>
      <c r="AD1864" s="6"/>
      <c r="AE1864" s="7">
        <v>2007</v>
      </c>
      <c r="AF1864" s="7">
        <v>55</v>
      </c>
      <c r="AG1864" s="7">
        <v>2015</v>
      </c>
      <c r="AH1864" s="7">
        <v>2010</v>
      </c>
      <c r="AI1864" s="7"/>
      <c r="AJ1864" s="73"/>
      <c r="AK1864" s="7"/>
      <c r="AL1864" s="102" t="s">
        <v>5363</v>
      </c>
      <c r="AM1864" s="2" t="s">
        <v>59</v>
      </c>
      <c r="AO1864" s="6" t="s">
        <v>53</v>
      </c>
      <c r="AP1864" s="6" t="s">
        <v>73</v>
      </c>
      <c r="AQ1864" s="5" t="s">
        <v>73</v>
      </c>
      <c r="AW1864" s="6">
        <f t="shared" ca="1" si="31"/>
        <v>18</v>
      </c>
    </row>
    <row r="1865" ht="45" customHeight="1" outlineLevel="1">
      <c r="A1865" s="69"/>
      <c r="B1865" s="3" t="s">
        <v>47</v>
      </c>
      <c r="D1865" s="5" t="s">
        <v>5359</v>
      </c>
      <c r="E1865" s="2" t="s">
        <v>48</v>
      </c>
      <c r="F1865" s="6" t="s">
        <v>564</v>
      </c>
      <c r="G1865" s="5" t="s">
        <v>837</v>
      </c>
      <c r="H1865" s="2" t="s">
        <v>57</v>
      </c>
      <c r="I1865" s="195" t="s">
        <v>5418</v>
      </c>
      <c r="J1865" s="7">
        <v>1</v>
      </c>
      <c r="K1865" s="70" t="s">
        <v>53</v>
      </c>
      <c r="L1865" s="9">
        <v>0</v>
      </c>
      <c r="M1865" s="3">
        <v>1548</v>
      </c>
      <c r="N1865" s="6">
        <v>2007</v>
      </c>
      <c r="P1865" s="71"/>
      <c r="R1865" s="6">
        <v>2000</v>
      </c>
      <c r="S1865" s="3" t="s">
        <v>54</v>
      </c>
      <c r="T1865" s="72"/>
      <c r="U1865" s="73"/>
      <c r="W1865" s="2" t="s">
        <v>5419</v>
      </c>
      <c r="X1865" s="10" t="s">
        <v>56</v>
      </c>
      <c r="Y1865" s="10" t="s">
        <v>57</v>
      </c>
      <c r="Z1865" s="75"/>
      <c r="AA1865" s="76"/>
      <c r="AB1865" s="77">
        <v>42264</v>
      </c>
      <c r="AC1865" s="77">
        <v>42264</v>
      </c>
      <c r="AD1865" s="6"/>
      <c r="AE1865" s="7">
        <v>2007</v>
      </c>
      <c r="AF1865" s="7">
        <v>55</v>
      </c>
      <c r="AG1865" s="7">
        <v>2015</v>
      </c>
      <c r="AH1865" s="7">
        <v>2010</v>
      </c>
      <c r="AI1865" s="7"/>
      <c r="AJ1865" s="73"/>
      <c r="AK1865" s="7"/>
      <c r="AL1865" s="102" t="s">
        <v>5363</v>
      </c>
      <c r="AM1865" s="2" t="s">
        <v>59</v>
      </c>
      <c r="AO1865" s="6" t="s">
        <v>53</v>
      </c>
      <c r="AP1865" s="6" t="s">
        <v>104</v>
      </c>
      <c r="AQ1865" s="5" t="s">
        <v>104</v>
      </c>
      <c r="AW1865" s="6">
        <f t="shared" ca="1" si="31"/>
        <v>18</v>
      </c>
    </row>
    <row r="1866" ht="45" customHeight="1" outlineLevel="1">
      <c r="A1866" s="69"/>
      <c r="B1866" s="3" t="s">
        <v>47</v>
      </c>
      <c r="D1866" s="5" t="s">
        <v>5359</v>
      </c>
      <c r="E1866" s="2" t="s">
        <v>48</v>
      </c>
      <c r="F1866" s="6" t="s">
        <v>564</v>
      </c>
      <c r="G1866" s="5" t="s">
        <v>4234</v>
      </c>
      <c r="H1866" s="2" t="s">
        <v>57</v>
      </c>
      <c r="I1866" s="195" t="s">
        <v>5420</v>
      </c>
      <c r="J1866" s="7">
        <v>1</v>
      </c>
      <c r="K1866" s="70" t="s">
        <v>53</v>
      </c>
      <c r="L1866" s="9">
        <v>0</v>
      </c>
      <c r="M1866" s="3">
        <v>1548</v>
      </c>
      <c r="N1866" s="6">
        <v>2007</v>
      </c>
      <c r="P1866" s="71"/>
      <c r="R1866" s="6">
        <v>2000</v>
      </c>
      <c r="S1866" s="3" t="s">
        <v>54</v>
      </c>
      <c r="T1866" s="72"/>
      <c r="U1866" s="73"/>
      <c r="W1866" s="2" t="s">
        <v>5421</v>
      </c>
      <c r="X1866" s="10" t="s">
        <v>56</v>
      </c>
      <c r="Y1866" s="10" t="s">
        <v>57</v>
      </c>
      <c r="Z1866" s="75"/>
      <c r="AA1866" s="76"/>
      <c r="AB1866" s="77">
        <v>42264</v>
      </c>
      <c r="AC1866" s="77">
        <v>42264</v>
      </c>
      <c r="AD1866" s="6"/>
      <c r="AE1866" s="7">
        <v>2007</v>
      </c>
      <c r="AF1866" s="7">
        <v>55</v>
      </c>
      <c r="AG1866" s="7">
        <v>2015</v>
      </c>
      <c r="AH1866" s="7">
        <v>2010</v>
      </c>
      <c r="AI1866" s="7"/>
      <c r="AJ1866" s="73"/>
      <c r="AK1866" s="7"/>
      <c r="AL1866" s="102" t="s">
        <v>5363</v>
      </c>
      <c r="AM1866" s="2" t="s">
        <v>59</v>
      </c>
      <c r="AW1866" s="6">
        <f t="shared" ca="1" si="31"/>
        <v>18</v>
      </c>
    </row>
    <row r="1867" ht="45" customHeight="1" outlineLevel="1">
      <c r="A1867" s="69"/>
      <c r="B1867" s="3" t="s">
        <v>47</v>
      </c>
      <c r="D1867" s="5" t="s">
        <v>5359</v>
      </c>
      <c r="E1867" s="2" t="s">
        <v>48</v>
      </c>
      <c r="F1867" s="6" t="s">
        <v>564</v>
      </c>
      <c r="G1867" s="5" t="s">
        <v>5422</v>
      </c>
      <c r="H1867" s="2" t="s">
        <v>57</v>
      </c>
      <c r="I1867" s="195" t="s">
        <v>5423</v>
      </c>
      <c r="J1867" s="7">
        <v>1</v>
      </c>
      <c r="K1867" s="70" t="s">
        <v>53</v>
      </c>
      <c r="L1867" s="9">
        <v>0</v>
      </c>
      <c r="M1867" s="3">
        <v>1548</v>
      </c>
      <c r="N1867" s="6">
        <v>2007</v>
      </c>
      <c r="P1867" s="71"/>
      <c r="R1867" s="6">
        <v>2000</v>
      </c>
      <c r="S1867" s="3" t="s">
        <v>54</v>
      </c>
      <c r="T1867" s="72"/>
      <c r="U1867" s="73"/>
      <c r="W1867" s="2" t="s">
        <v>5424</v>
      </c>
      <c r="X1867" s="10" t="s">
        <v>56</v>
      </c>
      <c r="Y1867" s="10" t="s">
        <v>57</v>
      </c>
      <c r="Z1867" s="75"/>
      <c r="AA1867" s="76">
        <v>42264</v>
      </c>
      <c r="AB1867" s="77">
        <v>42264</v>
      </c>
      <c r="AC1867" s="77">
        <v>42264</v>
      </c>
      <c r="AD1867" s="6"/>
      <c r="AE1867" s="7">
        <v>2007</v>
      </c>
      <c r="AF1867" s="7">
        <v>55</v>
      </c>
      <c r="AG1867" s="7">
        <v>2015</v>
      </c>
      <c r="AH1867" s="7">
        <v>2010</v>
      </c>
      <c r="AI1867" s="7"/>
      <c r="AJ1867" s="73"/>
      <c r="AK1867" s="7"/>
      <c r="AL1867" s="102" t="s">
        <v>5363</v>
      </c>
      <c r="AM1867" s="2" t="s">
        <v>59</v>
      </c>
      <c r="AN1867" s="6" t="s">
        <v>104</v>
      </c>
      <c r="AO1867" s="6" t="s">
        <v>59</v>
      </c>
      <c r="AP1867" s="6" t="s">
        <v>104</v>
      </c>
      <c r="AQ1867" s="5" t="s">
        <v>104</v>
      </c>
      <c r="AU1867" s="16" t="s">
        <v>5404</v>
      </c>
      <c r="AW1867" s="6">
        <f t="shared" ca="1" si="31"/>
        <v>18</v>
      </c>
    </row>
    <row r="1868" ht="45" customHeight="1" outlineLevel="1">
      <c r="A1868" s="69"/>
      <c r="B1868" s="3" t="s">
        <v>47</v>
      </c>
      <c r="D1868" s="5" t="s">
        <v>5359</v>
      </c>
      <c r="E1868" s="2" t="s">
        <v>48</v>
      </c>
      <c r="F1868" s="6" t="s">
        <v>564</v>
      </c>
      <c r="G1868" s="5" t="s">
        <v>5422</v>
      </c>
      <c r="H1868" s="2" t="s">
        <v>257</v>
      </c>
      <c r="I1868" s="195" t="s">
        <v>5425</v>
      </c>
      <c r="J1868" s="7">
        <v>1</v>
      </c>
      <c r="K1868" s="70" t="s">
        <v>53</v>
      </c>
      <c r="L1868" s="9">
        <v>0</v>
      </c>
      <c r="M1868" s="3">
        <v>1548</v>
      </c>
      <c r="N1868" s="6">
        <v>2007</v>
      </c>
      <c r="P1868" s="71"/>
      <c r="R1868" s="6">
        <v>2000</v>
      </c>
      <c r="S1868" s="3" t="s">
        <v>54</v>
      </c>
      <c r="T1868" s="72"/>
      <c r="U1868" s="73"/>
      <c r="W1868" s="2" t="s">
        <v>5426</v>
      </c>
      <c r="X1868" s="10" t="s">
        <v>56</v>
      </c>
      <c r="Y1868" s="10" t="s">
        <v>68</v>
      </c>
      <c r="Z1868" s="75" t="s">
        <v>260</v>
      </c>
      <c r="AA1868" s="76">
        <v>42265</v>
      </c>
      <c r="AB1868" s="77">
        <v>42265</v>
      </c>
      <c r="AC1868" s="77">
        <v>42265</v>
      </c>
      <c r="AD1868" s="6"/>
      <c r="AE1868" s="7">
        <v>2007</v>
      </c>
      <c r="AF1868" s="7">
        <v>55</v>
      </c>
      <c r="AG1868" s="7">
        <v>2015</v>
      </c>
      <c r="AH1868" s="7">
        <v>2010</v>
      </c>
      <c r="AI1868" s="7"/>
      <c r="AJ1868" s="73"/>
      <c r="AK1868" s="7"/>
      <c r="AL1868" s="102" t="s">
        <v>5363</v>
      </c>
      <c r="AM1868" s="2" t="s">
        <v>59</v>
      </c>
      <c r="AN1868" s="6" t="s">
        <v>73</v>
      </c>
      <c r="AO1868" s="6" t="s">
        <v>53</v>
      </c>
      <c r="AP1868" s="6" t="s">
        <v>73</v>
      </c>
      <c r="AQ1868" s="5" t="s">
        <v>73</v>
      </c>
      <c r="AW1868" s="6">
        <f t="shared" ca="1" si="31"/>
        <v>18</v>
      </c>
    </row>
    <row r="1869" ht="45" customHeight="1" outlineLevel="1">
      <c r="A1869" s="69"/>
      <c r="B1869" s="3" t="s">
        <v>47</v>
      </c>
      <c r="D1869" s="5" t="s">
        <v>5359</v>
      </c>
      <c r="E1869" s="2" t="s">
        <v>48</v>
      </c>
      <c r="F1869" s="6" t="s">
        <v>564</v>
      </c>
      <c r="G1869" s="5" t="s">
        <v>5422</v>
      </c>
      <c r="H1869" s="2" t="s">
        <v>57</v>
      </c>
      <c r="I1869" s="195" t="s">
        <v>5427</v>
      </c>
      <c r="J1869" s="7">
        <v>1</v>
      </c>
      <c r="K1869" s="70" t="s">
        <v>53</v>
      </c>
      <c r="L1869" s="9">
        <v>0</v>
      </c>
      <c r="M1869" s="3">
        <v>1548</v>
      </c>
      <c r="N1869" s="6">
        <v>2007</v>
      </c>
      <c r="P1869" s="71"/>
      <c r="R1869" s="6">
        <v>2000</v>
      </c>
      <c r="S1869" s="3" t="s">
        <v>54</v>
      </c>
      <c r="T1869" s="72"/>
      <c r="U1869" s="73"/>
      <c r="W1869" s="2" t="s">
        <v>5428</v>
      </c>
      <c r="X1869" s="10" t="s">
        <v>56</v>
      </c>
      <c r="Y1869" s="10" t="s">
        <v>57</v>
      </c>
      <c r="Z1869" s="75"/>
      <c r="AA1869" s="76"/>
      <c r="AB1869" s="77">
        <v>42265</v>
      </c>
      <c r="AC1869" s="77">
        <v>42265</v>
      </c>
      <c r="AD1869" s="6"/>
      <c r="AE1869" s="7">
        <v>2007</v>
      </c>
      <c r="AF1869" s="7">
        <v>55</v>
      </c>
      <c r="AG1869" s="7">
        <v>2015</v>
      </c>
      <c r="AH1869" s="7">
        <v>2010</v>
      </c>
      <c r="AI1869" s="7"/>
      <c r="AJ1869" s="73"/>
      <c r="AK1869" s="7"/>
      <c r="AL1869" s="102" t="s">
        <v>5363</v>
      </c>
      <c r="AM1869" s="2" t="s">
        <v>59</v>
      </c>
      <c r="AN1869" s="6" t="s">
        <v>104</v>
      </c>
      <c r="AO1869" s="6" t="s">
        <v>53</v>
      </c>
      <c r="AP1869" s="6" t="s">
        <v>104</v>
      </c>
      <c r="AQ1869" s="5" t="s">
        <v>104</v>
      </c>
      <c r="AW1869" s="6">
        <f t="shared" ca="1" si="31"/>
        <v>18</v>
      </c>
    </row>
    <row r="1870" ht="45" customHeight="1" outlineLevel="1">
      <c r="A1870" s="69"/>
      <c r="B1870" s="3" t="s">
        <v>47</v>
      </c>
      <c r="D1870" s="5" t="s">
        <v>5359</v>
      </c>
      <c r="E1870" s="2" t="s">
        <v>48</v>
      </c>
      <c r="F1870" s="6" t="s">
        <v>564</v>
      </c>
      <c r="G1870" s="5" t="s">
        <v>5422</v>
      </c>
      <c r="H1870" s="2" t="s">
        <v>57</v>
      </c>
      <c r="I1870" s="195" t="s">
        <v>5429</v>
      </c>
      <c r="J1870" s="7">
        <v>1</v>
      </c>
      <c r="K1870" s="70" t="s">
        <v>53</v>
      </c>
      <c r="L1870" s="9">
        <v>0</v>
      </c>
      <c r="M1870" s="3">
        <v>1548</v>
      </c>
      <c r="N1870" s="6">
        <v>2007</v>
      </c>
      <c r="P1870" s="71"/>
      <c r="R1870" s="6">
        <v>2000</v>
      </c>
      <c r="S1870" s="3" t="s">
        <v>54</v>
      </c>
      <c r="T1870" s="72"/>
      <c r="U1870" s="73"/>
      <c r="W1870" s="2" t="s">
        <v>5430</v>
      </c>
      <c r="X1870" s="10" t="s">
        <v>56</v>
      </c>
      <c r="Y1870" s="10" t="s">
        <v>57</v>
      </c>
      <c r="Z1870" s="75"/>
      <c r="AA1870" s="76"/>
      <c r="AB1870" s="77">
        <v>42264</v>
      </c>
      <c r="AC1870" s="77">
        <v>42264</v>
      </c>
      <c r="AD1870" s="6"/>
      <c r="AE1870" s="7">
        <v>2007</v>
      </c>
      <c r="AF1870" s="7">
        <v>55</v>
      </c>
      <c r="AG1870" s="7">
        <v>2015</v>
      </c>
      <c r="AH1870" s="7">
        <v>2010</v>
      </c>
      <c r="AI1870" s="7"/>
      <c r="AJ1870" s="73"/>
      <c r="AK1870" s="7"/>
      <c r="AL1870" s="102" t="s">
        <v>5363</v>
      </c>
      <c r="AM1870" s="2" t="s">
        <v>59</v>
      </c>
      <c r="AN1870" s="6" t="s">
        <v>104</v>
      </c>
      <c r="AO1870" s="6" t="s">
        <v>59</v>
      </c>
      <c r="AP1870" s="6" t="s">
        <v>104</v>
      </c>
      <c r="AQ1870" s="5" t="s">
        <v>104</v>
      </c>
      <c r="AU1870" s="16" t="s">
        <v>5404</v>
      </c>
      <c r="AW1870" s="6">
        <f t="shared" ca="1" si="31"/>
        <v>18</v>
      </c>
    </row>
    <row r="1871" ht="45" customHeight="1" outlineLevel="1">
      <c r="A1871" s="69"/>
      <c r="B1871" s="3" t="s">
        <v>47</v>
      </c>
      <c r="D1871" s="5" t="s">
        <v>5359</v>
      </c>
      <c r="E1871" s="2" t="s">
        <v>48</v>
      </c>
      <c r="F1871" s="6" t="s">
        <v>564</v>
      </c>
      <c r="G1871" s="5" t="s">
        <v>5422</v>
      </c>
      <c r="H1871" s="2" t="s">
        <v>57</v>
      </c>
      <c r="I1871" s="195" t="s">
        <v>5431</v>
      </c>
      <c r="J1871" s="7">
        <v>1</v>
      </c>
      <c r="K1871" s="70" t="s">
        <v>53</v>
      </c>
      <c r="L1871" s="9">
        <v>0</v>
      </c>
      <c r="M1871" s="3">
        <v>1548</v>
      </c>
      <c r="N1871" s="6">
        <v>2007</v>
      </c>
      <c r="P1871" s="71"/>
      <c r="R1871" s="6">
        <v>2000</v>
      </c>
      <c r="S1871" s="3" t="s">
        <v>54</v>
      </c>
      <c r="T1871" s="72"/>
      <c r="U1871" s="73"/>
      <c r="W1871" s="2" t="s">
        <v>5432</v>
      </c>
      <c r="X1871" s="10" t="s">
        <v>56</v>
      </c>
      <c r="Y1871" s="10" t="s">
        <v>57</v>
      </c>
      <c r="Z1871" s="75"/>
      <c r="AA1871" s="76"/>
      <c r="AB1871" s="77">
        <v>42264</v>
      </c>
      <c r="AC1871" s="77">
        <v>42264</v>
      </c>
      <c r="AD1871" s="6"/>
      <c r="AE1871" s="7">
        <v>2007</v>
      </c>
      <c r="AF1871" s="7">
        <v>55</v>
      </c>
      <c r="AG1871" s="7">
        <v>2015</v>
      </c>
      <c r="AH1871" s="7">
        <v>2010</v>
      </c>
      <c r="AI1871" s="7"/>
      <c r="AJ1871" s="73"/>
      <c r="AK1871" s="7"/>
      <c r="AL1871" s="102" t="s">
        <v>5363</v>
      </c>
      <c r="AM1871" s="2" t="s">
        <v>59</v>
      </c>
      <c r="AN1871" s="6" t="s">
        <v>104</v>
      </c>
      <c r="AO1871" s="6" t="s">
        <v>53</v>
      </c>
      <c r="AP1871" s="6" t="s">
        <v>104</v>
      </c>
      <c r="AQ1871" s="5" t="s">
        <v>104</v>
      </c>
      <c r="AW1871" s="6">
        <f t="shared" ca="1" si="31"/>
        <v>18</v>
      </c>
    </row>
    <row r="1872" ht="45" customHeight="1" outlineLevel="1">
      <c r="A1872" s="69"/>
      <c r="B1872" s="3" t="s">
        <v>47</v>
      </c>
      <c r="D1872" s="5" t="s">
        <v>5359</v>
      </c>
      <c r="E1872" s="2" t="s">
        <v>48</v>
      </c>
      <c r="F1872" s="6" t="s">
        <v>564</v>
      </c>
      <c r="G1872" s="5" t="s">
        <v>5422</v>
      </c>
      <c r="H1872" s="2" t="s">
        <v>57</v>
      </c>
      <c r="I1872" s="195" t="s">
        <v>5433</v>
      </c>
      <c r="J1872" s="7">
        <v>1</v>
      </c>
      <c r="K1872" s="70" t="s">
        <v>53</v>
      </c>
      <c r="L1872" s="9">
        <v>0</v>
      </c>
      <c r="M1872" s="3">
        <v>1548</v>
      </c>
      <c r="N1872" s="6">
        <v>2007</v>
      </c>
      <c r="P1872" s="71"/>
      <c r="R1872" s="6">
        <v>2000</v>
      </c>
      <c r="S1872" s="3" t="s">
        <v>54</v>
      </c>
      <c r="T1872" s="72"/>
      <c r="U1872" s="73"/>
      <c r="W1872" s="2" t="s">
        <v>5434</v>
      </c>
      <c r="X1872" s="10" t="s">
        <v>56</v>
      </c>
      <c r="Y1872" s="10" t="s">
        <v>57</v>
      </c>
      <c r="Z1872" s="75"/>
      <c r="AA1872" s="76"/>
      <c r="AB1872" s="77">
        <v>42265</v>
      </c>
      <c r="AC1872" s="77">
        <v>42265</v>
      </c>
      <c r="AD1872" s="6"/>
      <c r="AE1872" s="7">
        <v>2007</v>
      </c>
      <c r="AF1872" s="7">
        <v>55</v>
      </c>
      <c r="AG1872" s="7">
        <v>2015</v>
      </c>
      <c r="AH1872" s="7">
        <v>2010</v>
      </c>
      <c r="AI1872" s="7"/>
      <c r="AJ1872" s="73"/>
      <c r="AK1872" s="7"/>
      <c r="AL1872" s="102" t="s">
        <v>5363</v>
      </c>
      <c r="AM1872" s="2" t="s">
        <v>59</v>
      </c>
      <c r="AN1872" s="6" t="s">
        <v>104</v>
      </c>
      <c r="AO1872" s="6" t="s">
        <v>53</v>
      </c>
      <c r="AP1872" s="6" t="s">
        <v>104</v>
      </c>
      <c r="AQ1872" s="5" t="s">
        <v>104</v>
      </c>
      <c r="AW1872" s="6">
        <f t="shared" ca="1" si="31"/>
        <v>18</v>
      </c>
    </row>
    <row r="1873" ht="45" customHeight="1" outlineLevel="1">
      <c r="A1873" s="69"/>
      <c r="B1873" s="3" t="s">
        <v>47</v>
      </c>
      <c r="D1873" s="5" t="s">
        <v>5359</v>
      </c>
      <c r="E1873" s="2" t="s">
        <v>48</v>
      </c>
      <c r="F1873" s="6" t="s">
        <v>564</v>
      </c>
      <c r="G1873" s="5" t="s">
        <v>5422</v>
      </c>
      <c r="H1873" s="2" t="s">
        <v>57</v>
      </c>
      <c r="I1873" s="195" t="s">
        <v>5435</v>
      </c>
      <c r="J1873" s="7">
        <v>1</v>
      </c>
      <c r="K1873" s="70" t="s">
        <v>53</v>
      </c>
      <c r="L1873" s="9">
        <v>0</v>
      </c>
      <c r="M1873" s="3">
        <v>1548</v>
      </c>
      <c r="N1873" s="6">
        <v>2007</v>
      </c>
      <c r="P1873" s="71"/>
      <c r="R1873" s="6">
        <v>2000</v>
      </c>
      <c r="S1873" s="3" t="s">
        <v>54</v>
      </c>
      <c r="T1873" s="72"/>
      <c r="U1873" s="73"/>
      <c r="W1873" s="2" t="s">
        <v>5436</v>
      </c>
      <c r="X1873" s="10" t="s">
        <v>56</v>
      </c>
      <c r="Y1873" s="10" t="s">
        <v>57</v>
      </c>
      <c r="Z1873" s="75"/>
      <c r="AA1873" s="76"/>
      <c r="AB1873" s="77">
        <v>42265</v>
      </c>
      <c r="AC1873" s="77">
        <v>42265</v>
      </c>
      <c r="AD1873" s="6"/>
      <c r="AE1873" s="7">
        <v>2007</v>
      </c>
      <c r="AF1873" s="7">
        <v>55</v>
      </c>
      <c r="AG1873" s="7">
        <v>2015</v>
      </c>
      <c r="AH1873" s="7">
        <v>2010</v>
      </c>
      <c r="AI1873" s="7"/>
      <c r="AJ1873" s="73"/>
      <c r="AK1873" s="7"/>
      <c r="AL1873" s="102" t="s">
        <v>5363</v>
      </c>
      <c r="AM1873" s="2" t="s">
        <v>59</v>
      </c>
      <c r="AN1873" s="6" t="s">
        <v>104</v>
      </c>
      <c r="AO1873" s="6" t="s">
        <v>53</v>
      </c>
      <c r="AP1873" s="6" t="s">
        <v>104</v>
      </c>
      <c r="AQ1873" s="5" t="s">
        <v>104</v>
      </c>
      <c r="AW1873" s="6">
        <f t="shared" ca="1" si="31"/>
        <v>18</v>
      </c>
    </row>
    <row r="1874" ht="45" customHeight="1" outlineLevel="1">
      <c r="A1874" s="69"/>
      <c r="B1874" s="3" t="s">
        <v>47</v>
      </c>
      <c r="D1874" s="5" t="s">
        <v>5359</v>
      </c>
      <c r="E1874" s="2" t="s">
        <v>48</v>
      </c>
      <c r="F1874" s="6" t="s">
        <v>564</v>
      </c>
      <c r="G1874" s="5" t="s">
        <v>5422</v>
      </c>
      <c r="H1874" s="2" t="s">
        <v>57</v>
      </c>
      <c r="I1874" s="195" t="s">
        <v>5437</v>
      </c>
      <c r="J1874" s="7">
        <v>1</v>
      </c>
      <c r="K1874" s="70" t="s">
        <v>53</v>
      </c>
      <c r="L1874" s="9">
        <v>0</v>
      </c>
      <c r="M1874" s="3">
        <v>1548</v>
      </c>
      <c r="N1874" s="6">
        <v>2007</v>
      </c>
      <c r="P1874" s="71"/>
      <c r="R1874" s="6">
        <v>2000</v>
      </c>
      <c r="S1874" s="3" t="s">
        <v>54</v>
      </c>
      <c r="T1874" s="72"/>
      <c r="U1874" s="73"/>
      <c r="W1874" s="2" t="s">
        <v>5438</v>
      </c>
      <c r="X1874" s="10" t="s">
        <v>56</v>
      </c>
      <c r="Y1874" s="10" t="s">
        <v>57</v>
      </c>
      <c r="Z1874" s="75"/>
      <c r="AA1874" s="76"/>
      <c r="AB1874" s="77">
        <v>42265</v>
      </c>
      <c r="AC1874" s="77">
        <v>42265</v>
      </c>
      <c r="AD1874" s="6"/>
      <c r="AE1874" s="7">
        <v>2007</v>
      </c>
      <c r="AF1874" s="7">
        <v>55</v>
      </c>
      <c r="AG1874" s="7">
        <v>2015</v>
      </c>
      <c r="AH1874" s="7">
        <v>2010</v>
      </c>
      <c r="AI1874" s="7"/>
      <c r="AJ1874" s="73"/>
      <c r="AK1874" s="7"/>
      <c r="AL1874" s="102" t="s">
        <v>5363</v>
      </c>
      <c r="AM1874" s="2" t="s">
        <v>59</v>
      </c>
      <c r="AN1874" s="6" t="s">
        <v>104</v>
      </c>
      <c r="AO1874" s="6" t="s">
        <v>53</v>
      </c>
      <c r="AP1874" s="6" t="s">
        <v>104</v>
      </c>
      <c r="AQ1874" s="5" t="s">
        <v>104</v>
      </c>
      <c r="AW1874" s="6">
        <f t="shared" ca="1" si="31"/>
        <v>18</v>
      </c>
    </row>
    <row r="1875" ht="45" customHeight="1" outlineLevel="1">
      <c r="A1875" s="69"/>
      <c r="B1875" s="3" t="s">
        <v>47</v>
      </c>
      <c r="D1875" s="5" t="s">
        <v>5359</v>
      </c>
      <c r="E1875" s="2" t="s">
        <v>48</v>
      </c>
      <c r="F1875" s="6" t="s">
        <v>564</v>
      </c>
      <c r="G1875" s="5" t="s">
        <v>5422</v>
      </c>
      <c r="H1875" s="2" t="s">
        <v>57</v>
      </c>
      <c r="I1875" s="195" t="s">
        <v>5439</v>
      </c>
      <c r="J1875" s="7">
        <v>1</v>
      </c>
      <c r="K1875" s="70" t="s">
        <v>53</v>
      </c>
      <c r="L1875" s="9">
        <v>0</v>
      </c>
      <c r="M1875" s="3">
        <v>1548</v>
      </c>
      <c r="N1875" s="6">
        <v>2007</v>
      </c>
      <c r="P1875" s="71"/>
      <c r="R1875" s="6">
        <v>2000</v>
      </c>
      <c r="S1875" s="3" t="s">
        <v>54</v>
      </c>
      <c r="T1875" s="72"/>
      <c r="U1875" s="73"/>
      <c r="W1875" s="2" t="s">
        <v>5440</v>
      </c>
      <c r="X1875" s="10" t="s">
        <v>56</v>
      </c>
      <c r="Y1875" s="10" t="s">
        <v>57</v>
      </c>
      <c r="Z1875" s="75"/>
      <c r="AA1875" s="76"/>
      <c r="AB1875" s="77">
        <v>42265</v>
      </c>
      <c r="AC1875" s="77">
        <v>42265</v>
      </c>
      <c r="AD1875" s="6"/>
      <c r="AE1875" s="7">
        <v>2007</v>
      </c>
      <c r="AF1875" s="7">
        <v>55</v>
      </c>
      <c r="AG1875" s="7">
        <v>2015</v>
      </c>
      <c r="AH1875" s="7">
        <v>2010</v>
      </c>
      <c r="AI1875" s="7"/>
      <c r="AJ1875" s="73"/>
      <c r="AK1875" s="7"/>
      <c r="AL1875" s="102" t="s">
        <v>5363</v>
      </c>
      <c r="AM1875" s="2" t="s">
        <v>59</v>
      </c>
      <c r="AN1875" s="6" t="s">
        <v>104</v>
      </c>
      <c r="AO1875" s="6" t="s">
        <v>53</v>
      </c>
      <c r="AP1875" s="6" t="s">
        <v>104</v>
      </c>
      <c r="AQ1875" s="5" t="s">
        <v>104</v>
      </c>
      <c r="AW1875" s="6">
        <f t="shared" ca="1" si="31"/>
        <v>18</v>
      </c>
    </row>
    <row r="1876" ht="45" customHeight="1" outlineLevel="1">
      <c r="A1876" s="69"/>
      <c r="B1876" s="3" t="s">
        <v>47</v>
      </c>
      <c r="D1876" s="5" t="s">
        <v>5359</v>
      </c>
      <c r="E1876" s="2" t="s">
        <v>48</v>
      </c>
      <c r="F1876" s="6" t="s">
        <v>564</v>
      </c>
      <c r="G1876" s="5" t="s">
        <v>5422</v>
      </c>
      <c r="H1876" s="2" t="s">
        <v>57</v>
      </c>
      <c r="I1876" s="195" t="s">
        <v>5441</v>
      </c>
      <c r="J1876" s="7">
        <v>1</v>
      </c>
      <c r="K1876" s="70" t="s">
        <v>53</v>
      </c>
      <c r="L1876" s="9">
        <v>0</v>
      </c>
      <c r="M1876" s="3">
        <v>1548</v>
      </c>
      <c r="N1876" s="6">
        <v>2007</v>
      </c>
      <c r="P1876" s="71"/>
      <c r="R1876" s="6">
        <v>2000</v>
      </c>
      <c r="S1876" s="3" t="s">
        <v>54</v>
      </c>
      <c r="T1876" s="72"/>
      <c r="U1876" s="73"/>
      <c r="W1876" s="2" t="s">
        <v>5442</v>
      </c>
      <c r="X1876" s="10" t="s">
        <v>56</v>
      </c>
      <c r="Y1876" s="10" t="s">
        <v>57</v>
      </c>
      <c r="Z1876" s="75"/>
      <c r="AA1876" s="76"/>
      <c r="AB1876" s="77">
        <v>42265</v>
      </c>
      <c r="AC1876" s="77">
        <v>42265</v>
      </c>
      <c r="AD1876" s="6"/>
      <c r="AE1876" s="7">
        <v>2007</v>
      </c>
      <c r="AF1876" s="7">
        <v>55</v>
      </c>
      <c r="AG1876" s="7">
        <v>2015</v>
      </c>
      <c r="AH1876" s="7">
        <v>2010</v>
      </c>
      <c r="AI1876" s="7"/>
      <c r="AJ1876" s="73"/>
      <c r="AK1876" s="7"/>
      <c r="AL1876" s="102" t="s">
        <v>5363</v>
      </c>
      <c r="AM1876" s="2" t="s">
        <v>59</v>
      </c>
      <c r="AN1876" s="6" t="s">
        <v>104</v>
      </c>
      <c r="AO1876" s="6" t="s">
        <v>59</v>
      </c>
      <c r="AP1876" s="6" t="s">
        <v>104</v>
      </c>
      <c r="AQ1876" s="5" t="s">
        <v>104</v>
      </c>
      <c r="AU1876" s="16" t="s">
        <v>5404</v>
      </c>
      <c r="AW1876" s="6">
        <f t="shared" ca="1" si="31"/>
        <v>18</v>
      </c>
    </row>
    <row r="1877" ht="45" customHeight="1" outlineLevel="1">
      <c r="A1877" s="69"/>
      <c r="B1877" s="3" t="s">
        <v>47</v>
      </c>
      <c r="D1877" s="5" t="s">
        <v>5359</v>
      </c>
      <c r="E1877" s="2" t="s">
        <v>48</v>
      </c>
      <c r="F1877" s="6" t="s">
        <v>564</v>
      </c>
      <c r="G1877" s="5" t="s">
        <v>5422</v>
      </c>
      <c r="H1877" s="2" t="s">
        <v>257</v>
      </c>
      <c r="I1877" s="195" t="s">
        <v>5443</v>
      </c>
      <c r="J1877" s="7">
        <v>1</v>
      </c>
      <c r="K1877" s="70" t="s">
        <v>53</v>
      </c>
      <c r="L1877" s="9">
        <v>0</v>
      </c>
      <c r="M1877" s="3">
        <v>1548</v>
      </c>
      <c r="N1877" s="6">
        <v>2007</v>
      </c>
      <c r="P1877" s="71"/>
      <c r="R1877" s="6">
        <v>2000</v>
      </c>
      <c r="S1877" s="3" t="s">
        <v>54</v>
      </c>
      <c r="T1877" s="72"/>
      <c r="U1877" s="73"/>
      <c r="W1877" s="2" t="s">
        <v>5444</v>
      </c>
      <c r="X1877" s="10" t="s">
        <v>56</v>
      </c>
      <c r="Y1877" s="10" t="s">
        <v>68</v>
      </c>
      <c r="Z1877" s="75"/>
      <c r="AA1877" s="76">
        <v>42265</v>
      </c>
      <c r="AB1877" s="77">
        <v>42265</v>
      </c>
      <c r="AC1877" s="77"/>
      <c r="AD1877" s="6"/>
      <c r="AE1877" s="7">
        <v>2007</v>
      </c>
      <c r="AF1877" s="7">
        <v>55</v>
      </c>
      <c r="AG1877" s="7">
        <v>2015</v>
      </c>
      <c r="AH1877" s="7">
        <v>2010</v>
      </c>
      <c r="AI1877" s="7"/>
      <c r="AJ1877" s="73"/>
      <c r="AK1877" s="7"/>
      <c r="AL1877" s="102" t="s">
        <v>5363</v>
      </c>
      <c r="AM1877" s="2" t="s">
        <v>53</v>
      </c>
      <c r="AN1877" s="6" t="s">
        <v>73</v>
      </c>
      <c r="AO1877" s="6" t="s">
        <v>53</v>
      </c>
      <c r="AP1877" s="6" t="s">
        <v>73</v>
      </c>
      <c r="AQ1877" s="5" t="s">
        <v>73</v>
      </c>
      <c r="AR1877" s="2" t="s">
        <v>73</v>
      </c>
      <c r="AT1877" s="84" t="s">
        <v>5445</v>
      </c>
      <c r="AW1877" s="6">
        <f t="shared" ca="1" si="31"/>
        <v>18</v>
      </c>
    </row>
    <row r="1878" ht="45" customHeight="1" outlineLevel="1">
      <c r="A1878" s="69"/>
      <c r="B1878" s="3" t="s">
        <v>47</v>
      </c>
      <c r="D1878" s="5" t="s">
        <v>5359</v>
      </c>
      <c r="E1878" s="2" t="s">
        <v>48</v>
      </c>
      <c r="F1878" s="6" t="s">
        <v>564</v>
      </c>
      <c r="G1878" s="5" t="s">
        <v>5422</v>
      </c>
      <c r="H1878" s="2" t="s">
        <v>57</v>
      </c>
      <c r="I1878" s="195" t="s">
        <v>5446</v>
      </c>
      <c r="J1878" s="7">
        <v>1</v>
      </c>
      <c r="K1878" s="70" t="s">
        <v>53</v>
      </c>
      <c r="L1878" s="9">
        <v>0</v>
      </c>
      <c r="M1878" s="3">
        <v>1548</v>
      </c>
      <c r="N1878" s="6">
        <v>2007</v>
      </c>
      <c r="P1878" s="71"/>
      <c r="R1878" s="6">
        <v>2000</v>
      </c>
      <c r="S1878" s="3" t="s">
        <v>54</v>
      </c>
      <c r="T1878" s="72"/>
      <c r="U1878" s="73"/>
      <c r="W1878" s="2" t="s">
        <v>5447</v>
      </c>
      <c r="X1878" s="10" t="s">
        <v>56</v>
      </c>
      <c r="Y1878" s="10" t="s">
        <v>57</v>
      </c>
      <c r="Z1878" s="75"/>
      <c r="AA1878" s="76">
        <v>42264</v>
      </c>
      <c r="AB1878" s="77">
        <v>42264</v>
      </c>
      <c r="AC1878" s="77">
        <v>42264</v>
      </c>
      <c r="AD1878" s="6"/>
      <c r="AE1878" s="7">
        <v>2007</v>
      </c>
      <c r="AF1878" s="7">
        <v>55</v>
      </c>
      <c r="AG1878" s="7">
        <v>2015</v>
      </c>
      <c r="AH1878" s="7">
        <v>2010</v>
      </c>
      <c r="AI1878" s="7"/>
      <c r="AJ1878" s="73"/>
      <c r="AK1878" s="7"/>
      <c r="AL1878" s="102" t="s">
        <v>5363</v>
      </c>
      <c r="AM1878" s="2" t="s">
        <v>82</v>
      </c>
      <c r="AN1878" s="6" t="s">
        <v>104</v>
      </c>
      <c r="AO1878" s="6" t="s">
        <v>59</v>
      </c>
      <c r="AP1878" s="6" t="s">
        <v>104</v>
      </c>
      <c r="AQ1878" s="5" t="s">
        <v>104</v>
      </c>
      <c r="AU1878" s="16" t="s">
        <v>5404</v>
      </c>
      <c r="AW1878" s="6">
        <f t="shared" ca="1" si="31"/>
        <v>18</v>
      </c>
    </row>
    <row r="1879" ht="45" customHeight="1" outlineLevel="1">
      <c r="A1879" s="69"/>
      <c r="B1879" s="3" t="s">
        <v>47</v>
      </c>
      <c r="D1879" s="5" t="s">
        <v>5359</v>
      </c>
      <c r="E1879" s="2" t="s">
        <v>48</v>
      </c>
      <c r="F1879" s="6" t="s">
        <v>564</v>
      </c>
      <c r="G1879" s="5" t="s">
        <v>5422</v>
      </c>
      <c r="H1879" s="2" t="s">
        <v>57</v>
      </c>
      <c r="I1879" s="195" t="s">
        <v>5448</v>
      </c>
      <c r="J1879" s="7">
        <v>1</v>
      </c>
      <c r="K1879" s="70" t="s">
        <v>53</v>
      </c>
      <c r="L1879" s="9">
        <v>0</v>
      </c>
      <c r="M1879" s="3">
        <v>1548</v>
      </c>
      <c r="N1879" s="6">
        <v>2007</v>
      </c>
      <c r="P1879" s="71"/>
      <c r="R1879" s="6">
        <v>2000</v>
      </c>
      <c r="S1879" s="3" t="s">
        <v>54</v>
      </c>
      <c r="T1879" s="72"/>
      <c r="U1879" s="73"/>
      <c r="W1879" s="2" t="s">
        <v>5449</v>
      </c>
      <c r="X1879" s="10" t="s">
        <v>56</v>
      </c>
      <c r="Y1879" s="10" t="s">
        <v>57</v>
      </c>
      <c r="Z1879" s="75"/>
      <c r="AA1879" s="76">
        <v>42269</v>
      </c>
      <c r="AB1879" s="77">
        <v>42269</v>
      </c>
      <c r="AC1879" s="77">
        <v>42269</v>
      </c>
      <c r="AD1879" s="6"/>
      <c r="AE1879" s="7">
        <v>2007</v>
      </c>
      <c r="AF1879" s="7">
        <v>55</v>
      </c>
      <c r="AG1879" s="7">
        <v>2015</v>
      </c>
      <c r="AH1879" s="7">
        <v>2010</v>
      </c>
      <c r="AI1879" s="7"/>
      <c r="AJ1879" s="73"/>
      <c r="AK1879" s="7"/>
      <c r="AL1879" s="102" t="s">
        <v>5363</v>
      </c>
      <c r="AM1879" s="2" t="s">
        <v>59</v>
      </c>
      <c r="AN1879" s="6" t="s">
        <v>104</v>
      </c>
      <c r="AO1879" s="6" t="s">
        <v>59</v>
      </c>
      <c r="AP1879" s="6" t="s">
        <v>104</v>
      </c>
      <c r="AQ1879" s="5" t="s">
        <v>104</v>
      </c>
      <c r="AU1879" s="16" t="s">
        <v>5404</v>
      </c>
      <c r="AW1879" s="6">
        <f t="shared" ca="1" si="31"/>
        <v>18</v>
      </c>
    </row>
    <row r="1880" s="86" customFormat="1" ht="45" customHeight="1" outlineLevel="1">
      <c r="A1880" s="69"/>
      <c r="B1880" s="3" t="s">
        <v>47</v>
      </c>
      <c r="C1880" s="4"/>
      <c r="D1880" s="5" t="s">
        <v>5359</v>
      </c>
      <c r="E1880" s="2" t="s">
        <v>48</v>
      </c>
      <c r="F1880" s="6" t="s">
        <v>564</v>
      </c>
      <c r="G1880" s="5" t="s">
        <v>5360</v>
      </c>
      <c r="H1880" s="2" t="s">
        <v>57</v>
      </c>
      <c r="I1880" s="195" t="s">
        <v>5450</v>
      </c>
      <c r="J1880" s="7">
        <v>1</v>
      </c>
      <c r="K1880" s="70" t="s">
        <v>53</v>
      </c>
      <c r="L1880" s="9">
        <v>0</v>
      </c>
      <c r="M1880" s="3">
        <v>1548</v>
      </c>
      <c r="N1880" s="6">
        <v>2007</v>
      </c>
      <c r="O1880" s="10"/>
      <c r="P1880" s="71"/>
      <c r="Q1880" s="10"/>
      <c r="R1880" s="6">
        <v>2000</v>
      </c>
      <c r="S1880" s="3" t="s">
        <v>54</v>
      </c>
      <c r="T1880" s="72"/>
      <c r="U1880" s="73"/>
      <c r="V1880" s="12"/>
      <c r="W1880" s="2" t="s">
        <v>5451</v>
      </c>
      <c r="X1880" s="10" t="s">
        <v>56</v>
      </c>
      <c r="Y1880" s="10" t="s">
        <v>57</v>
      </c>
      <c r="Z1880" s="75"/>
      <c r="AA1880" s="76"/>
      <c r="AB1880" s="77">
        <v>42268</v>
      </c>
      <c r="AC1880" s="77">
        <v>42268</v>
      </c>
      <c r="AD1880" s="6"/>
      <c r="AE1880" s="7">
        <v>2007</v>
      </c>
      <c r="AF1880" s="7">
        <v>55</v>
      </c>
      <c r="AG1880" s="7">
        <v>2015</v>
      </c>
      <c r="AH1880" s="7">
        <v>2010</v>
      </c>
      <c r="AI1880" s="7"/>
      <c r="AJ1880" s="73"/>
      <c r="AK1880" s="7"/>
      <c r="AL1880" s="102" t="s">
        <v>5363</v>
      </c>
      <c r="AM1880" s="2" t="s">
        <v>59</v>
      </c>
      <c r="AN1880" s="6"/>
      <c r="AO1880" s="6"/>
      <c r="AP1880" s="6"/>
      <c r="AQ1880" s="5"/>
      <c r="AR1880" s="2"/>
      <c r="AS1880" s="6"/>
      <c r="AT1880" s="6"/>
      <c r="AU1880" s="16"/>
      <c r="AV1880" s="17"/>
      <c r="AW1880" s="6">
        <f t="shared" ca="1" si="31"/>
        <v>18</v>
      </c>
    </row>
    <row r="1881" ht="45" customHeight="1" outlineLevel="1">
      <c r="A1881" s="69"/>
      <c r="B1881" s="3" t="s">
        <v>47</v>
      </c>
      <c r="D1881" s="5" t="s">
        <v>5359</v>
      </c>
      <c r="E1881" s="2" t="s">
        <v>48</v>
      </c>
      <c r="F1881" s="6" t="s">
        <v>564</v>
      </c>
      <c r="G1881" s="5" t="s">
        <v>5452</v>
      </c>
      <c r="H1881" s="2" t="s">
        <v>57</v>
      </c>
      <c r="I1881" s="195" t="s">
        <v>5453</v>
      </c>
      <c r="J1881" s="7">
        <v>1</v>
      </c>
      <c r="K1881" s="70" t="s">
        <v>53</v>
      </c>
      <c r="L1881" s="9">
        <v>0</v>
      </c>
      <c r="M1881" s="3">
        <v>1548</v>
      </c>
      <c r="N1881" s="6">
        <v>2007</v>
      </c>
      <c r="P1881" s="71"/>
      <c r="R1881" s="6">
        <v>2000</v>
      </c>
      <c r="S1881" s="3" t="s">
        <v>54</v>
      </c>
      <c r="T1881" s="72"/>
      <c r="U1881" s="73"/>
      <c r="W1881" s="2" t="s">
        <v>5454</v>
      </c>
      <c r="X1881" s="10" t="s">
        <v>56</v>
      </c>
      <c r="Y1881" s="10" t="s">
        <v>57</v>
      </c>
      <c r="Z1881" s="75"/>
      <c r="AA1881" s="76"/>
      <c r="AB1881" s="77">
        <v>42269</v>
      </c>
      <c r="AC1881" s="77">
        <v>42269</v>
      </c>
      <c r="AD1881" s="6"/>
      <c r="AE1881" s="7">
        <v>2011</v>
      </c>
      <c r="AF1881" s="7">
        <v>67</v>
      </c>
      <c r="AG1881" s="7">
        <v>2015</v>
      </c>
      <c r="AH1881" s="7">
        <v>2010</v>
      </c>
      <c r="AI1881" s="7"/>
      <c r="AJ1881" s="73"/>
      <c r="AK1881" s="7"/>
      <c r="AL1881" s="102" t="s">
        <v>5363</v>
      </c>
      <c r="AM1881" s="2" t="s">
        <v>59</v>
      </c>
      <c r="AO1881" s="6" t="s">
        <v>53</v>
      </c>
      <c r="AP1881" s="6" t="s">
        <v>73</v>
      </c>
      <c r="AQ1881" s="5" t="s">
        <v>73</v>
      </c>
      <c r="AW1881" s="6">
        <f t="shared" ca="1" si="31"/>
        <v>18</v>
      </c>
    </row>
    <row r="1882" ht="45" customHeight="1" outlineLevel="1">
      <c r="A1882" s="69"/>
      <c r="B1882" s="3" t="s">
        <v>47</v>
      </c>
      <c r="D1882" s="5" t="s">
        <v>5359</v>
      </c>
      <c r="E1882" s="2" t="s">
        <v>48</v>
      </c>
      <c r="F1882" s="6" t="s">
        <v>564</v>
      </c>
      <c r="G1882" s="5" t="s">
        <v>4035</v>
      </c>
      <c r="H1882" s="2" t="s">
        <v>57</v>
      </c>
      <c r="I1882" s="195" t="s">
        <v>5455</v>
      </c>
      <c r="J1882" s="7">
        <v>1</v>
      </c>
      <c r="K1882" s="70" t="s">
        <v>53</v>
      </c>
      <c r="L1882" s="9">
        <v>0</v>
      </c>
      <c r="M1882" s="3">
        <v>1548</v>
      </c>
      <c r="N1882" s="6">
        <v>2007</v>
      </c>
      <c r="P1882" s="71"/>
      <c r="R1882" s="6">
        <v>2000</v>
      </c>
      <c r="S1882" s="3" t="s">
        <v>54</v>
      </c>
      <c r="T1882" s="72"/>
      <c r="U1882" s="73"/>
      <c r="W1882" s="2" t="s">
        <v>5456</v>
      </c>
      <c r="X1882" s="10" t="s">
        <v>56</v>
      </c>
      <c r="Y1882" s="10" t="s">
        <v>57</v>
      </c>
      <c r="Z1882" s="75"/>
      <c r="AA1882" s="76"/>
      <c r="AB1882" s="77">
        <v>42268</v>
      </c>
      <c r="AC1882" s="77">
        <v>42268</v>
      </c>
      <c r="AD1882" s="6"/>
      <c r="AE1882" s="7">
        <v>2011</v>
      </c>
      <c r="AF1882" s="7">
        <v>67</v>
      </c>
      <c r="AG1882" s="7">
        <v>2015</v>
      </c>
      <c r="AH1882" s="7">
        <v>2010</v>
      </c>
      <c r="AI1882" s="7"/>
      <c r="AJ1882" s="73"/>
      <c r="AK1882" s="7"/>
      <c r="AL1882" s="102" t="s">
        <v>5363</v>
      </c>
      <c r="AM1882" s="2" t="s">
        <v>59</v>
      </c>
      <c r="AW1882" s="6">
        <f t="shared" ca="1" si="31"/>
        <v>18</v>
      </c>
    </row>
    <row r="1883" ht="45" customHeight="1">
      <c r="A1883" s="69"/>
      <c r="B1883" s="3" t="s">
        <v>47</v>
      </c>
      <c r="D1883" s="5" t="s">
        <v>5359</v>
      </c>
      <c r="E1883" s="2" t="s">
        <v>48</v>
      </c>
      <c r="F1883" s="6" t="s">
        <v>564</v>
      </c>
      <c r="G1883" s="5" t="s">
        <v>5457</v>
      </c>
      <c r="H1883" s="2" t="s">
        <v>57</v>
      </c>
      <c r="I1883" s="195" t="s">
        <v>5458</v>
      </c>
      <c r="J1883" s="7">
        <v>1</v>
      </c>
      <c r="K1883" s="70" t="s">
        <v>53</v>
      </c>
      <c r="L1883" s="9">
        <v>0</v>
      </c>
      <c r="M1883" s="3">
        <v>1548</v>
      </c>
      <c r="N1883" s="6">
        <v>2007</v>
      </c>
      <c r="P1883" s="71"/>
      <c r="R1883" s="6">
        <v>2000</v>
      </c>
      <c r="S1883" s="3" t="s">
        <v>54</v>
      </c>
      <c r="T1883" s="72"/>
      <c r="U1883" s="73"/>
      <c r="W1883" s="2" t="s">
        <v>5459</v>
      </c>
      <c r="X1883" s="10" t="s">
        <v>56</v>
      </c>
      <c r="Y1883" s="10" t="s">
        <v>57</v>
      </c>
      <c r="Z1883" s="75"/>
      <c r="AA1883" s="76"/>
      <c r="AB1883" s="77">
        <v>42268</v>
      </c>
      <c r="AC1883" s="77">
        <v>42268</v>
      </c>
      <c r="AD1883" s="6"/>
      <c r="AE1883" s="7">
        <v>2011</v>
      </c>
      <c r="AF1883" s="7">
        <v>67</v>
      </c>
      <c r="AG1883" s="7">
        <v>2015</v>
      </c>
      <c r="AH1883" s="7">
        <v>2010</v>
      </c>
      <c r="AI1883" s="7"/>
      <c r="AJ1883" s="73"/>
      <c r="AK1883" s="7"/>
      <c r="AL1883" s="102" t="s">
        <v>5363</v>
      </c>
      <c r="AM1883" s="2" t="s">
        <v>59</v>
      </c>
      <c r="AN1883" s="6" t="s">
        <v>104</v>
      </c>
      <c r="AO1883" s="6" t="s">
        <v>53</v>
      </c>
      <c r="AP1883" s="6" t="s">
        <v>104</v>
      </c>
      <c r="AQ1883" s="5" t="s">
        <v>104</v>
      </c>
      <c r="AW1883" s="6">
        <f t="shared" ca="1" si="31"/>
        <v>18</v>
      </c>
    </row>
    <row r="1884" ht="45" customHeight="1" outlineLevel="1">
      <c r="A1884" s="69"/>
      <c r="B1884" s="3" t="s">
        <v>47</v>
      </c>
      <c r="D1884" s="5" t="s">
        <v>5359</v>
      </c>
      <c r="E1884" s="2" t="s">
        <v>48</v>
      </c>
      <c r="F1884" s="6" t="s">
        <v>564</v>
      </c>
      <c r="G1884" s="5" t="s">
        <v>5457</v>
      </c>
      <c r="H1884" s="2" t="s">
        <v>57</v>
      </c>
      <c r="I1884" s="195" t="s">
        <v>5460</v>
      </c>
      <c r="J1884" s="7">
        <v>1</v>
      </c>
      <c r="K1884" s="70" t="s">
        <v>53</v>
      </c>
      <c r="L1884" s="9">
        <v>0</v>
      </c>
      <c r="M1884" s="3">
        <v>1548</v>
      </c>
      <c r="N1884" s="6">
        <v>2007</v>
      </c>
      <c r="P1884" s="71"/>
      <c r="R1884" s="6">
        <v>2000</v>
      </c>
      <c r="S1884" s="3" t="s">
        <v>54</v>
      </c>
      <c r="T1884" s="72"/>
      <c r="U1884" s="73"/>
      <c r="W1884" s="2" t="s">
        <v>5461</v>
      </c>
      <c r="X1884" s="10" t="s">
        <v>56</v>
      </c>
      <c r="Y1884" s="10" t="s">
        <v>57</v>
      </c>
      <c r="Z1884" s="75"/>
      <c r="AA1884" s="76"/>
      <c r="AB1884" s="77">
        <v>42269</v>
      </c>
      <c r="AC1884" s="77">
        <v>42269</v>
      </c>
      <c r="AD1884" s="6"/>
      <c r="AE1884" s="7">
        <v>2011</v>
      </c>
      <c r="AF1884" s="7">
        <v>67</v>
      </c>
      <c r="AG1884" s="7">
        <v>2015</v>
      </c>
      <c r="AH1884" s="7">
        <v>2010</v>
      </c>
      <c r="AI1884" s="7"/>
      <c r="AJ1884" s="73"/>
      <c r="AK1884" s="7"/>
      <c r="AL1884" s="102" t="s">
        <v>5363</v>
      </c>
      <c r="AM1884" s="2" t="s">
        <v>59</v>
      </c>
      <c r="AN1884" s="6" t="s">
        <v>73</v>
      </c>
      <c r="AO1884" s="6" t="s">
        <v>53</v>
      </c>
      <c r="AP1884" s="6" t="s">
        <v>73</v>
      </c>
      <c r="AQ1884" s="5" t="s">
        <v>73</v>
      </c>
      <c r="AW1884" s="6">
        <f t="shared" ca="1" si="31"/>
        <v>18</v>
      </c>
    </row>
    <row r="1885" ht="45" customHeight="1" outlineLevel="1">
      <c r="A1885" s="69"/>
      <c r="B1885" s="3" t="s">
        <v>47</v>
      </c>
      <c r="D1885" s="5" t="s">
        <v>5359</v>
      </c>
      <c r="E1885" s="2" t="s">
        <v>48</v>
      </c>
      <c r="F1885" s="6" t="s">
        <v>564</v>
      </c>
      <c r="G1885" s="5" t="s">
        <v>5452</v>
      </c>
      <c r="H1885" s="2" t="s">
        <v>57</v>
      </c>
      <c r="I1885" s="195" t="s">
        <v>5462</v>
      </c>
      <c r="J1885" s="7">
        <v>1</v>
      </c>
      <c r="K1885" s="70" t="s">
        <v>53</v>
      </c>
      <c r="L1885" s="9">
        <v>0</v>
      </c>
      <c r="M1885" s="3">
        <v>1548</v>
      </c>
      <c r="N1885" s="6">
        <v>2007</v>
      </c>
      <c r="P1885" s="71"/>
      <c r="R1885" s="6">
        <v>2000</v>
      </c>
      <c r="S1885" s="3" t="s">
        <v>54</v>
      </c>
      <c r="T1885" s="72"/>
      <c r="U1885" s="73"/>
      <c r="W1885" s="2" t="s">
        <v>5463</v>
      </c>
      <c r="X1885" s="10" t="s">
        <v>56</v>
      </c>
      <c r="Y1885" s="10" t="s">
        <v>57</v>
      </c>
      <c r="Z1885" s="75"/>
      <c r="AA1885" s="76">
        <v>42269</v>
      </c>
      <c r="AB1885" s="77">
        <v>42269</v>
      </c>
      <c r="AC1885" s="77">
        <v>42269</v>
      </c>
      <c r="AD1885" s="6"/>
      <c r="AE1885" s="7">
        <v>2011</v>
      </c>
      <c r="AF1885" s="7">
        <v>67</v>
      </c>
      <c r="AG1885" s="7">
        <v>2015</v>
      </c>
      <c r="AH1885" s="7">
        <v>2010</v>
      </c>
      <c r="AI1885" s="7"/>
      <c r="AJ1885" s="73"/>
      <c r="AK1885" s="7"/>
      <c r="AL1885" s="102" t="s">
        <v>5363</v>
      </c>
      <c r="AM1885" s="2" t="s">
        <v>59</v>
      </c>
      <c r="AO1885" s="6" t="s">
        <v>53</v>
      </c>
      <c r="AP1885" s="6" t="s">
        <v>104</v>
      </c>
      <c r="AQ1885" s="5" t="s">
        <v>104</v>
      </c>
      <c r="AW1885" s="6">
        <f t="shared" ca="1" si="31"/>
        <v>18</v>
      </c>
    </row>
    <row r="1886" ht="45" customHeight="1" outlineLevel="1">
      <c r="A1886" s="69"/>
      <c r="B1886" s="3" t="s">
        <v>47</v>
      </c>
      <c r="D1886" s="5" t="s">
        <v>5359</v>
      </c>
      <c r="E1886" s="2" t="s">
        <v>48</v>
      </c>
      <c r="F1886" s="6" t="s">
        <v>564</v>
      </c>
      <c r="G1886" s="5" t="s">
        <v>5452</v>
      </c>
      <c r="H1886" s="2" t="s">
        <v>57</v>
      </c>
      <c r="I1886" s="195" t="s">
        <v>5464</v>
      </c>
      <c r="J1886" s="7">
        <v>1</v>
      </c>
      <c r="K1886" s="70" t="s">
        <v>53</v>
      </c>
      <c r="L1886" s="9">
        <v>0</v>
      </c>
      <c r="M1886" s="3">
        <v>1548</v>
      </c>
      <c r="N1886" s="6">
        <v>2007</v>
      </c>
      <c r="P1886" s="71"/>
      <c r="R1886" s="6">
        <v>2000</v>
      </c>
      <c r="S1886" s="3" t="s">
        <v>54</v>
      </c>
      <c r="T1886" s="72"/>
      <c r="U1886" s="73"/>
      <c r="W1886" s="2" t="s">
        <v>5465</v>
      </c>
      <c r="X1886" s="10" t="s">
        <v>56</v>
      </c>
      <c r="Y1886" s="10" t="s">
        <v>57</v>
      </c>
      <c r="Z1886" s="75"/>
      <c r="AA1886" s="76">
        <v>42269</v>
      </c>
      <c r="AB1886" s="77">
        <v>42269</v>
      </c>
      <c r="AC1886" s="77">
        <v>42269</v>
      </c>
      <c r="AD1886" s="6"/>
      <c r="AE1886" s="7">
        <v>2011</v>
      </c>
      <c r="AF1886" s="7">
        <v>67</v>
      </c>
      <c r="AG1886" s="7">
        <v>2015</v>
      </c>
      <c r="AH1886" s="7">
        <v>2010</v>
      </c>
      <c r="AI1886" s="7"/>
      <c r="AJ1886" s="73"/>
      <c r="AK1886" s="7"/>
      <c r="AL1886" s="102" t="s">
        <v>5363</v>
      </c>
      <c r="AM1886" s="2" t="s">
        <v>59</v>
      </c>
      <c r="AO1886" s="6" t="s">
        <v>53</v>
      </c>
      <c r="AP1886" s="6" t="s">
        <v>104</v>
      </c>
      <c r="AQ1886" s="5" t="s">
        <v>104</v>
      </c>
      <c r="AW1886" s="6">
        <f t="shared" ca="1" si="31"/>
        <v>18</v>
      </c>
    </row>
    <row r="1887" ht="45" customHeight="1" outlineLevel="1">
      <c r="A1887" s="69"/>
      <c r="B1887" s="3" t="s">
        <v>47</v>
      </c>
      <c r="D1887" s="5" t="s">
        <v>5359</v>
      </c>
      <c r="E1887" s="2" t="s">
        <v>48</v>
      </c>
      <c r="F1887" s="6" t="s">
        <v>564</v>
      </c>
      <c r="G1887" s="5" t="s">
        <v>5452</v>
      </c>
      <c r="H1887" s="2" t="s">
        <v>57</v>
      </c>
      <c r="I1887" s="195" t="s">
        <v>5466</v>
      </c>
      <c r="J1887" s="7">
        <v>1</v>
      </c>
      <c r="K1887" s="70" t="s">
        <v>53</v>
      </c>
      <c r="L1887" s="9">
        <v>0</v>
      </c>
      <c r="M1887" s="3">
        <v>1548</v>
      </c>
      <c r="N1887" s="6">
        <v>2007</v>
      </c>
      <c r="P1887" s="71"/>
      <c r="R1887" s="6">
        <v>2000</v>
      </c>
      <c r="S1887" s="3" t="s">
        <v>54</v>
      </c>
      <c r="T1887" s="72"/>
      <c r="U1887" s="73"/>
      <c r="W1887" s="2" t="s">
        <v>5467</v>
      </c>
      <c r="X1887" s="10" t="s">
        <v>56</v>
      </c>
      <c r="Y1887" s="10" t="s">
        <v>57</v>
      </c>
      <c r="Z1887" s="75"/>
      <c r="AA1887" s="76"/>
      <c r="AB1887" s="77">
        <v>42269</v>
      </c>
      <c r="AC1887" s="77">
        <v>42269</v>
      </c>
      <c r="AD1887" s="6"/>
      <c r="AE1887" s="7">
        <v>2011</v>
      </c>
      <c r="AF1887" s="7">
        <v>67</v>
      </c>
      <c r="AG1887" s="7">
        <v>2015</v>
      </c>
      <c r="AH1887" s="7">
        <v>2010</v>
      </c>
      <c r="AI1887" s="7"/>
      <c r="AJ1887" s="73"/>
      <c r="AK1887" s="7"/>
      <c r="AL1887" s="102" t="s">
        <v>5363</v>
      </c>
      <c r="AM1887" s="2" t="s">
        <v>59</v>
      </c>
      <c r="AO1887" s="6" t="s">
        <v>53</v>
      </c>
      <c r="AP1887" s="6" t="s">
        <v>73</v>
      </c>
      <c r="AQ1887" s="5" t="s">
        <v>73</v>
      </c>
      <c r="AW1887" s="6">
        <f t="shared" ca="1" si="31"/>
        <v>18</v>
      </c>
    </row>
    <row r="1888" ht="45" customHeight="1">
      <c r="A1888" s="69"/>
      <c r="B1888" s="3" t="s">
        <v>47</v>
      </c>
      <c r="D1888" s="5" t="s">
        <v>5359</v>
      </c>
      <c r="E1888" s="2" t="s">
        <v>48</v>
      </c>
      <c r="F1888" s="6" t="s">
        <v>564</v>
      </c>
      <c r="G1888" s="5" t="s">
        <v>5360</v>
      </c>
      <c r="H1888" s="2" t="s">
        <v>57</v>
      </c>
      <c r="I1888" s="195" t="s">
        <v>5468</v>
      </c>
      <c r="J1888" s="7">
        <v>1</v>
      </c>
      <c r="K1888" s="70" t="s">
        <v>53</v>
      </c>
      <c r="L1888" s="9">
        <v>0</v>
      </c>
      <c r="M1888" s="3">
        <v>1548</v>
      </c>
      <c r="N1888" s="6">
        <v>2007</v>
      </c>
      <c r="P1888" s="71"/>
      <c r="R1888" s="6">
        <v>2000</v>
      </c>
      <c r="S1888" s="3" t="s">
        <v>54</v>
      </c>
      <c r="T1888" s="72"/>
      <c r="U1888" s="73"/>
      <c r="W1888" s="2" t="s">
        <v>5469</v>
      </c>
      <c r="X1888" s="10" t="s">
        <v>56</v>
      </c>
      <c r="Y1888" s="10" t="s">
        <v>57</v>
      </c>
      <c r="Z1888" s="75"/>
      <c r="AA1888" s="76">
        <v>42268</v>
      </c>
      <c r="AB1888" s="77">
        <v>42268</v>
      </c>
      <c r="AC1888" s="77">
        <v>42268</v>
      </c>
      <c r="AD1888" s="6"/>
      <c r="AE1888" s="7">
        <v>2011</v>
      </c>
      <c r="AF1888" s="7">
        <v>67</v>
      </c>
      <c r="AG1888" s="7">
        <v>2015</v>
      </c>
      <c r="AH1888" s="7">
        <v>2010</v>
      </c>
      <c r="AI1888" s="7"/>
      <c r="AJ1888" s="73"/>
      <c r="AK1888" s="7"/>
      <c r="AL1888" s="102" t="s">
        <v>5363</v>
      </c>
      <c r="AM1888" s="2" t="s">
        <v>82</v>
      </c>
      <c r="AW1888" s="6">
        <f t="shared" ca="1" si="31"/>
        <v>18</v>
      </c>
    </row>
    <row r="1889" ht="45" customHeight="1">
      <c r="A1889" s="69"/>
      <c r="B1889" s="3" t="s">
        <v>47</v>
      </c>
      <c r="D1889" s="5" t="s">
        <v>5359</v>
      </c>
      <c r="E1889" s="2" t="s">
        <v>48</v>
      </c>
      <c r="F1889" s="6" t="s">
        <v>564</v>
      </c>
      <c r="G1889" s="5" t="s">
        <v>5470</v>
      </c>
      <c r="H1889" s="2" t="s">
        <v>257</v>
      </c>
      <c r="I1889" s="195" t="s">
        <v>5471</v>
      </c>
      <c r="J1889" s="7">
        <v>1</v>
      </c>
      <c r="K1889" s="70" t="s">
        <v>53</v>
      </c>
      <c r="L1889" s="9">
        <v>0</v>
      </c>
      <c r="M1889" s="3">
        <v>1548</v>
      </c>
      <c r="N1889" s="6">
        <v>2007</v>
      </c>
      <c r="P1889" s="71"/>
      <c r="R1889" s="6">
        <v>2000</v>
      </c>
      <c r="S1889" s="3" t="s">
        <v>54</v>
      </c>
      <c r="T1889" s="72"/>
      <c r="U1889" s="73"/>
      <c r="W1889" s="2" t="s">
        <v>5472</v>
      </c>
      <c r="X1889" s="10" t="s">
        <v>56</v>
      </c>
      <c r="Y1889" s="10" t="s">
        <v>68</v>
      </c>
      <c r="Z1889" s="75"/>
      <c r="AA1889" s="76"/>
      <c r="AB1889" s="77">
        <v>42268</v>
      </c>
      <c r="AC1889" s="77">
        <v>42268</v>
      </c>
      <c r="AD1889" s="6"/>
      <c r="AE1889" s="7">
        <v>2011</v>
      </c>
      <c r="AF1889" s="7">
        <v>67</v>
      </c>
      <c r="AG1889" s="7">
        <v>2015</v>
      </c>
      <c r="AH1889" s="7">
        <v>2010</v>
      </c>
      <c r="AI1889" s="7"/>
      <c r="AJ1889" s="73"/>
      <c r="AK1889" s="7"/>
      <c r="AL1889" s="102" t="s">
        <v>5363</v>
      </c>
      <c r="AM1889" s="2" t="s">
        <v>82</v>
      </c>
      <c r="AW1889" s="6">
        <f t="shared" ca="1" si="31"/>
        <v>18</v>
      </c>
    </row>
    <row r="1890" ht="45" customHeight="1">
      <c r="A1890" s="69"/>
      <c r="B1890" s="3" t="s">
        <v>47</v>
      </c>
      <c r="D1890" s="5" t="s">
        <v>5359</v>
      </c>
      <c r="E1890" s="2" t="s">
        <v>48</v>
      </c>
      <c r="F1890" s="6" t="s">
        <v>564</v>
      </c>
      <c r="G1890" s="5" t="s">
        <v>5473</v>
      </c>
      <c r="H1890" s="2" t="s">
        <v>51</v>
      </c>
      <c r="I1890" s="195" t="s">
        <v>5474</v>
      </c>
      <c r="J1890" s="7">
        <v>1</v>
      </c>
      <c r="K1890" s="70" t="s">
        <v>53</v>
      </c>
      <c r="L1890" s="9">
        <v>0</v>
      </c>
      <c r="M1890" s="3">
        <v>1548</v>
      </c>
      <c r="N1890" s="6">
        <v>2007</v>
      </c>
      <c r="P1890" s="71"/>
      <c r="R1890" s="6">
        <v>2000</v>
      </c>
      <c r="S1890" s="3" t="s">
        <v>54</v>
      </c>
      <c r="T1890" s="72"/>
      <c r="U1890" s="73"/>
      <c r="W1890" s="2" t="s">
        <v>5475</v>
      </c>
      <c r="X1890" s="10" t="s">
        <v>56</v>
      </c>
      <c r="Y1890" s="10" t="s">
        <v>57</v>
      </c>
      <c r="Z1890" s="75" t="s">
        <v>58</v>
      </c>
      <c r="AA1890" s="76">
        <v>42268</v>
      </c>
      <c r="AB1890" s="77">
        <v>42268</v>
      </c>
      <c r="AC1890" s="212">
        <v>42268</v>
      </c>
      <c r="AD1890" s="6"/>
      <c r="AE1890" s="7">
        <v>2011</v>
      </c>
      <c r="AF1890" s="7">
        <v>67</v>
      </c>
      <c r="AG1890" s="7">
        <v>2015</v>
      </c>
      <c r="AH1890" s="7">
        <v>2010</v>
      </c>
      <c r="AI1890" s="7"/>
      <c r="AJ1890" s="73"/>
      <c r="AK1890" s="7"/>
      <c r="AL1890" s="102" t="s">
        <v>5363</v>
      </c>
      <c r="AM1890" s="2" t="s">
        <v>59</v>
      </c>
      <c r="AW1890" s="6">
        <f t="shared" ca="1" si="31"/>
        <v>18</v>
      </c>
    </row>
    <row r="1891" ht="45" customHeight="1">
      <c r="A1891" s="69"/>
      <c r="B1891" s="3" t="s">
        <v>47</v>
      </c>
      <c r="D1891" s="5" t="s">
        <v>5359</v>
      </c>
      <c r="E1891" s="2" t="s">
        <v>48</v>
      </c>
      <c r="F1891" s="6" t="s">
        <v>564</v>
      </c>
      <c r="G1891" s="5" t="s">
        <v>4035</v>
      </c>
      <c r="H1891" s="2" t="s">
        <v>57</v>
      </c>
      <c r="I1891" s="195" t="s">
        <v>5476</v>
      </c>
      <c r="J1891" s="7">
        <v>1</v>
      </c>
      <c r="K1891" s="70" t="s">
        <v>53</v>
      </c>
      <c r="L1891" s="9">
        <v>0</v>
      </c>
      <c r="M1891" s="3">
        <v>1548</v>
      </c>
      <c r="N1891" s="6">
        <v>2007</v>
      </c>
      <c r="P1891" s="71"/>
      <c r="R1891" s="6">
        <v>2000</v>
      </c>
      <c r="S1891" s="3" t="s">
        <v>54</v>
      </c>
      <c r="T1891" s="72"/>
      <c r="U1891" s="73"/>
      <c r="W1891" s="2" t="s">
        <v>5477</v>
      </c>
      <c r="X1891" s="10" t="s">
        <v>56</v>
      </c>
      <c r="Y1891" s="10" t="s">
        <v>57</v>
      </c>
      <c r="Z1891" s="75"/>
      <c r="AA1891" s="76">
        <v>42269</v>
      </c>
      <c r="AB1891" s="77">
        <v>42269</v>
      </c>
      <c r="AC1891" s="77">
        <v>42269</v>
      </c>
      <c r="AD1891" s="6"/>
      <c r="AE1891" s="7">
        <v>2011</v>
      </c>
      <c r="AF1891" s="7">
        <v>67</v>
      </c>
      <c r="AG1891" s="7">
        <v>2015</v>
      </c>
      <c r="AH1891" s="7">
        <v>2010</v>
      </c>
      <c r="AI1891" s="7"/>
      <c r="AJ1891" s="73"/>
      <c r="AK1891" s="7"/>
      <c r="AL1891" s="102" t="s">
        <v>5363</v>
      </c>
      <c r="AM1891" s="2" t="s">
        <v>59</v>
      </c>
      <c r="AW1891" s="6">
        <f t="shared" ca="1" si="31"/>
        <v>18</v>
      </c>
    </row>
    <row r="1892" ht="45" customHeight="1">
      <c r="A1892" s="69"/>
      <c r="B1892" s="3" t="s">
        <v>47</v>
      </c>
      <c r="D1892" s="5" t="s">
        <v>5359</v>
      </c>
      <c r="E1892" s="2" t="s">
        <v>48</v>
      </c>
      <c r="F1892" s="6" t="s">
        <v>564</v>
      </c>
      <c r="G1892" s="5" t="s">
        <v>4035</v>
      </c>
      <c r="H1892" s="2" t="s">
        <v>57</v>
      </c>
      <c r="I1892" s="195" t="s">
        <v>5478</v>
      </c>
      <c r="J1892" s="7">
        <v>1</v>
      </c>
      <c r="K1892" s="70" t="s">
        <v>53</v>
      </c>
      <c r="L1892" s="9">
        <v>0</v>
      </c>
      <c r="M1892" s="3">
        <v>1548</v>
      </c>
      <c r="N1892" s="6">
        <v>2007</v>
      </c>
      <c r="P1892" s="71"/>
      <c r="R1892" s="6">
        <v>2000</v>
      </c>
      <c r="S1892" s="3" t="s">
        <v>54</v>
      </c>
      <c r="T1892" s="72"/>
      <c r="U1892" s="73"/>
      <c r="W1892" s="2" t="s">
        <v>5479</v>
      </c>
      <c r="X1892" s="10" t="s">
        <v>56</v>
      </c>
      <c r="Y1892" s="10" t="s">
        <v>57</v>
      </c>
      <c r="Z1892" s="75"/>
      <c r="AA1892" s="76"/>
      <c r="AB1892" s="77">
        <v>42269</v>
      </c>
      <c r="AC1892" s="77"/>
      <c r="AD1892" s="6"/>
      <c r="AE1892" s="7">
        <v>2011</v>
      </c>
      <c r="AF1892" s="7">
        <v>67</v>
      </c>
      <c r="AG1892" s="7">
        <v>2015</v>
      </c>
      <c r="AH1892" s="7">
        <v>2010</v>
      </c>
      <c r="AI1892" s="7"/>
      <c r="AJ1892" s="73"/>
      <c r="AK1892" s="7"/>
      <c r="AL1892" s="102" t="s">
        <v>5363</v>
      </c>
      <c r="AM1892" s="2" t="s">
        <v>59</v>
      </c>
      <c r="AW1892" s="6">
        <f t="shared" ca="1" si="31"/>
        <v>18</v>
      </c>
    </row>
    <row r="1893" ht="45" customHeight="1">
      <c r="A1893" s="69"/>
      <c r="B1893" s="3" t="s">
        <v>47</v>
      </c>
      <c r="D1893" s="5" t="s">
        <v>5359</v>
      </c>
      <c r="E1893" s="2" t="s">
        <v>48</v>
      </c>
      <c r="F1893" s="6" t="s">
        <v>564</v>
      </c>
      <c r="G1893" s="5" t="s">
        <v>4035</v>
      </c>
      <c r="H1893" s="2" t="s">
        <v>57</v>
      </c>
      <c r="I1893" s="195" t="s">
        <v>5480</v>
      </c>
      <c r="J1893" s="7">
        <v>1</v>
      </c>
      <c r="K1893" s="70" t="s">
        <v>53</v>
      </c>
      <c r="L1893" s="9">
        <v>0</v>
      </c>
      <c r="M1893" s="3">
        <v>1548</v>
      </c>
      <c r="N1893" s="6">
        <v>2007</v>
      </c>
      <c r="P1893" s="71"/>
      <c r="R1893" s="6">
        <v>2000</v>
      </c>
      <c r="S1893" s="3" t="s">
        <v>54</v>
      </c>
      <c r="T1893" s="72"/>
      <c r="U1893" s="73"/>
      <c r="W1893" s="2" t="s">
        <v>5481</v>
      </c>
      <c r="X1893" s="10" t="s">
        <v>56</v>
      </c>
      <c r="Y1893" s="10" t="s">
        <v>57</v>
      </c>
      <c r="Z1893" s="75"/>
      <c r="AA1893" s="76">
        <v>42262</v>
      </c>
      <c r="AB1893" s="77">
        <v>42262</v>
      </c>
      <c r="AC1893" s="77"/>
      <c r="AD1893" s="6"/>
      <c r="AE1893" s="7">
        <v>2007</v>
      </c>
      <c r="AF1893" s="7">
        <v>55</v>
      </c>
      <c r="AG1893" s="7">
        <v>2015</v>
      </c>
      <c r="AH1893" s="7">
        <v>2010</v>
      </c>
      <c r="AI1893" s="7"/>
      <c r="AJ1893" s="73"/>
      <c r="AK1893" s="7"/>
      <c r="AL1893" s="102" t="s">
        <v>5363</v>
      </c>
      <c r="AM1893" s="2" t="s">
        <v>82</v>
      </c>
      <c r="AW1893" s="6">
        <f t="shared" ca="1" si="31"/>
        <v>18</v>
      </c>
    </row>
    <row r="1894" ht="45" customHeight="1">
      <c r="A1894" s="69"/>
      <c r="B1894" s="3" t="s">
        <v>47</v>
      </c>
      <c r="D1894" s="5" t="s">
        <v>5359</v>
      </c>
      <c r="E1894" s="2" t="s">
        <v>48</v>
      </c>
      <c r="F1894" s="6" t="s">
        <v>564</v>
      </c>
      <c r="G1894" s="5" t="s">
        <v>4035</v>
      </c>
      <c r="H1894" s="2" t="s">
        <v>57</v>
      </c>
      <c r="I1894" s="213" t="s">
        <v>5482</v>
      </c>
      <c r="J1894" s="7">
        <v>1</v>
      </c>
      <c r="K1894" s="70" t="s">
        <v>53</v>
      </c>
      <c r="L1894" s="9">
        <v>0</v>
      </c>
      <c r="M1894" s="3">
        <v>1548</v>
      </c>
      <c r="N1894" s="6">
        <v>2007</v>
      </c>
      <c r="P1894" s="71"/>
      <c r="R1894" s="6">
        <v>2000</v>
      </c>
      <c r="S1894" s="3" t="s">
        <v>54</v>
      </c>
      <c r="T1894" s="72"/>
      <c r="U1894" s="73"/>
      <c r="W1894" s="2" t="s">
        <v>5483</v>
      </c>
      <c r="X1894" s="10" t="s">
        <v>56</v>
      </c>
      <c r="Y1894" s="10" t="s">
        <v>57</v>
      </c>
      <c r="Z1894" s="75"/>
      <c r="AA1894" s="76"/>
      <c r="AB1894" s="77">
        <v>42269</v>
      </c>
      <c r="AC1894" s="77">
        <v>42269</v>
      </c>
      <c r="AD1894" s="6"/>
      <c r="AE1894" s="7">
        <v>2011</v>
      </c>
      <c r="AF1894" s="7">
        <v>67</v>
      </c>
      <c r="AG1894" s="7">
        <v>2015</v>
      </c>
      <c r="AH1894" s="7">
        <v>2010</v>
      </c>
      <c r="AI1894" s="7"/>
      <c r="AJ1894" s="73"/>
      <c r="AK1894" s="7"/>
      <c r="AL1894" s="214" t="s">
        <v>5484</v>
      </c>
      <c r="AM1894" s="2" t="s">
        <v>59</v>
      </c>
      <c r="AW1894" s="6">
        <f t="shared" ca="1" si="31"/>
        <v>18</v>
      </c>
    </row>
    <row r="1895" ht="45" customHeight="1">
      <c r="A1895" s="69"/>
      <c r="B1895" s="3" t="s">
        <v>47</v>
      </c>
      <c r="D1895" s="5" t="s">
        <v>5359</v>
      </c>
      <c r="E1895" s="2" t="s">
        <v>48</v>
      </c>
      <c r="F1895" s="6" t="s">
        <v>564</v>
      </c>
      <c r="G1895" s="5" t="s">
        <v>5485</v>
      </c>
      <c r="H1895" s="2" t="s">
        <v>57</v>
      </c>
      <c r="I1895" s="195" t="s">
        <v>5486</v>
      </c>
      <c r="J1895" s="7">
        <v>1</v>
      </c>
      <c r="K1895" s="70" t="s">
        <v>53</v>
      </c>
      <c r="L1895" s="9">
        <v>0</v>
      </c>
      <c r="M1895" s="3">
        <v>1548</v>
      </c>
      <c r="N1895" s="6">
        <v>2007</v>
      </c>
      <c r="P1895" s="71"/>
      <c r="R1895" s="6">
        <v>2000</v>
      </c>
      <c r="S1895" s="3" t="s">
        <v>54</v>
      </c>
      <c r="T1895" s="72"/>
      <c r="U1895" s="73"/>
      <c r="W1895" s="2" t="s">
        <v>5487</v>
      </c>
      <c r="X1895" s="10" t="s">
        <v>56</v>
      </c>
      <c r="Y1895" s="10" t="s">
        <v>57</v>
      </c>
      <c r="Z1895" s="75"/>
      <c r="AA1895" s="76"/>
      <c r="AB1895" s="77">
        <v>42269</v>
      </c>
      <c r="AC1895" s="77">
        <v>42269</v>
      </c>
      <c r="AD1895" s="6"/>
      <c r="AE1895" s="7">
        <v>2011</v>
      </c>
      <c r="AF1895" s="7">
        <v>67</v>
      </c>
      <c r="AG1895" s="7">
        <v>2015</v>
      </c>
      <c r="AH1895" s="7">
        <v>2010</v>
      </c>
      <c r="AI1895" s="7"/>
      <c r="AJ1895" s="73"/>
      <c r="AK1895" s="7"/>
      <c r="AL1895" s="102" t="s">
        <v>5363</v>
      </c>
      <c r="AM1895" s="2" t="s">
        <v>59</v>
      </c>
      <c r="AW1895" s="6">
        <f t="shared" ref="AW1895:AW1958" ca="1" si="32">IF(N1895&lt;&gt;0,(YEAR(TODAY())-N1895),(""))</f>
        <v>18</v>
      </c>
    </row>
    <row r="1896" ht="45" customHeight="1" outlineLevel="1">
      <c r="A1896" s="69"/>
      <c r="B1896" s="3" t="s">
        <v>47</v>
      </c>
      <c r="D1896" s="5" t="s">
        <v>5359</v>
      </c>
      <c r="E1896" s="2" t="s">
        <v>48</v>
      </c>
      <c r="F1896" s="6" t="s">
        <v>564</v>
      </c>
      <c r="G1896" s="5" t="s">
        <v>5488</v>
      </c>
      <c r="H1896" s="2" t="s">
        <v>57</v>
      </c>
      <c r="I1896" s="195" t="s">
        <v>5489</v>
      </c>
      <c r="J1896" s="7">
        <v>1</v>
      </c>
      <c r="K1896" s="70" t="s">
        <v>53</v>
      </c>
      <c r="L1896" s="9">
        <v>0</v>
      </c>
      <c r="M1896" s="3">
        <v>1548</v>
      </c>
      <c r="N1896" s="6">
        <v>2007</v>
      </c>
      <c r="P1896" s="71"/>
      <c r="R1896" s="6">
        <v>2000</v>
      </c>
      <c r="S1896" s="3" t="s">
        <v>54</v>
      </c>
      <c r="T1896" s="72"/>
      <c r="U1896" s="73"/>
      <c r="W1896" s="2" t="s">
        <v>5490</v>
      </c>
      <c r="X1896" s="10" t="s">
        <v>56</v>
      </c>
      <c r="Y1896" s="10" t="s">
        <v>57</v>
      </c>
      <c r="Z1896" s="75"/>
      <c r="AA1896" s="76">
        <v>42269</v>
      </c>
      <c r="AB1896" s="77">
        <v>42269</v>
      </c>
      <c r="AC1896" s="77">
        <v>42269</v>
      </c>
      <c r="AD1896" s="6"/>
      <c r="AE1896" s="7">
        <v>2011</v>
      </c>
      <c r="AF1896" s="7">
        <v>67</v>
      </c>
      <c r="AG1896" s="7">
        <v>2015</v>
      </c>
      <c r="AH1896" s="7">
        <v>2010</v>
      </c>
      <c r="AI1896" s="7"/>
      <c r="AJ1896" s="73"/>
      <c r="AK1896" s="7"/>
      <c r="AL1896" s="102" t="s">
        <v>5363</v>
      </c>
      <c r="AM1896" s="2" t="s">
        <v>59</v>
      </c>
      <c r="AW1896" s="6">
        <f t="shared" ca="1" si="32"/>
        <v>18</v>
      </c>
    </row>
    <row r="1897" ht="45" customHeight="1" outlineLevel="1">
      <c r="A1897" s="69"/>
      <c r="B1897" s="3" t="s">
        <v>47</v>
      </c>
      <c r="D1897" s="5" t="s">
        <v>5359</v>
      </c>
      <c r="E1897" s="2" t="s">
        <v>48</v>
      </c>
      <c r="F1897" s="6" t="s">
        <v>564</v>
      </c>
      <c r="G1897" s="5" t="s">
        <v>5457</v>
      </c>
      <c r="H1897" s="2" t="s">
        <v>57</v>
      </c>
      <c r="I1897" s="195" t="s">
        <v>5491</v>
      </c>
      <c r="J1897" s="7">
        <v>1</v>
      </c>
      <c r="K1897" s="70" t="s">
        <v>53</v>
      </c>
      <c r="L1897" s="9">
        <v>0</v>
      </c>
      <c r="M1897" s="3">
        <v>1548</v>
      </c>
      <c r="N1897" s="6">
        <v>2007</v>
      </c>
      <c r="P1897" s="71"/>
      <c r="R1897" s="6">
        <v>2000</v>
      </c>
      <c r="S1897" s="3" t="s">
        <v>54</v>
      </c>
      <c r="T1897" s="72"/>
      <c r="U1897" s="73"/>
      <c r="W1897" s="2" t="s">
        <v>5492</v>
      </c>
      <c r="X1897" s="10" t="s">
        <v>56</v>
      </c>
      <c r="Y1897" s="10" t="s">
        <v>57</v>
      </c>
      <c r="Z1897" s="75"/>
      <c r="AA1897" s="76">
        <v>42268</v>
      </c>
      <c r="AB1897" s="77">
        <v>42268</v>
      </c>
      <c r="AC1897" s="77">
        <v>42268</v>
      </c>
      <c r="AD1897" s="6"/>
      <c r="AE1897" s="7">
        <v>2011</v>
      </c>
      <c r="AF1897" s="7">
        <v>67</v>
      </c>
      <c r="AG1897" s="7">
        <v>2015</v>
      </c>
      <c r="AH1897" s="7">
        <v>2010</v>
      </c>
      <c r="AI1897" s="7"/>
      <c r="AJ1897" s="73"/>
      <c r="AK1897" s="7"/>
      <c r="AL1897" s="102" t="s">
        <v>5363</v>
      </c>
      <c r="AM1897" s="2" t="s">
        <v>59</v>
      </c>
      <c r="AN1897" s="6" t="s">
        <v>73</v>
      </c>
      <c r="AO1897" s="6" t="s">
        <v>53</v>
      </c>
      <c r="AP1897" s="6" t="s">
        <v>73</v>
      </c>
      <c r="AQ1897" s="5" t="s">
        <v>73</v>
      </c>
      <c r="AW1897" s="6">
        <f t="shared" ca="1" si="32"/>
        <v>18</v>
      </c>
    </row>
    <row r="1898" ht="45" customHeight="1" outlineLevel="1">
      <c r="A1898" s="69"/>
      <c r="B1898" s="3" t="s">
        <v>47</v>
      </c>
      <c r="D1898" s="5" t="s">
        <v>5359</v>
      </c>
      <c r="E1898" s="2" t="s">
        <v>48</v>
      </c>
      <c r="F1898" s="6" t="s">
        <v>564</v>
      </c>
      <c r="G1898" s="5" t="s">
        <v>5457</v>
      </c>
      <c r="H1898" s="2" t="s">
        <v>57</v>
      </c>
      <c r="I1898" s="195" t="s">
        <v>5493</v>
      </c>
      <c r="J1898" s="7">
        <v>1</v>
      </c>
      <c r="K1898" s="70" t="s">
        <v>53</v>
      </c>
      <c r="L1898" s="9">
        <v>0</v>
      </c>
      <c r="M1898" s="3">
        <v>1548</v>
      </c>
      <c r="N1898" s="6">
        <v>2007</v>
      </c>
      <c r="P1898" s="71"/>
      <c r="R1898" s="6">
        <v>2000</v>
      </c>
      <c r="S1898" s="3" t="s">
        <v>54</v>
      </c>
      <c r="T1898" s="72"/>
      <c r="U1898" s="73"/>
      <c r="W1898" s="2" t="s">
        <v>3964</v>
      </c>
      <c r="X1898" s="10" t="s">
        <v>56</v>
      </c>
      <c r="Y1898" s="10" t="s">
        <v>57</v>
      </c>
      <c r="Z1898" s="75"/>
      <c r="AA1898" s="76">
        <v>42265</v>
      </c>
      <c r="AB1898" s="77">
        <v>42265</v>
      </c>
      <c r="AC1898" s="77">
        <v>42265</v>
      </c>
      <c r="AD1898" s="6"/>
      <c r="AE1898" s="7">
        <v>2011</v>
      </c>
      <c r="AF1898" s="7">
        <v>67</v>
      </c>
      <c r="AG1898" s="7">
        <v>2015</v>
      </c>
      <c r="AH1898" s="7">
        <v>2010</v>
      </c>
      <c r="AI1898" s="7"/>
      <c r="AJ1898" s="73"/>
      <c r="AK1898" s="7"/>
      <c r="AL1898" s="102" t="s">
        <v>5363</v>
      </c>
      <c r="AM1898" s="2" t="s">
        <v>59</v>
      </c>
      <c r="AN1898" s="6" t="s">
        <v>104</v>
      </c>
      <c r="AO1898" s="6" t="s">
        <v>53</v>
      </c>
      <c r="AP1898" s="6" t="s">
        <v>104</v>
      </c>
      <c r="AQ1898" s="5" t="s">
        <v>104</v>
      </c>
      <c r="AW1898" s="6">
        <f t="shared" ca="1" si="32"/>
        <v>18</v>
      </c>
    </row>
    <row r="1899" ht="45" customHeight="1" outlineLevel="1">
      <c r="A1899" s="69"/>
      <c r="B1899" s="3" t="s">
        <v>47</v>
      </c>
      <c r="D1899" s="5" t="s">
        <v>5359</v>
      </c>
      <c r="E1899" s="2" t="s">
        <v>48</v>
      </c>
      <c r="F1899" s="6" t="s">
        <v>564</v>
      </c>
      <c r="G1899" s="5" t="s">
        <v>5457</v>
      </c>
      <c r="H1899" s="2" t="s">
        <v>57</v>
      </c>
      <c r="I1899" s="195" t="s">
        <v>5494</v>
      </c>
      <c r="J1899" s="7">
        <v>1</v>
      </c>
      <c r="K1899" s="70" t="s">
        <v>53</v>
      </c>
      <c r="L1899" s="9">
        <v>0</v>
      </c>
      <c r="M1899" s="3">
        <v>1548</v>
      </c>
      <c r="N1899" s="6">
        <v>2007</v>
      </c>
      <c r="P1899" s="71"/>
      <c r="R1899" s="6">
        <v>2000</v>
      </c>
      <c r="S1899" s="3" t="s">
        <v>54</v>
      </c>
      <c r="T1899" s="72"/>
      <c r="U1899" s="73"/>
      <c r="W1899" s="2" t="s">
        <v>5495</v>
      </c>
      <c r="X1899" s="10" t="s">
        <v>56</v>
      </c>
      <c r="Y1899" s="10" t="s">
        <v>57</v>
      </c>
      <c r="Z1899" s="75"/>
      <c r="AA1899" s="76">
        <v>42265</v>
      </c>
      <c r="AB1899" s="77">
        <v>42265</v>
      </c>
      <c r="AC1899" s="77">
        <v>42265</v>
      </c>
      <c r="AD1899" s="6"/>
      <c r="AE1899" s="7">
        <v>2011</v>
      </c>
      <c r="AF1899" s="7">
        <v>67</v>
      </c>
      <c r="AG1899" s="7">
        <v>2015</v>
      </c>
      <c r="AH1899" s="7">
        <v>2010</v>
      </c>
      <c r="AI1899" s="7"/>
      <c r="AJ1899" s="73"/>
      <c r="AK1899" s="7"/>
      <c r="AL1899" s="102" t="s">
        <v>5363</v>
      </c>
      <c r="AM1899" s="2" t="s">
        <v>59</v>
      </c>
      <c r="AN1899" s="6" t="s">
        <v>104</v>
      </c>
      <c r="AO1899" s="6" t="s">
        <v>53</v>
      </c>
      <c r="AP1899" s="6" t="s">
        <v>104</v>
      </c>
      <c r="AQ1899" s="5" t="s">
        <v>104</v>
      </c>
      <c r="AW1899" s="6">
        <f t="shared" ca="1" si="32"/>
        <v>18</v>
      </c>
    </row>
    <row r="1900" ht="45" customHeight="1" outlineLevel="1">
      <c r="A1900" s="69"/>
      <c r="B1900" s="3" t="s">
        <v>47</v>
      </c>
      <c r="D1900" s="5" t="s">
        <v>5359</v>
      </c>
      <c r="E1900" s="2" t="s">
        <v>48</v>
      </c>
      <c r="F1900" s="6" t="s">
        <v>564</v>
      </c>
      <c r="G1900" s="5" t="s">
        <v>5457</v>
      </c>
      <c r="H1900" s="2" t="s">
        <v>57</v>
      </c>
      <c r="I1900" s="195" t="s">
        <v>5496</v>
      </c>
      <c r="J1900" s="7">
        <v>1</v>
      </c>
      <c r="K1900" s="70" t="s">
        <v>53</v>
      </c>
      <c r="L1900" s="9">
        <v>0</v>
      </c>
      <c r="M1900" s="3">
        <v>1548</v>
      </c>
      <c r="N1900" s="6">
        <v>2007</v>
      </c>
      <c r="P1900" s="71"/>
      <c r="R1900" s="6">
        <v>2000</v>
      </c>
      <c r="S1900" s="3" t="s">
        <v>54</v>
      </c>
      <c r="T1900" s="72"/>
      <c r="U1900" s="73"/>
      <c r="W1900" s="2" t="s">
        <v>5497</v>
      </c>
      <c r="X1900" s="10" t="s">
        <v>56</v>
      </c>
      <c r="Y1900" s="10" t="s">
        <v>57</v>
      </c>
      <c r="Z1900" s="75"/>
      <c r="AA1900" s="76"/>
      <c r="AB1900" s="77">
        <v>42268</v>
      </c>
      <c r="AC1900" s="77">
        <v>42268</v>
      </c>
      <c r="AD1900" s="6"/>
      <c r="AE1900" s="7">
        <v>2011</v>
      </c>
      <c r="AF1900" s="7">
        <v>67</v>
      </c>
      <c r="AG1900" s="7">
        <v>2015</v>
      </c>
      <c r="AH1900" s="7">
        <v>2010</v>
      </c>
      <c r="AI1900" s="7"/>
      <c r="AJ1900" s="73"/>
      <c r="AK1900" s="7"/>
      <c r="AL1900" s="102" t="s">
        <v>5363</v>
      </c>
      <c r="AM1900" s="2" t="s">
        <v>59</v>
      </c>
      <c r="AN1900" s="6" t="s">
        <v>73</v>
      </c>
      <c r="AO1900" s="6" t="s">
        <v>53</v>
      </c>
      <c r="AP1900" s="6" t="s">
        <v>73</v>
      </c>
      <c r="AQ1900" s="5" t="s">
        <v>73</v>
      </c>
      <c r="AW1900" s="6">
        <f t="shared" ca="1" si="32"/>
        <v>18</v>
      </c>
    </row>
    <row r="1901" ht="45" customHeight="1" outlineLevel="1">
      <c r="A1901" s="69"/>
      <c r="B1901" s="3" t="s">
        <v>47</v>
      </c>
      <c r="D1901" s="5" t="s">
        <v>5359</v>
      </c>
      <c r="E1901" s="2" t="s">
        <v>48</v>
      </c>
      <c r="F1901" s="6" t="s">
        <v>564</v>
      </c>
      <c r="G1901" s="5" t="s">
        <v>5457</v>
      </c>
      <c r="H1901" s="2" t="s">
        <v>57</v>
      </c>
      <c r="I1901" s="195" t="s">
        <v>5498</v>
      </c>
      <c r="J1901" s="7">
        <v>1</v>
      </c>
      <c r="K1901" s="70" t="s">
        <v>53</v>
      </c>
      <c r="L1901" s="9">
        <v>0</v>
      </c>
      <c r="M1901" s="3">
        <v>1548</v>
      </c>
      <c r="N1901" s="6">
        <v>2007</v>
      </c>
      <c r="P1901" s="71"/>
      <c r="R1901" s="6">
        <v>2000</v>
      </c>
      <c r="S1901" s="3" t="s">
        <v>54</v>
      </c>
      <c r="T1901" s="72"/>
      <c r="U1901" s="73"/>
      <c r="W1901" s="2" t="s">
        <v>5499</v>
      </c>
      <c r="X1901" s="10" t="s">
        <v>56</v>
      </c>
      <c r="Y1901" s="10" t="s">
        <v>57</v>
      </c>
      <c r="Z1901" s="75"/>
      <c r="AA1901" s="76"/>
      <c r="AB1901" s="77">
        <v>42265</v>
      </c>
      <c r="AC1901" s="77">
        <v>42265</v>
      </c>
      <c r="AD1901" s="6"/>
      <c r="AE1901" s="7">
        <v>2011</v>
      </c>
      <c r="AF1901" s="7">
        <v>67</v>
      </c>
      <c r="AG1901" s="7">
        <v>2015</v>
      </c>
      <c r="AH1901" s="7">
        <v>2010</v>
      </c>
      <c r="AI1901" s="7"/>
      <c r="AJ1901" s="73"/>
      <c r="AK1901" s="7"/>
      <c r="AL1901" s="102" t="s">
        <v>5363</v>
      </c>
      <c r="AM1901" s="2" t="s">
        <v>82</v>
      </c>
      <c r="AN1901" s="6" t="s">
        <v>73</v>
      </c>
      <c r="AO1901" s="6" t="s">
        <v>53</v>
      </c>
      <c r="AP1901" s="6" t="s">
        <v>73</v>
      </c>
      <c r="AQ1901" s="5" t="s">
        <v>73</v>
      </c>
      <c r="AW1901" s="6">
        <f t="shared" ca="1" si="32"/>
        <v>18</v>
      </c>
    </row>
    <row r="1902" ht="45" customHeight="1" outlineLevel="1">
      <c r="A1902" s="69"/>
      <c r="B1902" s="3" t="s">
        <v>47</v>
      </c>
      <c r="D1902" s="5" t="s">
        <v>5359</v>
      </c>
      <c r="E1902" s="2" t="s">
        <v>48</v>
      </c>
      <c r="F1902" s="6" t="s">
        <v>564</v>
      </c>
      <c r="G1902" s="5" t="s">
        <v>5500</v>
      </c>
      <c r="H1902" s="2" t="s">
        <v>51</v>
      </c>
      <c r="I1902" s="195" t="s">
        <v>5501</v>
      </c>
      <c r="J1902" s="7">
        <v>1</v>
      </c>
      <c r="K1902" s="70" t="s">
        <v>53</v>
      </c>
      <c r="L1902" s="9">
        <v>0</v>
      </c>
      <c r="M1902" s="3">
        <v>1548</v>
      </c>
      <c r="N1902" s="6">
        <v>2007</v>
      </c>
      <c r="P1902" s="71"/>
      <c r="R1902" s="6">
        <v>2000</v>
      </c>
      <c r="S1902" s="3" t="s">
        <v>54</v>
      </c>
      <c r="T1902" s="72"/>
      <c r="U1902" s="73"/>
      <c r="W1902" s="2" t="s">
        <v>5502</v>
      </c>
      <c r="X1902" s="10" t="s">
        <v>56</v>
      </c>
      <c r="Y1902" s="10" t="s">
        <v>57</v>
      </c>
      <c r="Z1902" s="75" t="s">
        <v>58</v>
      </c>
      <c r="AA1902" s="76">
        <v>42268</v>
      </c>
      <c r="AB1902" s="77">
        <v>42268</v>
      </c>
      <c r="AC1902" s="77">
        <v>42268</v>
      </c>
      <c r="AD1902" s="172"/>
      <c r="AE1902" s="7">
        <v>2014</v>
      </c>
      <c r="AF1902" s="7">
        <v>76</v>
      </c>
      <c r="AG1902" s="7">
        <v>2015</v>
      </c>
      <c r="AH1902" s="7">
        <v>2010</v>
      </c>
      <c r="AI1902" s="93"/>
      <c r="AJ1902" s="173"/>
      <c r="AK1902" s="93"/>
      <c r="AL1902" s="102" t="s">
        <v>5363</v>
      </c>
      <c r="AM1902" s="2" t="s">
        <v>59</v>
      </c>
      <c r="AW1902" s="6">
        <f t="shared" ca="1" si="32"/>
        <v>18</v>
      </c>
    </row>
    <row r="1903" ht="45" customHeight="1" outlineLevel="1">
      <c r="A1903" s="69"/>
      <c r="B1903" s="3" t="s">
        <v>47</v>
      </c>
      <c r="D1903" s="5" t="s">
        <v>5503</v>
      </c>
      <c r="E1903" s="2" t="s">
        <v>694</v>
      </c>
      <c r="F1903" s="6" t="s">
        <v>3727</v>
      </c>
      <c r="G1903" s="5" t="s">
        <v>3728</v>
      </c>
      <c r="H1903" s="2" t="s">
        <v>51</v>
      </c>
      <c r="I1903" s="3" t="s">
        <v>5504</v>
      </c>
      <c r="J1903" s="7">
        <v>1</v>
      </c>
      <c r="K1903" s="70" t="s">
        <v>53</v>
      </c>
      <c r="L1903" s="9">
        <v>1</v>
      </c>
      <c r="M1903" s="3">
        <v>1549</v>
      </c>
      <c r="N1903" s="6">
        <v>2007</v>
      </c>
      <c r="P1903" s="71"/>
      <c r="R1903" s="6">
        <v>2000</v>
      </c>
      <c r="S1903" s="3" t="s">
        <v>54</v>
      </c>
      <c r="T1903" s="72"/>
      <c r="U1903" s="73"/>
      <c r="W1903" s="2" t="s">
        <v>5505</v>
      </c>
      <c r="X1903" s="10" t="s">
        <v>56</v>
      </c>
      <c r="Y1903" s="10" t="s">
        <v>57</v>
      </c>
      <c r="Z1903" s="75"/>
      <c r="AB1903" s="14">
        <v>40833</v>
      </c>
      <c r="AE1903" s="7">
        <v>2008</v>
      </c>
      <c r="AF1903" s="7">
        <v>56</v>
      </c>
      <c r="AG1903" s="7">
        <v>2011</v>
      </c>
      <c r="AH1903" s="7">
        <v>2010</v>
      </c>
      <c r="AI1903" s="7"/>
      <c r="AJ1903" s="73"/>
      <c r="AK1903" s="7"/>
      <c r="AL1903" s="99"/>
      <c r="AM1903" s="2" t="s">
        <v>59</v>
      </c>
      <c r="AO1903" s="6" t="s">
        <v>100</v>
      </c>
      <c r="AP1903" s="6" t="s">
        <v>73</v>
      </c>
      <c r="AQ1903" s="5" t="s">
        <v>73</v>
      </c>
      <c r="AR1903" s="2" t="s">
        <v>73</v>
      </c>
      <c r="AS1903" s="6" t="s">
        <v>73</v>
      </c>
      <c r="AU1903" s="16" t="s">
        <v>5506</v>
      </c>
      <c r="AW1903" s="6">
        <f t="shared" ca="1" si="32"/>
        <v>18</v>
      </c>
    </row>
    <row r="1904" ht="45" customHeight="1" outlineLevel="1">
      <c r="A1904" s="69"/>
      <c r="B1904" s="3" t="s">
        <v>47</v>
      </c>
      <c r="D1904" s="5" t="s">
        <v>5507</v>
      </c>
      <c r="E1904" s="2" t="s">
        <v>1074</v>
      </c>
      <c r="F1904" s="6" t="s">
        <v>2154</v>
      </c>
      <c r="G1904" s="5" t="s">
        <v>2155</v>
      </c>
      <c r="H1904" s="2" t="s">
        <v>57</v>
      </c>
      <c r="I1904" s="3" t="s">
        <v>5508</v>
      </c>
      <c r="J1904" s="7">
        <v>1</v>
      </c>
      <c r="K1904" s="70" t="s">
        <v>53</v>
      </c>
      <c r="L1904" s="9">
        <v>0</v>
      </c>
      <c r="M1904" s="3">
        <v>1550</v>
      </c>
      <c r="N1904" s="6">
        <v>2007</v>
      </c>
      <c r="P1904" s="71"/>
      <c r="R1904" s="6">
        <v>2000</v>
      </c>
      <c r="S1904" s="3" t="s">
        <v>54</v>
      </c>
      <c r="T1904" s="72"/>
      <c r="U1904" s="73"/>
      <c r="W1904" s="2" t="s">
        <v>5509</v>
      </c>
      <c r="X1904" s="10" t="s">
        <v>56</v>
      </c>
      <c r="Y1904" s="10" t="s">
        <v>57</v>
      </c>
      <c r="Z1904" s="75"/>
      <c r="AA1904" s="76"/>
      <c r="AB1904" s="77"/>
      <c r="AC1904" s="215">
        <v>44239</v>
      </c>
      <c r="AD1904" s="6"/>
      <c r="AE1904" s="7">
        <v>2007</v>
      </c>
      <c r="AF1904" s="7">
        <v>55</v>
      </c>
      <c r="AG1904" s="93">
        <v>2019</v>
      </c>
      <c r="AH1904" s="7">
        <v>2010</v>
      </c>
      <c r="AI1904" s="7"/>
      <c r="AJ1904" s="73"/>
      <c r="AK1904" s="7"/>
      <c r="AL1904" s="99"/>
      <c r="AM1904" s="2" t="s">
        <v>59</v>
      </c>
      <c r="AO1904" s="6" t="s">
        <v>82</v>
      </c>
      <c r="AQ1904" s="5" t="s">
        <v>73</v>
      </c>
      <c r="AU1904" s="16" t="s">
        <v>3830</v>
      </c>
      <c r="AW1904" s="6">
        <f t="shared" ca="1" si="32"/>
        <v>18</v>
      </c>
    </row>
    <row r="1905" ht="45" customHeight="1" outlineLevel="1">
      <c r="A1905" s="69"/>
      <c r="B1905" s="3" t="s">
        <v>47</v>
      </c>
      <c r="D1905" s="5" t="s">
        <v>5507</v>
      </c>
      <c r="E1905" s="2" t="s">
        <v>1074</v>
      </c>
      <c r="F1905" s="6" t="s">
        <v>2154</v>
      </c>
      <c r="G1905" s="5" t="s">
        <v>2155</v>
      </c>
      <c r="H1905" s="2" t="s">
        <v>57</v>
      </c>
      <c r="I1905" s="3" t="s">
        <v>5510</v>
      </c>
      <c r="J1905" s="7">
        <v>1</v>
      </c>
      <c r="K1905" s="70" t="s">
        <v>53</v>
      </c>
      <c r="L1905" s="9">
        <v>0</v>
      </c>
      <c r="M1905" s="3">
        <v>1550</v>
      </c>
      <c r="N1905" s="6">
        <v>2007</v>
      </c>
      <c r="P1905" s="71"/>
      <c r="R1905" s="6">
        <v>2000</v>
      </c>
      <c r="S1905" s="3" t="s">
        <v>54</v>
      </c>
      <c r="T1905" s="72"/>
      <c r="U1905" s="73"/>
      <c r="W1905" s="2" t="s">
        <v>5511</v>
      </c>
      <c r="X1905" s="10" t="s">
        <v>56</v>
      </c>
      <c r="Y1905" s="10" t="s">
        <v>57</v>
      </c>
      <c r="Z1905" s="75"/>
      <c r="AA1905" s="76"/>
      <c r="AB1905" s="77"/>
      <c r="AC1905" s="215">
        <v>44239</v>
      </c>
      <c r="AD1905" s="6"/>
      <c r="AE1905" s="7">
        <v>2007</v>
      </c>
      <c r="AF1905" s="7">
        <v>55</v>
      </c>
      <c r="AG1905" s="93">
        <v>2019</v>
      </c>
      <c r="AH1905" s="7">
        <v>2010</v>
      </c>
      <c r="AI1905" s="7"/>
      <c r="AJ1905" s="73"/>
      <c r="AK1905" s="7"/>
      <c r="AL1905" s="99"/>
      <c r="AM1905" s="2" t="s">
        <v>59</v>
      </c>
      <c r="AO1905" s="6" t="s">
        <v>82</v>
      </c>
      <c r="AQ1905" s="5" t="s">
        <v>73</v>
      </c>
      <c r="AU1905" s="16" t="s">
        <v>3830</v>
      </c>
      <c r="AW1905" s="6">
        <f t="shared" ca="1" si="32"/>
        <v>18</v>
      </c>
    </row>
    <row r="1906" ht="45" customHeight="1" outlineLevel="1">
      <c r="A1906" s="69"/>
      <c r="B1906" s="3" t="s">
        <v>47</v>
      </c>
      <c r="D1906" s="5" t="s">
        <v>5507</v>
      </c>
      <c r="E1906" s="2" t="s">
        <v>1074</v>
      </c>
      <c r="F1906" s="6" t="s">
        <v>2154</v>
      </c>
      <c r="G1906" s="5" t="s">
        <v>2155</v>
      </c>
      <c r="H1906" s="2" t="s">
        <v>57</v>
      </c>
      <c r="I1906" s="3" t="s">
        <v>5512</v>
      </c>
      <c r="J1906" s="7">
        <v>1</v>
      </c>
      <c r="K1906" s="70" t="s">
        <v>53</v>
      </c>
      <c r="L1906" s="9">
        <v>1</v>
      </c>
      <c r="M1906" s="3">
        <v>1550</v>
      </c>
      <c r="N1906" s="6">
        <v>2007</v>
      </c>
      <c r="P1906" s="71"/>
      <c r="R1906" s="6">
        <v>2000</v>
      </c>
      <c r="S1906" s="3" t="s">
        <v>54</v>
      </c>
      <c r="T1906" s="72"/>
      <c r="U1906" s="73"/>
      <c r="W1906" s="2" t="s">
        <v>5513</v>
      </c>
      <c r="X1906" s="10" t="s">
        <v>56</v>
      </c>
      <c r="Y1906" s="10" t="s">
        <v>57</v>
      </c>
      <c r="Z1906" s="75"/>
      <c r="AA1906" s="76"/>
      <c r="AB1906" s="77"/>
      <c r="AC1906" s="215">
        <v>44239</v>
      </c>
      <c r="AD1906" s="6"/>
      <c r="AE1906" s="7">
        <v>2007</v>
      </c>
      <c r="AF1906" s="7">
        <v>55</v>
      </c>
      <c r="AG1906" s="93">
        <v>2019</v>
      </c>
      <c r="AH1906" s="7">
        <v>2010</v>
      </c>
      <c r="AI1906" s="7"/>
      <c r="AJ1906" s="73"/>
      <c r="AK1906" s="7"/>
      <c r="AL1906" s="99"/>
      <c r="AM1906" s="2" t="s">
        <v>59</v>
      </c>
      <c r="AO1906" s="6" t="s">
        <v>82</v>
      </c>
      <c r="AQ1906" s="5" t="s">
        <v>73</v>
      </c>
      <c r="AU1906" s="16" t="s">
        <v>3830</v>
      </c>
      <c r="AW1906" s="6">
        <f t="shared" ca="1" si="32"/>
        <v>18</v>
      </c>
    </row>
    <row r="1907" ht="45" customHeight="1" outlineLevel="1">
      <c r="A1907" s="69"/>
      <c r="B1907" s="3" t="s">
        <v>47</v>
      </c>
      <c r="D1907" s="5" t="s">
        <v>5507</v>
      </c>
      <c r="E1907" s="2" t="s">
        <v>1074</v>
      </c>
      <c r="F1907" s="6" t="s">
        <v>2154</v>
      </c>
      <c r="G1907" s="5" t="s">
        <v>2155</v>
      </c>
      <c r="H1907" s="2" t="s">
        <v>51</v>
      </c>
      <c r="I1907" s="3" t="s">
        <v>5514</v>
      </c>
      <c r="J1907" s="7">
        <v>1</v>
      </c>
      <c r="K1907" s="70" t="s">
        <v>53</v>
      </c>
      <c r="L1907" s="9">
        <v>0</v>
      </c>
      <c r="M1907" s="3">
        <v>1550</v>
      </c>
      <c r="N1907" s="6">
        <v>2007</v>
      </c>
      <c r="P1907" s="71"/>
      <c r="R1907" s="6">
        <v>2000</v>
      </c>
      <c r="S1907" s="3" t="s">
        <v>54</v>
      </c>
      <c r="T1907" s="72"/>
      <c r="U1907" s="73"/>
      <c r="W1907" s="2" t="s">
        <v>5515</v>
      </c>
      <c r="X1907" s="10" t="s">
        <v>56</v>
      </c>
      <c r="Y1907" s="10" t="s">
        <v>57</v>
      </c>
      <c r="Z1907" s="75" t="s">
        <v>58</v>
      </c>
      <c r="AA1907" s="76"/>
      <c r="AB1907" s="77"/>
      <c r="AC1907" s="215">
        <v>44239</v>
      </c>
      <c r="AD1907" s="6"/>
      <c r="AE1907" s="7">
        <v>2007</v>
      </c>
      <c r="AF1907" s="7">
        <v>55</v>
      </c>
      <c r="AG1907" s="93">
        <v>2019</v>
      </c>
      <c r="AH1907" s="7">
        <v>2010</v>
      </c>
      <c r="AI1907" s="7"/>
      <c r="AJ1907" s="73"/>
      <c r="AK1907" s="7"/>
      <c r="AL1907" s="99"/>
      <c r="AM1907" s="2" t="s">
        <v>59</v>
      </c>
      <c r="AO1907" s="6" t="s">
        <v>82</v>
      </c>
      <c r="AQ1907" s="5" t="s">
        <v>73</v>
      </c>
      <c r="AU1907" s="16" t="s">
        <v>3830</v>
      </c>
      <c r="AW1907" s="6">
        <f t="shared" ca="1" si="32"/>
        <v>18</v>
      </c>
    </row>
    <row r="1908" ht="45" customHeight="1" outlineLevel="1">
      <c r="A1908" s="69"/>
      <c r="B1908" s="3" t="s">
        <v>47</v>
      </c>
      <c r="D1908" s="5" t="s">
        <v>5507</v>
      </c>
      <c r="E1908" s="2" t="s">
        <v>1074</v>
      </c>
      <c r="F1908" s="6" t="s">
        <v>2154</v>
      </c>
      <c r="G1908" s="5" t="s">
        <v>2155</v>
      </c>
      <c r="H1908" s="2" t="s">
        <v>57</v>
      </c>
      <c r="I1908" s="3" t="s">
        <v>5516</v>
      </c>
      <c r="J1908" s="7">
        <v>1</v>
      </c>
      <c r="K1908" s="70" t="s">
        <v>53</v>
      </c>
      <c r="L1908" s="9">
        <v>0</v>
      </c>
      <c r="M1908" s="3">
        <v>1550</v>
      </c>
      <c r="N1908" s="6">
        <v>2007</v>
      </c>
      <c r="P1908" s="71"/>
      <c r="R1908" s="6">
        <v>2000</v>
      </c>
      <c r="S1908" s="3" t="s">
        <v>54</v>
      </c>
      <c r="T1908" s="72"/>
      <c r="U1908" s="73"/>
      <c r="W1908" s="2" t="s">
        <v>5517</v>
      </c>
      <c r="X1908" s="10" t="s">
        <v>56</v>
      </c>
      <c r="Y1908" s="10" t="s">
        <v>57</v>
      </c>
      <c r="Z1908" s="75"/>
      <c r="AA1908" s="208">
        <v>44239</v>
      </c>
      <c r="AB1908" s="77"/>
      <c r="AC1908" s="215">
        <v>44239</v>
      </c>
      <c r="AD1908" s="6"/>
      <c r="AE1908" s="7">
        <v>2007</v>
      </c>
      <c r="AF1908" s="7">
        <v>55</v>
      </c>
      <c r="AG1908" s="93"/>
      <c r="AI1908" s="7"/>
      <c r="AJ1908" s="73"/>
      <c r="AK1908" s="7"/>
      <c r="AL1908" s="99"/>
      <c r="AM1908" s="2" t="s">
        <v>59</v>
      </c>
      <c r="AO1908" s="6" t="s">
        <v>82</v>
      </c>
      <c r="AQ1908" s="5" t="s">
        <v>73</v>
      </c>
      <c r="AU1908" s="16" t="s">
        <v>3830</v>
      </c>
      <c r="AW1908" s="6">
        <f t="shared" ca="1" si="32"/>
        <v>18</v>
      </c>
    </row>
    <row r="1909" ht="45" customHeight="1" outlineLevel="1">
      <c r="A1909" s="69"/>
      <c r="B1909" s="3" t="s">
        <v>47</v>
      </c>
      <c r="D1909" s="5" t="s">
        <v>5507</v>
      </c>
      <c r="E1909" s="2" t="s">
        <v>1074</v>
      </c>
      <c r="F1909" s="6" t="s">
        <v>2154</v>
      </c>
      <c r="G1909" s="5" t="s">
        <v>2155</v>
      </c>
      <c r="H1909" s="2" t="s">
        <v>57</v>
      </c>
      <c r="I1909" s="3" t="s">
        <v>5518</v>
      </c>
      <c r="J1909" s="7">
        <v>1</v>
      </c>
      <c r="K1909" s="70" t="s">
        <v>53</v>
      </c>
      <c r="L1909" s="9">
        <v>0</v>
      </c>
      <c r="M1909" s="3">
        <v>1550</v>
      </c>
      <c r="N1909" s="6">
        <v>2007</v>
      </c>
      <c r="P1909" s="71"/>
      <c r="R1909" s="6">
        <v>2000</v>
      </c>
      <c r="S1909" s="3" t="s">
        <v>54</v>
      </c>
      <c r="T1909" s="72"/>
      <c r="U1909" s="73"/>
      <c r="W1909" s="2" t="s">
        <v>5519</v>
      </c>
      <c r="X1909" s="10" t="s">
        <v>56</v>
      </c>
      <c r="Y1909" s="10" t="s">
        <v>57</v>
      </c>
      <c r="Z1909" s="75"/>
      <c r="AA1909" s="76"/>
      <c r="AB1909" s="77"/>
      <c r="AC1909" s="215">
        <v>44239</v>
      </c>
      <c r="AD1909" s="6"/>
      <c r="AE1909" s="7">
        <v>2007</v>
      </c>
      <c r="AF1909" s="7">
        <v>55</v>
      </c>
      <c r="AG1909" s="93">
        <v>2019</v>
      </c>
      <c r="AH1909" s="7">
        <v>2010</v>
      </c>
      <c r="AI1909" s="7"/>
      <c r="AJ1909" s="73"/>
      <c r="AK1909" s="7"/>
      <c r="AL1909" s="99"/>
      <c r="AM1909" s="2" t="s">
        <v>59</v>
      </c>
      <c r="AO1909" s="6" t="s">
        <v>82</v>
      </c>
      <c r="AQ1909" s="5" t="s">
        <v>73</v>
      </c>
      <c r="AU1909" s="16" t="s">
        <v>3830</v>
      </c>
      <c r="AW1909" s="6">
        <f t="shared" ca="1" si="32"/>
        <v>18</v>
      </c>
    </row>
    <row r="1910" ht="45" customHeight="1" outlineLevel="1">
      <c r="A1910" s="69"/>
      <c r="B1910" s="3" t="s">
        <v>47</v>
      </c>
      <c r="D1910" s="5" t="s">
        <v>5507</v>
      </c>
      <c r="E1910" s="2" t="s">
        <v>1074</v>
      </c>
      <c r="F1910" s="6" t="s">
        <v>2154</v>
      </c>
      <c r="G1910" s="5" t="s">
        <v>2155</v>
      </c>
      <c r="H1910" s="2" t="s">
        <v>57</v>
      </c>
      <c r="I1910" s="3" t="s">
        <v>5520</v>
      </c>
      <c r="J1910" s="7">
        <v>1</v>
      </c>
      <c r="K1910" s="70" t="s">
        <v>53</v>
      </c>
      <c r="L1910" s="9">
        <v>0</v>
      </c>
      <c r="M1910" s="3">
        <v>1550</v>
      </c>
      <c r="N1910" s="6">
        <v>2007</v>
      </c>
      <c r="P1910" s="71"/>
      <c r="R1910" s="6">
        <v>2000</v>
      </c>
      <c r="S1910" s="3" t="s">
        <v>54</v>
      </c>
      <c r="T1910" s="72"/>
      <c r="U1910" s="73"/>
      <c r="W1910" s="2" t="s">
        <v>5521</v>
      </c>
      <c r="X1910" s="10" t="s">
        <v>56</v>
      </c>
      <c r="Y1910" s="10" t="s">
        <v>57</v>
      </c>
      <c r="Z1910" s="75"/>
      <c r="AA1910" s="208">
        <v>44239</v>
      </c>
      <c r="AB1910" s="77"/>
      <c r="AC1910" s="215">
        <v>44239</v>
      </c>
      <c r="AD1910" s="6"/>
      <c r="AE1910" s="7">
        <v>2007</v>
      </c>
      <c r="AF1910" s="7">
        <v>55</v>
      </c>
      <c r="AG1910" s="93"/>
      <c r="AI1910" s="7"/>
      <c r="AJ1910" s="73"/>
      <c r="AK1910" s="7"/>
      <c r="AL1910" s="99"/>
      <c r="AM1910" s="2" t="s">
        <v>59</v>
      </c>
      <c r="AO1910" s="6" t="s">
        <v>82</v>
      </c>
      <c r="AQ1910" s="5" t="s">
        <v>73</v>
      </c>
      <c r="AU1910" s="16" t="s">
        <v>3830</v>
      </c>
      <c r="AW1910" s="6">
        <f t="shared" ca="1" si="32"/>
        <v>18</v>
      </c>
    </row>
    <row r="1911" ht="45" customHeight="1" outlineLevel="1">
      <c r="A1911" s="69"/>
      <c r="B1911" s="3" t="s">
        <v>47</v>
      </c>
      <c r="D1911" s="5" t="s">
        <v>5507</v>
      </c>
      <c r="E1911" s="2" t="s">
        <v>1074</v>
      </c>
      <c r="F1911" s="6" t="s">
        <v>2154</v>
      </c>
      <c r="G1911" s="5" t="s">
        <v>2155</v>
      </c>
      <c r="H1911" s="2" t="s">
        <v>68</v>
      </c>
      <c r="I1911" s="3" t="s">
        <v>5522</v>
      </c>
      <c r="J1911" s="7">
        <v>1</v>
      </c>
      <c r="K1911" s="70" t="s">
        <v>53</v>
      </c>
      <c r="L1911" s="9">
        <v>0</v>
      </c>
      <c r="M1911" s="3">
        <v>1550</v>
      </c>
      <c r="N1911" s="6">
        <v>2007</v>
      </c>
      <c r="P1911" s="71"/>
      <c r="R1911" s="6">
        <v>2000</v>
      </c>
      <c r="S1911" s="3" t="s">
        <v>54</v>
      </c>
      <c r="T1911" s="72"/>
      <c r="U1911" s="73"/>
      <c r="W1911" s="2" t="s">
        <v>5523</v>
      </c>
      <c r="X1911" s="10" t="s">
        <v>56</v>
      </c>
      <c r="Y1911" s="10" t="s">
        <v>57</v>
      </c>
      <c r="Z1911" s="75"/>
      <c r="AA1911" s="76"/>
      <c r="AB1911" s="77"/>
      <c r="AC1911" s="215">
        <v>44239</v>
      </c>
      <c r="AD1911" s="6"/>
      <c r="AE1911" s="7">
        <v>2007</v>
      </c>
      <c r="AF1911" s="7">
        <v>55</v>
      </c>
      <c r="AG1911" s="93">
        <v>2019</v>
      </c>
      <c r="AH1911" s="7">
        <v>2010</v>
      </c>
      <c r="AI1911" s="7"/>
      <c r="AJ1911" s="73"/>
      <c r="AK1911" s="7"/>
      <c r="AL1911" s="99"/>
      <c r="AM1911" s="2" t="s">
        <v>59</v>
      </c>
      <c r="AO1911" s="6" t="s">
        <v>82</v>
      </c>
      <c r="AQ1911" s="5" t="s">
        <v>73</v>
      </c>
      <c r="AU1911" s="16" t="s">
        <v>3830</v>
      </c>
      <c r="AW1911" s="6">
        <f t="shared" ca="1" si="32"/>
        <v>18</v>
      </c>
    </row>
    <row r="1912" ht="45" customHeight="1" outlineLevel="1">
      <c r="A1912" s="69"/>
      <c r="B1912" s="3" t="s">
        <v>47</v>
      </c>
      <c r="D1912" s="5" t="s">
        <v>5507</v>
      </c>
      <c r="E1912" s="78" t="s">
        <v>1074</v>
      </c>
      <c r="F1912" s="79" t="s">
        <v>2154</v>
      </c>
      <c r="G1912" s="80" t="s">
        <v>2155</v>
      </c>
      <c r="H1912" s="78" t="s">
        <v>68</v>
      </c>
      <c r="I1912" s="81" t="s">
        <v>5524</v>
      </c>
      <c r="J1912" s="7">
        <v>1</v>
      </c>
      <c r="K1912" s="70" t="s">
        <v>53</v>
      </c>
      <c r="L1912" s="9">
        <v>0</v>
      </c>
      <c r="M1912" s="3">
        <v>1550</v>
      </c>
      <c r="N1912" s="6">
        <v>2007</v>
      </c>
      <c r="P1912" s="71"/>
      <c r="R1912" s="6">
        <v>2000</v>
      </c>
      <c r="S1912" s="3" t="s">
        <v>54</v>
      </c>
      <c r="T1912" s="72"/>
      <c r="U1912" s="73"/>
      <c r="W1912" s="78" t="s">
        <v>5525</v>
      </c>
      <c r="X1912" s="82" t="s">
        <v>56</v>
      </c>
      <c r="Y1912" s="82" t="s">
        <v>57</v>
      </c>
      <c r="Z1912" s="83"/>
      <c r="AA1912" s="76"/>
      <c r="AB1912" s="77"/>
      <c r="AC1912" s="215">
        <v>44239</v>
      </c>
      <c r="AD1912" s="6"/>
      <c r="AE1912" s="7">
        <v>2007</v>
      </c>
      <c r="AF1912" s="7">
        <v>55</v>
      </c>
      <c r="AG1912" s="93">
        <v>2019</v>
      </c>
      <c r="AH1912" s="7">
        <v>2010</v>
      </c>
      <c r="AI1912" s="7"/>
      <c r="AJ1912" s="73"/>
      <c r="AK1912" s="7"/>
      <c r="AL1912" s="99"/>
      <c r="AM1912" s="2" t="s">
        <v>59</v>
      </c>
      <c r="AO1912" s="6" t="s">
        <v>82</v>
      </c>
      <c r="AQ1912" s="5" t="s">
        <v>73</v>
      </c>
      <c r="AU1912" s="16" t="s">
        <v>3830</v>
      </c>
      <c r="AW1912" s="6">
        <f t="shared" ca="1" si="32"/>
        <v>18</v>
      </c>
    </row>
    <row r="1913" ht="45" customHeight="1" outlineLevel="1">
      <c r="A1913" s="69"/>
      <c r="B1913" s="3" t="s">
        <v>47</v>
      </c>
      <c r="D1913" s="5" t="s">
        <v>5507</v>
      </c>
      <c r="E1913" s="2" t="s">
        <v>1074</v>
      </c>
      <c r="F1913" s="6" t="s">
        <v>2154</v>
      </c>
      <c r="G1913" s="5" t="s">
        <v>2155</v>
      </c>
      <c r="H1913" s="2" t="s">
        <v>57</v>
      </c>
      <c r="I1913" s="3" t="s">
        <v>5526</v>
      </c>
      <c r="J1913" s="7">
        <v>1</v>
      </c>
      <c r="K1913" s="70" t="s">
        <v>53</v>
      </c>
      <c r="L1913" s="9">
        <v>0</v>
      </c>
      <c r="M1913" s="3">
        <v>1550</v>
      </c>
      <c r="N1913" s="6">
        <v>2007</v>
      </c>
      <c r="P1913" s="71"/>
      <c r="R1913" s="6">
        <v>2000</v>
      </c>
      <c r="S1913" s="3" t="s">
        <v>54</v>
      </c>
      <c r="T1913" s="72"/>
      <c r="U1913" s="73"/>
      <c r="W1913" s="2" t="s">
        <v>5527</v>
      </c>
      <c r="X1913" s="10" t="s">
        <v>56</v>
      </c>
      <c r="Y1913" s="10" t="s">
        <v>57</v>
      </c>
      <c r="Z1913" s="75"/>
      <c r="AA1913" s="76"/>
      <c r="AB1913" s="77"/>
      <c r="AC1913" s="215">
        <v>44239</v>
      </c>
      <c r="AD1913" s="6"/>
      <c r="AE1913" s="7">
        <v>2007</v>
      </c>
      <c r="AF1913" s="7">
        <v>55</v>
      </c>
      <c r="AG1913" s="93">
        <v>2019</v>
      </c>
      <c r="AH1913" s="7">
        <v>2010</v>
      </c>
      <c r="AI1913" s="7"/>
      <c r="AJ1913" s="73"/>
      <c r="AK1913" s="7"/>
      <c r="AL1913" s="99"/>
      <c r="AM1913" s="2" t="s">
        <v>59</v>
      </c>
      <c r="AO1913" s="6" t="s">
        <v>82</v>
      </c>
      <c r="AQ1913" s="5" t="s">
        <v>73</v>
      </c>
      <c r="AU1913" s="16" t="s">
        <v>3830</v>
      </c>
      <c r="AW1913" s="6">
        <f t="shared" ca="1" si="32"/>
        <v>18</v>
      </c>
    </row>
    <row r="1914" ht="45" customHeight="1" outlineLevel="1">
      <c r="A1914" s="69"/>
      <c r="B1914" s="3" t="s">
        <v>47</v>
      </c>
      <c r="D1914" s="5" t="s">
        <v>5507</v>
      </c>
      <c r="E1914" s="2" t="s">
        <v>1074</v>
      </c>
      <c r="F1914" s="6" t="s">
        <v>2154</v>
      </c>
      <c r="G1914" s="5" t="s">
        <v>2155</v>
      </c>
      <c r="H1914" s="2" t="s">
        <v>57</v>
      </c>
      <c r="I1914" s="3" t="s">
        <v>5528</v>
      </c>
      <c r="J1914" s="7">
        <v>1</v>
      </c>
      <c r="K1914" s="70" t="s">
        <v>53</v>
      </c>
      <c r="L1914" s="9">
        <v>0</v>
      </c>
      <c r="M1914" s="3">
        <v>1550</v>
      </c>
      <c r="N1914" s="6">
        <v>2007</v>
      </c>
      <c r="P1914" s="71"/>
      <c r="R1914" s="6">
        <v>2000</v>
      </c>
      <c r="S1914" s="3" t="s">
        <v>54</v>
      </c>
      <c r="T1914" s="72"/>
      <c r="U1914" s="73"/>
      <c r="W1914" s="2" t="s">
        <v>5529</v>
      </c>
      <c r="X1914" s="10" t="s">
        <v>56</v>
      </c>
      <c r="Y1914" s="10" t="s">
        <v>57</v>
      </c>
      <c r="Z1914" s="75"/>
      <c r="AA1914" s="76"/>
      <c r="AB1914" s="77"/>
      <c r="AC1914" s="215">
        <v>44239</v>
      </c>
      <c r="AD1914" s="6"/>
      <c r="AE1914" s="7">
        <v>2007</v>
      </c>
      <c r="AF1914" s="7">
        <v>55</v>
      </c>
      <c r="AG1914" s="93">
        <v>2019</v>
      </c>
      <c r="AH1914" s="7">
        <v>2010</v>
      </c>
      <c r="AI1914" s="7"/>
      <c r="AJ1914" s="73"/>
      <c r="AK1914" s="7"/>
      <c r="AL1914" s="99"/>
      <c r="AM1914" s="2" t="s">
        <v>59</v>
      </c>
      <c r="AO1914" s="6" t="s">
        <v>82</v>
      </c>
      <c r="AQ1914" s="5" t="s">
        <v>73</v>
      </c>
      <c r="AU1914" s="16" t="s">
        <v>3830</v>
      </c>
      <c r="AW1914" s="6">
        <f t="shared" ca="1" si="32"/>
        <v>18</v>
      </c>
    </row>
    <row r="1915" ht="45" customHeight="1" outlineLevel="1">
      <c r="A1915" s="69"/>
      <c r="B1915" s="3" t="s">
        <v>47</v>
      </c>
      <c r="D1915" s="5" t="s">
        <v>5507</v>
      </c>
      <c r="E1915" s="2" t="s">
        <v>1074</v>
      </c>
      <c r="F1915" s="6" t="s">
        <v>2154</v>
      </c>
      <c r="G1915" s="5" t="s">
        <v>2155</v>
      </c>
      <c r="H1915" s="2" t="s">
        <v>57</v>
      </c>
      <c r="I1915" s="3" t="s">
        <v>5530</v>
      </c>
      <c r="J1915" s="7">
        <v>1</v>
      </c>
      <c r="K1915" s="70" t="s">
        <v>53</v>
      </c>
      <c r="L1915" s="9">
        <v>0</v>
      </c>
      <c r="M1915" s="3">
        <v>1550</v>
      </c>
      <c r="N1915" s="6">
        <v>2007</v>
      </c>
      <c r="P1915" s="71"/>
      <c r="R1915" s="6">
        <v>2000</v>
      </c>
      <c r="S1915" s="3" t="s">
        <v>54</v>
      </c>
      <c r="T1915" s="72"/>
      <c r="U1915" s="73"/>
      <c r="W1915" s="2" t="s">
        <v>5531</v>
      </c>
      <c r="X1915" s="10" t="s">
        <v>56</v>
      </c>
      <c r="Y1915" s="10" t="s">
        <v>57</v>
      </c>
      <c r="Z1915" s="75"/>
      <c r="AA1915" s="76"/>
      <c r="AB1915" s="77"/>
      <c r="AC1915" s="215">
        <v>44239</v>
      </c>
      <c r="AD1915" s="6"/>
      <c r="AE1915" s="7">
        <v>2007</v>
      </c>
      <c r="AF1915" s="7">
        <v>55</v>
      </c>
      <c r="AG1915" s="93">
        <v>2019</v>
      </c>
      <c r="AH1915" s="7">
        <v>2020</v>
      </c>
      <c r="AI1915" s="7"/>
      <c r="AJ1915" s="73"/>
      <c r="AK1915" s="7"/>
      <c r="AL1915" s="99"/>
      <c r="AM1915" s="2" t="s">
        <v>59</v>
      </c>
      <c r="AO1915" s="6" t="s">
        <v>82</v>
      </c>
      <c r="AQ1915" s="5" t="s">
        <v>73</v>
      </c>
      <c r="AU1915" s="16" t="s">
        <v>3830</v>
      </c>
      <c r="AW1915" s="6">
        <f t="shared" ca="1" si="32"/>
        <v>18</v>
      </c>
    </row>
    <row r="1916" ht="45" customHeight="1" outlineLevel="1">
      <c r="A1916" s="69"/>
      <c r="B1916" s="3" t="s">
        <v>47</v>
      </c>
      <c r="D1916" s="5" t="s">
        <v>5507</v>
      </c>
      <c r="E1916" s="2" t="s">
        <v>1074</v>
      </c>
      <c r="F1916" s="6" t="s">
        <v>2154</v>
      </c>
      <c r="G1916" s="5" t="s">
        <v>2155</v>
      </c>
      <c r="H1916" s="2" t="s">
        <v>57</v>
      </c>
      <c r="I1916" s="3" t="s">
        <v>5532</v>
      </c>
      <c r="J1916" s="7">
        <v>1</v>
      </c>
      <c r="K1916" s="70" t="s">
        <v>53</v>
      </c>
      <c r="L1916" s="9">
        <v>0</v>
      </c>
      <c r="M1916" s="3">
        <v>1550</v>
      </c>
      <c r="N1916" s="6">
        <v>2007</v>
      </c>
      <c r="P1916" s="71"/>
      <c r="R1916" s="6">
        <v>2000</v>
      </c>
      <c r="S1916" s="3" t="s">
        <v>54</v>
      </c>
      <c r="T1916" s="72"/>
      <c r="U1916" s="73"/>
      <c r="W1916" s="2" t="s">
        <v>5533</v>
      </c>
      <c r="X1916" s="10" t="s">
        <v>56</v>
      </c>
      <c r="Y1916" s="10" t="s">
        <v>57</v>
      </c>
      <c r="Z1916" s="75"/>
      <c r="AA1916" s="208">
        <v>44239</v>
      </c>
      <c r="AB1916" s="77"/>
      <c r="AC1916" s="215">
        <v>44239</v>
      </c>
      <c r="AD1916" s="6"/>
      <c r="AE1916" s="7">
        <v>2007</v>
      </c>
      <c r="AF1916" s="7">
        <v>55</v>
      </c>
      <c r="AG1916" s="93">
        <v>2019</v>
      </c>
      <c r="AH1916" s="7">
        <v>2010</v>
      </c>
      <c r="AI1916" s="7"/>
      <c r="AJ1916" s="73"/>
      <c r="AK1916" s="7"/>
      <c r="AL1916" s="99"/>
      <c r="AM1916" s="2" t="s">
        <v>59</v>
      </c>
      <c r="AO1916" s="6" t="s">
        <v>82</v>
      </c>
      <c r="AQ1916" s="5" t="s">
        <v>73</v>
      </c>
      <c r="AU1916" s="16" t="s">
        <v>3830</v>
      </c>
      <c r="AW1916" s="6">
        <f t="shared" ca="1" si="32"/>
        <v>18</v>
      </c>
    </row>
    <row r="1917" ht="45" customHeight="1" outlineLevel="1">
      <c r="A1917" s="69"/>
      <c r="B1917" s="3" t="s">
        <v>47</v>
      </c>
      <c r="D1917" s="5" t="s">
        <v>5507</v>
      </c>
      <c r="E1917" s="2" t="s">
        <v>1074</v>
      </c>
      <c r="F1917" s="6" t="s">
        <v>2154</v>
      </c>
      <c r="G1917" s="5" t="s">
        <v>2155</v>
      </c>
      <c r="H1917" s="2" t="s">
        <v>57</v>
      </c>
      <c r="I1917" s="3" t="s">
        <v>5534</v>
      </c>
      <c r="J1917" s="7">
        <v>1</v>
      </c>
      <c r="K1917" s="70" t="s">
        <v>53</v>
      </c>
      <c r="L1917" s="9">
        <v>0</v>
      </c>
      <c r="M1917" s="3">
        <v>1550</v>
      </c>
      <c r="N1917" s="6">
        <v>2007</v>
      </c>
      <c r="P1917" s="71"/>
      <c r="R1917" s="6">
        <v>2000</v>
      </c>
      <c r="S1917" s="3" t="s">
        <v>54</v>
      </c>
      <c r="T1917" s="72"/>
      <c r="U1917" s="73"/>
      <c r="W1917" s="2" t="s">
        <v>5535</v>
      </c>
      <c r="X1917" s="10" t="s">
        <v>56</v>
      </c>
      <c r="Y1917" s="10" t="s">
        <v>57</v>
      </c>
      <c r="Z1917" s="75"/>
      <c r="AA1917" s="208">
        <v>44239</v>
      </c>
      <c r="AB1917" s="77"/>
      <c r="AC1917" s="215">
        <v>44239</v>
      </c>
      <c r="AD1917" s="6"/>
      <c r="AE1917" s="7">
        <v>2007</v>
      </c>
      <c r="AF1917" s="7">
        <v>55</v>
      </c>
      <c r="AG1917" s="93">
        <v>2019</v>
      </c>
      <c r="AH1917" s="7">
        <v>2010</v>
      </c>
      <c r="AI1917" s="7"/>
      <c r="AJ1917" s="73"/>
      <c r="AK1917" s="7"/>
      <c r="AL1917" s="99"/>
      <c r="AM1917" s="2" t="s">
        <v>59</v>
      </c>
      <c r="AO1917" s="6" t="s">
        <v>82</v>
      </c>
      <c r="AQ1917" s="5" t="s">
        <v>73</v>
      </c>
      <c r="AU1917" s="16" t="s">
        <v>3830</v>
      </c>
      <c r="AW1917" s="6">
        <f t="shared" ca="1" si="32"/>
        <v>18</v>
      </c>
    </row>
    <row r="1918" ht="45" customHeight="1" outlineLevel="1">
      <c r="A1918" s="69"/>
      <c r="B1918" s="3" t="s">
        <v>47</v>
      </c>
      <c r="D1918" s="5" t="s">
        <v>5507</v>
      </c>
      <c r="E1918" s="2" t="s">
        <v>1074</v>
      </c>
      <c r="F1918" s="6" t="s">
        <v>2154</v>
      </c>
      <c r="G1918" s="5" t="s">
        <v>2155</v>
      </c>
      <c r="H1918" s="2" t="s">
        <v>57</v>
      </c>
      <c r="I1918" s="3" t="s">
        <v>5536</v>
      </c>
      <c r="J1918" s="7">
        <v>1</v>
      </c>
      <c r="K1918" s="70" t="s">
        <v>53</v>
      </c>
      <c r="L1918" s="9">
        <v>0</v>
      </c>
      <c r="M1918" s="3">
        <v>1550</v>
      </c>
      <c r="N1918" s="6">
        <v>2007</v>
      </c>
      <c r="P1918" s="71"/>
      <c r="R1918" s="6">
        <v>2000</v>
      </c>
      <c r="S1918" s="3" t="s">
        <v>54</v>
      </c>
      <c r="T1918" s="72"/>
      <c r="U1918" s="73"/>
      <c r="W1918" s="2" t="s">
        <v>5537</v>
      </c>
      <c r="X1918" s="10" t="s">
        <v>56</v>
      </c>
      <c r="Y1918" s="10" t="s">
        <v>57</v>
      </c>
      <c r="Z1918" s="75"/>
      <c r="AA1918" s="76"/>
      <c r="AB1918" s="77"/>
      <c r="AC1918" s="215">
        <v>44239</v>
      </c>
      <c r="AD1918" s="6"/>
      <c r="AE1918" s="7">
        <v>2007</v>
      </c>
      <c r="AF1918" s="7">
        <v>55</v>
      </c>
      <c r="AG1918" s="93">
        <v>2019</v>
      </c>
      <c r="AH1918" s="7">
        <v>2010</v>
      </c>
      <c r="AI1918" s="7"/>
      <c r="AJ1918" s="73"/>
      <c r="AK1918" s="7"/>
      <c r="AL1918" s="99"/>
      <c r="AM1918" s="2" t="s">
        <v>59</v>
      </c>
      <c r="AO1918" s="6" t="s">
        <v>82</v>
      </c>
      <c r="AQ1918" s="5" t="s">
        <v>73</v>
      </c>
      <c r="AU1918" s="16" t="s">
        <v>3830</v>
      </c>
      <c r="AW1918" s="6">
        <f t="shared" ca="1" si="32"/>
        <v>18</v>
      </c>
    </row>
    <row r="1919" ht="45" customHeight="1" outlineLevel="1">
      <c r="A1919" s="69"/>
      <c r="B1919" s="3" t="s">
        <v>47</v>
      </c>
      <c r="D1919" s="5" t="s">
        <v>5507</v>
      </c>
      <c r="E1919" s="2" t="s">
        <v>1074</v>
      </c>
      <c r="F1919" s="6" t="s">
        <v>2154</v>
      </c>
      <c r="G1919" s="5" t="s">
        <v>2155</v>
      </c>
      <c r="H1919" s="2" t="s">
        <v>68</v>
      </c>
      <c r="I1919" s="3" t="s">
        <v>5538</v>
      </c>
      <c r="J1919" s="7">
        <v>1</v>
      </c>
      <c r="K1919" s="70" t="s">
        <v>53</v>
      </c>
      <c r="L1919" s="9">
        <v>0</v>
      </c>
      <c r="M1919" s="3">
        <v>1550</v>
      </c>
      <c r="N1919" s="6">
        <v>2007</v>
      </c>
      <c r="P1919" s="71"/>
      <c r="R1919" s="6">
        <v>2000</v>
      </c>
      <c r="S1919" s="3" t="s">
        <v>54</v>
      </c>
      <c r="T1919" s="72"/>
      <c r="U1919" s="73"/>
      <c r="W1919" s="2" t="s">
        <v>5539</v>
      </c>
      <c r="X1919" s="10" t="s">
        <v>56</v>
      </c>
      <c r="Y1919" s="10" t="s">
        <v>68</v>
      </c>
      <c r="Z1919" s="75"/>
      <c r="AA1919" s="76"/>
      <c r="AB1919" s="77"/>
      <c r="AC1919" s="215">
        <v>44239</v>
      </c>
      <c r="AD1919" s="6"/>
      <c r="AE1919" s="7">
        <v>2007</v>
      </c>
      <c r="AF1919" s="7">
        <v>55</v>
      </c>
      <c r="AG1919" s="93">
        <v>2019</v>
      </c>
      <c r="AH1919" s="7">
        <v>2010</v>
      </c>
      <c r="AI1919" s="7"/>
      <c r="AJ1919" s="73"/>
      <c r="AK1919" s="7"/>
      <c r="AL1919" s="99"/>
      <c r="AM1919" s="2" t="s">
        <v>82</v>
      </c>
      <c r="AO1919" s="6" t="s">
        <v>82</v>
      </c>
      <c r="AQ1919" s="5" t="s">
        <v>73</v>
      </c>
      <c r="AU1919" s="16" t="s">
        <v>3830</v>
      </c>
      <c r="AW1919" s="6">
        <f t="shared" ca="1" si="32"/>
        <v>18</v>
      </c>
    </row>
    <row r="1920" ht="45" customHeight="1" outlineLevel="1">
      <c r="A1920" s="69"/>
      <c r="B1920" s="3" t="s">
        <v>47</v>
      </c>
      <c r="D1920" s="5" t="s">
        <v>5507</v>
      </c>
      <c r="E1920" s="2" t="s">
        <v>1074</v>
      </c>
      <c r="F1920" s="6" t="s">
        <v>2154</v>
      </c>
      <c r="G1920" s="5" t="s">
        <v>2155</v>
      </c>
      <c r="H1920" s="2" t="s">
        <v>57</v>
      </c>
      <c r="I1920" s="3" t="s">
        <v>5540</v>
      </c>
      <c r="J1920" s="7">
        <v>1</v>
      </c>
      <c r="K1920" s="70" t="s">
        <v>53</v>
      </c>
      <c r="L1920" s="9">
        <v>0</v>
      </c>
      <c r="M1920" s="3">
        <v>1550</v>
      </c>
      <c r="N1920" s="6">
        <v>2007</v>
      </c>
      <c r="P1920" s="71"/>
      <c r="R1920" s="6">
        <v>2000</v>
      </c>
      <c r="S1920" s="3" t="s">
        <v>54</v>
      </c>
      <c r="T1920" s="72"/>
      <c r="U1920" s="73"/>
      <c r="W1920" s="2" t="s">
        <v>5541</v>
      </c>
      <c r="X1920" s="10" t="s">
        <v>56</v>
      </c>
      <c r="Y1920" s="10" t="s">
        <v>57</v>
      </c>
      <c r="Z1920" s="75"/>
      <c r="AA1920" s="208">
        <v>44239</v>
      </c>
      <c r="AB1920" s="77"/>
      <c r="AC1920" s="215">
        <v>44239</v>
      </c>
      <c r="AD1920" s="6"/>
      <c r="AE1920" s="7">
        <v>2007</v>
      </c>
      <c r="AF1920" s="7">
        <v>55</v>
      </c>
      <c r="AG1920" s="93">
        <v>2019</v>
      </c>
      <c r="AH1920" s="7">
        <v>2010</v>
      </c>
      <c r="AI1920" s="7"/>
      <c r="AJ1920" s="73"/>
      <c r="AK1920" s="7"/>
      <c r="AL1920" s="99"/>
      <c r="AM1920" s="2" t="s">
        <v>59</v>
      </c>
      <c r="AO1920" s="6" t="s">
        <v>82</v>
      </c>
      <c r="AQ1920" s="5" t="s">
        <v>73</v>
      </c>
      <c r="AU1920" s="16" t="s">
        <v>3830</v>
      </c>
      <c r="AW1920" s="6">
        <f t="shared" ca="1" si="32"/>
        <v>18</v>
      </c>
    </row>
    <row r="1921" ht="45" customHeight="1" outlineLevel="1">
      <c r="A1921" s="69"/>
      <c r="B1921" s="3" t="s">
        <v>47</v>
      </c>
      <c r="D1921" s="5" t="s">
        <v>5507</v>
      </c>
      <c r="E1921" s="2" t="s">
        <v>1074</v>
      </c>
      <c r="F1921" s="6" t="s">
        <v>2154</v>
      </c>
      <c r="G1921" s="5" t="s">
        <v>2155</v>
      </c>
      <c r="H1921" s="2" t="s">
        <v>57</v>
      </c>
      <c r="I1921" s="3" t="s">
        <v>5542</v>
      </c>
      <c r="J1921" s="7">
        <v>1</v>
      </c>
      <c r="K1921" s="70" t="s">
        <v>53</v>
      </c>
      <c r="L1921" s="9">
        <v>0</v>
      </c>
      <c r="M1921" s="3">
        <v>1550</v>
      </c>
      <c r="N1921" s="6">
        <v>2007</v>
      </c>
      <c r="P1921" s="71"/>
      <c r="R1921" s="6">
        <v>2000</v>
      </c>
      <c r="S1921" s="3" t="s">
        <v>54</v>
      </c>
      <c r="T1921" s="72"/>
      <c r="U1921" s="73"/>
      <c r="W1921" s="2" t="s">
        <v>5543</v>
      </c>
      <c r="X1921" s="10" t="s">
        <v>56</v>
      </c>
      <c r="Y1921" s="10" t="s">
        <v>57</v>
      </c>
      <c r="Z1921" s="75"/>
      <c r="AA1921" s="208">
        <v>44239</v>
      </c>
      <c r="AB1921" s="77"/>
      <c r="AC1921" s="215">
        <v>44239</v>
      </c>
      <c r="AD1921" s="6"/>
      <c r="AE1921" s="7">
        <v>2007</v>
      </c>
      <c r="AF1921" s="7">
        <v>55</v>
      </c>
      <c r="AG1921" s="93">
        <v>2019</v>
      </c>
      <c r="AH1921" s="7">
        <v>2010</v>
      </c>
      <c r="AI1921" s="7"/>
      <c r="AJ1921" s="73"/>
      <c r="AK1921" s="7"/>
      <c r="AL1921" s="99"/>
      <c r="AM1921" s="2" t="s">
        <v>59</v>
      </c>
      <c r="AO1921" s="6" t="s">
        <v>82</v>
      </c>
      <c r="AQ1921" s="5" t="s">
        <v>73</v>
      </c>
      <c r="AU1921" s="16" t="s">
        <v>3830</v>
      </c>
      <c r="AW1921" s="6">
        <f t="shared" ca="1" si="32"/>
        <v>18</v>
      </c>
    </row>
    <row r="1922" ht="45" customHeight="1" outlineLevel="1">
      <c r="A1922" s="69"/>
      <c r="B1922" s="3" t="s">
        <v>47</v>
      </c>
      <c r="D1922" s="5" t="s">
        <v>5507</v>
      </c>
      <c r="E1922" s="2" t="s">
        <v>1074</v>
      </c>
      <c r="F1922" s="6" t="s">
        <v>2154</v>
      </c>
      <c r="G1922" s="5" t="s">
        <v>2155</v>
      </c>
      <c r="H1922" s="2" t="s">
        <v>68</v>
      </c>
      <c r="I1922" s="3" t="s">
        <v>5544</v>
      </c>
      <c r="J1922" s="7">
        <v>1</v>
      </c>
      <c r="K1922" s="70" t="s">
        <v>53</v>
      </c>
      <c r="L1922" s="9">
        <v>0</v>
      </c>
      <c r="M1922" s="3">
        <v>1550</v>
      </c>
      <c r="N1922" s="6">
        <v>2007</v>
      </c>
      <c r="P1922" s="71"/>
      <c r="R1922" s="6">
        <v>2000</v>
      </c>
      <c r="S1922" s="3" t="s">
        <v>54</v>
      </c>
      <c r="T1922" s="72"/>
      <c r="U1922" s="73"/>
      <c r="W1922" s="2" t="s">
        <v>5545</v>
      </c>
      <c r="X1922" s="112" t="s">
        <v>56</v>
      </c>
      <c r="Y1922" s="112" t="s">
        <v>57</v>
      </c>
      <c r="Z1922" s="113"/>
      <c r="AA1922" s="208">
        <v>44239</v>
      </c>
      <c r="AB1922" s="77"/>
      <c r="AC1922" s="215">
        <v>44239</v>
      </c>
      <c r="AD1922" s="6"/>
      <c r="AE1922" s="7">
        <v>2007</v>
      </c>
      <c r="AF1922" s="7">
        <v>55</v>
      </c>
      <c r="AG1922" s="93">
        <v>2019</v>
      </c>
      <c r="AH1922" s="7">
        <v>2010</v>
      </c>
      <c r="AI1922" s="7"/>
      <c r="AJ1922" s="73"/>
      <c r="AK1922" s="7"/>
      <c r="AL1922" s="99"/>
      <c r="AM1922" s="2" t="s">
        <v>59</v>
      </c>
      <c r="AO1922" s="6" t="s">
        <v>82</v>
      </c>
      <c r="AQ1922" s="5" t="s">
        <v>73</v>
      </c>
      <c r="AU1922" s="16" t="s">
        <v>3830</v>
      </c>
      <c r="AW1922" s="6">
        <f t="shared" ca="1" si="32"/>
        <v>18</v>
      </c>
    </row>
    <row r="1923" ht="45" customHeight="1" outlineLevel="1">
      <c r="A1923" s="69"/>
      <c r="B1923" s="3" t="s">
        <v>47</v>
      </c>
      <c r="D1923" s="5" t="s">
        <v>5507</v>
      </c>
      <c r="E1923" s="78" t="s">
        <v>1074</v>
      </c>
      <c r="F1923" s="79" t="s">
        <v>2154</v>
      </c>
      <c r="G1923" s="80" t="s">
        <v>2155</v>
      </c>
      <c r="H1923" s="78" t="s">
        <v>68</v>
      </c>
      <c r="I1923" s="81" t="s">
        <v>5546</v>
      </c>
      <c r="J1923" s="7">
        <v>1</v>
      </c>
      <c r="K1923" s="70" t="s">
        <v>53</v>
      </c>
      <c r="L1923" s="9">
        <v>0</v>
      </c>
      <c r="M1923" s="3">
        <v>1550</v>
      </c>
      <c r="N1923" s="6">
        <v>2007</v>
      </c>
      <c r="P1923" s="71"/>
      <c r="R1923" s="6">
        <v>2000</v>
      </c>
      <c r="S1923" s="3" t="s">
        <v>54</v>
      </c>
      <c r="T1923" s="72"/>
      <c r="U1923" s="73"/>
      <c r="W1923" s="78" t="s">
        <v>5547</v>
      </c>
      <c r="X1923" s="82" t="s">
        <v>56</v>
      </c>
      <c r="Y1923" s="82" t="s">
        <v>57</v>
      </c>
      <c r="Z1923" s="83"/>
      <c r="AA1923" s="216"/>
      <c r="AB1923" s="77"/>
      <c r="AC1923" s="215">
        <v>44239</v>
      </c>
      <c r="AD1923" s="6"/>
      <c r="AE1923" s="7">
        <v>2007</v>
      </c>
      <c r="AF1923" s="7">
        <v>55</v>
      </c>
      <c r="AG1923" s="93">
        <v>2019</v>
      </c>
      <c r="AH1923" s="7">
        <v>2010</v>
      </c>
      <c r="AI1923" s="7"/>
      <c r="AJ1923" s="73"/>
      <c r="AK1923" s="7"/>
      <c r="AL1923" s="99"/>
      <c r="AM1923" s="2" t="s">
        <v>59</v>
      </c>
      <c r="AO1923" s="6" t="s">
        <v>82</v>
      </c>
      <c r="AQ1923" s="5" t="s">
        <v>73</v>
      </c>
      <c r="AU1923" s="16" t="s">
        <v>3830</v>
      </c>
      <c r="AW1923" s="6">
        <f t="shared" ca="1" si="32"/>
        <v>18</v>
      </c>
    </row>
    <row r="1924" ht="45" customHeight="1" outlineLevel="1">
      <c r="A1924" s="69"/>
      <c r="B1924" s="3" t="s">
        <v>47</v>
      </c>
      <c r="D1924" s="5" t="s">
        <v>5507</v>
      </c>
      <c r="E1924" s="2" t="s">
        <v>1074</v>
      </c>
      <c r="F1924" s="6" t="s">
        <v>2154</v>
      </c>
      <c r="G1924" s="5" t="s">
        <v>2155</v>
      </c>
      <c r="H1924" s="2" t="s">
        <v>57</v>
      </c>
      <c r="I1924" s="3" t="s">
        <v>5548</v>
      </c>
      <c r="J1924" s="7">
        <v>1</v>
      </c>
      <c r="K1924" s="70" t="s">
        <v>53</v>
      </c>
      <c r="L1924" s="9">
        <v>0</v>
      </c>
      <c r="M1924" s="3">
        <v>1550</v>
      </c>
      <c r="N1924" s="6">
        <v>2007</v>
      </c>
      <c r="P1924" s="71"/>
      <c r="R1924" s="6">
        <v>2000</v>
      </c>
      <c r="S1924" s="3" t="s">
        <v>54</v>
      </c>
      <c r="T1924" s="72"/>
      <c r="U1924" s="73"/>
      <c r="W1924" s="2" t="s">
        <v>5549</v>
      </c>
      <c r="X1924" s="10" t="s">
        <v>56</v>
      </c>
      <c r="Y1924" s="10" t="s">
        <v>57</v>
      </c>
      <c r="Z1924" s="75"/>
      <c r="AA1924" s="76"/>
      <c r="AB1924" s="77"/>
      <c r="AC1924" s="215">
        <v>44239</v>
      </c>
      <c r="AD1924" s="6"/>
      <c r="AE1924" s="7">
        <v>2007</v>
      </c>
      <c r="AF1924" s="7">
        <v>55</v>
      </c>
      <c r="AG1924" s="93">
        <v>2019</v>
      </c>
      <c r="AH1924" s="7">
        <v>2010</v>
      </c>
      <c r="AI1924" s="7"/>
      <c r="AJ1924" s="73"/>
      <c r="AK1924" s="7"/>
      <c r="AL1924" s="99"/>
      <c r="AM1924" s="2" t="s">
        <v>59</v>
      </c>
      <c r="AO1924" s="6" t="s">
        <v>82</v>
      </c>
      <c r="AQ1924" s="5" t="s">
        <v>73</v>
      </c>
      <c r="AU1924" s="16" t="s">
        <v>3830</v>
      </c>
      <c r="AW1924" s="6">
        <f t="shared" ca="1" si="32"/>
        <v>18</v>
      </c>
    </row>
    <row r="1925" ht="45" customHeight="1" outlineLevel="1">
      <c r="A1925" s="69"/>
      <c r="B1925" s="3" t="s">
        <v>47</v>
      </c>
      <c r="D1925" s="5" t="s">
        <v>5507</v>
      </c>
      <c r="E1925" s="78" t="s">
        <v>1074</v>
      </c>
      <c r="F1925" s="79" t="s">
        <v>2154</v>
      </c>
      <c r="G1925" s="80" t="s">
        <v>2155</v>
      </c>
      <c r="H1925" s="78" t="s">
        <v>68</v>
      </c>
      <c r="I1925" s="81" t="s">
        <v>5550</v>
      </c>
      <c r="J1925" s="7">
        <v>1</v>
      </c>
      <c r="K1925" s="70" t="s">
        <v>53</v>
      </c>
      <c r="L1925" s="9">
        <v>0</v>
      </c>
      <c r="M1925" s="3">
        <v>1550</v>
      </c>
      <c r="N1925" s="6">
        <v>2007</v>
      </c>
      <c r="P1925" s="71"/>
      <c r="R1925" s="6">
        <v>2000</v>
      </c>
      <c r="S1925" s="3" t="s">
        <v>54</v>
      </c>
      <c r="T1925" s="72"/>
      <c r="U1925" s="73"/>
      <c r="W1925" s="78" t="s">
        <v>5551</v>
      </c>
      <c r="X1925" s="82" t="s">
        <v>56</v>
      </c>
      <c r="Y1925" s="82" t="s">
        <v>57</v>
      </c>
      <c r="Z1925" s="83"/>
      <c r="AA1925" s="76"/>
      <c r="AB1925" s="77"/>
      <c r="AC1925" s="215">
        <v>44239</v>
      </c>
      <c r="AD1925" s="6"/>
      <c r="AE1925" s="7">
        <v>2007</v>
      </c>
      <c r="AF1925" s="7">
        <v>55</v>
      </c>
      <c r="AG1925" s="93"/>
      <c r="AI1925" s="7"/>
      <c r="AJ1925" s="73"/>
      <c r="AK1925" s="7"/>
      <c r="AL1925" s="99"/>
      <c r="AM1925" s="2" t="s">
        <v>59</v>
      </c>
      <c r="AO1925" s="6" t="s">
        <v>82</v>
      </c>
      <c r="AQ1925" s="5" t="s">
        <v>73</v>
      </c>
      <c r="AU1925" s="16" t="s">
        <v>3830</v>
      </c>
      <c r="AW1925" s="6">
        <f t="shared" ca="1" si="32"/>
        <v>18</v>
      </c>
    </row>
    <row r="1926" ht="45" customHeight="1" outlineLevel="1">
      <c r="A1926" s="69"/>
      <c r="B1926" s="3" t="s">
        <v>47</v>
      </c>
      <c r="D1926" s="5" t="s">
        <v>5507</v>
      </c>
      <c r="E1926" s="2" t="s">
        <v>1074</v>
      </c>
      <c r="F1926" s="6" t="s">
        <v>2154</v>
      </c>
      <c r="G1926" s="5" t="s">
        <v>2155</v>
      </c>
      <c r="H1926" s="2" t="s">
        <v>57</v>
      </c>
      <c r="I1926" s="3" t="s">
        <v>5552</v>
      </c>
      <c r="J1926" s="7">
        <v>1</v>
      </c>
      <c r="K1926" s="70" t="s">
        <v>53</v>
      </c>
      <c r="L1926" s="9">
        <v>0</v>
      </c>
      <c r="M1926" s="3">
        <v>1550</v>
      </c>
      <c r="N1926" s="6">
        <v>2007</v>
      </c>
      <c r="P1926" s="71"/>
      <c r="R1926" s="6">
        <v>2000</v>
      </c>
      <c r="S1926" s="3" t="s">
        <v>54</v>
      </c>
      <c r="T1926" s="72"/>
      <c r="U1926" s="73"/>
      <c r="W1926" s="2" t="s">
        <v>5553</v>
      </c>
      <c r="X1926" s="10" t="s">
        <v>56</v>
      </c>
      <c r="Y1926" s="10" t="s">
        <v>57</v>
      </c>
      <c r="Z1926" s="75"/>
      <c r="AA1926" s="76"/>
      <c r="AB1926" s="77"/>
      <c r="AC1926" s="77"/>
      <c r="AD1926" s="6"/>
      <c r="AE1926" s="7">
        <v>2007</v>
      </c>
      <c r="AF1926" s="7">
        <v>55</v>
      </c>
      <c r="AG1926" s="93"/>
      <c r="AI1926" s="7"/>
      <c r="AJ1926" s="73"/>
      <c r="AK1926" s="7"/>
      <c r="AL1926" s="99"/>
      <c r="AM1926" s="2" t="s">
        <v>59</v>
      </c>
      <c r="AO1926" s="6" t="s">
        <v>82</v>
      </c>
      <c r="AQ1926" s="5" t="s">
        <v>73</v>
      </c>
      <c r="AU1926" s="16" t="s">
        <v>3830</v>
      </c>
      <c r="AW1926" s="6">
        <f t="shared" ca="1" si="32"/>
        <v>18</v>
      </c>
    </row>
    <row r="1927" ht="45" hidden="1" customHeight="1" outlineLevel="1">
      <c r="A1927" s="69"/>
      <c r="B1927" s="3" t="s">
        <v>47</v>
      </c>
      <c r="C1927" s="4" t="s">
        <v>5554</v>
      </c>
      <c r="D1927" s="5" t="s">
        <v>5507</v>
      </c>
      <c r="E1927" s="2" t="s">
        <v>1074</v>
      </c>
      <c r="F1927" s="6" t="s">
        <v>2154</v>
      </c>
      <c r="G1927" s="5" t="s">
        <v>2155</v>
      </c>
      <c r="H1927" s="2" t="s">
        <v>57</v>
      </c>
      <c r="I1927" s="3" t="s">
        <v>5555</v>
      </c>
      <c r="J1927" s="7">
        <v>1</v>
      </c>
      <c r="K1927" s="70"/>
      <c r="L1927" s="9">
        <v>0</v>
      </c>
      <c r="M1927" s="3">
        <v>1550</v>
      </c>
      <c r="N1927" s="6">
        <v>2007</v>
      </c>
      <c r="P1927" s="71"/>
      <c r="R1927" s="6">
        <v>2000</v>
      </c>
      <c r="S1927" s="3" t="s">
        <v>236</v>
      </c>
      <c r="T1927" s="72"/>
      <c r="U1927" s="73"/>
      <c r="W1927" s="2" t="s">
        <v>5556</v>
      </c>
      <c r="X1927" s="10" t="s">
        <v>56</v>
      </c>
      <c r="Y1927" s="10" t="s">
        <v>57</v>
      </c>
      <c r="Z1927" s="75"/>
      <c r="AA1927" s="76"/>
      <c r="AB1927" s="77"/>
      <c r="AC1927" s="77"/>
      <c r="AD1927" s="6"/>
      <c r="AG1927" s="93"/>
      <c r="AI1927" s="7"/>
      <c r="AJ1927" s="10">
        <v>42341</v>
      </c>
      <c r="AK1927" s="7">
        <v>2010</v>
      </c>
      <c r="AL1927" s="99" t="s">
        <v>5557</v>
      </c>
      <c r="AM1927" s="2" t="s">
        <v>59</v>
      </c>
      <c r="AO1927" s="6" t="s">
        <v>82</v>
      </c>
      <c r="AQ1927" s="5" t="s">
        <v>73</v>
      </c>
      <c r="AU1927" s="16" t="s">
        <v>3830</v>
      </c>
      <c r="AW1927" s="6">
        <f t="shared" ca="1" si="32"/>
        <v>18</v>
      </c>
    </row>
    <row r="1928" ht="45" hidden="1" customHeight="1" outlineLevel="1">
      <c r="A1928" s="69"/>
      <c r="B1928" s="3" t="s">
        <v>47</v>
      </c>
      <c r="C1928" s="4" t="s">
        <v>5558</v>
      </c>
      <c r="D1928" s="5" t="s">
        <v>5507</v>
      </c>
      <c r="E1928" s="2" t="s">
        <v>1074</v>
      </c>
      <c r="F1928" s="6" t="s">
        <v>2154</v>
      </c>
      <c r="G1928" s="5" t="s">
        <v>2155</v>
      </c>
      <c r="H1928" s="2" t="s">
        <v>57</v>
      </c>
      <c r="I1928" s="3" t="s">
        <v>5559</v>
      </c>
      <c r="J1928" s="7">
        <v>1</v>
      </c>
      <c r="K1928" s="70"/>
      <c r="L1928" s="9">
        <v>0</v>
      </c>
      <c r="M1928" s="3">
        <v>1550</v>
      </c>
      <c r="N1928" s="6">
        <v>2007</v>
      </c>
      <c r="P1928" s="71"/>
      <c r="R1928" s="6">
        <v>2000</v>
      </c>
      <c r="S1928" s="3" t="s">
        <v>236</v>
      </c>
      <c r="T1928" s="72"/>
      <c r="U1928" s="73"/>
      <c r="W1928" s="2" t="s">
        <v>62</v>
      </c>
      <c r="X1928" s="10" t="s">
        <v>56</v>
      </c>
      <c r="Y1928" s="10" t="s">
        <v>57</v>
      </c>
      <c r="Z1928" s="75"/>
      <c r="AA1928" s="76"/>
      <c r="AB1928" s="77"/>
      <c r="AC1928" s="77"/>
      <c r="AD1928" s="6"/>
      <c r="AG1928" s="93"/>
      <c r="AI1928" s="7"/>
      <c r="AJ1928" s="10">
        <v>42496</v>
      </c>
      <c r="AK1928" s="7">
        <v>2010</v>
      </c>
      <c r="AL1928" s="99" t="s">
        <v>5560</v>
      </c>
      <c r="AM1928" s="2" t="s">
        <v>59</v>
      </c>
      <c r="AO1928" s="6" t="s">
        <v>82</v>
      </c>
      <c r="AQ1928" s="5" t="s">
        <v>73</v>
      </c>
      <c r="AU1928" s="16" t="s">
        <v>3830</v>
      </c>
      <c r="AW1928" s="6">
        <f t="shared" ca="1" si="32"/>
        <v>18</v>
      </c>
    </row>
    <row r="1929" ht="45" hidden="1" customHeight="1" outlineLevel="1">
      <c r="A1929" s="69"/>
      <c r="B1929" s="3" t="s">
        <v>47</v>
      </c>
      <c r="C1929" s="4" t="s">
        <v>5558</v>
      </c>
      <c r="D1929" s="5" t="s">
        <v>5507</v>
      </c>
      <c r="E1929" s="2" t="s">
        <v>1074</v>
      </c>
      <c r="F1929" s="6" t="s">
        <v>2154</v>
      </c>
      <c r="G1929" s="5" t="s">
        <v>2155</v>
      </c>
      <c r="H1929" s="2" t="s">
        <v>57</v>
      </c>
      <c r="I1929" s="3" t="s">
        <v>5561</v>
      </c>
      <c r="J1929" s="7">
        <v>1</v>
      </c>
      <c r="K1929" s="70"/>
      <c r="L1929" s="9">
        <v>0</v>
      </c>
      <c r="M1929" s="3">
        <v>1550</v>
      </c>
      <c r="N1929" s="6">
        <v>2007</v>
      </c>
      <c r="P1929" s="71"/>
      <c r="R1929" s="6">
        <v>2000</v>
      </c>
      <c r="S1929" s="3" t="s">
        <v>236</v>
      </c>
      <c r="T1929" s="72"/>
      <c r="U1929" s="73"/>
      <c r="W1929" s="2" t="s">
        <v>62</v>
      </c>
      <c r="X1929" s="10"/>
      <c r="Y1929" s="10"/>
      <c r="Z1929" s="75"/>
      <c r="AA1929" s="76"/>
      <c r="AB1929" s="77"/>
      <c r="AC1929" s="77"/>
      <c r="AD1929" s="6"/>
      <c r="AG1929" s="93"/>
      <c r="AI1929" s="7"/>
      <c r="AJ1929" s="10">
        <v>42496</v>
      </c>
      <c r="AK1929" s="7">
        <v>2010</v>
      </c>
      <c r="AL1929" s="99" t="s">
        <v>5562</v>
      </c>
      <c r="AW1929" s="6">
        <f t="shared" ca="1" si="32"/>
        <v>18</v>
      </c>
    </row>
    <row r="1930" ht="45" hidden="1" customHeight="1" outlineLevel="1">
      <c r="A1930" s="69"/>
      <c r="B1930" s="3" t="s">
        <v>47</v>
      </c>
      <c r="C1930" s="4" t="s">
        <v>5558</v>
      </c>
      <c r="D1930" s="5" t="s">
        <v>5507</v>
      </c>
      <c r="E1930" s="2" t="s">
        <v>1074</v>
      </c>
      <c r="F1930" s="6" t="s">
        <v>2154</v>
      </c>
      <c r="G1930" s="5" t="s">
        <v>2155</v>
      </c>
      <c r="H1930" s="2" t="s">
        <v>57</v>
      </c>
      <c r="I1930" s="3" t="s">
        <v>5563</v>
      </c>
      <c r="J1930" s="7">
        <v>1</v>
      </c>
      <c r="K1930" s="70"/>
      <c r="L1930" s="9">
        <v>0</v>
      </c>
      <c r="M1930" s="3">
        <v>1550</v>
      </c>
      <c r="N1930" s="6">
        <v>2007</v>
      </c>
      <c r="P1930" s="71"/>
      <c r="R1930" s="6">
        <v>2000</v>
      </c>
      <c r="S1930" s="3" t="s">
        <v>236</v>
      </c>
      <c r="T1930" s="72"/>
      <c r="U1930" s="73"/>
      <c r="W1930" s="2" t="s">
        <v>62</v>
      </c>
      <c r="X1930" s="10"/>
      <c r="Y1930" s="10"/>
      <c r="Z1930" s="75"/>
      <c r="AA1930" s="76"/>
      <c r="AB1930" s="77"/>
      <c r="AC1930" s="77"/>
      <c r="AD1930" s="6"/>
      <c r="AG1930" s="93"/>
      <c r="AI1930" s="7"/>
      <c r="AJ1930" s="10">
        <v>42496</v>
      </c>
      <c r="AK1930" s="7">
        <v>2010</v>
      </c>
      <c r="AL1930" s="99" t="s">
        <v>5562</v>
      </c>
      <c r="AW1930" s="6">
        <f t="shared" ca="1" si="32"/>
        <v>18</v>
      </c>
    </row>
    <row r="1931" ht="45" hidden="1" customHeight="1" outlineLevel="1">
      <c r="A1931" s="69"/>
      <c r="B1931" s="3" t="s">
        <v>47</v>
      </c>
      <c r="C1931" s="4" t="s">
        <v>5558</v>
      </c>
      <c r="D1931" s="5" t="s">
        <v>5507</v>
      </c>
      <c r="E1931" s="2" t="s">
        <v>1074</v>
      </c>
      <c r="F1931" s="6" t="s">
        <v>1075</v>
      </c>
      <c r="G1931" s="5" t="s">
        <v>3368</v>
      </c>
      <c r="H1931" s="2" t="s">
        <v>57</v>
      </c>
      <c r="I1931" s="3" t="s">
        <v>5564</v>
      </c>
      <c r="J1931" s="7">
        <v>1</v>
      </c>
      <c r="K1931" s="70"/>
      <c r="L1931" s="9">
        <v>0</v>
      </c>
      <c r="M1931" s="3">
        <v>1550</v>
      </c>
      <c r="N1931" s="6">
        <v>2007</v>
      </c>
      <c r="P1931" s="71"/>
      <c r="R1931" s="6">
        <v>2000</v>
      </c>
      <c r="S1931" s="3" t="s">
        <v>236</v>
      </c>
      <c r="T1931" s="72"/>
      <c r="U1931" s="73"/>
      <c r="W1931" s="2" t="s">
        <v>62</v>
      </c>
      <c r="X1931" s="10"/>
      <c r="Y1931" s="10"/>
      <c r="Z1931" s="75"/>
      <c r="AA1931" s="76"/>
      <c r="AB1931" s="77"/>
      <c r="AC1931" s="77"/>
      <c r="AD1931" s="6"/>
      <c r="AG1931" s="93"/>
      <c r="AI1931" s="7"/>
      <c r="AJ1931" s="10">
        <v>42496</v>
      </c>
      <c r="AK1931" s="7">
        <v>2010</v>
      </c>
      <c r="AL1931" s="99" t="s">
        <v>5562</v>
      </c>
      <c r="AW1931" s="6">
        <f t="shared" ca="1" si="32"/>
        <v>18</v>
      </c>
    </row>
    <row r="1932" ht="45" hidden="1" customHeight="1" outlineLevel="1">
      <c r="A1932" s="69"/>
      <c r="B1932" s="3" t="s">
        <v>47</v>
      </c>
      <c r="C1932" s="4" t="s">
        <v>5558</v>
      </c>
      <c r="D1932" s="5" t="s">
        <v>5507</v>
      </c>
      <c r="E1932" s="2" t="s">
        <v>63</v>
      </c>
      <c r="F1932" s="6" t="s">
        <v>1480</v>
      </c>
      <c r="G1932" s="5" t="s">
        <v>1481</v>
      </c>
      <c r="H1932" s="2" t="s">
        <v>57</v>
      </c>
      <c r="I1932" s="3" t="s">
        <v>5565</v>
      </c>
      <c r="J1932" s="7">
        <v>1</v>
      </c>
      <c r="K1932" s="70"/>
      <c r="L1932" s="9">
        <v>0</v>
      </c>
      <c r="M1932" s="3">
        <v>1550</v>
      </c>
      <c r="N1932" s="6">
        <v>2007</v>
      </c>
      <c r="P1932" s="71"/>
      <c r="R1932" s="6">
        <v>2000</v>
      </c>
      <c r="S1932" s="3" t="s">
        <v>236</v>
      </c>
      <c r="T1932" s="72"/>
      <c r="U1932" s="73"/>
      <c r="W1932" s="2" t="s">
        <v>62</v>
      </c>
      <c r="X1932" s="10"/>
      <c r="Y1932" s="10"/>
      <c r="Z1932" s="75"/>
      <c r="AA1932" s="76"/>
      <c r="AB1932" s="77"/>
      <c r="AC1932" s="77"/>
      <c r="AD1932" s="6"/>
      <c r="AG1932" s="93"/>
      <c r="AI1932" s="7"/>
      <c r="AJ1932" s="10">
        <v>42496</v>
      </c>
      <c r="AK1932" s="7">
        <v>2010</v>
      </c>
      <c r="AL1932" s="99" t="s">
        <v>5562</v>
      </c>
      <c r="AW1932" s="6">
        <f t="shared" ca="1" si="32"/>
        <v>18</v>
      </c>
    </row>
    <row r="1933" ht="45" hidden="1" customHeight="1" outlineLevel="1">
      <c r="A1933" s="69"/>
      <c r="B1933" s="3" t="s">
        <v>47</v>
      </c>
      <c r="C1933" s="4" t="s">
        <v>5558</v>
      </c>
      <c r="D1933" s="5" t="s">
        <v>5507</v>
      </c>
      <c r="E1933" s="2" t="s">
        <v>83</v>
      </c>
      <c r="F1933" s="6" t="s">
        <v>704</v>
      </c>
      <c r="G1933" s="5" t="s">
        <v>705</v>
      </c>
      <c r="H1933" s="2" t="s">
        <v>57</v>
      </c>
      <c r="I1933" s="3" t="s">
        <v>5566</v>
      </c>
      <c r="J1933" s="7">
        <v>1</v>
      </c>
      <c r="K1933" s="70"/>
      <c r="L1933" s="9">
        <v>0</v>
      </c>
      <c r="M1933" s="3">
        <v>1550</v>
      </c>
      <c r="N1933" s="6">
        <v>2007</v>
      </c>
      <c r="P1933" s="71"/>
      <c r="R1933" s="6">
        <v>2000</v>
      </c>
      <c r="S1933" s="3" t="s">
        <v>236</v>
      </c>
      <c r="T1933" s="72"/>
      <c r="U1933" s="73"/>
      <c r="W1933" s="2" t="s">
        <v>62</v>
      </c>
      <c r="X1933" s="10"/>
      <c r="Y1933" s="10"/>
      <c r="Z1933" s="75"/>
      <c r="AA1933" s="76"/>
      <c r="AB1933" s="77"/>
      <c r="AC1933" s="77"/>
      <c r="AD1933" s="6"/>
      <c r="AG1933" s="93"/>
      <c r="AI1933" s="7"/>
      <c r="AJ1933" s="10">
        <v>42496</v>
      </c>
      <c r="AK1933" s="7">
        <v>2010</v>
      </c>
      <c r="AL1933" s="99" t="s">
        <v>5562</v>
      </c>
      <c r="AW1933" s="6">
        <f t="shared" ca="1" si="32"/>
        <v>18</v>
      </c>
    </row>
    <row r="1934" ht="45" hidden="1" customHeight="1" outlineLevel="1">
      <c r="A1934" s="69"/>
      <c r="B1934" s="3" t="s">
        <v>47</v>
      </c>
      <c r="C1934" s="4" t="s">
        <v>5567</v>
      </c>
      <c r="D1934" s="5" t="s">
        <v>5507</v>
      </c>
      <c r="E1934" s="2" t="s">
        <v>83</v>
      </c>
      <c r="F1934" s="6" t="s">
        <v>84</v>
      </c>
      <c r="G1934" s="5" t="s">
        <v>4408</v>
      </c>
      <c r="H1934" s="2" t="s">
        <v>57</v>
      </c>
      <c r="I1934" s="3" t="s">
        <v>5568</v>
      </c>
      <c r="J1934" s="7">
        <v>1</v>
      </c>
      <c r="K1934" s="70"/>
      <c r="L1934" s="9">
        <v>0</v>
      </c>
      <c r="M1934" s="3">
        <v>1550</v>
      </c>
      <c r="N1934" s="6">
        <v>2007</v>
      </c>
      <c r="O1934" s="10">
        <v>39276</v>
      </c>
      <c r="P1934" s="71" t="s">
        <v>5569</v>
      </c>
      <c r="R1934" s="6">
        <v>2000</v>
      </c>
      <c r="S1934" s="3" t="s">
        <v>236</v>
      </c>
      <c r="T1934" s="72"/>
      <c r="U1934" s="73"/>
      <c r="W1934" s="74" t="s">
        <v>62</v>
      </c>
      <c r="X1934" s="10"/>
      <c r="Y1934" s="10"/>
      <c r="Z1934" s="75"/>
      <c r="AA1934" s="76"/>
      <c r="AB1934" s="77"/>
      <c r="AC1934" s="77"/>
      <c r="AD1934" s="6"/>
      <c r="AG1934" s="93"/>
      <c r="AI1934" s="7"/>
      <c r="AJ1934" s="10">
        <v>42496</v>
      </c>
      <c r="AK1934" s="7">
        <v>2010</v>
      </c>
      <c r="AL1934" s="99" t="s">
        <v>5562</v>
      </c>
      <c r="AW1934" s="6">
        <f t="shared" ca="1" si="32"/>
        <v>18</v>
      </c>
    </row>
    <row r="1935" ht="45" hidden="1" customHeight="1" outlineLevel="1">
      <c r="A1935" s="69"/>
      <c r="B1935" s="3" t="s">
        <v>47</v>
      </c>
      <c r="C1935" s="4" t="s">
        <v>5558</v>
      </c>
      <c r="D1935" s="5" t="s">
        <v>5507</v>
      </c>
      <c r="E1935" s="2" t="s">
        <v>83</v>
      </c>
      <c r="F1935" s="6" t="s">
        <v>84</v>
      </c>
      <c r="G1935" s="5" t="s">
        <v>835</v>
      </c>
      <c r="H1935" s="2" t="s">
        <v>57</v>
      </c>
      <c r="I1935" s="3" t="s">
        <v>5570</v>
      </c>
      <c r="J1935" s="7">
        <v>1</v>
      </c>
      <c r="K1935" s="70"/>
      <c r="L1935" s="9">
        <v>0</v>
      </c>
      <c r="M1935" s="3">
        <v>1550</v>
      </c>
      <c r="N1935" s="6">
        <v>2007</v>
      </c>
      <c r="P1935" s="71"/>
      <c r="R1935" s="6">
        <v>2000</v>
      </c>
      <c r="S1935" s="3" t="s">
        <v>236</v>
      </c>
      <c r="T1935" s="72"/>
      <c r="U1935" s="73"/>
      <c r="W1935" s="2" t="s">
        <v>62</v>
      </c>
      <c r="X1935" s="10"/>
      <c r="Y1935" s="10"/>
      <c r="Z1935" s="75"/>
      <c r="AA1935" s="76"/>
      <c r="AB1935" s="77"/>
      <c r="AC1935" s="77"/>
      <c r="AD1935" s="6"/>
      <c r="AG1935" s="93"/>
      <c r="AI1935" s="7"/>
      <c r="AJ1935" s="10">
        <v>42496</v>
      </c>
      <c r="AK1935" s="7">
        <v>2010</v>
      </c>
      <c r="AL1935" s="99" t="s">
        <v>5562</v>
      </c>
      <c r="AW1935" s="6">
        <f t="shared" ca="1" si="32"/>
        <v>18</v>
      </c>
    </row>
    <row r="1936" ht="45" hidden="1" customHeight="1" outlineLevel="1">
      <c r="A1936" s="69"/>
      <c r="B1936" s="3" t="s">
        <v>47</v>
      </c>
      <c r="C1936" s="4" t="s">
        <v>5558</v>
      </c>
      <c r="D1936" s="5" t="s">
        <v>5507</v>
      </c>
      <c r="E1936" s="2" t="s">
        <v>83</v>
      </c>
      <c r="F1936" s="6" t="s">
        <v>84</v>
      </c>
      <c r="G1936" s="5" t="s">
        <v>5571</v>
      </c>
      <c r="H1936" s="2" t="s">
        <v>57</v>
      </c>
      <c r="I1936" s="3" t="s">
        <v>5572</v>
      </c>
      <c r="J1936" s="7">
        <v>1</v>
      </c>
      <c r="K1936" s="70"/>
      <c r="L1936" s="9">
        <v>0</v>
      </c>
      <c r="M1936" s="3">
        <v>1550</v>
      </c>
      <c r="N1936" s="6">
        <v>2007</v>
      </c>
      <c r="P1936" s="71"/>
      <c r="R1936" s="6">
        <v>2000</v>
      </c>
      <c r="S1936" s="3" t="s">
        <v>236</v>
      </c>
      <c r="T1936" s="72"/>
      <c r="U1936" s="73"/>
      <c r="W1936" s="2" t="s">
        <v>62</v>
      </c>
      <c r="X1936" s="10" t="s">
        <v>56</v>
      </c>
      <c r="Y1936" s="10" t="s">
        <v>57</v>
      </c>
      <c r="Z1936" s="75"/>
      <c r="AA1936" s="76"/>
      <c r="AB1936" s="77"/>
      <c r="AC1936" s="77"/>
      <c r="AD1936" s="6"/>
      <c r="AG1936" s="93"/>
      <c r="AI1936" s="7"/>
      <c r="AJ1936" s="10">
        <v>42496</v>
      </c>
      <c r="AK1936" s="7">
        <v>2010</v>
      </c>
      <c r="AL1936" s="99" t="s">
        <v>5573</v>
      </c>
      <c r="AM1936" s="2" t="s">
        <v>59</v>
      </c>
      <c r="AO1936" s="6" t="s">
        <v>82</v>
      </c>
      <c r="AQ1936" s="5" t="s">
        <v>73</v>
      </c>
      <c r="AU1936" s="16" t="s">
        <v>3830</v>
      </c>
      <c r="AW1936" s="6">
        <f t="shared" ca="1" si="32"/>
        <v>18</v>
      </c>
    </row>
    <row r="1937" ht="45" customHeight="1" outlineLevel="1">
      <c r="A1937" s="69"/>
      <c r="B1937" s="3" t="s">
        <v>47</v>
      </c>
      <c r="D1937" s="5" t="s">
        <v>5507</v>
      </c>
      <c r="E1937" s="2" t="s">
        <v>83</v>
      </c>
      <c r="F1937" s="6" t="s">
        <v>84</v>
      </c>
      <c r="G1937" s="5" t="s">
        <v>85</v>
      </c>
      <c r="H1937" s="2" t="s">
        <v>57</v>
      </c>
      <c r="I1937" s="3" t="s">
        <v>5574</v>
      </c>
      <c r="J1937" s="7">
        <v>1</v>
      </c>
      <c r="K1937" s="70" t="s">
        <v>53</v>
      </c>
      <c r="L1937" s="9">
        <v>0</v>
      </c>
      <c r="M1937" s="3">
        <v>1550</v>
      </c>
      <c r="N1937" s="6">
        <v>2007</v>
      </c>
      <c r="P1937" s="71"/>
      <c r="R1937" s="6">
        <v>2000</v>
      </c>
      <c r="S1937" s="3" t="s">
        <v>54</v>
      </c>
      <c r="T1937" s="72"/>
      <c r="U1937" s="73"/>
      <c r="W1937" s="2" t="s">
        <v>5575</v>
      </c>
      <c r="X1937" s="10"/>
      <c r="Y1937" s="10"/>
      <c r="Z1937" s="75"/>
      <c r="AA1937" s="208">
        <v>44239</v>
      </c>
      <c r="AB1937" s="77"/>
      <c r="AC1937" s="77"/>
      <c r="AD1937" s="6"/>
      <c r="AE1937" s="7">
        <v>2016</v>
      </c>
      <c r="AF1937" s="7">
        <v>82</v>
      </c>
      <c r="AG1937" s="93">
        <v>2019</v>
      </c>
      <c r="AH1937" s="7">
        <v>2010</v>
      </c>
      <c r="AI1937" s="7"/>
      <c r="AJ1937" s="73"/>
      <c r="AK1937" s="7"/>
      <c r="AL1937" s="99"/>
      <c r="AW1937" s="6">
        <f t="shared" ca="1" si="32"/>
        <v>18</v>
      </c>
    </row>
    <row r="1938" ht="45" hidden="1" customHeight="1" outlineLevel="1">
      <c r="A1938" s="69"/>
      <c r="B1938" s="3" t="s">
        <v>190</v>
      </c>
      <c r="C1938" s="4" t="s">
        <v>5576</v>
      </c>
      <c r="D1938" s="5" t="s">
        <v>5577</v>
      </c>
      <c r="E1938" s="2" t="s">
        <v>63</v>
      </c>
      <c r="F1938" s="6" t="s">
        <v>172</v>
      </c>
      <c r="G1938" s="5" t="s">
        <v>173</v>
      </c>
      <c r="H1938" s="2" t="s">
        <v>57</v>
      </c>
      <c r="I1938" s="3" t="s">
        <v>5578</v>
      </c>
      <c r="J1938" s="7">
        <v>1</v>
      </c>
      <c r="K1938" s="70"/>
      <c r="L1938" s="9">
        <v>1</v>
      </c>
      <c r="M1938" s="3">
        <v>1551</v>
      </c>
      <c r="N1938" s="6">
        <v>2008</v>
      </c>
      <c r="P1938" s="71"/>
      <c r="R1938" s="6">
        <v>2000</v>
      </c>
      <c r="S1938" s="3" t="s">
        <v>283</v>
      </c>
      <c r="T1938" s="72"/>
      <c r="U1938" s="73"/>
      <c r="W1938" s="74" t="s">
        <v>62</v>
      </c>
      <c r="X1938" s="10" t="s">
        <v>56</v>
      </c>
      <c r="Y1938" s="10" t="s">
        <v>57</v>
      </c>
      <c r="Z1938" s="75"/>
      <c r="AA1938" s="76"/>
      <c r="AB1938" s="77"/>
      <c r="AC1938" s="77"/>
      <c r="AD1938" s="6"/>
      <c r="AG1938" s="93"/>
      <c r="AH1938" s="93"/>
      <c r="AI1938" s="7"/>
      <c r="AJ1938" s="73"/>
      <c r="AK1938" s="7"/>
      <c r="AL1938" s="99"/>
      <c r="AW1938" s="6">
        <f t="shared" ca="1" si="32"/>
        <v>17</v>
      </c>
    </row>
    <row r="1939" ht="45" customHeight="1" outlineLevel="1">
      <c r="A1939" s="69"/>
      <c r="B1939" s="3" t="s">
        <v>47</v>
      </c>
      <c r="D1939" s="5" t="s">
        <v>5579</v>
      </c>
      <c r="E1939" s="2" t="s">
        <v>63</v>
      </c>
      <c r="F1939" s="6" t="s">
        <v>172</v>
      </c>
      <c r="G1939" s="5" t="s">
        <v>173</v>
      </c>
      <c r="H1939" s="2" t="s">
        <v>288</v>
      </c>
      <c r="I1939" s="3" t="s">
        <v>5580</v>
      </c>
      <c r="J1939" s="7">
        <v>1</v>
      </c>
      <c r="K1939" s="70" t="s">
        <v>53</v>
      </c>
      <c r="L1939" s="9">
        <v>1</v>
      </c>
      <c r="M1939" s="3">
        <v>1552</v>
      </c>
      <c r="N1939" s="6">
        <v>2008</v>
      </c>
      <c r="P1939" s="71"/>
      <c r="R1939" s="6">
        <v>2000</v>
      </c>
      <c r="S1939" s="3" t="s">
        <v>54</v>
      </c>
      <c r="T1939" s="72"/>
      <c r="U1939" s="73"/>
      <c r="W1939" s="2" t="s">
        <v>5581</v>
      </c>
      <c r="X1939" s="10" t="s">
        <v>56</v>
      </c>
      <c r="Y1939" s="10" t="s">
        <v>288</v>
      </c>
      <c r="Z1939" s="75"/>
      <c r="AA1939" s="76">
        <v>41404</v>
      </c>
      <c r="AB1939" s="77">
        <v>41404</v>
      </c>
      <c r="AC1939" s="77"/>
      <c r="AD1939" s="6"/>
      <c r="AE1939" s="7">
        <v>2009</v>
      </c>
      <c r="AF1939" s="7">
        <v>61</v>
      </c>
      <c r="AG1939" s="7">
        <v>2013</v>
      </c>
      <c r="AH1939" s="7">
        <v>2010</v>
      </c>
      <c r="AI1939" s="7"/>
      <c r="AJ1939" s="73"/>
      <c r="AK1939" s="7"/>
      <c r="AL1939" s="115" t="s">
        <v>5582</v>
      </c>
      <c r="AM1939" s="2" t="s">
        <v>53</v>
      </c>
      <c r="AN1939" s="6" t="s">
        <v>73</v>
      </c>
      <c r="AO1939" s="6" t="s">
        <v>53</v>
      </c>
      <c r="AP1939" s="6" t="s">
        <v>73</v>
      </c>
      <c r="AQ1939" s="5" t="s">
        <v>73</v>
      </c>
      <c r="AR1939" s="2" t="s">
        <v>104</v>
      </c>
      <c r="AS1939" s="6" t="s">
        <v>73</v>
      </c>
      <c r="AT1939" s="6">
        <v>2009</v>
      </c>
      <c r="AU1939" s="16" t="s">
        <v>5583</v>
      </c>
      <c r="AW1939" s="6">
        <f t="shared" ca="1" si="32"/>
        <v>17</v>
      </c>
    </row>
    <row r="1940" ht="45" customHeight="1" outlineLevel="1">
      <c r="A1940" s="69"/>
      <c r="B1940" s="3" t="s">
        <v>47</v>
      </c>
      <c r="C1940" s="4" t="s">
        <v>5584</v>
      </c>
      <c r="D1940" s="5" t="s">
        <v>5585</v>
      </c>
      <c r="E1940" s="2" t="s">
        <v>694</v>
      </c>
      <c r="F1940" s="6" t="s">
        <v>3842</v>
      </c>
      <c r="G1940" s="5" t="s">
        <v>5586</v>
      </c>
      <c r="H1940" s="2" t="s">
        <v>288</v>
      </c>
      <c r="I1940" s="3" t="s">
        <v>5587</v>
      </c>
      <c r="J1940" s="7">
        <v>1</v>
      </c>
      <c r="K1940" s="70" t="s">
        <v>53</v>
      </c>
      <c r="L1940" s="9">
        <v>1</v>
      </c>
      <c r="M1940" s="3">
        <v>1553</v>
      </c>
      <c r="N1940" s="6">
        <v>2008</v>
      </c>
      <c r="P1940" s="71"/>
      <c r="R1940" s="6">
        <v>2000</v>
      </c>
      <c r="S1940" s="3" t="s">
        <v>195</v>
      </c>
      <c r="T1940" s="72"/>
      <c r="U1940" s="73"/>
      <c r="W1940" s="2" t="s">
        <v>5588</v>
      </c>
      <c r="X1940" s="10" t="s">
        <v>56</v>
      </c>
      <c r="Y1940" s="10" t="s">
        <v>288</v>
      </c>
      <c r="Z1940" s="75"/>
      <c r="AA1940" s="76"/>
      <c r="AB1940" s="77">
        <v>40864</v>
      </c>
      <c r="AC1940" s="77"/>
      <c r="AD1940" s="10"/>
      <c r="AE1940" s="7">
        <v>2008</v>
      </c>
      <c r="AF1940" s="7">
        <v>59</v>
      </c>
      <c r="AG1940" s="7">
        <v>2011</v>
      </c>
      <c r="AH1940" s="7">
        <v>2010</v>
      </c>
      <c r="AI1940" s="7">
        <v>2014</v>
      </c>
      <c r="AJ1940" s="73"/>
      <c r="AK1940" s="7"/>
      <c r="AL1940" s="16" t="s">
        <v>5589</v>
      </c>
      <c r="AM1940" s="2" t="s">
        <v>53</v>
      </c>
      <c r="AN1940" s="6" t="s">
        <v>73</v>
      </c>
      <c r="AO1940" s="6" t="s">
        <v>53</v>
      </c>
      <c r="AP1940" s="6" t="s">
        <v>73</v>
      </c>
      <c r="AQ1940" s="5" t="s">
        <v>73</v>
      </c>
      <c r="AR1940" s="2" t="s">
        <v>104</v>
      </c>
      <c r="AS1940" s="6" t="s">
        <v>73</v>
      </c>
      <c r="AT1940" s="6">
        <v>2011</v>
      </c>
      <c r="AU1940" s="16" t="s">
        <v>5590</v>
      </c>
      <c r="AW1940" s="6">
        <f t="shared" ca="1" si="32"/>
        <v>17</v>
      </c>
    </row>
    <row r="1941" ht="45" customHeight="1" outlineLevel="1">
      <c r="A1941" s="69"/>
      <c r="B1941" s="3" t="s">
        <v>47</v>
      </c>
      <c r="D1941" s="5" t="s">
        <v>5591</v>
      </c>
      <c r="E1941" s="2" t="s">
        <v>63</v>
      </c>
      <c r="F1941" s="6" t="s">
        <v>898</v>
      </c>
      <c r="G1941" s="5" t="s">
        <v>5592</v>
      </c>
      <c r="H1941" s="2" t="s">
        <v>288</v>
      </c>
      <c r="I1941" s="3" t="s">
        <v>5593</v>
      </c>
      <c r="J1941" s="7">
        <v>1</v>
      </c>
      <c r="K1941" s="70" t="s">
        <v>53</v>
      </c>
      <c r="L1941" s="9">
        <v>1</v>
      </c>
      <c r="M1941" s="3">
        <v>1554</v>
      </c>
      <c r="N1941" s="6">
        <v>2008</v>
      </c>
      <c r="P1941" s="71"/>
      <c r="R1941" s="6">
        <v>2000</v>
      </c>
      <c r="S1941" s="3" t="s">
        <v>54</v>
      </c>
      <c r="T1941" s="72"/>
      <c r="U1941" s="73"/>
      <c r="W1941" s="2" t="s">
        <v>5594</v>
      </c>
      <c r="X1941" s="10" t="s">
        <v>56</v>
      </c>
      <c r="Y1941" s="10" t="s">
        <v>288</v>
      </c>
      <c r="Z1941" s="75"/>
      <c r="AA1941" s="76">
        <v>40702</v>
      </c>
      <c r="AB1941" s="77">
        <v>40701</v>
      </c>
      <c r="AC1941" s="77"/>
      <c r="AD1941" s="6"/>
      <c r="AE1941" s="7">
        <v>2008</v>
      </c>
      <c r="AF1941" s="7">
        <v>58</v>
      </c>
      <c r="AG1941" s="7">
        <v>2011</v>
      </c>
      <c r="AH1941" s="7">
        <v>2010</v>
      </c>
      <c r="AI1941" s="7"/>
      <c r="AJ1941" s="73"/>
      <c r="AK1941" s="7"/>
      <c r="AL1941" s="99"/>
      <c r="AM1941" s="2" t="s">
        <v>53</v>
      </c>
      <c r="AN1941" s="6" t="s">
        <v>73</v>
      </c>
      <c r="AO1941" s="6" t="s">
        <v>53</v>
      </c>
      <c r="AP1941" s="6" t="s">
        <v>73</v>
      </c>
      <c r="AQ1941" s="5" t="s">
        <v>73</v>
      </c>
      <c r="AR1941" s="2" t="s">
        <v>104</v>
      </c>
      <c r="AS1941" s="6" t="s">
        <v>73</v>
      </c>
      <c r="AT1941" s="6">
        <v>2008</v>
      </c>
      <c r="AU1941" s="16" t="s">
        <v>5595</v>
      </c>
      <c r="AW1941" s="6">
        <f t="shared" ca="1" si="32"/>
        <v>17</v>
      </c>
    </row>
    <row r="1942" ht="45" hidden="1" customHeight="1" outlineLevel="1">
      <c r="A1942" s="69">
        <v>45163</v>
      </c>
      <c r="B1942" s="3" t="s">
        <v>47</v>
      </c>
      <c r="C1942" s="4" t="s">
        <v>5596</v>
      </c>
      <c r="D1942" s="5" t="s">
        <v>5597</v>
      </c>
      <c r="E1942" s="2" t="s">
        <v>63</v>
      </c>
      <c r="F1942" s="6" t="s">
        <v>172</v>
      </c>
      <c r="G1942" s="5" t="s">
        <v>4434</v>
      </c>
      <c r="H1942" s="2" t="s">
        <v>3735</v>
      </c>
      <c r="I1942" s="3" t="s">
        <v>5598</v>
      </c>
      <c r="J1942" s="7">
        <v>1</v>
      </c>
      <c r="K1942" s="104"/>
      <c r="L1942" s="9">
        <v>1</v>
      </c>
      <c r="M1942" s="3">
        <v>1555</v>
      </c>
      <c r="N1942" s="6">
        <v>2008</v>
      </c>
      <c r="O1942" s="10">
        <v>39107</v>
      </c>
      <c r="P1942" s="71" t="s">
        <v>5599</v>
      </c>
      <c r="Q1942" s="10">
        <v>39107</v>
      </c>
      <c r="R1942" s="6">
        <v>2000</v>
      </c>
      <c r="S1942" s="3" t="s">
        <v>236</v>
      </c>
      <c r="T1942" s="72" t="s">
        <v>1136</v>
      </c>
      <c r="U1942" s="73"/>
      <c r="W1942" s="2" t="s">
        <v>62</v>
      </c>
      <c r="X1942" s="10" t="s">
        <v>56</v>
      </c>
      <c r="Y1942" s="10" t="s">
        <v>68</v>
      </c>
      <c r="Z1942" s="75" t="s">
        <v>58</v>
      </c>
      <c r="AA1942" s="76"/>
      <c r="AB1942" s="77"/>
      <c r="AC1942" s="77"/>
      <c r="AD1942" s="6"/>
      <c r="AG1942" s="93"/>
      <c r="AH1942" s="93"/>
      <c r="AI1942" s="7"/>
      <c r="AK1942" s="7"/>
      <c r="AL1942" s="99"/>
      <c r="AW1942" s="6">
        <f t="shared" ca="1" si="32"/>
        <v>17</v>
      </c>
    </row>
    <row r="1943" ht="45" hidden="1" customHeight="1" outlineLevel="1">
      <c r="A1943" s="69"/>
      <c r="B1943" s="3" t="s">
        <v>190</v>
      </c>
      <c r="C1943" s="4" t="s">
        <v>5600</v>
      </c>
      <c r="D1943" s="5" t="s">
        <v>5601</v>
      </c>
      <c r="E1943" s="2" t="s">
        <v>48</v>
      </c>
      <c r="F1943" s="6" t="s">
        <v>49</v>
      </c>
      <c r="G1943" s="5" t="s">
        <v>1889</v>
      </c>
      <c r="H1943" s="2" t="s">
        <v>257</v>
      </c>
      <c r="I1943" s="3" t="s">
        <v>5602</v>
      </c>
      <c r="J1943" s="7">
        <v>1</v>
      </c>
      <c r="K1943" s="104"/>
      <c r="L1943" s="9">
        <v>1</v>
      </c>
      <c r="M1943" s="3">
        <v>1556</v>
      </c>
      <c r="N1943" s="6">
        <v>2008</v>
      </c>
      <c r="P1943" s="71"/>
      <c r="R1943" s="6">
        <v>2000</v>
      </c>
      <c r="S1943" s="3" t="s">
        <v>939</v>
      </c>
      <c r="T1943" s="72"/>
      <c r="U1943" s="73"/>
      <c r="W1943" s="74" t="s">
        <v>62</v>
      </c>
      <c r="X1943" s="10" t="s">
        <v>56</v>
      </c>
      <c r="Y1943" s="10" t="s">
        <v>68</v>
      </c>
      <c r="Z1943" s="75" t="s">
        <v>260</v>
      </c>
      <c r="AA1943" s="76"/>
      <c r="AB1943" s="77"/>
      <c r="AC1943" s="77"/>
      <c r="AD1943" s="6"/>
      <c r="AI1943" s="7"/>
      <c r="AJ1943" s="73"/>
      <c r="AK1943" s="7"/>
      <c r="AL1943" s="16"/>
      <c r="AW1943" s="6">
        <f t="shared" ca="1" si="32"/>
        <v>17</v>
      </c>
    </row>
    <row r="1944" ht="45" customHeight="1" outlineLevel="1">
      <c r="A1944" s="69"/>
      <c r="B1944" s="3" t="s">
        <v>47</v>
      </c>
      <c r="D1944" s="5" t="s">
        <v>5603</v>
      </c>
      <c r="E1944" s="2" t="s">
        <v>63</v>
      </c>
      <c r="F1944" s="6" t="s">
        <v>898</v>
      </c>
      <c r="G1944" s="5" t="s">
        <v>899</v>
      </c>
      <c r="H1944" s="2" t="s">
        <v>68</v>
      </c>
      <c r="I1944" s="3" t="s">
        <v>5604</v>
      </c>
      <c r="J1944" s="7">
        <v>1</v>
      </c>
      <c r="K1944" s="70" t="s">
        <v>53</v>
      </c>
      <c r="L1944" s="9">
        <v>1</v>
      </c>
      <c r="M1944" s="3">
        <v>1557</v>
      </c>
      <c r="N1944" s="6">
        <v>2008</v>
      </c>
      <c r="P1944" s="71"/>
      <c r="R1944" s="6">
        <v>2000</v>
      </c>
      <c r="S1944" s="3" t="s">
        <v>54</v>
      </c>
      <c r="T1944" s="72"/>
      <c r="U1944" s="73"/>
      <c r="W1944" s="2" t="s">
        <v>5605</v>
      </c>
      <c r="X1944" s="10" t="s">
        <v>56</v>
      </c>
      <c r="Y1944" s="10" t="s">
        <v>68</v>
      </c>
      <c r="Z1944" s="75"/>
      <c r="AA1944" s="76"/>
      <c r="AB1944" s="77">
        <v>41474</v>
      </c>
      <c r="AC1944" s="77">
        <v>41474</v>
      </c>
      <c r="AD1944" s="6"/>
      <c r="AE1944" s="7">
        <v>2012</v>
      </c>
      <c r="AF1944" s="7">
        <v>70</v>
      </c>
      <c r="AG1944" s="7">
        <v>2013</v>
      </c>
      <c r="AH1944" s="7">
        <v>2010</v>
      </c>
      <c r="AI1944" s="7"/>
      <c r="AJ1944" s="73"/>
      <c r="AK1944" s="7"/>
      <c r="AL1944" s="75"/>
      <c r="AM1944" s="2" t="s">
        <v>53</v>
      </c>
      <c r="AN1944" s="6" t="s">
        <v>73</v>
      </c>
      <c r="AO1944" s="6" t="s">
        <v>53</v>
      </c>
      <c r="AP1944" s="6" t="s">
        <v>73</v>
      </c>
      <c r="AW1944" s="6">
        <f t="shared" ca="1" si="32"/>
        <v>17</v>
      </c>
    </row>
    <row r="1945" ht="45" customHeight="1" outlineLevel="1">
      <c r="A1945" s="69"/>
      <c r="B1945" s="3" t="s">
        <v>47</v>
      </c>
      <c r="C1945" s="4" t="s">
        <v>5606</v>
      </c>
      <c r="D1945" s="5" t="s">
        <v>5607</v>
      </c>
      <c r="E1945" s="2" t="s">
        <v>63</v>
      </c>
      <c r="F1945" s="6" t="s">
        <v>1480</v>
      </c>
      <c r="G1945" s="5" t="s">
        <v>1481</v>
      </c>
      <c r="H1945" s="2" t="s">
        <v>288</v>
      </c>
      <c r="I1945" s="3" t="s">
        <v>5608</v>
      </c>
      <c r="J1945" s="7">
        <v>1</v>
      </c>
      <c r="K1945" s="70" t="s">
        <v>53</v>
      </c>
      <c r="L1945" s="9">
        <v>1</v>
      </c>
      <c r="M1945" s="3">
        <v>1558</v>
      </c>
      <c r="N1945" s="6">
        <v>2008</v>
      </c>
      <c r="P1945" s="71"/>
      <c r="R1945" s="6">
        <v>2000</v>
      </c>
      <c r="S1945" s="3" t="s">
        <v>54</v>
      </c>
      <c r="T1945" s="72"/>
      <c r="U1945" s="73"/>
      <c r="W1945" s="2" t="s">
        <v>5609</v>
      </c>
      <c r="X1945" s="10" t="s">
        <v>56</v>
      </c>
      <c r="Y1945" s="10" t="s">
        <v>288</v>
      </c>
      <c r="Z1945" s="75"/>
      <c r="AA1945" s="76">
        <v>42321</v>
      </c>
      <c r="AB1945" s="77">
        <v>42321</v>
      </c>
      <c r="AC1945" s="77"/>
      <c r="AD1945" s="6"/>
      <c r="AE1945" s="7" t="s">
        <v>5610</v>
      </c>
      <c r="AF1945" s="7" t="s">
        <v>5611</v>
      </c>
      <c r="AG1945" s="7">
        <v>2015</v>
      </c>
      <c r="AH1945" s="7">
        <v>2010</v>
      </c>
      <c r="AI1945" s="7"/>
      <c r="AJ1945" s="73"/>
      <c r="AK1945" s="7"/>
      <c r="AL1945" s="75" t="s">
        <v>5612</v>
      </c>
      <c r="AM1945" s="2" t="s">
        <v>53</v>
      </c>
      <c r="AN1945" s="6" t="s">
        <v>73</v>
      </c>
      <c r="AO1945" s="6" t="s">
        <v>53</v>
      </c>
      <c r="AP1945" s="6" t="s">
        <v>73</v>
      </c>
      <c r="AQ1945" s="5" t="s">
        <v>73</v>
      </c>
      <c r="AS1945" s="6" t="s">
        <v>73</v>
      </c>
      <c r="AT1945" s="6">
        <v>2012</v>
      </c>
      <c r="AU1945" s="16" t="s">
        <v>5613</v>
      </c>
      <c r="AW1945" s="6">
        <f t="shared" ca="1" si="32"/>
        <v>17</v>
      </c>
    </row>
    <row r="1946" ht="45" hidden="1" customHeight="1" outlineLevel="1">
      <c r="A1946" s="69"/>
      <c r="B1946" s="3" t="s">
        <v>47</v>
      </c>
      <c r="C1946" s="4" t="s">
        <v>5614</v>
      </c>
      <c r="D1946" s="5" t="s">
        <v>5615</v>
      </c>
      <c r="E1946" s="2" t="s">
        <v>63</v>
      </c>
      <c r="F1946" s="6" t="s">
        <v>172</v>
      </c>
      <c r="G1946" s="5" t="s">
        <v>173</v>
      </c>
      <c r="H1946" s="2" t="s">
        <v>88</v>
      </c>
      <c r="I1946" s="3" t="s">
        <v>5616</v>
      </c>
      <c r="J1946" s="7">
        <v>1</v>
      </c>
      <c r="K1946" s="104"/>
      <c r="L1946" s="9">
        <v>1</v>
      </c>
      <c r="M1946" s="3">
        <v>1559</v>
      </c>
      <c r="N1946" s="6">
        <v>2008</v>
      </c>
      <c r="O1946" s="10">
        <v>39437</v>
      </c>
      <c r="P1946" s="71" t="s">
        <v>5617</v>
      </c>
      <c r="R1946" s="6">
        <v>2000</v>
      </c>
      <c r="S1946" s="3" t="s">
        <v>236</v>
      </c>
      <c r="T1946" s="72"/>
      <c r="U1946" s="173">
        <v>42059</v>
      </c>
      <c r="V1946" s="196"/>
      <c r="W1946" s="2" t="s">
        <v>62</v>
      </c>
      <c r="X1946" s="10" t="s">
        <v>91</v>
      </c>
      <c r="Y1946" s="10" t="s">
        <v>92</v>
      </c>
      <c r="Z1946" s="75"/>
      <c r="AA1946" s="76"/>
      <c r="AB1946" s="77"/>
      <c r="AC1946" s="77"/>
      <c r="AD1946" s="6"/>
      <c r="AI1946" s="7"/>
      <c r="AJ1946" s="95">
        <v>42059</v>
      </c>
      <c r="AK1946" s="7">
        <v>2010</v>
      </c>
      <c r="AW1946" s="6">
        <f t="shared" ca="1" si="32"/>
        <v>17</v>
      </c>
    </row>
    <row r="1947" ht="45" customHeight="1" outlineLevel="1">
      <c r="A1947" s="69">
        <v>44557</v>
      </c>
      <c r="B1947" s="3" t="s">
        <v>1743</v>
      </c>
      <c r="C1947" s="4" t="s">
        <v>5618</v>
      </c>
      <c r="D1947" s="5" t="s">
        <v>5619</v>
      </c>
      <c r="E1947" s="2" t="s">
        <v>63</v>
      </c>
      <c r="F1947" s="6" t="s">
        <v>898</v>
      </c>
      <c r="G1947" s="5" t="s">
        <v>899</v>
      </c>
      <c r="H1947" s="2" t="s">
        <v>51</v>
      </c>
      <c r="I1947" s="3" t="s">
        <v>5620</v>
      </c>
      <c r="J1947" s="7">
        <v>1</v>
      </c>
      <c r="K1947" s="70" t="s">
        <v>1978</v>
      </c>
      <c r="L1947" s="9">
        <v>1</v>
      </c>
      <c r="M1947" s="3">
        <v>1560</v>
      </c>
      <c r="N1947" s="6">
        <v>2008</v>
      </c>
      <c r="P1947" s="71" t="s">
        <v>5621</v>
      </c>
      <c r="Q1947" s="10">
        <v>39664</v>
      </c>
      <c r="R1947" s="6">
        <v>2000</v>
      </c>
      <c r="S1947" s="3" t="s">
        <v>1980</v>
      </c>
      <c r="T1947" s="72" t="s">
        <v>998</v>
      </c>
      <c r="U1947" s="73"/>
      <c r="V1947" s="12">
        <v>40620</v>
      </c>
      <c r="W1947" s="74" t="s">
        <v>5622</v>
      </c>
      <c r="X1947" s="10" t="s">
        <v>56</v>
      </c>
      <c r="Y1947" s="10" t="s">
        <v>57</v>
      </c>
      <c r="Z1947" s="75" t="s">
        <v>58</v>
      </c>
      <c r="AA1947" s="76"/>
      <c r="AB1947" s="77"/>
      <c r="AC1947" s="77"/>
      <c r="AD1947" s="6"/>
      <c r="AI1947" s="7"/>
      <c r="AJ1947" s="73"/>
      <c r="AK1947" s="7"/>
      <c r="AL1947" s="16"/>
      <c r="AM1947" s="2" t="s">
        <v>59</v>
      </c>
      <c r="AO1947" s="6" t="s">
        <v>53</v>
      </c>
      <c r="AP1947" s="6" t="s">
        <v>73</v>
      </c>
      <c r="AW1947" s="6">
        <f t="shared" ca="1" si="32"/>
        <v>17</v>
      </c>
    </row>
    <row r="1948" ht="45" customHeight="1" outlineLevel="1">
      <c r="A1948" s="69"/>
      <c r="B1948" s="3" t="s">
        <v>190</v>
      </c>
      <c r="C1948" s="4" t="s">
        <v>5623</v>
      </c>
      <c r="D1948" s="5" t="s">
        <v>5624</v>
      </c>
      <c r="E1948" s="2" t="s">
        <v>63</v>
      </c>
      <c r="F1948" s="6" t="s">
        <v>898</v>
      </c>
      <c r="G1948" s="5" t="s">
        <v>5625</v>
      </c>
      <c r="H1948" s="2" t="s">
        <v>57</v>
      </c>
      <c r="I1948" s="3" t="s">
        <v>5626</v>
      </c>
      <c r="J1948" s="7">
        <v>1</v>
      </c>
      <c r="K1948" s="70" t="s">
        <v>53</v>
      </c>
      <c r="L1948" s="9">
        <v>1</v>
      </c>
      <c r="M1948" s="3">
        <v>1561</v>
      </c>
      <c r="N1948" s="6">
        <v>2008</v>
      </c>
      <c r="P1948" s="71"/>
      <c r="R1948" s="6">
        <v>2000</v>
      </c>
      <c r="S1948" s="3" t="s">
        <v>54</v>
      </c>
      <c r="T1948" s="72"/>
      <c r="U1948" s="73"/>
      <c r="W1948" s="74" t="s">
        <v>5627</v>
      </c>
      <c r="X1948" s="10" t="s">
        <v>56</v>
      </c>
      <c r="Y1948" s="10" t="s">
        <v>57</v>
      </c>
      <c r="Z1948" s="75"/>
      <c r="AA1948" s="76"/>
      <c r="AB1948" s="77" t="s">
        <v>5628</v>
      </c>
      <c r="AC1948" s="77"/>
      <c r="AD1948" s="6"/>
      <c r="AE1948" s="7">
        <v>2014</v>
      </c>
      <c r="AF1948" s="7">
        <v>75</v>
      </c>
      <c r="AG1948" s="7">
        <v>2015</v>
      </c>
      <c r="AI1948" s="7"/>
      <c r="AJ1948" s="73"/>
      <c r="AK1948" s="7"/>
      <c r="AL1948" s="102" t="s">
        <v>5629</v>
      </c>
      <c r="AM1948" s="2" t="s">
        <v>53</v>
      </c>
      <c r="AN1948" s="6" t="s">
        <v>73</v>
      </c>
      <c r="AO1948" s="6" t="s">
        <v>53</v>
      </c>
      <c r="AP1948" s="6" t="s">
        <v>73</v>
      </c>
      <c r="AW1948" s="6">
        <f t="shared" ca="1" si="32"/>
        <v>17</v>
      </c>
    </row>
    <row r="1949" ht="45" customHeight="1" outlineLevel="1">
      <c r="A1949" s="69"/>
      <c r="B1949" s="3" t="s">
        <v>190</v>
      </c>
      <c r="C1949" s="4" t="s">
        <v>5623</v>
      </c>
      <c r="D1949" s="5" t="s">
        <v>5624</v>
      </c>
      <c r="E1949" s="78" t="s">
        <v>63</v>
      </c>
      <c r="F1949" s="79" t="s">
        <v>898</v>
      </c>
      <c r="G1949" s="80" t="s">
        <v>3377</v>
      </c>
      <c r="H1949" s="78" t="s">
        <v>68</v>
      </c>
      <c r="I1949" s="81" t="s">
        <v>5630</v>
      </c>
      <c r="J1949" s="7">
        <v>1</v>
      </c>
      <c r="K1949" s="70" t="s">
        <v>53</v>
      </c>
      <c r="L1949" s="9">
        <v>0</v>
      </c>
      <c r="M1949" s="3">
        <v>1561</v>
      </c>
      <c r="N1949" s="6">
        <v>2008</v>
      </c>
      <c r="P1949" s="71"/>
      <c r="R1949" s="6">
        <v>2000</v>
      </c>
      <c r="S1949" s="3" t="s">
        <v>54</v>
      </c>
      <c r="T1949" s="72"/>
      <c r="U1949" s="73"/>
      <c r="W1949" s="180" t="s">
        <v>3379</v>
      </c>
      <c r="X1949" s="82" t="s">
        <v>56</v>
      </c>
      <c r="Y1949" s="82" t="s">
        <v>57</v>
      </c>
      <c r="Z1949" s="83"/>
      <c r="AA1949" s="76"/>
      <c r="AB1949" s="77" t="s">
        <v>5628</v>
      </c>
      <c r="AC1949" s="77"/>
      <c r="AD1949" s="6"/>
      <c r="AE1949" s="7">
        <v>2014</v>
      </c>
      <c r="AF1949" s="7">
        <v>75</v>
      </c>
      <c r="AG1949" s="7">
        <v>2015</v>
      </c>
      <c r="AI1949" s="7"/>
      <c r="AJ1949" s="73"/>
      <c r="AK1949" s="7"/>
      <c r="AL1949" s="102" t="s">
        <v>5629</v>
      </c>
      <c r="AM1949" s="2" t="s">
        <v>53</v>
      </c>
      <c r="AN1949" s="6" t="s">
        <v>73</v>
      </c>
      <c r="AO1949" s="6" t="s">
        <v>53</v>
      </c>
      <c r="AP1949" s="6" t="s">
        <v>73</v>
      </c>
      <c r="AW1949" s="6">
        <f t="shared" ca="1" si="32"/>
        <v>17</v>
      </c>
    </row>
    <row r="1950" ht="45" customHeight="1" outlineLevel="1">
      <c r="A1950" s="69"/>
      <c r="B1950" s="3" t="s">
        <v>47</v>
      </c>
      <c r="D1950" s="5" t="s">
        <v>5631</v>
      </c>
      <c r="E1950" s="2" t="s">
        <v>63</v>
      </c>
      <c r="F1950" s="6" t="s">
        <v>898</v>
      </c>
      <c r="G1950" s="5" t="s">
        <v>1025</v>
      </c>
      <c r="H1950" s="2" t="s">
        <v>288</v>
      </c>
      <c r="I1950" s="3" t="s">
        <v>5632</v>
      </c>
      <c r="J1950" s="7">
        <v>1</v>
      </c>
      <c r="K1950" s="70" t="s">
        <v>53</v>
      </c>
      <c r="L1950" s="9">
        <v>1</v>
      </c>
      <c r="M1950" s="3">
        <v>1562</v>
      </c>
      <c r="N1950" s="6">
        <v>2008</v>
      </c>
      <c r="P1950" s="71"/>
      <c r="R1950" s="6">
        <v>2000</v>
      </c>
      <c r="S1950" s="3" t="s">
        <v>54</v>
      </c>
      <c r="T1950" s="72"/>
      <c r="U1950" s="73"/>
      <c r="W1950" s="2" t="s">
        <v>5633</v>
      </c>
      <c r="X1950" s="10" t="s">
        <v>56</v>
      </c>
      <c r="Y1950" s="10" t="s">
        <v>288</v>
      </c>
      <c r="Z1950" s="75"/>
      <c r="AA1950" s="76">
        <v>41495</v>
      </c>
      <c r="AB1950" s="77">
        <v>41495</v>
      </c>
      <c r="AC1950" s="77"/>
      <c r="AD1950" s="10"/>
      <c r="AE1950" s="7">
        <v>2012</v>
      </c>
      <c r="AF1950" s="7">
        <v>69</v>
      </c>
      <c r="AG1950" s="7">
        <v>2013</v>
      </c>
      <c r="AH1950" s="7">
        <v>2010</v>
      </c>
      <c r="AI1950" s="7"/>
      <c r="AJ1950" s="73"/>
      <c r="AK1950" s="7"/>
      <c r="AL1950" s="102" t="s">
        <v>5634</v>
      </c>
      <c r="AM1950" s="2" t="s">
        <v>53</v>
      </c>
      <c r="AN1950" s="6" t="s">
        <v>73</v>
      </c>
      <c r="AO1950" s="6" t="s">
        <v>53</v>
      </c>
      <c r="AP1950" s="6" t="s">
        <v>73</v>
      </c>
      <c r="AR1950" s="2" t="s">
        <v>104</v>
      </c>
      <c r="AS1950" s="6" t="s">
        <v>73</v>
      </c>
      <c r="AT1950" s="6" t="s">
        <v>5635</v>
      </c>
      <c r="AU1950" s="16" t="s">
        <v>5595</v>
      </c>
      <c r="AW1950" s="6">
        <f t="shared" ca="1" si="32"/>
        <v>17</v>
      </c>
    </row>
    <row r="1951" ht="45" customHeight="1" outlineLevel="1">
      <c r="A1951" s="69"/>
      <c r="B1951" s="3" t="s">
        <v>47</v>
      </c>
      <c r="D1951" s="5" t="s">
        <v>5636</v>
      </c>
      <c r="E1951" s="2" t="s">
        <v>63</v>
      </c>
      <c r="F1951" s="6" t="s">
        <v>64</v>
      </c>
      <c r="G1951" s="5" t="s">
        <v>69</v>
      </c>
      <c r="H1951" s="2" t="s">
        <v>501</v>
      </c>
      <c r="I1951" s="3" t="s">
        <v>5637</v>
      </c>
      <c r="J1951" s="7">
        <v>1</v>
      </c>
      <c r="K1951" s="70" t="s">
        <v>53</v>
      </c>
      <c r="L1951" s="9">
        <v>1</v>
      </c>
      <c r="M1951" s="3">
        <v>1563</v>
      </c>
      <c r="N1951" s="6">
        <v>2008</v>
      </c>
      <c r="O1951" s="10">
        <v>39561</v>
      </c>
      <c r="P1951" s="71" t="s">
        <v>5638</v>
      </c>
      <c r="Q1951" s="10">
        <v>39617</v>
      </c>
      <c r="R1951" s="6">
        <v>2000</v>
      </c>
      <c r="S1951" s="3" t="s">
        <v>54</v>
      </c>
      <c r="T1951" s="72"/>
      <c r="U1951" s="73"/>
      <c r="W1951" s="2" t="s">
        <v>5639</v>
      </c>
      <c r="X1951" s="10" t="s">
        <v>504</v>
      </c>
      <c r="Y1951" s="10" t="s">
        <v>501</v>
      </c>
      <c r="Z1951" s="75"/>
      <c r="AA1951" s="76" t="s">
        <v>208</v>
      </c>
      <c r="AB1951" s="77" t="s">
        <v>208</v>
      </c>
      <c r="AC1951" s="77" t="s">
        <v>208</v>
      </c>
      <c r="AD1951" s="10"/>
      <c r="AE1951" s="7">
        <v>2015</v>
      </c>
      <c r="AF1951" s="7">
        <v>79</v>
      </c>
      <c r="AI1951" s="7"/>
      <c r="AJ1951" s="73"/>
      <c r="AK1951" s="7"/>
      <c r="AL1951" s="16" t="s">
        <v>5640</v>
      </c>
      <c r="AM1951" s="2" t="s">
        <v>48</v>
      </c>
      <c r="AN1951" s="6" t="s">
        <v>73</v>
      </c>
      <c r="AO1951" s="6" t="s">
        <v>48</v>
      </c>
      <c r="AP1951" s="6" t="s">
        <v>73</v>
      </c>
      <c r="AQ1951" s="5" t="s">
        <v>73</v>
      </c>
      <c r="AW1951" s="6">
        <f t="shared" ca="1" si="32"/>
        <v>17</v>
      </c>
    </row>
    <row r="1952" ht="45" customHeight="1" outlineLevel="1">
      <c r="A1952" s="69"/>
      <c r="B1952" s="3" t="s">
        <v>47</v>
      </c>
      <c r="D1952" s="5" t="s">
        <v>5641</v>
      </c>
      <c r="E1952" s="2" t="s">
        <v>63</v>
      </c>
      <c r="F1952" s="6" t="s">
        <v>64</v>
      </c>
      <c r="G1952" s="5" t="s">
        <v>69</v>
      </c>
      <c r="H1952" s="2" t="s">
        <v>501</v>
      </c>
      <c r="I1952" s="3" t="s">
        <v>5642</v>
      </c>
      <c r="J1952" s="7">
        <v>1</v>
      </c>
      <c r="K1952" s="70" t="s">
        <v>53</v>
      </c>
      <c r="L1952" s="9">
        <v>0</v>
      </c>
      <c r="M1952" s="3">
        <v>1563</v>
      </c>
      <c r="N1952" s="6">
        <v>2008</v>
      </c>
      <c r="O1952" s="10">
        <v>39562</v>
      </c>
      <c r="P1952" s="71" t="s">
        <v>5638</v>
      </c>
      <c r="Q1952" s="10">
        <v>39618</v>
      </c>
      <c r="R1952" s="6">
        <v>2000</v>
      </c>
      <c r="S1952" s="3" t="s">
        <v>54</v>
      </c>
      <c r="T1952" s="72"/>
      <c r="U1952" s="73"/>
      <c r="W1952" s="2" t="s">
        <v>5643</v>
      </c>
      <c r="X1952" s="10" t="s">
        <v>504</v>
      </c>
      <c r="Y1952" s="10" t="s">
        <v>501</v>
      </c>
      <c r="Z1952" s="75"/>
      <c r="AA1952" s="76" t="s">
        <v>208</v>
      </c>
      <c r="AB1952" s="77" t="s">
        <v>208</v>
      </c>
      <c r="AC1952" s="77" t="s">
        <v>208</v>
      </c>
      <c r="AD1952" s="10"/>
      <c r="AE1952" s="7">
        <v>2015</v>
      </c>
      <c r="AF1952" s="7">
        <v>79</v>
      </c>
      <c r="AI1952" s="7"/>
      <c r="AJ1952" s="73"/>
      <c r="AK1952" s="7"/>
      <c r="AL1952" s="16" t="s">
        <v>5644</v>
      </c>
      <c r="AM1952" s="2" t="s">
        <v>48</v>
      </c>
      <c r="AN1952" s="6" t="s">
        <v>73</v>
      </c>
      <c r="AO1952" s="6" t="s">
        <v>48</v>
      </c>
      <c r="AP1952" s="6" t="s">
        <v>73</v>
      </c>
      <c r="AQ1952" s="5" t="s">
        <v>73</v>
      </c>
      <c r="AW1952" s="6">
        <f t="shared" ca="1" si="32"/>
        <v>17</v>
      </c>
    </row>
    <row r="1953" ht="45" customHeight="1" outlineLevel="1">
      <c r="A1953" s="69"/>
      <c r="B1953" s="3" t="s">
        <v>47</v>
      </c>
      <c r="D1953" s="5" t="s">
        <v>5645</v>
      </c>
      <c r="E1953" s="2" t="s">
        <v>63</v>
      </c>
      <c r="F1953" s="6" t="s">
        <v>64</v>
      </c>
      <c r="G1953" s="5" t="s">
        <v>69</v>
      </c>
      <c r="H1953" s="2" t="s">
        <v>501</v>
      </c>
      <c r="I1953" s="3" t="s">
        <v>5646</v>
      </c>
      <c r="J1953" s="7">
        <v>1</v>
      </c>
      <c r="K1953" s="70" t="s">
        <v>53</v>
      </c>
      <c r="L1953" s="9">
        <v>0</v>
      </c>
      <c r="M1953" s="3">
        <v>1563</v>
      </c>
      <c r="N1953" s="6">
        <v>2008</v>
      </c>
      <c r="O1953" s="10">
        <v>39563</v>
      </c>
      <c r="P1953" s="71" t="s">
        <v>5638</v>
      </c>
      <c r="Q1953" s="10">
        <v>39619</v>
      </c>
      <c r="R1953" s="6">
        <v>2000</v>
      </c>
      <c r="S1953" s="3" t="s">
        <v>54</v>
      </c>
      <c r="T1953" s="72"/>
      <c r="U1953" s="73"/>
      <c r="W1953" s="2" t="s">
        <v>5647</v>
      </c>
      <c r="X1953" s="10" t="s">
        <v>504</v>
      </c>
      <c r="Y1953" s="10" t="s">
        <v>501</v>
      </c>
      <c r="Z1953" s="75"/>
      <c r="AA1953" s="76" t="s">
        <v>208</v>
      </c>
      <c r="AB1953" s="77" t="s">
        <v>208</v>
      </c>
      <c r="AC1953" s="77" t="s">
        <v>208</v>
      </c>
      <c r="AD1953" s="10"/>
      <c r="AE1953" s="7">
        <v>2015</v>
      </c>
      <c r="AF1953" s="7">
        <v>79</v>
      </c>
      <c r="AI1953" s="7"/>
      <c r="AJ1953" s="73"/>
      <c r="AK1953" s="7"/>
      <c r="AL1953" s="16" t="s">
        <v>5648</v>
      </c>
      <c r="AM1953" s="2" t="s">
        <v>48</v>
      </c>
      <c r="AN1953" s="6" t="s">
        <v>73</v>
      </c>
      <c r="AO1953" s="6" t="s">
        <v>48</v>
      </c>
      <c r="AP1953" s="6" t="s">
        <v>73</v>
      </c>
      <c r="AQ1953" s="5" t="s">
        <v>73</v>
      </c>
      <c r="AW1953" s="6">
        <f t="shared" ca="1" si="32"/>
        <v>17</v>
      </c>
    </row>
    <row r="1954" ht="45" customHeight="1" outlineLevel="1">
      <c r="A1954" s="69"/>
      <c r="B1954" s="3" t="s">
        <v>47</v>
      </c>
      <c r="D1954" s="5" t="s">
        <v>5649</v>
      </c>
      <c r="E1954" s="2" t="s">
        <v>63</v>
      </c>
      <c r="F1954" s="6" t="s">
        <v>64</v>
      </c>
      <c r="G1954" s="5" t="s">
        <v>69</v>
      </c>
      <c r="H1954" s="2" t="s">
        <v>501</v>
      </c>
      <c r="I1954" s="3" t="s">
        <v>5650</v>
      </c>
      <c r="J1954" s="7">
        <v>1</v>
      </c>
      <c r="K1954" s="70" t="s">
        <v>53</v>
      </c>
      <c r="L1954" s="9">
        <v>0</v>
      </c>
      <c r="M1954" s="3">
        <v>1563</v>
      </c>
      <c r="N1954" s="6">
        <v>2008</v>
      </c>
      <c r="O1954" s="10">
        <v>39564</v>
      </c>
      <c r="P1954" s="71" t="s">
        <v>5638</v>
      </c>
      <c r="Q1954" s="10">
        <v>39620</v>
      </c>
      <c r="R1954" s="6">
        <v>2000</v>
      </c>
      <c r="S1954" s="3" t="s">
        <v>54</v>
      </c>
      <c r="T1954" s="72"/>
      <c r="U1954" s="73"/>
      <c r="W1954" s="2" t="s">
        <v>5651</v>
      </c>
      <c r="X1954" s="10" t="s">
        <v>504</v>
      </c>
      <c r="Y1954" s="10" t="s">
        <v>501</v>
      </c>
      <c r="Z1954" s="75"/>
      <c r="AA1954" s="76" t="s">
        <v>208</v>
      </c>
      <c r="AB1954" s="77" t="s">
        <v>208</v>
      </c>
      <c r="AC1954" s="77" t="s">
        <v>208</v>
      </c>
      <c r="AD1954" s="10"/>
      <c r="AE1954" s="7">
        <v>2015</v>
      </c>
      <c r="AF1954" s="7">
        <v>79</v>
      </c>
      <c r="AI1954" s="7"/>
      <c r="AJ1954" s="73"/>
      <c r="AK1954" s="7"/>
      <c r="AL1954" s="16" t="s">
        <v>5652</v>
      </c>
      <c r="AM1954" s="2" t="s">
        <v>48</v>
      </c>
      <c r="AN1954" s="6" t="s">
        <v>73</v>
      </c>
      <c r="AO1954" s="6" t="s">
        <v>48</v>
      </c>
      <c r="AP1954" s="6" t="s">
        <v>73</v>
      </c>
      <c r="AQ1954" s="5" t="s">
        <v>73</v>
      </c>
      <c r="AW1954" s="6">
        <f t="shared" ca="1" si="32"/>
        <v>17</v>
      </c>
    </row>
    <row r="1955" ht="45" customHeight="1" outlineLevel="1">
      <c r="A1955" s="69"/>
      <c r="B1955" s="3" t="s">
        <v>47</v>
      </c>
      <c r="D1955" s="5" t="s">
        <v>5653</v>
      </c>
      <c r="E1955" s="2" t="s">
        <v>63</v>
      </c>
      <c r="F1955" s="6" t="s">
        <v>64</v>
      </c>
      <c r="G1955" s="5" t="s">
        <v>69</v>
      </c>
      <c r="H1955" s="2" t="s">
        <v>501</v>
      </c>
      <c r="I1955" s="3" t="s">
        <v>5654</v>
      </c>
      <c r="J1955" s="7">
        <v>1</v>
      </c>
      <c r="K1955" s="70" t="s">
        <v>53</v>
      </c>
      <c r="L1955" s="9">
        <v>0</v>
      </c>
      <c r="M1955" s="3">
        <v>1563</v>
      </c>
      <c r="N1955" s="6">
        <v>2008</v>
      </c>
      <c r="O1955" s="10">
        <v>39565</v>
      </c>
      <c r="P1955" s="71" t="s">
        <v>5638</v>
      </c>
      <c r="Q1955" s="10">
        <v>39621</v>
      </c>
      <c r="R1955" s="6">
        <v>2000</v>
      </c>
      <c r="S1955" s="3" t="s">
        <v>54</v>
      </c>
      <c r="T1955" s="72"/>
      <c r="U1955" s="73"/>
      <c r="W1955" s="2" t="s">
        <v>5655</v>
      </c>
      <c r="X1955" s="10" t="s">
        <v>504</v>
      </c>
      <c r="Y1955" s="10" t="s">
        <v>501</v>
      </c>
      <c r="Z1955" s="75"/>
      <c r="AA1955" s="76" t="s">
        <v>208</v>
      </c>
      <c r="AB1955" s="77" t="s">
        <v>208</v>
      </c>
      <c r="AC1955" s="77" t="s">
        <v>208</v>
      </c>
      <c r="AD1955" s="10"/>
      <c r="AE1955" s="7">
        <v>2015</v>
      </c>
      <c r="AF1955" s="7">
        <v>79</v>
      </c>
      <c r="AI1955" s="7"/>
      <c r="AJ1955" s="73"/>
      <c r="AK1955" s="7"/>
      <c r="AL1955" s="16" t="s">
        <v>5656</v>
      </c>
      <c r="AM1955" s="2" t="s">
        <v>48</v>
      </c>
      <c r="AN1955" s="6" t="s">
        <v>73</v>
      </c>
      <c r="AO1955" s="6" t="s">
        <v>48</v>
      </c>
      <c r="AP1955" s="6" t="s">
        <v>73</v>
      </c>
      <c r="AQ1955" s="5" t="s">
        <v>73</v>
      </c>
      <c r="AW1955" s="6">
        <f t="shared" ca="1" si="32"/>
        <v>17</v>
      </c>
    </row>
    <row r="1956" ht="45" customHeight="1" outlineLevel="1">
      <c r="A1956" s="69"/>
      <c r="B1956" s="3" t="s">
        <v>47</v>
      </c>
      <c r="D1956" s="5" t="s">
        <v>5657</v>
      </c>
      <c r="E1956" s="2" t="s">
        <v>63</v>
      </c>
      <c r="F1956" s="6" t="s">
        <v>64</v>
      </c>
      <c r="G1956" s="5" t="s">
        <v>69</v>
      </c>
      <c r="H1956" s="2" t="s">
        <v>501</v>
      </c>
      <c r="I1956" s="3" t="s">
        <v>5658</v>
      </c>
      <c r="J1956" s="7">
        <v>1</v>
      </c>
      <c r="K1956" s="70" t="s">
        <v>53</v>
      </c>
      <c r="L1956" s="9">
        <v>0</v>
      </c>
      <c r="M1956" s="3">
        <v>1563</v>
      </c>
      <c r="N1956" s="6">
        <v>2008</v>
      </c>
      <c r="O1956" s="10">
        <v>39566</v>
      </c>
      <c r="P1956" s="71" t="s">
        <v>5638</v>
      </c>
      <c r="Q1956" s="10">
        <v>39622</v>
      </c>
      <c r="R1956" s="6">
        <v>2000</v>
      </c>
      <c r="S1956" s="3" t="s">
        <v>54</v>
      </c>
      <c r="T1956" s="72"/>
      <c r="U1956" s="73"/>
      <c r="W1956" s="2" t="s">
        <v>5659</v>
      </c>
      <c r="X1956" s="10" t="s">
        <v>504</v>
      </c>
      <c r="Y1956" s="10" t="s">
        <v>501</v>
      </c>
      <c r="Z1956" s="75"/>
      <c r="AA1956" s="76" t="s">
        <v>208</v>
      </c>
      <c r="AB1956" s="77" t="s">
        <v>208</v>
      </c>
      <c r="AC1956" s="77" t="s">
        <v>208</v>
      </c>
      <c r="AD1956" s="10"/>
      <c r="AE1956" s="7">
        <v>2015</v>
      </c>
      <c r="AF1956" s="7">
        <v>79</v>
      </c>
      <c r="AI1956" s="7"/>
      <c r="AJ1956" s="73"/>
      <c r="AK1956" s="7"/>
      <c r="AL1956" s="16" t="s">
        <v>5660</v>
      </c>
      <c r="AM1956" s="2" t="s">
        <v>48</v>
      </c>
      <c r="AN1956" s="6" t="s">
        <v>73</v>
      </c>
      <c r="AO1956" s="6" t="s">
        <v>48</v>
      </c>
      <c r="AP1956" s="6" t="s">
        <v>73</v>
      </c>
      <c r="AQ1956" s="5" t="s">
        <v>73</v>
      </c>
      <c r="AW1956" s="6">
        <f t="shared" ca="1" si="32"/>
        <v>17</v>
      </c>
    </row>
    <row r="1957" ht="45" hidden="1" customHeight="1" outlineLevel="1">
      <c r="A1957" s="69"/>
      <c r="B1957" s="3" t="s">
        <v>190</v>
      </c>
      <c r="C1957" s="4" t="s">
        <v>5661</v>
      </c>
      <c r="D1957" s="5" t="s">
        <v>5662</v>
      </c>
      <c r="E1957" s="2" t="s">
        <v>48</v>
      </c>
      <c r="F1957" s="6" t="s">
        <v>49</v>
      </c>
      <c r="G1957" s="5" t="s">
        <v>3157</v>
      </c>
      <c r="H1957" s="2" t="s">
        <v>508</v>
      </c>
      <c r="I1957" s="3" t="s">
        <v>5663</v>
      </c>
      <c r="J1957" s="7">
        <v>1</v>
      </c>
      <c r="K1957" s="104"/>
      <c r="L1957" s="9">
        <v>1</v>
      </c>
      <c r="M1957" s="3">
        <v>1564</v>
      </c>
      <c r="N1957" s="6">
        <v>2008</v>
      </c>
      <c r="P1957" s="71"/>
      <c r="R1957" s="6">
        <v>2000</v>
      </c>
      <c r="S1957" s="3" t="s">
        <v>283</v>
      </c>
      <c r="T1957" s="72"/>
      <c r="U1957" s="73"/>
      <c r="W1957" s="74" t="s">
        <v>62</v>
      </c>
      <c r="X1957" s="10" t="s">
        <v>504</v>
      </c>
      <c r="Y1957" s="10" t="s">
        <v>511</v>
      </c>
      <c r="Z1957" s="75"/>
      <c r="AA1957" s="76"/>
      <c r="AB1957" s="77"/>
      <c r="AC1957" s="77"/>
      <c r="AD1957" s="6"/>
      <c r="AI1957" s="7"/>
      <c r="AJ1957" s="73"/>
      <c r="AK1957" s="7"/>
      <c r="AL1957" s="16"/>
      <c r="AW1957" s="6">
        <f t="shared" ca="1" si="32"/>
        <v>17</v>
      </c>
    </row>
    <row r="1958" ht="45" customHeight="1" outlineLevel="1">
      <c r="A1958" s="69"/>
      <c r="B1958" s="3" t="s">
        <v>47</v>
      </c>
      <c r="D1958" s="5" t="s">
        <v>5664</v>
      </c>
      <c r="E1958" s="2" t="s">
        <v>83</v>
      </c>
      <c r="F1958" s="6" t="s">
        <v>704</v>
      </c>
      <c r="G1958" s="5" t="s">
        <v>4380</v>
      </c>
      <c r="H1958" s="2" t="s">
        <v>257</v>
      </c>
      <c r="I1958" s="3" t="s">
        <v>5665</v>
      </c>
      <c r="J1958" s="7">
        <v>1</v>
      </c>
      <c r="K1958" s="70" t="s">
        <v>53</v>
      </c>
      <c r="L1958" s="9">
        <v>1</v>
      </c>
      <c r="M1958" s="3">
        <v>1565</v>
      </c>
      <c r="N1958" s="6">
        <v>2008</v>
      </c>
      <c r="P1958" s="71"/>
      <c r="R1958" s="6">
        <v>2000</v>
      </c>
      <c r="S1958" s="3" t="s">
        <v>54</v>
      </c>
      <c r="T1958" s="72"/>
      <c r="U1958" s="73"/>
      <c r="W1958" s="2" t="s">
        <v>5666</v>
      </c>
      <c r="X1958" s="10" t="s">
        <v>56</v>
      </c>
      <c r="Y1958" s="10" t="s">
        <v>68</v>
      </c>
      <c r="Z1958" s="75" t="s">
        <v>260</v>
      </c>
      <c r="AA1958" s="76">
        <v>41358</v>
      </c>
      <c r="AB1958" s="77">
        <v>41358</v>
      </c>
      <c r="AC1958" s="77">
        <v>41358</v>
      </c>
      <c r="AD1958" s="6"/>
      <c r="AE1958" s="7">
        <v>2010</v>
      </c>
      <c r="AF1958" s="7">
        <v>64</v>
      </c>
      <c r="AG1958" s="7">
        <v>2013</v>
      </c>
      <c r="AH1958" s="7">
        <v>2010</v>
      </c>
      <c r="AI1958" s="7"/>
      <c r="AJ1958" s="73"/>
      <c r="AK1958" s="7"/>
      <c r="AL1958" s="99"/>
      <c r="AM1958" s="2" t="s">
        <v>53</v>
      </c>
      <c r="AN1958" s="6" t="s">
        <v>73</v>
      </c>
      <c r="AW1958" s="6">
        <f t="shared" ca="1" si="32"/>
        <v>17</v>
      </c>
    </row>
    <row r="1959" ht="45" customHeight="1" outlineLevel="1">
      <c r="A1959" s="69"/>
      <c r="B1959" s="3" t="s">
        <v>47</v>
      </c>
      <c r="D1959" s="5" t="s">
        <v>5664</v>
      </c>
      <c r="E1959" s="2" t="s">
        <v>83</v>
      </c>
      <c r="F1959" s="6" t="s">
        <v>704</v>
      </c>
      <c r="G1959" s="5" t="s">
        <v>5667</v>
      </c>
      <c r="H1959" s="2" t="s">
        <v>57</v>
      </c>
      <c r="I1959" s="3" t="s">
        <v>5668</v>
      </c>
      <c r="J1959" s="7">
        <v>1</v>
      </c>
      <c r="K1959" s="70" t="s">
        <v>53</v>
      </c>
      <c r="L1959" s="9">
        <v>0</v>
      </c>
      <c r="M1959" s="3">
        <v>1565</v>
      </c>
      <c r="N1959" s="6">
        <v>2008</v>
      </c>
      <c r="P1959" s="71"/>
      <c r="R1959" s="6">
        <v>2000</v>
      </c>
      <c r="S1959" s="3" t="s">
        <v>54</v>
      </c>
      <c r="T1959" s="72"/>
      <c r="U1959" s="73"/>
      <c r="W1959" s="2" t="s">
        <v>5669</v>
      </c>
      <c r="X1959" s="10" t="s">
        <v>56</v>
      </c>
      <c r="Y1959" s="10" t="s">
        <v>57</v>
      </c>
      <c r="Z1959" s="75"/>
      <c r="AA1959" s="76">
        <v>41358</v>
      </c>
      <c r="AB1959" s="77">
        <v>41358</v>
      </c>
      <c r="AC1959" s="77">
        <v>41358</v>
      </c>
      <c r="AD1959" s="6"/>
      <c r="AE1959" s="7">
        <v>2010</v>
      </c>
      <c r="AF1959" s="7">
        <v>64</v>
      </c>
      <c r="AG1959" s="7">
        <v>2013</v>
      </c>
      <c r="AH1959" s="7">
        <v>2010</v>
      </c>
      <c r="AI1959" s="7"/>
      <c r="AJ1959" s="73"/>
      <c r="AK1959" s="7"/>
      <c r="AL1959" s="99"/>
      <c r="AM1959" s="2" t="s">
        <v>59</v>
      </c>
      <c r="AW1959" s="6">
        <f t="shared" ref="AW1959:AW2022" ca="1" si="33">IF(N1959&lt;&gt;0,(YEAR(TODAY())-N1959),(""))</f>
        <v>17</v>
      </c>
    </row>
    <row r="1960" ht="45" customHeight="1" outlineLevel="1">
      <c r="A1960" s="69"/>
      <c r="B1960" s="3" t="s">
        <v>47</v>
      </c>
      <c r="D1960" s="5" t="s">
        <v>5664</v>
      </c>
      <c r="E1960" s="2" t="s">
        <v>83</v>
      </c>
      <c r="F1960" s="6" t="s">
        <v>704</v>
      </c>
      <c r="G1960" s="5" t="s">
        <v>5667</v>
      </c>
      <c r="H1960" s="2" t="s">
        <v>57</v>
      </c>
      <c r="I1960" s="3" t="s">
        <v>5670</v>
      </c>
      <c r="J1960" s="7">
        <v>1</v>
      </c>
      <c r="K1960" s="70" t="s">
        <v>53</v>
      </c>
      <c r="L1960" s="9">
        <v>0</v>
      </c>
      <c r="M1960" s="3">
        <v>1565</v>
      </c>
      <c r="N1960" s="6">
        <v>2008</v>
      </c>
      <c r="P1960" s="71"/>
      <c r="R1960" s="6">
        <v>2000</v>
      </c>
      <c r="S1960" s="3" t="s">
        <v>54</v>
      </c>
      <c r="T1960" s="72"/>
      <c r="U1960" s="73"/>
      <c r="W1960" s="2" t="s">
        <v>5671</v>
      </c>
      <c r="X1960" s="10" t="s">
        <v>56</v>
      </c>
      <c r="Y1960" s="10" t="s">
        <v>57</v>
      </c>
      <c r="Z1960" s="75"/>
      <c r="AA1960" s="76">
        <v>41358</v>
      </c>
      <c r="AB1960" s="77">
        <v>41358</v>
      </c>
      <c r="AC1960" s="77">
        <v>41358</v>
      </c>
      <c r="AD1960" s="6"/>
      <c r="AE1960" s="7">
        <v>2010</v>
      </c>
      <c r="AF1960" s="7">
        <v>64</v>
      </c>
      <c r="AG1960" s="7">
        <v>2013</v>
      </c>
      <c r="AH1960" s="7">
        <v>2010</v>
      </c>
      <c r="AI1960" s="7"/>
      <c r="AJ1960" s="73"/>
      <c r="AK1960" s="7"/>
      <c r="AL1960" s="99"/>
      <c r="AM1960" s="2" t="s">
        <v>59</v>
      </c>
      <c r="AW1960" s="6">
        <f t="shared" ca="1" si="33"/>
        <v>17</v>
      </c>
    </row>
    <row r="1961" ht="45" customHeight="1">
      <c r="A1961" s="69"/>
      <c r="B1961" s="3" t="s">
        <v>47</v>
      </c>
      <c r="D1961" s="5" t="s">
        <v>5664</v>
      </c>
      <c r="E1961" s="2" t="s">
        <v>83</v>
      </c>
      <c r="F1961" s="6" t="s">
        <v>704</v>
      </c>
      <c r="G1961" s="5" t="s">
        <v>5667</v>
      </c>
      <c r="H1961" s="2" t="s">
        <v>257</v>
      </c>
      <c r="I1961" s="3" t="s">
        <v>5672</v>
      </c>
      <c r="J1961" s="7">
        <v>1</v>
      </c>
      <c r="K1961" s="70" t="s">
        <v>53</v>
      </c>
      <c r="L1961" s="9">
        <v>0</v>
      </c>
      <c r="M1961" s="3">
        <v>1565</v>
      </c>
      <c r="N1961" s="6">
        <v>2008</v>
      </c>
      <c r="P1961" s="71"/>
      <c r="R1961" s="6">
        <v>2000</v>
      </c>
      <c r="S1961" s="3" t="s">
        <v>54</v>
      </c>
      <c r="T1961" s="72"/>
      <c r="U1961" s="73"/>
      <c r="W1961" s="2" t="s">
        <v>5673</v>
      </c>
      <c r="X1961" s="10" t="s">
        <v>56</v>
      </c>
      <c r="Y1961" s="10" t="s">
        <v>68</v>
      </c>
      <c r="Z1961" s="75"/>
      <c r="AA1961" s="76">
        <v>41358</v>
      </c>
      <c r="AB1961" s="77">
        <v>41358</v>
      </c>
      <c r="AC1961" s="77">
        <v>41358</v>
      </c>
      <c r="AD1961" s="6"/>
      <c r="AE1961" s="7">
        <v>2010</v>
      </c>
      <c r="AF1961" s="7">
        <v>64</v>
      </c>
      <c r="AG1961" s="7">
        <v>2013</v>
      </c>
      <c r="AH1961" s="7">
        <v>2010</v>
      </c>
      <c r="AI1961" s="7"/>
      <c r="AJ1961" s="73"/>
      <c r="AK1961" s="7"/>
      <c r="AL1961" s="99"/>
      <c r="AW1961" s="6">
        <f t="shared" ca="1" si="33"/>
        <v>17</v>
      </c>
    </row>
    <row r="1962" ht="45" customHeight="1">
      <c r="A1962" s="69"/>
      <c r="B1962" s="3" t="s">
        <v>47</v>
      </c>
      <c r="D1962" s="5" t="s">
        <v>5664</v>
      </c>
      <c r="E1962" s="2" t="s">
        <v>83</v>
      </c>
      <c r="F1962" s="6" t="s">
        <v>704</v>
      </c>
      <c r="G1962" s="5" t="s">
        <v>5667</v>
      </c>
      <c r="H1962" s="2" t="s">
        <v>57</v>
      </c>
      <c r="I1962" s="3" t="s">
        <v>5674</v>
      </c>
      <c r="J1962" s="7">
        <v>1</v>
      </c>
      <c r="K1962" s="70" t="s">
        <v>53</v>
      </c>
      <c r="L1962" s="9">
        <v>0</v>
      </c>
      <c r="M1962" s="3">
        <v>1565</v>
      </c>
      <c r="N1962" s="6">
        <v>2008</v>
      </c>
      <c r="P1962" s="71"/>
      <c r="R1962" s="6">
        <v>2000</v>
      </c>
      <c r="S1962" s="3" t="s">
        <v>54</v>
      </c>
      <c r="T1962" s="72"/>
      <c r="U1962" s="73"/>
      <c r="W1962" s="2" t="s">
        <v>5675</v>
      </c>
      <c r="X1962" s="10" t="s">
        <v>56</v>
      </c>
      <c r="Y1962" s="10" t="s">
        <v>57</v>
      </c>
      <c r="Z1962" s="75"/>
      <c r="AA1962" s="76">
        <v>41358</v>
      </c>
      <c r="AB1962" s="77">
        <v>41358</v>
      </c>
      <c r="AC1962" s="77">
        <v>41358</v>
      </c>
      <c r="AD1962" s="6"/>
      <c r="AE1962" s="7">
        <v>2010</v>
      </c>
      <c r="AF1962" s="7">
        <v>64</v>
      </c>
      <c r="AG1962" s="7">
        <v>2013</v>
      </c>
      <c r="AH1962" s="7">
        <v>2010</v>
      </c>
      <c r="AI1962" s="7"/>
      <c r="AJ1962" s="73"/>
      <c r="AK1962" s="7"/>
      <c r="AL1962" s="99"/>
      <c r="AM1962" s="2" t="s">
        <v>59</v>
      </c>
      <c r="AW1962" s="6">
        <f t="shared" ca="1" si="33"/>
        <v>17</v>
      </c>
    </row>
    <row r="1963" ht="45" customHeight="1">
      <c r="A1963" s="69"/>
      <c r="B1963" s="3" t="s">
        <v>47</v>
      </c>
      <c r="D1963" s="5" t="s">
        <v>5664</v>
      </c>
      <c r="E1963" s="2" t="s">
        <v>83</v>
      </c>
      <c r="F1963" s="6" t="s">
        <v>704</v>
      </c>
      <c r="G1963" s="5" t="s">
        <v>5667</v>
      </c>
      <c r="H1963" s="2" t="s">
        <v>57</v>
      </c>
      <c r="I1963" s="3" t="s">
        <v>5676</v>
      </c>
      <c r="J1963" s="7">
        <v>1</v>
      </c>
      <c r="K1963" s="70" t="s">
        <v>53</v>
      </c>
      <c r="L1963" s="9">
        <v>0</v>
      </c>
      <c r="M1963" s="3">
        <v>1565</v>
      </c>
      <c r="N1963" s="6">
        <v>2008</v>
      </c>
      <c r="P1963" s="71"/>
      <c r="R1963" s="6">
        <v>2000</v>
      </c>
      <c r="S1963" s="3" t="s">
        <v>54</v>
      </c>
      <c r="T1963" s="72"/>
      <c r="U1963" s="73"/>
      <c r="W1963" s="2" t="s">
        <v>5677</v>
      </c>
      <c r="X1963" s="10" t="s">
        <v>56</v>
      </c>
      <c r="Y1963" s="10" t="s">
        <v>57</v>
      </c>
      <c r="Z1963" s="75"/>
      <c r="AA1963" s="76">
        <v>41358</v>
      </c>
      <c r="AB1963" s="77">
        <v>41358</v>
      </c>
      <c r="AC1963" s="77">
        <v>41358</v>
      </c>
      <c r="AD1963" s="6"/>
      <c r="AE1963" s="7">
        <v>2010</v>
      </c>
      <c r="AF1963" s="7">
        <v>64</v>
      </c>
      <c r="AG1963" s="7">
        <v>2013</v>
      </c>
      <c r="AH1963" s="7">
        <v>2010</v>
      </c>
      <c r="AI1963" s="7"/>
      <c r="AJ1963" s="73"/>
      <c r="AK1963" s="7"/>
      <c r="AL1963" s="99"/>
      <c r="AM1963" s="2" t="s">
        <v>59</v>
      </c>
      <c r="AW1963" s="6">
        <f t="shared" ca="1" si="33"/>
        <v>17</v>
      </c>
    </row>
    <row r="1964" ht="45" customHeight="1">
      <c r="A1964" s="69"/>
      <c r="B1964" s="3" t="s">
        <v>47</v>
      </c>
      <c r="D1964" s="5" t="s">
        <v>5664</v>
      </c>
      <c r="E1964" s="2" t="s">
        <v>83</v>
      </c>
      <c r="F1964" s="6" t="s">
        <v>704</v>
      </c>
      <c r="G1964" s="5" t="s">
        <v>5667</v>
      </c>
      <c r="H1964" s="2" t="s">
        <v>57</v>
      </c>
      <c r="I1964" s="3" t="s">
        <v>5678</v>
      </c>
      <c r="J1964" s="7">
        <v>1</v>
      </c>
      <c r="K1964" s="70" t="s">
        <v>53</v>
      </c>
      <c r="L1964" s="9">
        <v>0</v>
      </c>
      <c r="M1964" s="3">
        <v>1565</v>
      </c>
      <c r="N1964" s="6">
        <v>2008</v>
      </c>
      <c r="P1964" s="71"/>
      <c r="R1964" s="6">
        <v>2000</v>
      </c>
      <c r="S1964" s="3" t="s">
        <v>54</v>
      </c>
      <c r="T1964" s="72"/>
      <c r="U1964" s="73"/>
      <c r="W1964" s="2" t="s">
        <v>5679</v>
      </c>
      <c r="X1964" s="10" t="s">
        <v>56</v>
      </c>
      <c r="Y1964" s="10" t="s">
        <v>57</v>
      </c>
      <c r="Z1964" s="75"/>
      <c r="AA1964" s="76">
        <v>41358</v>
      </c>
      <c r="AB1964" s="77">
        <v>41358</v>
      </c>
      <c r="AC1964" s="77">
        <v>41358</v>
      </c>
      <c r="AD1964" s="6"/>
      <c r="AE1964" s="7">
        <v>2010</v>
      </c>
      <c r="AF1964" s="7">
        <v>64</v>
      </c>
      <c r="AG1964" s="7">
        <v>2013</v>
      </c>
      <c r="AH1964" s="7">
        <v>2010</v>
      </c>
      <c r="AI1964" s="7"/>
      <c r="AJ1964" s="73"/>
      <c r="AK1964" s="7"/>
      <c r="AL1964" s="99"/>
      <c r="AM1964" s="2" t="s">
        <v>59</v>
      </c>
      <c r="AW1964" s="6">
        <f t="shared" ca="1" si="33"/>
        <v>17</v>
      </c>
    </row>
    <row r="1965" ht="45" customHeight="1">
      <c r="A1965" s="69"/>
      <c r="B1965" s="3" t="s">
        <v>47</v>
      </c>
      <c r="D1965" s="5" t="s">
        <v>5664</v>
      </c>
      <c r="E1965" s="2" t="s">
        <v>83</v>
      </c>
      <c r="F1965" s="6" t="s">
        <v>704</v>
      </c>
      <c r="G1965" s="5" t="s">
        <v>5667</v>
      </c>
      <c r="H1965" s="2" t="s">
        <v>57</v>
      </c>
      <c r="I1965" s="3" t="s">
        <v>5680</v>
      </c>
      <c r="J1965" s="7">
        <v>1</v>
      </c>
      <c r="K1965" s="70" t="s">
        <v>53</v>
      </c>
      <c r="L1965" s="9">
        <v>0</v>
      </c>
      <c r="M1965" s="3">
        <v>1565</v>
      </c>
      <c r="N1965" s="6">
        <v>2008</v>
      </c>
      <c r="P1965" s="71"/>
      <c r="R1965" s="6">
        <v>2000</v>
      </c>
      <c r="S1965" s="3" t="s">
        <v>54</v>
      </c>
      <c r="T1965" s="72"/>
      <c r="U1965" s="73"/>
      <c r="W1965" s="2" t="s">
        <v>5681</v>
      </c>
      <c r="X1965" s="10" t="s">
        <v>56</v>
      </c>
      <c r="Y1965" s="10" t="s">
        <v>57</v>
      </c>
      <c r="Z1965" s="75"/>
      <c r="AA1965" s="76">
        <v>41358</v>
      </c>
      <c r="AB1965" s="77">
        <v>41358</v>
      </c>
      <c r="AC1965" s="77">
        <v>41358</v>
      </c>
      <c r="AD1965" s="6"/>
      <c r="AE1965" s="7">
        <v>2010</v>
      </c>
      <c r="AF1965" s="7">
        <v>64</v>
      </c>
      <c r="AG1965" s="7">
        <v>2013</v>
      </c>
      <c r="AH1965" s="7">
        <v>2010</v>
      </c>
      <c r="AI1965" s="7"/>
      <c r="AJ1965" s="73"/>
      <c r="AK1965" s="7"/>
      <c r="AL1965" s="99"/>
      <c r="AM1965" s="2" t="s">
        <v>59</v>
      </c>
      <c r="AW1965" s="6">
        <f t="shared" ca="1" si="33"/>
        <v>17</v>
      </c>
    </row>
    <row r="1966" ht="45" customHeight="1">
      <c r="A1966" s="69"/>
      <c r="B1966" s="3" t="s">
        <v>47</v>
      </c>
      <c r="D1966" s="5" t="s">
        <v>5664</v>
      </c>
      <c r="E1966" s="2" t="s">
        <v>83</v>
      </c>
      <c r="F1966" s="6" t="s">
        <v>704</v>
      </c>
      <c r="G1966" s="5" t="s">
        <v>5667</v>
      </c>
      <c r="H1966" s="2" t="s">
        <v>57</v>
      </c>
      <c r="I1966" s="3" t="s">
        <v>5682</v>
      </c>
      <c r="J1966" s="7">
        <v>1</v>
      </c>
      <c r="K1966" s="70" t="s">
        <v>53</v>
      </c>
      <c r="L1966" s="9">
        <v>0</v>
      </c>
      <c r="M1966" s="3">
        <v>1565</v>
      </c>
      <c r="N1966" s="6">
        <v>2008</v>
      </c>
      <c r="P1966" s="71"/>
      <c r="R1966" s="6">
        <v>2000</v>
      </c>
      <c r="S1966" s="3" t="s">
        <v>54</v>
      </c>
      <c r="T1966" s="72"/>
      <c r="U1966" s="73"/>
      <c r="W1966" s="2" t="s">
        <v>5683</v>
      </c>
      <c r="X1966" s="10" t="s">
        <v>56</v>
      </c>
      <c r="Y1966" s="10" t="s">
        <v>57</v>
      </c>
      <c r="Z1966" s="75"/>
      <c r="AA1966" s="76">
        <v>41358</v>
      </c>
      <c r="AB1966" s="77">
        <v>41358</v>
      </c>
      <c r="AC1966" s="77">
        <v>41358</v>
      </c>
      <c r="AD1966" s="6"/>
      <c r="AE1966" s="7">
        <v>2010</v>
      </c>
      <c r="AF1966" s="7">
        <v>64</v>
      </c>
      <c r="AG1966" s="7">
        <v>2013</v>
      </c>
      <c r="AH1966" s="7">
        <v>2010</v>
      </c>
      <c r="AI1966" s="7"/>
      <c r="AJ1966" s="73"/>
      <c r="AK1966" s="7"/>
      <c r="AL1966" s="99"/>
      <c r="AM1966" s="2" t="s">
        <v>59</v>
      </c>
      <c r="AW1966" s="6">
        <f t="shared" ca="1" si="33"/>
        <v>17</v>
      </c>
    </row>
    <row r="1967" ht="45" customHeight="1" outlineLevel="1">
      <c r="A1967" s="69"/>
      <c r="B1967" s="3" t="s">
        <v>47</v>
      </c>
      <c r="D1967" s="5" t="s">
        <v>5664</v>
      </c>
      <c r="E1967" s="2" t="s">
        <v>83</v>
      </c>
      <c r="F1967" s="6" t="s">
        <v>704</v>
      </c>
      <c r="G1967" s="5" t="s">
        <v>5667</v>
      </c>
      <c r="H1967" s="2" t="s">
        <v>57</v>
      </c>
      <c r="I1967" s="3" t="s">
        <v>5684</v>
      </c>
      <c r="J1967" s="7">
        <v>1</v>
      </c>
      <c r="K1967" s="70" t="s">
        <v>53</v>
      </c>
      <c r="L1967" s="9">
        <v>0</v>
      </c>
      <c r="M1967" s="3">
        <v>1565</v>
      </c>
      <c r="N1967" s="6">
        <v>2008</v>
      </c>
      <c r="P1967" s="71"/>
      <c r="R1967" s="6">
        <v>2000</v>
      </c>
      <c r="S1967" s="3" t="s">
        <v>54</v>
      </c>
      <c r="T1967" s="72"/>
      <c r="U1967" s="73"/>
      <c r="W1967" s="2" t="s">
        <v>5685</v>
      </c>
      <c r="X1967" s="10" t="s">
        <v>56</v>
      </c>
      <c r="Y1967" s="10" t="s">
        <v>57</v>
      </c>
      <c r="Z1967" s="75" t="s">
        <v>58</v>
      </c>
      <c r="AA1967" s="76"/>
      <c r="AB1967" s="77">
        <v>41334</v>
      </c>
      <c r="AC1967" s="77"/>
      <c r="AD1967" s="6"/>
      <c r="AE1967" s="7">
        <v>2010</v>
      </c>
      <c r="AF1967" s="7">
        <v>64</v>
      </c>
      <c r="AG1967" s="7">
        <v>2013</v>
      </c>
      <c r="AH1967" s="7">
        <v>2010</v>
      </c>
      <c r="AI1967" s="7"/>
      <c r="AJ1967" s="73"/>
      <c r="AK1967" s="7"/>
      <c r="AL1967" s="99"/>
      <c r="AW1967" s="6">
        <f t="shared" ca="1" si="33"/>
        <v>17</v>
      </c>
    </row>
    <row r="1968" ht="45" customHeight="1" outlineLevel="1">
      <c r="A1968" s="69"/>
      <c r="B1968" s="3" t="s">
        <v>47</v>
      </c>
      <c r="D1968" s="5" t="s">
        <v>5664</v>
      </c>
      <c r="E1968" s="2" t="s">
        <v>83</v>
      </c>
      <c r="F1968" s="6" t="s">
        <v>704</v>
      </c>
      <c r="G1968" s="5" t="s">
        <v>5667</v>
      </c>
      <c r="H1968" s="2" t="s">
        <v>57</v>
      </c>
      <c r="I1968" s="3" t="s">
        <v>5686</v>
      </c>
      <c r="J1968" s="7">
        <v>1</v>
      </c>
      <c r="K1968" s="70" t="s">
        <v>53</v>
      </c>
      <c r="L1968" s="9">
        <v>0</v>
      </c>
      <c r="M1968" s="3">
        <v>1565</v>
      </c>
      <c r="N1968" s="6">
        <v>2008</v>
      </c>
      <c r="P1968" s="71"/>
      <c r="R1968" s="6">
        <v>2000</v>
      </c>
      <c r="S1968" s="3" t="s">
        <v>54</v>
      </c>
      <c r="T1968" s="72"/>
      <c r="U1968" s="73"/>
      <c r="W1968" s="2" t="s">
        <v>5687</v>
      </c>
      <c r="X1968" s="10" t="s">
        <v>56</v>
      </c>
      <c r="Y1968" s="10" t="s">
        <v>57</v>
      </c>
      <c r="Z1968" s="75"/>
      <c r="AA1968" s="76"/>
      <c r="AB1968" s="77">
        <v>41334</v>
      </c>
      <c r="AC1968" s="77"/>
      <c r="AD1968" s="6"/>
      <c r="AE1968" s="7">
        <v>2010</v>
      </c>
      <c r="AF1968" s="7">
        <v>64</v>
      </c>
      <c r="AG1968" s="7">
        <v>2013</v>
      </c>
      <c r="AH1968" s="7">
        <v>2010</v>
      </c>
      <c r="AI1968" s="7"/>
      <c r="AJ1968" s="73"/>
      <c r="AK1968" s="7"/>
      <c r="AL1968" s="99"/>
      <c r="AM1968" s="2" t="s">
        <v>59</v>
      </c>
      <c r="AW1968" s="6">
        <f t="shared" ca="1" si="33"/>
        <v>17</v>
      </c>
    </row>
    <row r="1969" ht="45" customHeight="1" outlineLevel="1">
      <c r="A1969" s="69"/>
      <c r="B1969" s="3" t="s">
        <v>47</v>
      </c>
      <c r="D1969" s="5" t="s">
        <v>5664</v>
      </c>
      <c r="E1969" s="2" t="s">
        <v>83</v>
      </c>
      <c r="F1969" s="6" t="s">
        <v>704</v>
      </c>
      <c r="G1969" s="5" t="s">
        <v>5667</v>
      </c>
      <c r="H1969" s="2" t="s">
        <v>51</v>
      </c>
      <c r="I1969" s="3" t="s">
        <v>5688</v>
      </c>
      <c r="J1969" s="7">
        <v>1</v>
      </c>
      <c r="K1969" s="70" t="s">
        <v>53</v>
      </c>
      <c r="L1969" s="9">
        <v>0</v>
      </c>
      <c r="M1969" s="3">
        <v>1565</v>
      </c>
      <c r="N1969" s="6">
        <v>2008</v>
      </c>
      <c r="P1969" s="71"/>
      <c r="R1969" s="6">
        <v>2000</v>
      </c>
      <c r="S1969" s="3" t="s">
        <v>54</v>
      </c>
      <c r="T1969" s="72"/>
      <c r="U1969" s="73"/>
      <c r="W1969" s="2" t="s">
        <v>5689</v>
      </c>
      <c r="X1969" s="10" t="s">
        <v>56</v>
      </c>
      <c r="Y1969" s="10" t="s">
        <v>57</v>
      </c>
      <c r="Z1969" s="75" t="s">
        <v>58</v>
      </c>
      <c r="AA1969" s="76">
        <v>41358</v>
      </c>
      <c r="AB1969" s="77">
        <v>41358</v>
      </c>
      <c r="AC1969" s="77">
        <v>41358</v>
      </c>
      <c r="AD1969" s="6"/>
      <c r="AE1969" s="7">
        <v>2010</v>
      </c>
      <c r="AF1969" s="7">
        <v>64</v>
      </c>
      <c r="AG1969" s="7">
        <v>2013</v>
      </c>
      <c r="AH1969" s="7">
        <v>2010</v>
      </c>
      <c r="AI1969" s="7"/>
      <c r="AJ1969" s="73"/>
      <c r="AK1969" s="7"/>
      <c r="AL1969" s="99"/>
      <c r="AM1969" s="2" t="s">
        <v>59</v>
      </c>
      <c r="AW1969" s="6">
        <f t="shared" ca="1" si="33"/>
        <v>17</v>
      </c>
    </row>
    <row r="1970" ht="45" customHeight="1" outlineLevel="1">
      <c r="A1970" s="69"/>
      <c r="B1970" s="3" t="s">
        <v>47</v>
      </c>
      <c r="D1970" s="5" t="s">
        <v>5664</v>
      </c>
      <c r="E1970" s="78" t="s">
        <v>83</v>
      </c>
      <c r="F1970" s="79" t="s">
        <v>704</v>
      </c>
      <c r="G1970" s="80" t="s">
        <v>5667</v>
      </c>
      <c r="H1970" s="78" t="s">
        <v>88</v>
      </c>
      <c r="I1970" s="81" t="s">
        <v>5690</v>
      </c>
      <c r="J1970" s="7">
        <v>1</v>
      </c>
      <c r="K1970" s="70" t="s">
        <v>53</v>
      </c>
      <c r="L1970" s="9">
        <v>0</v>
      </c>
      <c r="M1970" s="3">
        <v>1565</v>
      </c>
      <c r="N1970" s="6">
        <v>2008</v>
      </c>
      <c r="P1970" s="71"/>
      <c r="R1970" s="6">
        <v>2000</v>
      </c>
      <c r="S1970" s="3" t="s">
        <v>54</v>
      </c>
      <c r="T1970" s="72"/>
      <c r="U1970" s="73"/>
      <c r="W1970" s="78" t="s">
        <v>5691</v>
      </c>
      <c r="X1970" s="82" t="s">
        <v>91</v>
      </c>
      <c r="Y1970" s="82" t="s">
        <v>214</v>
      </c>
      <c r="Z1970" s="83"/>
      <c r="AA1970" s="76">
        <v>41358</v>
      </c>
      <c r="AB1970" s="77">
        <v>41358</v>
      </c>
      <c r="AC1970" s="77">
        <v>41358</v>
      </c>
      <c r="AD1970" s="6"/>
      <c r="AE1970" s="7">
        <v>2010</v>
      </c>
      <c r="AF1970" s="7">
        <v>64</v>
      </c>
      <c r="AG1970" s="7">
        <v>2013</v>
      </c>
      <c r="AH1970" s="7">
        <v>2010</v>
      </c>
      <c r="AI1970" s="7"/>
      <c r="AJ1970" s="73"/>
      <c r="AK1970" s="7"/>
      <c r="AL1970" s="217"/>
      <c r="AM1970" s="2" t="s">
        <v>59</v>
      </c>
      <c r="AW1970" s="6">
        <f t="shared" ca="1" si="33"/>
        <v>17</v>
      </c>
    </row>
    <row r="1971" ht="45" customHeight="1" outlineLevel="1">
      <c r="A1971" s="132"/>
      <c r="B1971" s="3" t="s">
        <v>47</v>
      </c>
      <c r="D1971" s="117" t="s">
        <v>5692</v>
      </c>
      <c r="E1971" s="2" t="s">
        <v>83</v>
      </c>
      <c r="F1971" s="141" t="s">
        <v>179</v>
      </c>
      <c r="G1971" s="117" t="s">
        <v>1343</v>
      </c>
      <c r="H1971" s="2" t="s">
        <v>88</v>
      </c>
      <c r="I1971" s="194" t="s">
        <v>5693</v>
      </c>
      <c r="J1971" s="7">
        <v>1</v>
      </c>
      <c r="K1971" s="145" t="s">
        <v>53</v>
      </c>
      <c r="L1971" s="9">
        <v>1</v>
      </c>
      <c r="M1971" s="194">
        <v>1566</v>
      </c>
      <c r="N1971" s="141">
        <v>2008</v>
      </c>
      <c r="P1971" s="71"/>
      <c r="R1971" s="6">
        <v>2000</v>
      </c>
      <c r="S1971" s="3" t="s">
        <v>54</v>
      </c>
      <c r="T1971" s="72"/>
      <c r="U1971" s="73"/>
      <c r="W1971" s="2" t="s">
        <v>5694</v>
      </c>
      <c r="X1971" s="10" t="s">
        <v>91</v>
      </c>
      <c r="Y1971" s="10" t="s">
        <v>92</v>
      </c>
      <c r="Z1971" s="75"/>
      <c r="AA1971" s="137">
        <v>42199</v>
      </c>
      <c r="AB1971" s="138">
        <v>42199</v>
      </c>
      <c r="AC1971" s="138"/>
      <c r="AD1971" s="141"/>
      <c r="AE1971" s="7">
        <v>2014</v>
      </c>
      <c r="AF1971" s="7">
        <v>77</v>
      </c>
      <c r="AG1971" s="7">
        <v>2015</v>
      </c>
      <c r="AH1971" s="139">
        <v>2010</v>
      </c>
      <c r="AI1971" s="139"/>
      <c r="AJ1971" s="160"/>
      <c r="AK1971" s="139"/>
      <c r="AL1971" s="218" t="s">
        <v>5695</v>
      </c>
      <c r="AM1971" s="2" t="s">
        <v>59</v>
      </c>
      <c r="AO1971" s="6" t="s">
        <v>59</v>
      </c>
      <c r="AP1971" s="141"/>
      <c r="AQ1971" s="117"/>
      <c r="AR1971" s="142"/>
      <c r="AS1971" s="141"/>
      <c r="AT1971" s="141"/>
      <c r="AU1971" s="140"/>
      <c r="AV1971" s="143"/>
      <c r="AW1971" s="6">
        <f t="shared" ca="1" si="33"/>
        <v>17</v>
      </c>
    </row>
    <row r="1972" ht="45" customHeight="1">
      <c r="A1972" s="69">
        <v>43468</v>
      </c>
      <c r="B1972" s="3" t="s">
        <v>47</v>
      </c>
      <c r="C1972" s="4" t="s">
        <v>5696</v>
      </c>
      <c r="D1972" s="5" t="s">
        <v>5697</v>
      </c>
      <c r="E1972" s="2" t="s">
        <v>694</v>
      </c>
      <c r="F1972" s="6" t="s">
        <v>1593</v>
      </c>
      <c r="G1972" s="5" t="s">
        <v>5698</v>
      </c>
      <c r="H1972" s="2" t="s">
        <v>288</v>
      </c>
      <c r="I1972" s="3" t="s">
        <v>5699</v>
      </c>
      <c r="J1972" s="7">
        <v>1</v>
      </c>
      <c r="K1972" s="70" t="s">
        <v>53</v>
      </c>
      <c r="L1972" s="9">
        <v>1</v>
      </c>
      <c r="M1972" s="3">
        <v>1567</v>
      </c>
      <c r="N1972" s="6">
        <v>2008</v>
      </c>
      <c r="P1972" s="71"/>
      <c r="R1972" s="6">
        <v>2000</v>
      </c>
      <c r="S1972" s="3" t="s">
        <v>4426</v>
      </c>
      <c r="T1972" s="72"/>
      <c r="U1972" s="73"/>
      <c r="W1972" s="2" t="s">
        <v>5700</v>
      </c>
      <c r="X1972" s="10" t="s">
        <v>56</v>
      </c>
      <c r="Y1972" s="10" t="s">
        <v>288</v>
      </c>
      <c r="Z1972" s="75"/>
      <c r="AA1972" s="13">
        <v>40919</v>
      </c>
      <c r="AB1972" s="14">
        <v>40919</v>
      </c>
      <c r="AC1972" s="14">
        <v>40919</v>
      </c>
      <c r="AE1972" s="7">
        <v>2010</v>
      </c>
      <c r="AF1972" s="7">
        <v>63</v>
      </c>
      <c r="AG1972" s="7">
        <v>2012</v>
      </c>
      <c r="AH1972" s="7">
        <v>2010</v>
      </c>
      <c r="AI1972" s="7"/>
      <c r="AJ1972" s="73"/>
      <c r="AK1972" s="7"/>
      <c r="AL1972" s="99"/>
      <c r="AM1972" s="2" t="s">
        <v>53</v>
      </c>
      <c r="AN1972" s="6" t="s">
        <v>73</v>
      </c>
      <c r="AO1972" s="6" t="s">
        <v>136</v>
      </c>
      <c r="AR1972" s="2" t="s">
        <v>104</v>
      </c>
      <c r="AS1972" s="6" t="s">
        <v>73</v>
      </c>
      <c r="AT1972" s="6">
        <v>2011</v>
      </c>
      <c r="AU1972" s="16" t="s">
        <v>5701</v>
      </c>
      <c r="AW1972" s="6">
        <f t="shared" ca="1" si="33"/>
        <v>17</v>
      </c>
    </row>
    <row r="1973" ht="45" customHeight="1">
      <c r="A1973" s="69"/>
      <c r="B1973" s="3" t="s">
        <v>47</v>
      </c>
      <c r="D1973" s="5" t="s">
        <v>5702</v>
      </c>
      <c r="E1973" s="2" t="s">
        <v>48</v>
      </c>
      <c r="F1973" s="6" t="s">
        <v>49</v>
      </c>
      <c r="G1973" s="5" t="s">
        <v>3906</v>
      </c>
      <c r="H1973" s="2" t="s">
        <v>288</v>
      </c>
      <c r="I1973" s="3" t="s">
        <v>5703</v>
      </c>
      <c r="J1973" s="7">
        <v>1</v>
      </c>
      <c r="K1973" s="70" t="s">
        <v>53</v>
      </c>
      <c r="L1973" s="9">
        <v>1</v>
      </c>
      <c r="M1973" s="3">
        <v>1568</v>
      </c>
      <c r="N1973" s="6">
        <v>2008</v>
      </c>
      <c r="P1973" s="71"/>
      <c r="R1973" s="6">
        <v>2000</v>
      </c>
      <c r="S1973" s="3" t="s">
        <v>54</v>
      </c>
      <c r="T1973" s="72"/>
      <c r="U1973" s="73"/>
      <c r="W1973" s="2" t="s">
        <v>5704</v>
      </c>
      <c r="X1973" s="10" t="s">
        <v>56</v>
      </c>
      <c r="Y1973" s="10" t="s">
        <v>288</v>
      </c>
      <c r="Z1973" s="75"/>
      <c r="AA1973" s="13">
        <v>40963</v>
      </c>
      <c r="AB1973" s="14">
        <v>40963</v>
      </c>
      <c r="AE1973" s="7">
        <v>2010</v>
      </c>
      <c r="AF1973" s="7">
        <v>65</v>
      </c>
      <c r="AG1973" s="7">
        <v>2012</v>
      </c>
      <c r="AH1973" s="7">
        <v>2010</v>
      </c>
      <c r="AI1973" s="7"/>
      <c r="AJ1973" s="73"/>
      <c r="AK1973" s="7"/>
      <c r="AL1973" s="75" t="s">
        <v>5705</v>
      </c>
      <c r="AM1973" s="2" t="s">
        <v>53</v>
      </c>
      <c r="AN1973" s="6" t="s">
        <v>73</v>
      </c>
      <c r="AO1973" s="6" t="s">
        <v>53</v>
      </c>
      <c r="AP1973" s="6" t="s">
        <v>73</v>
      </c>
      <c r="AQ1973" s="5" t="s">
        <v>73</v>
      </c>
      <c r="AS1973" s="6" t="s">
        <v>73</v>
      </c>
      <c r="AT1973" s="6" t="s">
        <v>5706</v>
      </c>
      <c r="AU1973" s="16" t="s">
        <v>5707</v>
      </c>
      <c r="AW1973" s="6">
        <f t="shared" ca="1" si="33"/>
        <v>17</v>
      </c>
    </row>
    <row r="1974" ht="45" customHeight="1" outlineLevel="1">
      <c r="A1974" s="69"/>
      <c r="B1974" s="3" t="s">
        <v>47</v>
      </c>
      <c r="D1974" s="5" t="s">
        <v>5708</v>
      </c>
      <c r="E1974" s="2" t="s">
        <v>48</v>
      </c>
      <c r="F1974" s="6" t="s">
        <v>49</v>
      </c>
      <c r="G1974" s="5" t="s">
        <v>5709</v>
      </c>
      <c r="H1974" s="2" t="s">
        <v>288</v>
      </c>
      <c r="I1974" s="3" t="s">
        <v>5710</v>
      </c>
      <c r="J1974" s="7">
        <v>1</v>
      </c>
      <c r="K1974" s="70" t="s">
        <v>53</v>
      </c>
      <c r="L1974" s="9">
        <v>1</v>
      </c>
      <c r="M1974" s="3">
        <v>1569</v>
      </c>
      <c r="N1974" s="6">
        <v>2008</v>
      </c>
      <c r="P1974" s="71"/>
      <c r="R1974" s="6">
        <v>2000</v>
      </c>
      <c r="S1974" s="3" t="s">
        <v>54</v>
      </c>
      <c r="T1974" s="72"/>
      <c r="U1974" s="73"/>
      <c r="W1974" s="2" t="s">
        <v>5711</v>
      </c>
      <c r="X1974" s="10" t="s">
        <v>56</v>
      </c>
      <c r="Y1974" s="10" t="s">
        <v>288</v>
      </c>
      <c r="Z1974" s="75"/>
      <c r="AA1974" s="76">
        <v>41270</v>
      </c>
      <c r="AB1974" s="77">
        <v>41270</v>
      </c>
      <c r="AC1974" s="77"/>
      <c r="AD1974" s="6"/>
      <c r="AE1974" s="7">
        <v>2011</v>
      </c>
      <c r="AF1974" s="7">
        <v>67</v>
      </c>
      <c r="AG1974" s="7">
        <v>2012</v>
      </c>
      <c r="AH1974" s="7">
        <v>2010</v>
      </c>
      <c r="AI1974" s="7"/>
      <c r="AJ1974" s="73"/>
      <c r="AK1974" s="7"/>
      <c r="AL1974" s="75"/>
      <c r="AM1974" s="2" t="s">
        <v>53</v>
      </c>
      <c r="AN1974" s="6" t="s">
        <v>73</v>
      </c>
      <c r="AO1974" s="6" t="s">
        <v>53</v>
      </c>
      <c r="AP1974" s="6" t="s">
        <v>73</v>
      </c>
      <c r="AQ1974" s="5" t="s">
        <v>73</v>
      </c>
      <c r="AR1974" s="2" t="s">
        <v>104</v>
      </c>
      <c r="AS1974" s="6" t="s">
        <v>73</v>
      </c>
      <c r="AT1974" s="6">
        <v>2010</v>
      </c>
      <c r="AU1974" s="16" t="s">
        <v>5712</v>
      </c>
      <c r="AW1974" s="6">
        <f t="shared" ca="1" si="33"/>
        <v>17</v>
      </c>
    </row>
    <row r="1975" ht="45" customHeight="1" outlineLevel="1">
      <c r="A1975" s="69"/>
      <c r="B1975" s="3" t="s">
        <v>47</v>
      </c>
      <c r="D1975" s="5" t="s">
        <v>5713</v>
      </c>
      <c r="E1975" s="2" t="s">
        <v>48</v>
      </c>
      <c r="F1975" s="6" t="s">
        <v>49</v>
      </c>
      <c r="G1975" s="5" t="s">
        <v>5709</v>
      </c>
      <c r="H1975" s="2" t="s">
        <v>491</v>
      </c>
      <c r="I1975" s="3" t="s">
        <v>5714</v>
      </c>
      <c r="J1975" s="7">
        <v>1</v>
      </c>
      <c r="K1975" s="70" t="s">
        <v>53</v>
      </c>
      <c r="L1975" s="9">
        <v>1</v>
      </c>
      <c r="M1975" s="3">
        <v>1570</v>
      </c>
      <c r="N1975" s="6">
        <v>2009</v>
      </c>
      <c r="P1975" s="71"/>
      <c r="R1975" s="6">
        <v>2000</v>
      </c>
      <c r="S1975" s="3" t="s">
        <v>54</v>
      </c>
      <c r="T1975" s="72"/>
      <c r="U1975" s="73"/>
      <c r="W1975" s="2" t="s">
        <v>5715</v>
      </c>
      <c r="X1975" s="10" t="s">
        <v>56</v>
      </c>
      <c r="Y1975" s="10" t="s">
        <v>523</v>
      </c>
      <c r="Z1975" s="75"/>
      <c r="AA1975" s="76">
        <v>41172</v>
      </c>
      <c r="AB1975" s="77">
        <v>41172</v>
      </c>
      <c r="AC1975" s="77"/>
      <c r="AD1975" s="77">
        <v>41172</v>
      </c>
      <c r="AE1975" s="7">
        <v>2011</v>
      </c>
      <c r="AF1975" s="7">
        <v>67</v>
      </c>
      <c r="AG1975" s="7">
        <v>2012</v>
      </c>
      <c r="AH1975" s="7">
        <v>2010</v>
      </c>
      <c r="AI1975" s="7"/>
      <c r="AJ1975" s="73"/>
      <c r="AK1975" s="7"/>
      <c r="AL1975" s="102" t="s">
        <v>5716</v>
      </c>
      <c r="AM1975" s="2" t="s">
        <v>59</v>
      </c>
      <c r="AO1975" s="6" t="s">
        <v>73</v>
      </c>
      <c r="AR1975" s="2" t="s">
        <v>104</v>
      </c>
      <c r="AS1975" s="6" t="s">
        <v>73</v>
      </c>
      <c r="AT1975" s="6">
        <v>2010</v>
      </c>
      <c r="AU1975" s="16" t="s">
        <v>5717</v>
      </c>
      <c r="AW1975" s="6">
        <f t="shared" ca="1" si="33"/>
        <v>16</v>
      </c>
    </row>
    <row r="1976" ht="45" hidden="1" customHeight="1" outlineLevel="1">
      <c r="A1976" s="69"/>
      <c r="B1976" s="3" t="s">
        <v>47</v>
      </c>
      <c r="C1976" s="4" t="s">
        <v>5718</v>
      </c>
      <c r="D1976" s="5" t="s">
        <v>5719</v>
      </c>
      <c r="E1976" s="2" t="s">
        <v>83</v>
      </c>
      <c r="F1976" s="6" t="s">
        <v>84</v>
      </c>
      <c r="G1976" s="5" t="s">
        <v>797</v>
      </c>
      <c r="H1976" s="2" t="s">
        <v>57</v>
      </c>
      <c r="I1976" s="3" t="s">
        <v>5720</v>
      </c>
      <c r="J1976" s="7">
        <v>1</v>
      </c>
      <c r="K1976" s="104"/>
      <c r="L1976" s="9">
        <v>1</v>
      </c>
      <c r="M1976" s="3">
        <v>1571</v>
      </c>
      <c r="N1976" s="6">
        <v>2009</v>
      </c>
      <c r="P1976" s="71"/>
      <c r="R1976" s="6">
        <v>2000</v>
      </c>
      <c r="S1976" s="3" t="s">
        <v>236</v>
      </c>
      <c r="T1976" s="72"/>
      <c r="U1976" s="73"/>
      <c r="W1976" s="2" t="s">
        <v>62</v>
      </c>
      <c r="X1976" s="10" t="s">
        <v>56</v>
      </c>
      <c r="Y1976" s="10" t="s">
        <v>57</v>
      </c>
      <c r="Z1976" s="75"/>
      <c r="AA1976" s="76"/>
      <c r="AB1976" s="77"/>
      <c r="AC1976" s="77"/>
      <c r="AD1976" s="6"/>
      <c r="AI1976" s="7"/>
      <c r="AJ1976" s="95">
        <v>40323</v>
      </c>
      <c r="AK1976" s="7">
        <v>2010</v>
      </c>
      <c r="AL1976" s="219"/>
      <c r="AW1976" s="6">
        <f t="shared" ca="1" si="33"/>
        <v>16</v>
      </c>
    </row>
    <row r="1977" ht="45" hidden="1" customHeight="1" outlineLevel="1">
      <c r="A1977" s="69"/>
      <c r="B1977" s="3" t="s">
        <v>47</v>
      </c>
      <c r="C1977" s="4" t="s">
        <v>5718</v>
      </c>
      <c r="D1977" s="5" t="s">
        <v>5719</v>
      </c>
      <c r="E1977" s="2" t="s">
        <v>83</v>
      </c>
      <c r="F1977" s="6" t="s">
        <v>84</v>
      </c>
      <c r="G1977" s="5" t="s">
        <v>797</v>
      </c>
      <c r="H1977" s="2" t="s">
        <v>51</v>
      </c>
      <c r="I1977" s="3" t="s">
        <v>5721</v>
      </c>
      <c r="J1977" s="7">
        <v>1</v>
      </c>
      <c r="K1977" s="104"/>
      <c r="L1977" s="9">
        <v>0</v>
      </c>
      <c r="M1977" s="3">
        <v>1571</v>
      </c>
      <c r="N1977" s="6">
        <v>2009</v>
      </c>
      <c r="P1977" s="71"/>
      <c r="R1977" s="6">
        <v>2000</v>
      </c>
      <c r="S1977" s="3" t="s">
        <v>236</v>
      </c>
      <c r="T1977" s="72"/>
      <c r="U1977" s="73"/>
      <c r="W1977" s="2" t="s">
        <v>62</v>
      </c>
      <c r="X1977" s="10" t="s">
        <v>56</v>
      </c>
      <c r="Y1977" s="10" t="s">
        <v>57</v>
      </c>
      <c r="Z1977" s="75" t="s">
        <v>58</v>
      </c>
      <c r="AA1977" s="76"/>
      <c r="AB1977" s="77"/>
      <c r="AC1977" s="77"/>
      <c r="AD1977" s="6"/>
      <c r="AI1977" s="7"/>
      <c r="AJ1977" s="95">
        <v>40323</v>
      </c>
      <c r="AK1977" s="7">
        <v>2010</v>
      </c>
      <c r="AL1977" s="219"/>
      <c r="AW1977" s="6">
        <f t="shared" ca="1" si="33"/>
        <v>16</v>
      </c>
    </row>
    <row r="1978" ht="45" hidden="1" customHeight="1" outlineLevel="1">
      <c r="A1978" s="69"/>
      <c r="B1978" s="3" t="s">
        <v>47</v>
      </c>
      <c r="C1978" s="4" t="s">
        <v>5718</v>
      </c>
      <c r="D1978" s="5" t="s">
        <v>5722</v>
      </c>
      <c r="E1978" s="2" t="s">
        <v>63</v>
      </c>
      <c r="F1978" s="6" t="s">
        <v>172</v>
      </c>
      <c r="G1978" s="5" t="s">
        <v>3115</v>
      </c>
      <c r="H1978" s="2" t="s">
        <v>57</v>
      </c>
      <c r="I1978" s="3" t="s">
        <v>5723</v>
      </c>
      <c r="J1978" s="7">
        <v>1</v>
      </c>
      <c r="K1978" s="104"/>
      <c r="L1978" s="9">
        <v>1</v>
      </c>
      <c r="M1978" s="3">
        <v>1572</v>
      </c>
      <c r="N1978" s="6">
        <v>2009</v>
      </c>
      <c r="P1978" s="71"/>
      <c r="R1978" s="6">
        <v>2000</v>
      </c>
      <c r="S1978" s="3" t="s">
        <v>236</v>
      </c>
      <c r="T1978" s="72"/>
      <c r="U1978" s="73"/>
      <c r="W1978" s="2" t="s">
        <v>62</v>
      </c>
      <c r="X1978" s="10" t="s">
        <v>56</v>
      </c>
      <c r="Y1978" s="10" t="s">
        <v>57</v>
      </c>
      <c r="Z1978" s="75"/>
      <c r="AA1978" s="76"/>
      <c r="AB1978" s="77"/>
      <c r="AC1978" s="77"/>
      <c r="AD1978" s="6"/>
      <c r="AI1978" s="7"/>
      <c r="AJ1978" s="95">
        <v>40323</v>
      </c>
      <c r="AK1978" s="7">
        <v>2010</v>
      </c>
      <c r="AL1978" s="16" t="s">
        <v>5724</v>
      </c>
      <c r="AW1978" s="6">
        <f t="shared" ca="1" si="33"/>
        <v>16</v>
      </c>
    </row>
    <row r="1979" ht="45" hidden="1" customHeight="1" outlineLevel="1">
      <c r="A1979" s="69"/>
      <c r="B1979" s="3" t="s">
        <v>47</v>
      </c>
      <c r="C1979" s="4" t="s">
        <v>5718</v>
      </c>
      <c r="D1979" s="5" t="s">
        <v>5725</v>
      </c>
      <c r="E1979" s="2" t="s">
        <v>63</v>
      </c>
      <c r="F1979" s="6" t="s">
        <v>172</v>
      </c>
      <c r="G1979" s="5" t="s">
        <v>1160</v>
      </c>
      <c r="H1979" s="2" t="s">
        <v>181</v>
      </c>
      <c r="I1979" s="3" t="s">
        <v>5726</v>
      </c>
      <c r="J1979" s="7">
        <v>1</v>
      </c>
      <c r="K1979" s="104"/>
      <c r="L1979" s="9">
        <v>1</v>
      </c>
      <c r="M1979" s="3">
        <v>1573</v>
      </c>
      <c r="N1979" s="6">
        <v>2009</v>
      </c>
      <c r="P1979" s="71"/>
      <c r="R1979" s="6">
        <v>2000</v>
      </c>
      <c r="S1979" s="3" t="s">
        <v>236</v>
      </c>
      <c r="T1979" s="72"/>
      <c r="U1979" s="73"/>
      <c r="W1979" s="2" t="s">
        <v>62</v>
      </c>
      <c r="X1979" s="10" t="s">
        <v>56</v>
      </c>
      <c r="Y1979" s="10" t="s">
        <v>181</v>
      </c>
      <c r="Z1979" s="75"/>
      <c r="AA1979" s="76"/>
      <c r="AB1979" s="77"/>
      <c r="AC1979" s="77"/>
      <c r="AD1979" s="6"/>
      <c r="AI1979" s="7"/>
      <c r="AJ1979" s="95">
        <v>40323</v>
      </c>
      <c r="AK1979" s="7">
        <v>2010</v>
      </c>
      <c r="AL1979" s="220"/>
      <c r="AW1979" s="6">
        <f t="shared" ca="1" si="33"/>
        <v>16</v>
      </c>
    </row>
    <row r="1980" ht="45" hidden="1" customHeight="1" outlineLevel="1">
      <c r="A1980" s="69"/>
      <c r="B1980" s="3" t="s">
        <v>47</v>
      </c>
      <c r="C1980" s="4" t="s">
        <v>5727</v>
      </c>
      <c r="D1980" s="5" t="s">
        <v>5728</v>
      </c>
      <c r="E1980" s="2" t="s">
        <v>83</v>
      </c>
      <c r="F1980" s="6" t="s">
        <v>704</v>
      </c>
      <c r="G1980" s="5" t="s">
        <v>1306</v>
      </c>
      <c r="H1980" s="2" t="s">
        <v>57</v>
      </c>
      <c r="I1980" s="3" t="s">
        <v>5729</v>
      </c>
      <c r="J1980" s="7">
        <v>1</v>
      </c>
      <c r="K1980" s="104"/>
      <c r="L1980" s="9">
        <v>1</v>
      </c>
      <c r="M1980" s="3">
        <v>1574</v>
      </c>
      <c r="N1980" s="6">
        <v>2009</v>
      </c>
      <c r="P1980" s="71"/>
      <c r="R1980" s="6">
        <v>2000</v>
      </c>
      <c r="S1980" s="3" t="s">
        <v>236</v>
      </c>
      <c r="T1980" s="72"/>
      <c r="U1980" s="73"/>
      <c r="W1980" s="2" t="s">
        <v>62</v>
      </c>
      <c r="X1980" s="10" t="s">
        <v>56</v>
      </c>
      <c r="Y1980" s="10" t="s">
        <v>57</v>
      </c>
      <c r="Z1980" s="75"/>
      <c r="AA1980" s="76"/>
      <c r="AB1980" s="77"/>
      <c r="AC1980" s="77"/>
      <c r="AD1980" s="6"/>
      <c r="AI1980" s="7"/>
      <c r="AJ1980" s="95">
        <v>41956</v>
      </c>
      <c r="AK1980" s="7">
        <v>2010</v>
      </c>
      <c r="AL1980" s="16"/>
      <c r="AW1980" s="6">
        <f t="shared" ca="1" si="33"/>
        <v>16</v>
      </c>
    </row>
    <row r="1981" ht="45" hidden="1" customHeight="1" outlineLevel="1">
      <c r="A1981" s="69">
        <v>41173</v>
      </c>
      <c r="B1981" s="3" t="s">
        <v>47</v>
      </c>
      <c r="C1981" s="4" t="s">
        <v>5730</v>
      </c>
      <c r="D1981" s="5" t="s">
        <v>5731</v>
      </c>
      <c r="E1981" s="2" t="s">
        <v>83</v>
      </c>
      <c r="F1981" s="6" t="s">
        <v>84</v>
      </c>
      <c r="G1981" s="5" t="s">
        <v>5732</v>
      </c>
      <c r="H1981" s="2" t="s">
        <v>288</v>
      </c>
      <c r="I1981" s="3" t="s">
        <v>5733</v>
      </c>
      <c r="J1981" s="7">
        <v>1</v>
      </c>
      <c r="K1981" s="70"/>
      <c r="L1981" s="9">
        <v>1</v>
      </c>
      <c r="M1981" s="3">
        <v>1575</v>
      </c>
      <c r="N1981" s="6">
        <v>2009</v>
      </c>
      <c r="P1981" s="71"/>
      <c r="R1981" s="6">
        <v>2000</v>
      </c>
      <c r="S1981" s="3" t="s">
        <v>236</v>
      </c>
      <c r="T1981" s="72" t="s">
        <v>998</v>
      </c>
      <c r="W1981" s="2" t="s">
        <v>62</v>
      </c>
      <c r="X1981" s="10" t="s">
        <v>56</v>
      </c>
      <c r="Y1981" s="10" t="s">
        <v>288</v>
      </c>
      <c r="Z1981" s="75"/>
      <c r="AA1981" s="76"/>
      <c r="AB1981" s="77"/>
      <c r="AC1981" s="77"/>
      <c r="AD1981" s="10"/>
      <c r="AI1981" s="7"/>
      <c r="AJ1981" s="10">
        <v>44748</v>
      </c>
      <c r="AK1981" s="7">
        <v>2020</v>
      </c>
      <c r="AL1981" s="16"/>
      <c r="AW1981" s="6">
        <f t="shared" ca="1" si="33"/>
        <v>16</v>
      </c>
    </row>
    <row r="1982" ht="45" hidden="1" customHeight="1" outlineLevel="1">
      <c r="A1982" s="69">
        <v>41729</v>
      </c>
      <c r="B1982" s="3" t="s">
        <v>47</v>
      </c>
      <c r="C1982" s="4" t="s">
        <v>5734</v>
      </c>
      <c r="D1982" s="5" t="s">
        <v>5735</v>
      </c>
      <c r="E1982" s="2" t="s">
        <v>63</v>
      </c>
      <c r="F1982" s="6" t="s">
        <v>217</v>
      </c>
      <c r="G1982" s="5" t="s">
        <v>1469</v>
      </c>
      <c r="H1982" s="2" t="s">
        <v>4337</v>
      </c>
      <c r="I1982" s="3" t="s">
        <v>5736</v>
      </c>
      <c r="J1982" s="7">
        <v>1</v>
      </c>
      <c r="K1982" s="70"/>
      <c r="L1982" s="9">
        <v>1</v>
      </c>
      <c r="M1982" s="3">
        <v>1576</v>
      </c>
      <c r="N1982" s="6">
        <v>2009</v>
      </c>
      <c r="P1982" s="71"/>
      <c r="R1982" s="6">
        <v>2000</v>
      </c>
      <c r="S1982" s="3" t="s">
        <v>236</v>
      </c>
      <c r="T1982" s="72" t="s">
        <v>1136</v>
      </c>
      <c r="W1982" s="2" t="s">
        <v>62</v>
      </c>
      <c r="X1982" s="10" t="s">
        <v>4339</v>
      </c>
      <c r="Y1982" s="10" t="s">
        <v>980</v>
      </c>
      <c r="Z1982" s="75"/>
      <c r="AA1982" s="76"/>
      <c r="AB1982" s="77"/>
      <c r="AC1982" s="77"/>
      <c r="AD1982" s="10"/>
      <c r="AI1982" s="7"/>
      <c r="AJ1982" s="10">
        <v>44837</v>
      </c>
      <c r="AK1982" s="7">
        <v>2020</v>
      </c>
      <c r="AL1982" s="16"/>
      <c r="AW1982" s="6">
        <f t="shared" ca="1" si="33"/>
        <v>16</v>
      </c>
    </row>
    <row r="1983" ht="45" customHeight="1" outlineLevel="1">
      <c r="A1983" s="69"/>
      <c r="B1983" s="3" t="s">
        <v>47</v>
      </c>
      <c r="D1983" s="5" t="s">
        <v>5737</v>
      </c>
      <c r="E1983" s="2" t="s">
        <v>1074</v>
      </c>
      <c r="F1983" s="6" t="s">
        <v>2026</v>
      </c>
      <c r="G1983" s="5" t="s">
        <v>3139</v>
      </c>
      <c r="H1983" s="2" t="s">
        <v>491</v>
      </c>
      <c r="I1983" s="3" t="s">
        <v>5738</v>
      </c>
      <c r="J1983" s="7">
        <v>1</v>
      </c>
      <c r="K1983" s="70" t="s">
        <v>53</v>
      </c>
      <c r="L1983" s="9">
        <v>1</v>
      </c>
      <c r="M1983" s="3">
        <v>1577</v>
      </c>
      <c r="N1983" s="6">
        <v>2009</v>
      </c>
      <c r="P1983" s="71"/>
      <c r="R1983" s="6">
        <v>2000</v>
      </c>
      <c r="S1983" s="3" t="s">
        <v>54</v>
      </c>
      <c r="T1983" s="72"/>
      <c r="U1983" s="73"/>
      <c r="W1983" s="2" t="s">
        <v>5739</v>
      </c>
      <c r="X1983" s="10" t="s">
        <v>56</v>
      </c>
      <c r="Y1983" s="10" t="s">
        <v>523</v>
      </c>
      <c r="Z1983" s="75"/>
      <c r="AA1983" s="13">
        <v>41915</v>
      </c>
      <c r="AB1983" s="77">
        <v>41915</v>
      </c>
      <c r="AC1983" s="77">
        <v>41915</v>
      </c>
      <c r="AD1983" s="10"/>
      <c r="AE1983" s="7">
        <v>2012</v>
      </c>
      <c r="AF1983" s="7">
        <v>71</v>
      </c>
      <c r="AG1983" s="7">
        <v>2014</v>
      </c>
      <c r="AH1983" s="7">
        <v>2010</v>
      </c>
      <c r="AI1983" s="7"/>
      <c r="AJ1983" s="73"/>
      <c r="AK1983" s="7"/>
      <c r="AL1983" s="16" t="s">
        <v>5740</v>
      </c>
      <c r="AM1983" s="2" t="s">
        <v>59</v>
      </c>
      <c r="AO1983" s="6" t="s">
        <v>53</v>
      </c>
      <c r="AP1983" s="6" t="s">
        <v>73</v>
      </c>
      <c r="AW1983" s="6">
        <f t="shared" ca="1" si="33"/>
        <v>16</v>
      </c>
    </row>
    <row r="1984" ht="45" hidden="1" customHeight="1">
      <c r="A1984" s="69"/>
      <c r="B1984" s="3" t="s">
        <v>47</v>
      </c>
      <c r="C1984" s="4" t="s">
        <v>5741</v>
      </c>
      <c r="D1984" s="5" t="s">
        <v>5742</v>
      </c>
      <c r="E1984" s="2" t="s">
        <v>83</v>
      </c>
      <c r="F1984" s="6" t="s">
        <v>84</v>
      </c>
      <c r="G1984" s="5" t="s">
        <v>85</v>
      </c>
      <c r="H1984" s="2" t="s">
        <v>57</v>
      </c>
      <c r="I1984" s="3" t="s">
        <v>5743</v>
      </c>
      <c r="J1984" s="7">
        <v>1</v>
      </c>
      <c r="K1984" s="70"/>
      <c r="L1984" s="9">
        <v>1</v>
      </c>
      <c r="M1984" s="3">
        <v>1578</v>
      </c>
      <c r="N1984" s="6">
        <v>2009</v>
      </c>
      <c r="P1984" s="71"/>
      <c r="R1984" s="6">
        <v>2000</v>
      </c>
      <c r="S1984" s="3" t="s">
        <v>236</v>
      </c>
      <c r="T1984" s="72"/>
      <c r="U1984" s="73"/>
      <c r="W1984" s="2" t="s">
        <v>62</v>
      </c>
      <c r="X1984" s="10" t="s">
        <v>56</v>
      </c>
      <c r="Y1984" s="10" t="s">
        <v>57</v>
      </c>
      <c r="Z1984" s="75"/>
      <c r="AA1984" s="76"/>
      <c r="AB1984" s="77"/>
      <c r="AC1984" s="77"/>
      <c r="AD1984" s="10"/>
      <c r="AI1984" s="7"/>
      <c r="AJ1984" s="95">
        <v>40658</v>
      </c>
      <c r="AK1984" s="7">
        <v>2010</v>
      </c>
      <c r="AL1984" s="16"/>
      <c r="AW1984" s="6">
        <f t="shared" ca="1" si="33"/>
        <v>16</v>
      </c>
    </row>
    <row r="1985" ht="45" hidden="1" customHeight="1" outlineLevel="1">
      <c r="A1985" s="69"/>
      <c r="B1985" s="3" t="s">
        <v>47</v>
      </c>
      <c r="C1985" s="4" t="s">
        <v>5744</v>
      </c>
      <c r="D1985" s="5" t="s">
        <v>5745</v>
      </c>
      <c r="E1985" s="2" t="s">
        <v>83</v>
      </c>
      <c r="F1985" s="6" t="s">
        <v>84</v>
      </c>
      <c r="G1985" s="5" t="s">
        <v>85</v>
      </c>
      <c r="H1985" s="2" t="s">
        <v>3735</v>
      </c>
      <c r="I1985" s="3" t="s">
        <v>5746</v>
      </c>
      <c r="J1985" s="7">
        <v>1</v>
      </c>
      <c r="K1985" s="70"/>
      <c r="L1985" s="9">
        <v>1</v>
      </c>
      <c r="M1985" s="3">
        <v>1579</v>
      </c>
      <c r="N1985" s="6">
        <v>2009</v>
      </c>
      <c r="P1985" s="71"/>
      <c r="R1985" s="6">
        <v>2000</v>
      </c>
      <c r="S1985" s="3" t="s">
        <v>236</v>
      </c>
      <c r="T1985" s="72"/>
      <c r="U1985" s="73"/>
      <c r="W1985" s="2" t="s">
        <v>62</v>
      </c>
      <c r="X1985" s="10" t="s">
        <v>56</v>
      </c>
      <c r="Y1985" s="10" t="s">
        <v>68</v>
      </c>
      <c r="Z1985" s="75" t="s">
        <v>58</v>
      </c>
      <c r="AA1985" s="76"/>
      <c r="AB1985" s="77"/>
      <c r="AC1985" s="77"/>
      <c r="AD1985" s="10"/>
      <c r="AI1985" s="7"/>
      <c r="AJ1985" s="95">
        <v>39916</v>
      </c>
      <c r="AK1985" s="7">
        <v>2000</v>
      </c>
      <c r="AL1985" s="16"/>
      <c r="AW1985" s="6">
        <f t="shared" ca="1" si="33"/>
        <v>16</v>
      </c>
    </row>
    <row r="1986" ht="45" hidden="1" customHeight="1" outlineLevel="1">
      <c r="A1986" s="69"/>
      <c r="B1986" s="3" t="s">
        <v>47</v>
      </c>
      <c r="C1986" s="4" t="s">
        <v>5747</v>
      </c>
      <c r="D1986" s="5" t="s">
        <v>5748</v>
      </c>
      <c r="E1986" s="2" t="s">
        <v>63</v>
      </c>
      <c r="F1986" s="6" t="s">
        <v>354</v>
      </c>
      <c r="G1986" s="5" t="s">
        <v>5749</v>
      </c>
      <c r="H1986" s="2" t="s">
        <v>57</v>
      </c>
      <c r="I1986" s="3" t="s">
        <v>5750</v>
      </c>
      <c r="J1986" s="7">
        <v>0</v>
      </c>
      <c r="K1986" s="70"/>
      <c r="L1986" s="9">
        <v>1</v>
      </c>
      <c r="M1986" s="3">
        <v>1580</v>
      </c>
      <c r="N1986" s="6">
        <v>2009</v>
      </c>
      <c r="P1986" s="71"/>
      <c r="R1986" s="6">
        <v>2000</v>
      </c>
      <c r="S1986" s="3" t="s">
        <v>939</v>
      </c>
      <c r="T1986" s="72"/>
      <c r="U1986" s="73"/>
      <c r="W1986" s="74" t="s">
        <v>5751</v>
      </c>
      <c r="X1986" s="10" t="s">
        <v>56</v>
      </c>
      <c r="Y1986" s="10" t="s">
        <v>57</v>
      </c>
      <c r="Z1986" s="75"/>
      <c r="AA1986" s="76"/>
      <c r="AB1986" s="77"/>
      <c r="AC1986" s="77"/>
      <c r="AD1986" s="10"/>
      <c r="AI1986" s="7"/>
      <c r="AJ1986" s="73"/>
      <c r="AK1986" s="7"/>
      <c r="AL1986" s="16"/>
      <c r="AW1986" s="6">
        <f t="shared" ca="1" si="33"/>
        <v>16</v>
      </c>
    </row>
    <row r="1987" ht="45" hidden="1" customHeight="1" outlineLevel="1">
      <c r="A1987" s="69"/>
      <c r="B1987" s="3" t="s">
        <v>47</v>
      </c>
      <c r="C1987" s="4" t="s">
        <v>5752</v>
      </c>
      <c r="D1987" s="5" t="s">
        <v>5753</v>
      </c>
      <c r="E1987" s="2" t="s">
        <v>48</v>
      </c>
      <c r="F1987" s="6" t="s">
        <v>49</v>
      </c>
      <c r="G1987" s="5" t="s">
        <v>468</v>
      </c>
      <c r="H1987" s="2" t="s">
        <v>288</v>
      </c>
      <c r="I1987" s="3" t="s">
        <v>5754</v>
      </c>
      <c r="J1987" s="7">
        <v>1</v>
      </c>
      <c r="K1987" s="104"/>
      <c r="L1987" s="9">
        <v>1</v>
      </c>
      <c r="M1987" s="3">
        <v>1581</v>
      </c>
      <c r="N1987" s="6">
        <v>2009</v>
      </c>
      <c r="P1987" s="71"/>
      <c r="R1987" s="6">
        <v>2000</v>
      </c>
      <c r="S1987" s="3" t="s">
        <v>236</v>
      </c>
      <c r="T1987" s="72"/>
      <c r="U1987" s="73"/>
      <c r="W1987" s="2" t="s">
        <v>62</v>
      </c>
      <c r="X1987" s="10" t="s">
        <v>56</v>
      </c>
      <c r="Y1987" s="10" t="s">
        <v>288</v>
      </c>
      <c r="Z1987" s="75"/>
      <c r="AA1987" s="76"/>
      <c r="AB1987" s="77"/>
      <c r="AC1987" s="77"/>
      <c r="AD1987" s="6"/>
      <c r="AI1987" s="7"/>
      <c r="AJ1987" s="10">
        <v>42496</v>
      </c>
      <c r="AK1987" s="7">
        <v>2010</v>
      </c>
      <c r="AL1987" s="16"/>
      <c r="AW1987" s="6">
        <f t="shared" ca="1" si="33"/>
        <v>16</v>
      </c>
    </row>
    <row r="1988" ht="45" customHeight="1" outlineLevel="1">
      <c r="A1988" s="69"/>
      <c r="B1988" s="3" t="s">
        <v>190</v>
      </c>
      <c r="C1988" s="4" t="s">
        <v>5755</v>
      </c>
      <c r="D1988" s="5" t="s">
        <v>5756</v>
      </c>
      <c r="E1988" s="2" t="s">
        <v>48</v>
      </c>
      <c r="F1988" s="6" t="s">
        <v>49</v>
      </c>
      <c r="G1988" s="5" t="s">
        <v>3871</v>
      </c>
      <c r="H1988" s="2" t="s">
        <v>288</v>
      </c>
      <c r="I1988" s="3" t="s">
        <v>5757</v>
      </c>
      <c r="J1988" s="7">
        <v>1</v>
      </c>
      <c r="K1988" s="104" t="s">
        <v>1978</v>
      </c>
      <c r="L1988" s="9">
        <v>1</v>
      </c>
      <c r="M1988" s="3">
        <v>1582</v>
      </c>
      <c r="N1988" s="6">
        <v>2009</v>
      </c>
      <c r="P1988" s="71"/>
      <c r="R1988" s="6">
        <v>2000</v>
      </c>
      <c r="S1988" s="3" t="s">
        <v>5758</v>
      </c>
      <c r="T1988" s="72"/>
      <c r="U1988" s="73"/>
      <c r="V1988" s="12">
        <v>42127</v>
      </c>
      <c r="W1988" s="74" t="s">
        <v>5759</v>
      </c>
      <c r="X1988" s="10" t="s">
        <v>56</v>
      </c>
      <c r="Y1988" s="10" t="s">
        <v>288</v>
      </c>
      <c r="Z1988" s="75"/>
      <c r="AA1988" s="76"/>
      <c r="AB1988" s="77"/>
      <c r="AC1988" s="77"/>
      <c r="AD1988" s="221"/>
      <c r="AE1988" s="222"/>
      <c r="AI1988" s="7"/>
      <c r="AJ1988" s="73"/>
      <c r="AK1988" s="7"/>
      <c r="AL1988" s="102"/>
      <c r="AW1988" s="6">
        <f t="shared" ca="1" si="33"/>
        <v>16</v>
      </c>
    </row>
    <row r="1989" ht="45" customHeight="1" outlineLevel="1">
      <c r="A1989" s="69"/>
      <c r="B1989" s="3" t="s">
        <v>47</v>
      </c>
      <c r="D1989" s="5" t="s">
        <v>5760</v>
      </c>
      <c r="E1989" s="2" t="s">
        <v>83</v>
      </c>
      <c r="F1989" s="6" t="s">
        <v>84</v>
      </c>
      <c r="G1989" s="5" t="s">
        <v>85</v>
      </c>
      <c r="H1989" s="2" t="s">
        <v>57</v>
      </c>
      <c r="I1989" s="3" t="s">
        <v>5761</v>
      </c>
      <c r="J1989" s="7">
        <v>1</v>
      </c>
      <c r="K1989" s="70" t="s">
        <v>53</v>
      </c>
      <c r="L1989" s="9">
        <v>1</v>
      </c>
      <c r="M1989" s="3">
        <v>1583</v>
      </c>
      <c r="N1989" s="6">
        <v>2009</v>
      </c>
      <c r="P1989" s="71"/>
      <c r="R1989" s="6">
        <v>2000</v>
      </c>
      <c r="S1989" s="3" t="s">
        <v>54</v>
      </c>
      <c r="T1989" s="72"/>
      <c r="U1989" s="73"/>
      <c r="W1989" s="2" t="s">
        <v>5762</v>
      </c>
      <c r="X1989" s="10" t="s">
        <v>91</v>
      </c>
      <c r="Y1989" s="10" t="s">
        <v>385</v>
      </c>
      <c r="Z1989" s="75"/>
      <c r="AA1989" s="76">
        <v>41064</v>
      </c>
      <c r="AB1989" s="77">
        <v>41064</v>
      </c>
      <c r="AC1989" s="77">
        <v>41064</v>
      </c>
      <c r="AD1989" s="92"/>
      <c r="AE1989" s="7">
        <v>2010</v>
      </c>
      <c r="AF1989" s="7">
        <v>65</v>
      </c>
      <c r="AG1989" s="7">
        <v>2012</v>
      </c>
      <c r="AH1989" s="7">
        <v>2010</v>
      </c>
      <c r="AI1989" s="7"/>
      <c r="AJ1989" s="73"/>
      <c r="AK1989" s="7"/>
      <c r="AL1989" s="75" t="s">
        <v>5763</v>
      </c>
      <c r="AM1989" s="2" t="s">
        <v>59</v>
      </c>
      <c r="AW1989" s="6">
        <f t="shared" ca="1" si="33"/>
        <v>16</v>
      </c>
    </row>
    <row r="1990" ht="45" customHeight="1" outlineLevel="1">
      <c r="A1990" s="69"/>
      <c r="B1990" s="3" t="s">
        <v>47</v>
      </c>
      <c r="D1990" s="5" t="s">
        <v>5764</v>
      </c>
      <c r="E1990" s="2" t="s">
        <v>83</v>
      </c>
      <c r="F1990" s="6" t="s">
        <v>704</v>
      </c>
      <c r="G1990" s="5" t="s">
        <v>4380</v>
      </c>
      <c r="H1990" s="2" t="s">
        <v>288</v>
      </c>
      <c r="I1990" s="3" t="s">
        <v>5765</v>
      </c>
      <c r="J1990" s="7">
        <v>1</v>
      </c>
      <c r="K1990" s="70" t="s">
        <v>53</v>
      </c>
      <c r="L1990" s="9">
        <v>1</v>
      </c>
      <c r="M1990" s="3">
        <v>1584</v>
      </c>
      <c r="N1990" s="6">
        <v>2009</v>
      </c>
      <c r="P1990" s="71"/>
      <c r="R1990" s="6">
        <v>2000</v>
      </c>
      <c r="S1990" s="3" t="s">
        <v>54</v>
      </c>
      <c r="T1990" s="72"/>
      <c r="U1990" s="73"/>
      <c r="W1990" s="2" t="s">
        <v>5766</v>
      </c>
      <c r="X1990" s="10" t="s">
        <v>56</v>
      </c>
      <c r="Y1990" s="10" t="s">
        <v>288</v>
      </c>
      <c r="Z1990" s="75"/>
      <c r="AA1990" s="76">
        <v>40816</v>
      </c>
      <c r="AB1990" s="77">
        <v>40816</v>
      </c>
      <c r="AC1990" s="6"/>
      <c r="AD1990" s="6"/>
      <c r="AE1990" s="7">
        <v>2009</v>
      </c>
      <c r="AF1990" s="7">
        <v>62</v>
      </c>
      <c r="AG1990" s="7">
        <v>2011</v>
      </c>
      <c r="AH1990" s="7">
        <v>2010</v>
      </c>
      <c r="AI1990" s="7"/>
      <c r="AJ1990" s="73"/>
      <c r="AK1990" s="7"/>
      <c r="AL1990" s="99"/>
      <c r="AM1990" s="2" t="s">
        <v>53</v>
      </c>
      <c r="AN1990" s="6" t="s">
        <v>73</v>
      </c>
      <c r="AO1990" s="6" t="s">
        <v>53</v>
      </c>
      <c r="AP1990" s="6" t="s">
        <v>73</v>
      </c>
      <c r="AQ1990" s="5" t="s">
        <v>73</v>
      </c>
      <c r="AR1990" s="2" t="s">
        <v>104</v>
      </c>
      <c r="AS1990" s="6" t="s">
        <v>73</v>
      </c>
      <c r="AT1990" s="6" t="s">
        <v>5767</v>
      </c>
      <c r="AU1990" s="16" t="s">
        <v>5768</v>
      </c>
      <c r="AW1990" s="6">
        <f t="shared" ca="1" si="33"/>
        <v>16</v>
      </c>
    </row>
    <row r="1991" ht="45" customHeight="1" outlineLevel="1">
      <c r="A1991" s="69"/>
      <c r="B1991" s="3" t="s">
        <v>47</v>
      </c>
      <c r="C1991" s="4" t="s">
        <v>5769</v>
      </c>
      <c r="D1991" s="5" t="s">
        <v>5770</v>
      </c>
      <c r="E1991" s="2" t="s">
        <v>63</v>
      </c>
      <c r="F1991" s="6" t="s">
        <v>64</v>
      </c>
      <c r="G1991" s="5" t="s">
        <v>69</v>
      </c>
      <c r="H1991" s="2" t="s">
        <v>3735</v>
      </c>
      <c r="I1991" s="3" t="s">
        <v>5771</v>
      </c>
      <c r="J1991" s="7">
        <v>1</v>
      </c>
      <c r="K1991" s="104" t="s">
        <v>53</v>
      </c>
      <c r="L1991" s="9">
        <v>1</v>
      </c>
      <c r="M1991" s="3">
        <v>1585</v>
      </c>
      <c r="N1991" s="6">
        <v>2009</v>
      </c>
      <c r="O1991" s="10">
        <v>39947</v>
      </c>
      <c r="P1991" s="71" t="s">
        <v>5772</v>
      </c>
      <c r="R1991" s="6">
        <v>2000</v>
      </c>
      <c r="S1991" s="3" t="s">
        <v>54</v>
      </c>
      <c r="T1991" s="72"/>
      <c r="U1991" s="73"/>
      <c r="W1991" s="2" t="s">
        <v>5773</v>
      </c>
      <c r="X1991" s="10" t="s">
        <v>56</v>
      </c>
      <c r="Y1991" s="10" t="s">
        <v>68</v>
      </c>
      <c r="Z1991" s="75" t="s">
        <v>58</v>
      </c>
      <c r="AA1991" s="76">
        <v>43790</v>
      </c>
      <c r="AB1991" s="77">
        <v>43790</v>
      </c>
      <c r="AC1991" s="6"/>
      <c r="AD1991" s="6"/>
      <c r="AE1991" s="7">
        <v>2018</v>
      </c>
      <c r="AF1991" s="7">
        <v>90</v>
      </c>
      <c r="AG1991" s="7">
        <v>2019</v>
      </c>
      <c r="AH1991" s="7">
        <v>2010</v>
      </c>
      <c r="AI1991" s="7"/>
      <c r="AJ1991" s="73"/>
      <c r="AK1991" s="7"/>
      <c r="AL1991" s="99"/>
      <c r="AW1991" s="6">
        <f t="shared" ca="1" si="33"/>
        <v>16</v>
      </c>
    </row>
    <row r="1992" ht="45" hidden="1" customHeight="1">
      <c r="A1992" s="69"/>
      <c r="B1992" s="3" t="s">
        <v>47</v>
      </c>
      <c r="C1992" s="4" t="s">
        <v>1345</v>
      </c>
      <c r="D1992" s="5" t="s">
        <v>5774</v>
      </c>
      <c r="E1992" s="2" t="s">
        <v>48</v>
      </c>
      <c r="F1992" s="6" t="s">
        <v>49</v>
      </c>
      <c r="G1992" s="5" t="s">
        <v>50</v>
      </c>
      <c r="H1992" s="2" t="s">
        <v>68</v>
      </c>
      <c r="I1992" s="3" t="s">
        <v>5775</v>
      </c>
      <c r="J1992" s="7">
        <v>1</v>
      </c>
      <c r="K1992" s="104"/>
      <c r="L1992" s="9">
        <v>1</v>
      </c>
      <c r="M1992" s="3">
        <v>1586</v>
      </c>
      <c r="N1992" s="6">
        <v>2010</v>
      </c>
      <c r="P1992" s="71"/>
      <c r="R1992" s="6">
        <v>2010</v>
      </c>
      <c r="S1992" s="3" t="s">
        <v>236</v>
      </c>
      <c r="T1992" s="72"/>
      <c r="U1992" s="73"/>
      <c r="W1992" s="2" t="s">
        <v>62</v>
      </c>
      <c r="X1992" s="10" t="s">
        <v>56</v>
      </c>
      <c r="Y1992" s="10" t="s">
        <v>68</v>
      </c>
      <c r="Z1992" s="75"/>
      <c r="AA1992" s="76"/>
      <c r="AB1992" s="77"/>
      <c r="AC1992" s="6"/>
      <c r="AD1992" s="6"/>
      <c r="AG1992" s="93"/>
      <c r="AH1992" s="93"/>
      <c r="AI1992" s="7"/>
      <c r="AJ1992" s="10">
        <v>41878</v>
      </c>
      <c r="AK1992" s="7">
        <v>2010</v>
      </c>
      <c r="AL1992" s="99"/>
      <c r="AW1992" s="6">
        <f t="shared" ca="1" si="33"/>
        <v>15</v>
      </c>
    </row>
    <row r="1993" ht="45" hidden="1" customHeight="1" outlineLevel="1">
      <c r="A1993" s="69"/>
      <c r="B1993" s="3" t="s">
        <v>190</v>
      </c>
      <c r="C1993" s="4" t="s">
        <v>5776</v>
      </c>
      <c r="D1993" s="5" t="s">
        <v>5777</v>
      </c>
      <c r="E1993" s="2" t="s">
        <v>63</v>
      </c>
      <c r="F1993" s="6" t="s">
        <v>1230</v>
      </c>
      <c r="G1993" s="5" t="s">
        <v>5778</v>
      </c>
      <c r="H1993" s="2" t="s">
        <v>288</v>
      </c>
      <c r="I1993" s="3" t="s">
        <v>5779</v>
      </c>
      <c r="J1993" s="7">
        <v>1</v>
      </c>
      <c r="L1993" s="9">
        <v>1</v>
      </c>
      <c r="M1993" s="3">
        <v>1587</v>
      </c>
      <c r="N1993" s="6">
        <v>2010</v>
      </c>
      <c r="P1993" s="71"/>
      <c r="R1993" s="6">
        <v>2010</v>
      </c>
      <c r="S1993" s="3" t="s">
        <v>283</v>
      </c>
      <c r="T1993" s="72"/>
      <c r="U1993" s="73"/>
      <c r="W1993" s="74" t="s">
        <v>62</v>
      </c>
      <c r="X1993" s="10" t="s">
        <v>56</v>
      </c>
      <c r="Y1993" s="10" t="s">
        <v>288</v>
      </c>
      <c r="Z1993" s="75"/>
      <c r="AI1993" s="7"/>
      <c r="AJ1993" s="73"/>
      <c r="AK1993" s="7"/>
      <c r="AL1993" s="16"/>
      <c r="AW1993" s="6">
        <f t="shared" ca="1" si="33"/>
        <v>15</v>
      </c>
    </row>
    <row r="1994" ht="45" hidden="1" customHeight="1" outlineLevel="1">
      <c r="A1994" s="69"/>
      <c r="B1994" s="3" t="s">
        <v>47</v>
      </c>
      <c r="C1994" s="4" t="s">
        <v>5741</v>
      </c>
      <c r="D1994" s="5" t="s">
        <v>5780</v>
      </c>
      <c r="E1994" s="2" t="s">
        <v>83</v>
      </c>
      <c r="F1994" s="6" t="s">
        <v>84</v>
      </c>
      <c r="G1994" s="5" t="s">
        <v>85</v>
      </c>
      <c r="H1994" s="2" t="s">
        <v>57</v>
      </c>
      <c r="I1994" s="3" t="s">
        <v>5781</v>
      </c>
      <c r="J1994" s="7">
        <v>1</v>
      </c>
      <c r="L1994" s="9">
        <v>1</v>
      </c>
      <c r="M1994" s="3">
        <v>1588</v>
      </c>
      <c r="N1994" s="6">
        <v>2010</v>
      </c>
      <c r="P1994" s="71"/>
      <c r="R1994" s="6">
        <v>2010</v>
      </c>
      <c r="S1994" s="3" t="s">
        <v>236</v>
      </c>
      <c r="T1994" s="72"/>
      <c r="U1994" s="73"/>
      <c r="W1994" s="2" t="s">
        <v>62</v>
      </c>
      <c r="X1994" s="10" t="s">
        <v>56</v>
      </c>
      <c r="Y1994" s="10" t="s">
        <v>57</v>
      </c>
      <c r="Z1994" s="75"/>
      <c r="AI1994" s="7"/>
      <c r="AJ1994" s="95">
        <v>40658</v>
      </c>
      <c r="AK1994" s="7">
        <v>2010</v>
      </c>
      <c r="AL1994" s="16"/>
      <c r="AW1994" s="6">
        <f t="shared" ca="1" si="33"/>
        <v>15</v>
      </c>
    </row>
    <row r="1995" ht="45" hidden="1" customHeight="1" outlineLevel="1">
      <c r="A1995" s="69"/>
      <c r="B1995" s="3" t="s">
        <v>190</v>
      </c>
      <c r="C1995" s="4" t="s">
        <v>5782</v>
      </c>
      <c r="D1995" s="5" t="s">
        <v>5783</v>
      </c>
      <c r="E1995" s="2" t="s">
        <v>63</v>
      </c>
      <c r="F1995" s="6" t="s">
        <v>1230</v>
      </c>
      <c r="G1995" s="5" t="s">
        <v>5784</v>
      </c>
      <c r="H1995" s="2" t="s">
        <v>288</v>
      </c>
      <c r="I1995" s="3" t="s">
        <v>5785</v>
      </c>
      <c r="J1995" s="7">
        <v>1</v>
      </c>
      <c r="L1995" s="9">
        <v>1</v>
      </c>
      <c r="M1995" s="3">
        <v>1589</v>
      </c>
      <c r="N1995" s="6">
        <v>2010</v>
      </c>
      <c r="P1995" s="71"/>
      <c r="R1995" s="6">
        <v>2010</v>
      </c>
      <c r="S1995" s="3" t="s">
        <v>283</v>
      </c>
      <c r="T1995" s="72"/>
      <c r="U1995" s="73"/>
      <c r="W1995" s="74" t="s">
        <v>62</v>
      </c>
      <c r="X1995" s="10" t="s">
        <v>56</v>
      </c>
      <c r="Y1995" s="10" t="s">
        <v>288</v>
      </c>
      <c r="Z1995" s="75"/>
      <c r="AI1995" s="7"/>
      <c r="AJ1995" s="73"/>
      <c r="AK1995" s="7"/>
      <c r="AL1995" s="16"/>
      <c r="AW1995" s="6">
        <f t="shared" ca="1" si="33"/>
        <v>15</v>
      </c>
    </row>
    <row r="1996" ht="45" customHeight="1" outlineLevel="1">
      <c r="A1996" s="69"/>
      <c r="B1996" s="3" t="s">
        <v>47</v>
      </c>
      <c r="D1996" s="5" t="s">
        <v>5786</v>
      </c>
      <c r="E1996" s="2" t="s">
        <v>83</v>
      </c>
      <c r="F1996" s="6" t="s">
        <v>704</v>
      </c>
      <c r="G1996" s="5" t="s">
        <v>1752</v>
      </c>
      <c r="H1996" s="2" t="s">
        <v>288</v>
      </c>
      <c r="I1996" s="3" t="s">
        <v>5787</v>
      </c>
      <c r="J1996" s="7">
        <v>1</v>
      </c>
      <c r="K1996" s="70" t="s">
        <v>53</v>
      </c>
      <c r="L1996" s="9">
        <v>1</v>
      </c>
      <c r="M1996" s="3">
        <v>1590</v>
      </c>
      <c r="N1996" s="6">
        <v>2010</v>
      </c>
      <c r="P1996" s="71"/>
      <c r="R1996" s="6">
        <v>2010</v>
      </c>
      <c r="S1996" s="3" t="s">
        <v>54</v>
      </c>
      <c r="T1996" s="72"/>
      <c r="U1996" s="73"/>
      <c r="W1996" s="2" t="s">
        <v>5788</v>
      </c>
      <c r="X1996" s="10" t="s">
        <v>56</v>
      </c>
      <c r="Y1996" s="10" t="s">
        <v>288</v>
      </c>
      <c r="Z1996" s="75"/>
      <c r="AA1996" s="76">
        <v>41248</v>
      </c>
      <c r="AB1996" s="77">
        <v>41248</v>
      </c>
      <c r="AC1996" s="77"/>
      <c r="AD1996" s="6"/>
      <c r="AE1996" s="7">
        <v>2010</v>
      </c>
      <c r="AF1996" s="7">
        <v>66</v>
      </c>
      <c r="AG1996" s="7">
        <v>2012</v>
      </c>
      <c r="AH1996" s="7">
        <v>2010</v>
      </c>
      <c r="AI1996" s="7"/>
      <c r="AJ1996" s="73"/>
      <c r="AK1996" s="7"/>
      <c r="AL1996" s="75" t="s">
        <v>5789</v>
      </c>
      <c r="AM1996" s="2" t="s">
        <v>53</v>
      </c>
      <c r="AN1996" s="6" t="s">
        <v>73</v>
      </c>
      <c r="AO1996" s="6" t="s">
        <v>53</v>
      </c>
      <c r="AP1996" s="6" t="s">
        <v>73</v>
      </c>
      <c r="AQ1996" s="5" t="s">
        <v>73</v>
      </c>
      <c r="AR1996" s="2" t="s">
        <v>104</v>
      </c>
      <c r="AS1996" s="6" t="s">
        <v>73</v>
      </c>
      <c r="AT1996" s="6">
        <v>2011</v>
      </c>
      <c r="AU1996" s="16" t="s">
        <v>5790</v>
      </c>
      <c r="AW1996" s="6">
        <f t="shared" ca="1" si="33"/>
        <v>15</v>
      </c>
    </row>
    <row r="1997" ht="45" hidden="1" customHeight="1" outlineLevel="1">
      <c r="A1997" s="69">
        <v>42467</v>
      </c>
      <c r="B1997" s="3" t="s">
        <v>47</v>
      </c>
      <c r="C1997" s="4" t="s">
        <v>5791</v>
      </c>
      <c r="D1997" s="5" t="s">
        <v>5792</v>
      </c>
      <c r="E1997" s="2" t="s">
        <v>83</v>
      </c>
      <c r="F1997" s="6" t="s">
        <v>704</v>
      </c>
      <c r="G1997" s="5" t="s">
        <v>705</v>
      </c>
      <c r="H1997" s="2" t="s">
        <v>88</v>
      </c>
      <c r="I1997" s="3" t="s">
        <v>5793</v>
      </c>
      <c r="J1997" s="7">
        <v>1</v>
      </c>
      <c r="K1997" s="104"/>
      <c r="L1997" s="9">
        <v>1</v>
      </c>
      <c r="M1997" s="3">
        <v>1591</v>
      </c>
      <c r="N1997" s="6">
        <v>2010</v>
      </c>
      <c r="P1997" s="71"/>
      <c r="R1997" s="6">
        <v>2010</v>
      </c>
      <c r="S1997" s="3" t="s">
        <v>236</v>
      </c>
      <c r="T1997" s="72" t="s">
        <v>1136</v>
      </c>
      <c r="U1997" s="10">
        <v>44092</v>
      </c>
      <c r="W1997" s="2" t="s">
        <v>62</v>
      </c>
      <c r="X1997" s="10" t="s">
        <v>91</v>
      </c>
      <c r="Y1997" s="10" t="s">
        <v>214</v>
      </c>
      <c r="Z1997" s="75"/>
      <c r="AA1997" s="76"/>
      <c r="AB1997" s="77"/>
      <c r="AC1997" s="77"/>
      <c r="AD1997" s="6"/>
      <c r="AI1997" s="7"/>
      <c r="AJ1997" s="10">
        <v>44118</v>
      </c>
      <c r="AK1997" s="7">
        <v>2020</v>
      </c>
      <c r="AW1997" s="6">
        <f t="shared" ca="1" si="33"/>
        <v>15</v>
      </c>
    </row>
    <row r="1998" ht="45" customHeight="1" outlineLevel="1">
      <c r="A1998" s="69"/>
      <c r="B1998" s="3" t="s">
        <v>47</v>
      </c>
      <c r="D1998" s="5" t="s">
        <v>5794</v>
      </c>
      <c r="E1998" s="2" t="s">
        <v>83</v>
      </c>
      <c r="F1998" s="6" t="s">
        <v>179</v>
      </c>
      <c r="G1998" s="5" t="s">
        <v>2322</v>
      </c>
      <c r="H1998" s="2" t="s">
        <v>288</v>
      </c>
      <c r="I1998" s="3" t="s">
        <v>5795</v>
      </c>
      <c r="J1998" s="7">
        <v>1</v>
      </c>
      <c r="K1998" s="70" t="s">
        <v>53</v>
      </c>
      <c r="L1998" s="9">
        <v>1</v>
      </c>
      <c r="M1998" s="3">
        <v>1592</v>
      </c>
      <c r="N1998" s="6">
        <v>2010</v>
      </c>
      <c r="P1998" s="71"/>
      <c r="R1998" s="6">
        <v>2010</v>
      </c>
      <c r="S1998" s="3" t="s">
        <v>54</v>
      </c>
      <c r="T1998" s="72"/>
      <c r="U1998" s="73"/>
      <c r="W1998" s="2" t="s">
        <v>5796</v>
      </c>
      <c r="X1998" s="10" t="s">
        <v>56</v>
      </c>
      <c r="Y1998" s="10" t="s">
        <v>288</v>
      </c>
      <c r="Z1998" s="75"/>
      <c r="AA1998" s="76">
        <v>42201</v>
      </c>
      <c r="AB1998" s="77">
        <v>41183</v>
      </c>
      <c r="AC1998" s="77"/>
      <c r="AD1998" s="10"/>
      <c r="AE1998" s="7">
        <v>2010</v>
      </c>
      <c r="AF1998" s="7" t="s">
        <v>5797</v>
      </c>
      <c r="AG1998" s="7">
        <v>2012</v>
      </c>
      <c r="AH1998" s="7">
        <v>2010</v>
      </c>
      <c r="AI1998" s="7">
        <v>2015</v>
      </c>
      <c r="AJ1998" s="73"/>
      <c r="AK1998" s="7"/>
      <c r="AL1998" s="75" t="s">
        <v>5798</v>
      </c>
      <c r="AM1998" s="2" t="s">
        <v>53</v>
      </c>
      <c r="AN1998" s="6" t="s">
        <v>73</v>
      </c>
      <c r="AO1998" s="6" t="s">
        <v>53</v>
      </c>
      <c r="AP1998" s="6" t="s">
        <v>73</v>
      </c>
      <c r="AQ1998" s="5" t="s">
        <v>73</v>
      </c>
      <c r="AW1998" s="6">
        <f t="shared" ca="1" si="33"/>
        <v>15</v>
      </c>
    </row>
    <row r="1999" ht="45" hidden="1" customHeight="1" outlineLevel="1">
      <c r="A1999" s="69">
        <v>45198</v>
      </c>
      <c r="B1999" s="3" t="s">
        <v>1926</v>
      </c>
      <c r="C1999" s="4" t="s">
        <v>5799</v>
      </c>
      <c r="D1999" s="5" t="s">
        <v>5800</v>
      </c>
      <c r="E1999" s="2" t="s">
        <v>48</v>
      </c>
      <c r="F1999" s="6" t="s">
        <v>49</v>
      </c>
      <c r="G1999" s="5" t="s">
        <v>468</v>
      </c>
      <c r="H1999" s="2" t="s">
        <v>68</v>
      </c>
      <c r="I1999" s="3" t="s">
        <v>5801</v>
      </c>
      <c r="J1999" s="7">
        <v>1</v>
      </c>
      <c r="K1999" s="70"/>
      <c r="L1999" s="9">
        <v>1</v>
      </c>
      <c r="M1999" s="3">
        <v>1593</v>
      </c>
      <c r="N1999" s="6">
        <v>2010</v>
      </c>
      <c r="O1999" s="10">
        <v>38234</v>
      </c>
      <c r="P1999" s="71" t="s">
        <v>5802</v>
      </c>
      <c r="Q1999" s="10">
        <v>40284</v>
      </c>
      <c r="R1999" s="6">
        <v>2010</v>
      </c>
      <c r="S1999" s="3" t="s">
        <v>283</v>
      </c>
      <c r="T1999" s="72" t="s">
        <v>998</v>
      </c>
      <c r="U1999" s="73"/>
      <c r="W1999" s="74" t="s">
        <v>62</v>
      </c>
      <c r="X1999" s="10" t="s">
        <v>56</v>
      </c>
      <c r="Y1999" s="10" t="s">
        <v>68</v>
      </c>
      <c r="Z1999" s="75"/>
      <c r="AA1999" s="76"/>
      <c r="AB1999" s="77"/>
      <c r="AC1999" s="77"/>
      <c r="AD1999" s="10"/>
      <c r="AI1999" s="7"/>
      <c r="AJ1999" s="73"/>
      <c r="AK1999" s="7"/>
      <c r="AL1999" s="16"/>
      <c r="AW1999" s="6">
        <f t="shared" ca="1" si="33"/>
        <v>15</v>
      </c>
    </row>
    <row r="2000" ht="45" hidden="1" customHeight="1" outlineLevel="1">
      <c r="A2000" s="69"/>
      <c r="B2000" s="3" t="s">
        <v>47</v>
      </c>
      <c r="C2000" s="4" t="s">
        <v>1345</v>
      </c>
      <c r="D2000" s="5" t="s">
        <v>5803</v>
      </c>
      <c r="E2000" s="2" t="s">
        <v>63</v>
      </c>
      <c r="F2000" s="6" t="s">
        <v>172</v>
      </c>
      <c r="G2000" s="5" t="s">
        <v>173</v>
      </c>
      <c r="H2000" s="2" t="s">
        <v>508</v>
      </c>
      <c r="I2000" s="96" t="s">
        <v>5804</v>
      </c>
      <c r="J2000" s="7">
        <v>1</v>
      </c>
      <c r="K2000" s="70"/>
      <c r="L2000" s="9">
        <v>1</v>
      </c>
      <c r="M2000" s="3">
        <v>1594</v>
      </c>
      <c r="N2000" s="6">
        <v>2010</v>
      </c>
      <c r="P2000" s="71"/>
      <c r="R2000" s="6">
        <v>2010</v>
      </c>
      <c r="S2000" s="3" t="s">
        <v>236</v>
      </c>
      <c r="T2000" s="72"/>
      <c r="U2000" s="73"/>
      <c r="W2000" s="2" t="s">
        <v>62</v>
      </c>
      <c r="X2000" s="10" t="s">
        <v>504</v>
      </c>
      <c r="Y2000" s="10" t="s">
        <v>511</v>
      </c>
      <c r="Z2000" s="75"/>
      <c r="AA2000" s="76"/>
      <c r="AB2000" s="77"/>
      <c r="AC2000" s="77"/>
      <c r="AD2000" s="10"/>
      <c r="AI2000" s="7"/>
      <c r="AJ2000" s="95">
        <v>41878</v>
      </c>
      <c r="AK2000" s="7">
        <v>2010</v>
      </c>
      <c r="AL2000" s="16"/>
      <c r="AW2000" s="6">
        <f t="shared" ca="1" si="33"/>
        <v>15</v>
      </c>
    </row>
    <row r="2001" ht="45" hidden="1" customHeight="1" outlineLevel="1">
      <c r="A2001" s="69"/>
      <c r="B2001" s="3" t="s">
        <v>47</v>
      </c>
      <c r="D2001" s="5" t="s">
        <v>5805</v>
      </c>
      <c r="E2001" s="2" t="s">
        <v>63</v>
      </c>
      <c r="F2001" s="6" t="s">
        <v>64</v>
      </c>
      <c r="G2001" s="5" t="s">
        <v>1474</v>
      </c>
      <c r="H2001" s="2" t="s">
        <v>257</v>
      </c>
      <c r="I2001" s="3" t="s">
        <v>5806</v>
      </c>
      <c r="J2001" s="7">
        <v>1</v>
      </c>
      <c r="K2001" s="70"/>
      <c r="L2001" s="9">
        <v>1</v>
      </c>
      <c r="M2001" s="3">
        <v>1595</v>
      </c>
      <c r="N2001" s="6">
        <v>2010</v>
      </c>
      <c r="P2001" s="71"/>
      <c r="R2001" s="6">
        <v>2010</v>
      </c>
      <c r="S2001" s="3" t="s">
        <v>236</v>
      </c>
      <c r="T2001" s="72"/>
      <c r="U2001" s="73"/>
      <c r="W2001" s="2" t="s">
        <v>62</v>
      </c>
      <c r="X2001" s="10" t="s">
        <v>56</v>
      </c>
      <c r="Y2001" s="10" t="s">
        <v>68</v>
      </c>
      <c r="Z2001" s="75" t="s">
        <v>237</v>
      </c>
      <c r="AA2001" s="76"/>
      <c r="AB2001" s="77"/>
      <c r="AC2001" s="77"/>
      <c r="AD2001" s="10"/>
      <c r="AI2001" s="7"/>
      <c r="AK2001" s="7"/>
      <c r="AL2001" s="16"/>
      <c r="AW2001" s="6">
        <f t="shared" ca="1" si="33"/>
        <v>15</v>
      </c>
    </row>
    <row r="2002" ht="45" hidden="1" customHeight="1" outlineLevel="1">
      <c r="A2002" s="69"/>
      <c r="B2002" s="3" t="s">
        <v>47</v>
      </c>
      <c r="C2002" s="4" t="s">
        <v>1345</v>
      </c>
      <c r="D2002" s="5" t="s">
        <v>5807</v>
      </c>
      <c r="E2002" s="2" t="s">
        <v>83</v>
      </c>
      <c r="F2002" s="6" t="s">
        <v>179</v>
      </c>
      <c r="G2002" s="5" t="s">
        <v>339</v>
      </c>
      <c r="H2002" s="2" t="s">
        <v>977</v>
      </c>
      <c r="I2002" s="3" t="s">
        <v>5808</v>
      </c>
      <c r="J2002" s="7">
        <v>1</v>
      </c>
      <c r="K2002" s="70"/>
      <c r="L2002" s="9">
        <v>1</v>
      </c>
      <c r="M2002" s="3">
        <v>1596</v>
      </c>
      <c r="N2002" s="6">
        <v>2010</v>
      </c>
      <c r="P2002" s="71"/>
      <c r="R2002" s="6">
        <v>2010</v>
      </c>
      <c r="S2002" s="3" t="s">
        <v>236</v>
      </c>
      <c r="T2002" s="72"/>
      <c r="U2002" s="73">
        <v>41864</v>
      </c>
      <c r="W2002" s="2" t="s">
        <v>62</v>
      </c>
      <c r="X2002" s="10" t="s">
        <v>213</v>
      </c>
      <c r="Y2002" s="10" t="s">
        <v>980</v>
      </c>
      <c r="Z2002" s="75"/>
      <c r="AA2002" s="76"/>
      <c r="AB2002" s="77"/>
      <c r="AC2002" s="77"/>
      <c r="AD2002" s="10"/>
      <c r="AI2002" s="7"/>
      <c r="AJ2002" s="10">
        <v>41878</v>
      </c>
      <c r="AK2002" s="7">
        <v>2010</v>
      </c>
      <c r="AL2002" s="16"/>
      <c r="AW2002" s="6">
        <f t="shared" ca="1" si="33"/>
        <v>15</v>
      </c>
    </row>
    <row r="2003" ht="45" customHeight="1">
      <c r="A2003" s="69">
        <v>41914</v>
      </c>
      <c r="B2003" s="3" t="s">
        <v>1743</v>
      </c>
      <c r="C2003" s="4" t="s">
        <v>5809</v>
      </c>
      <c r="D2003" s="5" t="s">
        <v>5810</v>
      </c>
      <c r="E2003" s="2" t="s">
        <v>694</v>
      </c>
      <c r="F2003" s="6" t="s">
        <v>695</v>
      </c>
      <c r="G2003" s="5" t="s">
        <v>696</v>
      </c>
      <c r="H2003" s="2" t="s">
        <v>88</v>
      </c>
      <c r="I2003" s="3" t="s">
        <v>5811</v>
      </c>
      <c r="J2003" s="7">
        <v>1</v>
      </c>
      <c r="K2003" s="8" t="s">
        <v>1978</v>
      </c>
      <c r="L2003" s="9">
        <v>1</v>
      </c>
      <c r="M2003" s="3">
        <v>1597</v>
      </c>
      <c r="N2003" s="6">
        <v>2010</v>
      </c>
      <c r="O2003" s="10">
        <v>40276</v>
      </c>
      <c r="P2003" s="71"/>
      <c r="R2003" s="6">
        <v>2010</v>
      </c>
      <c r="S2003" s="3" t="s">
        <v>1980</v>
      </c>
      <c r="T2003" s="72"/>
      <c r="U2003" s="73"/>
      <c r="V2003" s="12">
        <v>41782</v>
      </c>
      <c r="W2003" s="2" t="s">
        <v>5812</v>
      </c>
      <c r="X2003" s="10" t="s">
        <v>91</v>
      </c>
      <c r="Y2003" s="10" t="s">
        <v>214</v>
      </c>
      <c r="Z2003" s="75"/>
      <c r="AG2003" s="93"/>
      <c r="AH2003" s="93"/>
      <c r="AI2003" s="7"/>
      <c r="AJ2003" s="73"/>
      <c r="AK2003" s="7"/>
      <c r="AW2003" s="6">
        <f t="shared" ca="1" si="33"/>
        <v>15</v>
      </c>
    </row>
    <row r="2004" ht="45" customHeight="1">
      <c r="A2004" s="69"/>
      <c r="B2004" s="3" t="s">
        <v>47</v>
      </c>
      <c r="D2004" s="5" t="s">
        <v>5813</v>
      </c>
      <c r="E2004" s="2" t="s">
        <v>1074</v>
      </c>
      <c r="F2004" s="6" t="s">
        <v>1075</v>
      </c>
      <c r="G2004" s="5" t="s">
        <v>5814</v>
      </c>
      <c r="H2004" s="2" t="s">
        <v>491</v>
      </c>
      <c r="I2004" s="3" t="s">
        <v>5815</v>
      </c>
      <c r="J2004" s="7">
        <v>1</v>
      </c>
      <c r="K2004" s="70" t="s">
        <v>53</v>
      </c>
      <c r="L2004" s="9">
        <v>1</v>
      </c>
      <c r="M2004" s="3">
        <v>1598</v>
      </c>
      <c r="N2004" s="6">
        <v>2010</v>
      </c>
      <c r="P2004" s="71"/>
      <c r="R2004" s="6">
        <v>2010</v>
      </c>
      <c r="S2004" s="3" t="s">
        <v>54</v>
      </c>
      <c r="T2004" s="72"/>
      <c r="U2004" s="73"/>
      <c r="W2004" s="2" t="s">
        <v>5816</v>
      </c>
      <c r="X2004" s="10" t="s">
        <v>56</v>
      </c>
      <c r="Y2004" s="10" t="s">
        <v>523</v>
      </c>
      <c r="Z2004" s="75"/>
      <c r="AB2004" s="14">
        <v>41967</v>
      </c>
      <c r="AC2004" s="14">
        <v>41967</v>
      </c>
      <c r="AE2004" s="7">
        <v>2012</v>
      </c>
      <c r="AF2004" s="7">
        <v>71</v>
      </c>
      <c r="AG2004" s="7">
        <v>2014</v>
      </c>
      <c r="AH2004" s="7">
        <v>2010</v>
      </c>
      <c r="AI2004" s="7"/>
      <c r="AJ2004" s="73"/>
      <c r="AK2004" s="7"/>
      <c r="AL2004" s="16" t="s">
        <v>5817</v>
      </c>
      <c r="AM2004" s="2" t="s">
        <v>59</v>
      </c>
      <c r="AW2004" s="6">
        <f t="shared" ca="1" si="33"/>
        <v>15</v>
      </c>
    </row>
    <row r="2005" ht="45" customHeight="1" outlineLevel="1">
      <c r="A2005" s="69">
        <v>45140</v>
      </c>
      <c r="B2005" s="3" t="s">
        <v>1926</v>
      </c>
      <c r="C2005" s="4" t="s">
        <v>5818</v>
      </c>
      <c r="D2005" s="5" t="s">
        <v>5819</v>
      </c>
      <c r="E2005" s="2" t="s">
        <v>694</v>
      </c>
      <c r="F2005" s="6" t="s">
        <v>2495</v>
      </c>
      <c r="G2005" s="5" t="s">
        <v>2496</v>
      </c>
      <c r="H2005" s="2" t="s">
        <v>508</v>
      </c>
      <c r="I2005" s="3" t="s">
        <v>5820</v>
      </c>
      <c r="J2005" s="7">
        <v>1</v>
      </c>
      <c r="K2005" s="70" t="s">
        <v>1748</v>
      </c>
      <c r="L2005" s="9">
        <v>1</v>
      </c>
      <c r="M2005" s="3">
        <v>1599</v>
      </c>
      <c r="N2005" s="6">
        <v>2010</v>
      </c>
      <c r="O2005" s="10">
        <v>40038</v>
      </c>
      <c r="P2005" s="71" t="s">
        <v>5821</v>
      </c>
      <c r="Q2005" s="10">
        <v>40303</v>
      </c>
      <c r="R2005" s="6">
        <v>2010</v>
      </c>
      <c r="S2005" s="3" t="s">
        <v>1749</v>
      </c>
      <c r="T2005" s="72" t="s">
        <v>998</v>
      </c>
      <c r="U2005" s="73"/>
      <c r="W2005" s="74" t="s">
        <v>5822</v>
      </c>
      <c r="X2005" s="10" t="s">
        <v>504</v>
      </c>
      <c r="Y2005" s="10" t="s">
        <v>511</v>
      </c>
      <c r="Z2005" s="75"/>
      <c r="AA2005" s="13" t="s">
        <v>208</v>
      </c>
      <c r="AE2005" s="7">
        <v>2010</v>
      </c>
      <c r="AF2005" s="7">
        <v>65</v>
      </c>
      <c r="AG2005" s="93"/>
      <c r="AI2005" s="7"/>
      <c r="AJ2005" s="73"/>
      <c r="AK2005" s="7"/>
      <c r="AL2005" s="75" t="s">
        <v>5823</v>
      </c>
      <c r="AM2005" s="2" t="s">
        <v>53</v>
      </c>
      <c r="AN2005" s="6" t="s">
        <v>73</v>
      </c>
      <c r="AO2005" s="6" t="s">
        <v>53</v>
      </c>
      <c r="AP2005" s="6" t="s">
        <v>73</v>
      </c>
      <c r="AQ2005" s="5" t="s">
        <v>73</v>
      </c>
      <c r="AW2005" s="6">
        <f t="shared" ca="1" si="33"/>
        <v>15</v>
      </c>
    </row>
    <row r="2006" ht="45" customHeight="1" outlineLevel="1">
      <c r="A2006" s="69"/>
      <c r="B2006" s="3" t="s">
        <v>47</v>
      </c>
      <c r="C2006" s="4" t="s">
        <v>5824</v>
      </c>
      <c r="D2006" s="5" t="s">
        <v>5825</v>
      </c>
      <c r="E2006" s="2" t="s">
        <v>83</v>
      </c>
      <c r="F2006" s="6" t="s">
        <v>84</v>
      </c>
      <c r="G2006" s="5" t="s">
        <v>85</v>
      </c>
      <c r="H2006" s="2" t="s">
        <v>57</v>
      </c>
      <c r="I2006" s="3" t="s">
        <v>5826</v>
      </c>
      <c r="J2006" s="7">
        <v>1</v>
      </c>
      <c r="K2006" s="70" t="s">
        <v>53</v>
      </c>
      <c r="L2006" s="9">
        <v>1</v>
      </c>
      <c r="M2006" s="3">
        <v>1600</v>
      </c>
      <c r="N2006" s="6">
        <v>2010</v>
      </c>
      <c r="P2006" s="71"/>
      <c r="R2006" s="6">
        <v>2010</v>
      </c>
      <c r="S2006" s="3" t="s">
        <v>54</v>
      </c>
      <c r="T2006" s="72"/>
      <c r="U2006" s="73"/>
      <c r="W2006" s="2" t="s">
        <v>5827</v>
      </c>
      <c r="X2006" s="10" t="s">
        <v>56</v>
      </c>
      <c r="Y2006" s="10" t="s">
        <v>57</v>
      </c>
      <c r="Z2006" s="75"/>
      <c r="AA2006" s="76"/>
      <c r="AB2006" s="77">
        <v>44750</v>
      </c>
      <c r="AC2006" s="77"/>
      <c r="AD2006" s="10"/>
      <c r="AE2006" s="7">
        <v>2015</v>
      </c>
      <c r="AF2006" s="7">
        <v>80</v>
      </c>
      <c r="AG2006" s="93"/>
      <c r="AI2006" s="7"/>
      <c r="AJ2006" s="73"/>
      <c r="AK2006" s="7"/>
      <c r="AL2006" s="16" t="s">
        <v>5828</v>
      </c>
      <c r="AM2006" s="2" t="s">
        <v>59</v>
      </c>
      <c r="AO2006" s="6" t="s">
        <v>59</v>
      </c>
      <c r="AU2006" s="16" t="s">
        <v>5829</v>
      </c>
      <c r="AW2006" s="6">
        <f t="shared" ca="1" si="33"/>
        <v>15</v>
      </c>
    </row>
    <row r="2007" ht="45" hidden="1" customHeight="1" outlineLevel="1">
      <c r="A2007" s="69"/>
      <c r="B2007" s="3" t="s">
        <v>190</v>
      </c>
      <c r="C2007" s="4" t="s">
        <v>5830</v>
      </c>
      <c r="D2007" s="5" t="s">
        <v>5831</v>
      </c>
      <c r="E2007" s="2" t="s">
        <v>63</v>
      </c>
      <c r="F2007" s="6" t="s">
        <v>64</v>
      </c>
      <c r="G2007" s="5" t="s">
        <v>65</v>
      </c>
      <c r="H2007" s="2" t="s">
        <v>257</v>
      </c>
      <c r="I2007" s="3" t="s">
        <v>5832</v>
      </c>
      <c r="J2007" s="7">
        <v>1</v>
      </c>
      <c r="K2007" s="70"/>
      <c r="L2007" s="9">
        <v>1</v>
      </c>
      <c r="M2007" s="3">
        <v>1601</v>
      </c>
      <c r="N2007" s="6">
        <v>2010</v>
      </c>
      <c r="P2007" s="71"/>
      <c r="R2007" s="6">
        <v>2010</v>
      </c>
      <c r="S2007" s="3" t="s">
        <v>283</v>
      </c>
      <c r="T2007" s="72"/>
      <c r="U2007" s="73"/>
      <c r="W2007" s="74" t="s">
        <v>62</v>
      </c>
      <c r="X2007" s="10" t="s">
        <v>56</v>
      </c>
      <c r="Y2007" s="10" t="s">
        <v>68</v>
      </c>
      <c r="Z2007" s="75" t="s">
        <v>237</v>
      </c>
      <c r="AA2007" s="76"/>
      <c r="AB2007" s="77"/>
      <c r="AC2007" s="77"/>
      <c r="AD2007" s="10"/>
      <c r="AI2007" s="7"/>
      <c r="AJ2007" s="73"/>
      <c r="AK2007" s="7"/>
      <c r="AL2007" s="16"/>
      <c r="AW2007" s="6">
        <f t="shared" ca="1" si="33"/>
        <v>15</v>
      </c>
    </row>
    <row r="2008" ht="45" customHeight="1" outlineLevel="1">
      <c r="A2008" s="69"/>
      <c r="B2008" s="3" t="s">
        <v>47</v>
      </c>
      <c r="D2008" s="5" t="s">
        <v>5833</v>
      </c>
      <c r="E2008" s="2" t="s">
        <v>63</v>
      </c>
      <c r="F2008" s="6" t="s">
        <v>898</v>
      </c>
      <c r="G2008" s="5" t="s">
        <v>907</v>
      </c>
      <c r="H2008" s="2" t="s">
        <v>288</v>
      </c>
      <c r="I2008" s="3" t="s">
        <v>5834</v>
      </c>
      <c r="J2008" s="7">
        <v>1</v>
      </c>
      <c r="K2008" s="70" t="s">
        <v>53</v>
      </c>
      <c r="L2008" s="9">
        <v>1</v>
      </c>
      <c r="M2008" s="3">
        <v>1602</v>
      </c>
      <c r="N2008" s="6">
        <v>2010</v>
      </c>
      <c r="P2008" s="71"/>
      <c r="R2008" s="6">
        <v>2010</v>
      </c>
      <c r="S2008" s="3" t="s">
        <v>54</v>
      </c>
      <c r="T2008" s="72"/>
      <c r="U2008" s="73"/>
      <c r="W2008" s="2" t="s">
        <v>5835</v>
      </c>
      <c r="X2008" s="10" t="s">
        <v>56</v>
      </c>
      <c r="Y2008" s="10" t="s">
        <v>288</v>
      </c>
      <c r="Z2008" s="75"/>
      <c r="AA2008" s="76">
        <v>41500</v>
      </c>
      <c r="AB2008" s="77">
        <v>41500</v>
      </c>
      <c r="AC2008" s="77"/>
      <c r="AD2008" s="10"/>
      <c r="AE2008" s="7">
        <v>2012</v>
      </c>
      <c r="AF2008" s="7">
        <v>69</v>
      </c>
      <c r="AG2008" s="7">
        <v>2013</v>
      </c>
      <c r="AH2008" s="7">
        <v>2010</v>
      </c>
      <c r="AI2008" s="7"/>
      <c r="AJ2008" s="73"/>
      <c r="AK2008" s="7"/>
      <c r="AL2008" s="102" t="s">
        <v>5836</v>
      </c>
      <c r="AM2008" s="2" t="s">
        <v>53</v>
      </c>
      <c r="AN2008" s="6" t="s">
        <v>73</v>
      </c>
      <c r="AO2008" s="6" t="s">
        <v>53</v>
      </c>
      <c r="AP2008" s="6" t="s">
        <v>73</v>
      </c>
      <c r="AR2008" s="2" t="s">
        <v>104</v>
      </c>
      <c r="AS2008" s="6" t="s">
        <v>73</v>
      </c>
      <c r="AT2008" s="6" t="s">
        <v>5635</v>
      </c>
      <c r="AU2008" s="16" t="s">
        <v>5595</v>
      </c>
      <c r="AW2008" s="6">
        <f t="shared" ca="1" si="33"/>
        <v>15</v>
      </c>
    </row>
    <row r="2009" ht="45" customHeight="1" outlineLevel="1">
      <c r="A2009" s="69"/>
      <c r="B2009" s="3" t="s">
        <v>47</v>
      </c>
      <c r="D2009" s="5" t="s">
        <v>5837</v>
      </c>
      <c r="E2009" s="2" t="s">
        <v>83</v>
      </c>
      <c r="F2009" s="6" t="s">
        <v>704</v>
      </c>
      <c r="G2009" s="5" t="s">
        <v>705</v>
      </c>
      <c r="H2009" s="2" t="s">
        <v>57</v>
      </c>
      <c r="I2009" s="3" t="s">
        <v>5838</v>
      </c>
      <c r="J2009" s="7">
        <v>1</v>
      </c>
      <c r="K2009" s="70" t="s">
        <v>53</v>
      </c>
      <c r="L2009" s="9">
        <v>1</v>
      </c>
      <c r="M2009" s="3">
        <v>1603</v>
      </c>
      <c r="N2009" s="6">
        <v>2010</v>
      </c>
      <c r="P2009" s="71"/>
      <c r="R2009" s="6">
        <v>2010</v>
      </c>
      <c r="S2009" s="3" t="s">
        <v>54</v>
      </c>
      <c r="T2009" s="72"/>
      <c r="U2009" s="73"/>
      <c r="W2009" s="2" t="s">
        <v>5839</v>
      </c>
      <c r="X2009" s="10" t="s">
        <v>56</v>
      </c>
      <c r="Y2009" s="10" t="s">
        <v>57</v>
      </c>
      <c r="Z2009" s="75"/>
      <c r="AA2009" s="76"/>
      <c r="AB2009" s="77" t="s">
        <v>208</v>
      </c>
      <c r="AC2009" s="77" t="s">
        <v>208</v>
      </c>
      <c r="AD2009" s="10"/>
      <c r="AE2009" s="7">
        <v>2015</v>
      </c>
      <c r="AF2009" s="7">
        <v>81</v>
      </c>
      <c r="AG2009" s="7">
        <v>2016</v>
      </c>
      <c r="AH2009" s="7">
        <v>2010</v>
      </c>
      <c r="AI2009" s="7"/>
      <c r="AJ2009" s="73"/>
      <c r="AK2009" s="7"/>
      <c r="AL2009" s="16" t="s">
        <v>5840</v>
      </c>
      <c r="AM2009" s="2" t="s">
        <v>59</v>
      </c>
      <c r="AO2009" s="6" t="s">
        <v>53</v>
      </c>
      <c r="AQ2009" s="5" t="s">
        <v>73</v>
      </c>
      <c r="AW2009" s="6">
        <f t="shared" ca="1" si="33"/>
        <v>15</v>
      </c>
    </row>
    <row r="2010" ht="45" hidden="1" customHeight="1" outlineLevel="1">
      <c r="A2010" s="69">
        <v>41784</v>
      </c>
      <c r="B2010" s="3" t="s">
        <v>47</v>
      </c>
      <c r="C2010" s="4" t="s">
        <v>5841</v>
      </c>
      <c r="D2010" s="5" t="s">
        <v>5842</v>
      </c>
      <c r="E2010" s="2" t="s">
        <v>63</v>
      </c>
      <c r="F2010" s="6" t="s">
        <v>172</v>
      </c>
      <c r="G2010" s="5" t="s">
        <v>4272</v>
      </c>
      <c r="H2010" s="2" t="s">
        <v>57</v>
      </c>
      <c r="I2010" s="3" t="s">
        <v>5843</v>
      </c>
      <c r="J2010" s="7">
        <v>1</v>
      </c>
      <c r="K2010" s="70"/>
      <c r="L2010" s="9">
        <v>1</v>
      </c>
      <c r="M2010" s="3">
        <v>1604</v>
      </c>
      <c r="N2010" s="6">
        <v>2010</v>
      </c>
      <c r="P2010" s="71"/>
      <c r="R2010" s="6">
        <v>2010</v>
      </c>
      <c r="S2010" s="3" t="s">
        <v>236</v>
      </c>
      <c r="T2010" s="72" t="s">
        <v>1136</v>
      </c>
      <c r="W2010" s="2" t="s">
        <v>5844</v>
      </c>
      <c r="X2010" s="10" t="s">
        <v>56</v>
      </c>
      <c r="Y2010" s="10" t="s">
        <v>57</v>
      </c>
      <c r="Z2010" s="75"/>
      <c r="AA2010" s="76"/>
      <c r="AB2010" s="77"/>
      <c r="AC2010" s="77"/>
      <c r="AD2010" s="10"/>
      <c r="AI2010" s="7"/>
      <c r="AJ2010" s="10">
        <v>44568</v>
      </c>
      <c r="AK2010" s="7">
        <v>2020</v>
      </c>
      <c r="AL2010" s="16"/>
      <c r="AW2010" s="6">
        <f t="shared" ca="1" si="33"/>
        <v>15</v>
      </c>
    </row>
    <row r="2011" ht="45" hidden="1" customHeight="1" outlineLevel="1">
      <c r="A2011" s="69"/>
      <c r="B2011" s="3" t="s">
        <v>47</v>
      </c>
      <c r="C2011" s="4" t="s">
        <v>5845</v>
      </c>
      <c r="D2011" s="5" t="s">
        <v>5846</v>
      </c>
      <c r="E2011" s="2" t="s">
        <v>83</v>
      </c>
      <c r="F2011" s="6" t="s">
        <v>84</v>
      </c>
      <c r="G2011" s="5" t="s">
        <v>85</v>
      </c>
      <c r="H2011" s="2" t="s">
        <v>382</v>
      </c>
      <c r="I2011" s="3" t="s">
        <v>5847</v>
      </c>
      <c r="J2011" s="7">
        <v>1</v>
      </c>
      <c r="K2011" s="70"/>
      <c r="L2011" s="9">
        <v>1</v>
      </c>
      <c r="M2011" s="3">
        <v>1605</v>
      </c>
      <c r="N2011" s="6">
        <v>2010</v>
      </c>
      <c r="P2011" s="71"/>
      <c r="R2011" s="6">
        <v>2010</v>
      </c>
      <c r="S2011" s="3" t="s">
        <v>236</v>
      </c>
      <c r="T2011" s="72"/>
      <c r="U2011" s="73"/>
      <c r="W2011" s="2" t="s">
        <v>62</v>
      </c>
      <c r="X2011" s="10" t="s">
        <v>91</v>
      </c>
      <c r="Y2011" s="10" t="s">
        <v>385</v>
      </c>
      <c r="Z2011" s="75"/>
      <c r="AA2011" s="76"/>
      <c r="AB2011" s="77"/>
      <c r="AC2011" s="77"/>
      <c r="AD2011" s="10"/>
      <c r="AI2011" s="7"/>
      <c r="AJ2011" s="95">
        <v>40525</v>
      </c>
      <c r="AK2011" s="7">
        <v>2010</v>
      </c>
      <c r="AL2011" s="16"/>
      <c r="AW2011" s="6">
        <f t="shared" ca="1" si="33"/>
        <v>15</v>
      </c>
    </row>
    <row r="2012" ht="45" customHeight="1" outlineLevel="1">
      <c r="A2012" s="69">
        <v>43438</v>
      </c>
      <c r="B2012" s="3" t="s">
        <v>190</v>
      </c>
      <c r="C2012" s="4" t="s">
        <v>5848</v>
      </c>
      <c r="D2012" s="5" t="s">
        <v>5849</v>
      </c>
      <c r="E2012" s="2" t="s">
        <v>48</v>
      </c>
      <c r="F2012" s="6" t="s">
        <v>49</v>
      </c>
      <c r="G2012" s="5" t="s">
        <v>5850</v>
      </c>
      <c r="H2012" s="2" t="s">
        <v>51</v>
      </c>
      <c r="I2012" s="3" t="s">
        <v>5851</v>
      </c>
      <c r="J2012" s="7">
        <v>1</v>
      </c>
      <c r="K2012" s="70" t="s">
        <v>1978</v>
      </c>
      <c r="L2012" s="9">
        <v>1</v>
      </c>
      <c r="M2012" s="3">
        <v>1606</v>
      </c>
      <c r="N2012" s="6">
        <v>2010</v>
      </c>
      <c r="O2012" s="10">
        <v>40367</v>
      </c>
      <c r="P2012" s="71" t="s">
        <v>5852</v>
      </c>
      <c r="Q2012" s="10">
        <v>40413</v>
      </c>
      <c r="R2012" s="6">
        <v>2010</v>
      </c>
      <c r="S2012" s="3" t="s">
        <v>5758</v>
      </c>
      <c r="T2012" s="72" t="s">
        <v>3250</v>
      </c>
      <c r="U2012" s="73"/>
      <c r="V2012" s="223">
        <v>42545</v>
      </c>
      <c r="W2012" s="74" t="s">
        <v>5853</v>
      </c>
      <c r="X2012" s="10" t="s">
        <v>56</v>
      </c>
      <c r="Y2012" s="10" t="s">
        <v>57</v>
      </c>
      <c r="Z2012" s="75"/>
      <c r="AA2012" s="76"/>
      <c r="AB2012" s="77"/>
      <c r="AC2012" s="77"/>
      <c r="AD2012" s="10"/>
      <c r="AI2012" s="7"/>
      <c r="AJ2012" s="73"/>
      <c r="AK2012" s="7"/>
      <c r="AL2012" s="16" t="s">
        <v>5854</v>
      </c>
      <c r="AW2012" s="6">
        <f t="shared" ca="1" si="33"/>
        <v>15</v>
      </c>
    </row>
    <row r="2013" ht="45" hidden="1" customHeight="1" outlineLevel="1">
      <c r="A2013" s="69"/>
      <c r="B2013" s="3" t="s">
        <v>47</v>
      </c>
      <c r="C2013" s="116" t="s">
        <v>4262</v>
      </c>
      <c r="D2013" s="5" t="s">
        <v>5855</v>
      </c>
      <c r="E2013" s="2" t="s">
        <v>83</v>
      </c>
      <c r="F2013" s="6" t="s">
        <v>84</v>
      </c>
      <c r="G2013" s="5" t="s">
        <v>85</v>
      </c>
      <c r="H2013" s="2" t="s">
        <v>68</v>
      </c>
      <c r="I2013" s="3" t="s">
        <v>5856</v>
      </c>
      <c r="J2013" s="7">
        <v>1</v>
      </c>
      <c r="K2013" s="70"/>
      <c r="L2013" s="9">
        <v>1</v>
      </c>
      <c r="M2013" s="3">
        <v>1607</v>
      </c>
      <c r="N2013" s="6">
        <v>2010</v>
      </c>
      <c r="P2013" s="71"/>
      <c r="R2013" s="6">
        <v>2010</v>
      </c>
      <c r="S2013" s="3" t="s">
        <v>236</v>
      </c>
      <c r="T2013" s="72"/>
      <c r="U2013" s="73"/>
      <c r="W2013" s="2" t="s">
        <v>62</v>
      </c>
      <c r="X2013" s="10" t="s">
        <v>56</v>
      </c>
      <c r="Y2013" s="10" t="s">
        <v>68</v>
      </c>
      <c r="Z2013" s="75"/>
      <c r="AA2013" s="76"/>
      <c r="AB2013" s="77"/>
      <c r="AC2013" s="77"/>
      <c r="AD2013" s="10"/>
      <c r="AI2013" s="7"/>
      <c r="AJ2013" s="95">
        <v>40632</v>
      </c>
      <c r="AK2013" s="7">
        <v>2010</v>
      </c>
      <c r="AL2013" s="16"/>
      <c r="AW2013" s="6">
        <f t="shared" ca="1" si="33"/>
        <v>15</v>
      </c>
    </row>
    <row r="2014" ht="45" hidden="1" customHeight="1" outlineLevel="1">
      <c r="A2014" s="69"/>
      <c r="B2014" s="3" t="s">
        <v>47</v>
      </c>
      <c r="C2014" s="4" t="s">
        <v>5857</v>
      </c>
      <c r="D2014" s="5" t="s">
        <v>5858</v>
      </c>
      <c r="E2014" s="2" t="s">
        <v>1074</v>
      </c>
      <c r="F2014" s="6" t="s">
        <v>1075</v>
      </c>
      <c r="G2014" s="5" t="s">
        <v>5859</v>
      </c>
      <c r="H2014" s="2" t="s">
        <v>508</v>
      </c>
      <c r="I2014" s="3" t="s">
        <v>5860</v>
      </c>
      <c r="J2014" s="7">
        <v>1</v>
      </c>
      <c r="K2014" s="70"/>
      <c r="L2014" s="9">
        <v>1</v>
      </c>
      <c r="M2014" s="3">
        <v>1608</v>
      </c>
      <c r="N2014" s="6">
        <v>2010</v>
      </c>
      <c r="P2014" s="71"/>
      <c r="R2014" s="6">
        <v>2010</v>
      </c>
      <c r="S2014" s="3" t="s">
        <v>236</v>
      </c>
      <c r="T2014" s="72"/>
      <c r="W2014" s="2" t="s">
        <v>62</v>
      </c>
      <c r="X2014" s="10" t="s">
        <v>504</v>
      </c>
      <c r="Y2014" s="10" t="s">
        <v>511</v>
      </c>
      <c r="Z2014" s="75"/>
      <c r="AA2014" s="76"/>
      <c r="AB2014" s="77"/>
      <c r="AC2014" s="77"/>
      <c r="AD2014" s="10"/>
      <c r="AI2014" s="7"/>
      <c r="AJ2014" s="10">
        <v>44809</v>
      </c>
      <c r="AK2014" s="7">
        <v>2020</v>
      </c>
      <c r="AL2014" s="16"/>
      <c r="AW2014" s="6">
        <f t="shared" ca="1" si="33"/>
        <v>15</v>
      </c>
    </row>
    <row r="2015" s="86" customFormat="1" ht="45" customHeight="1" outlineLevel="1">
      <c r="A2015" s="69"/>
      <c r="B2015" s="3" t="s">
        <v>47</v>
      </c>
      <c r="C2015" s="4"/>
      <c r="D2015" s="5" t="s">
        <v>5861</v>
      </c>
      <c r="E2015" s="2" t="s">
        <v>48</v>
      </c>
      <c r="F2015" s="6" t="s">
        <v>140</v>
      </c>
      <c r="G2015" s="5" t="s">
        <v>5862</v>
      </c>
      <c r="H2015" s="2" t="s">
        <v>288</v>
      </c>
      <c r="I2015" s="3" t="s">
        <v>5863</v>
      </c>
      <c r="J2015" s="7">
        <v>1</v>
      </c>
      <c r="K2015" s="70" t="s">
        <v>53</v>
      </c>
      <c r="L2015" s="9">
        <v>1</v>
      </c>
      <c r="M2015" s="3">
        <v>1609</v>
      </c>
      <c r="N2015" s="6">
        <v>2010</v>
      </c>
      <c r="O2015" s="10"/>
      <c r="P2015" s="71"/>
      <c r="Q2015" s="10"/>
      <c r="R2015" s="6">
        <v>2010</v>
      </c>
      <c r="S2015" s="3" t="s">
        <v>54</v>
      </c>
      <c r="T2015" s="72"/>
      <c r="U2015" s="73"/>
      <c r="V2015" s="12"/>
      <c r="W2015" s="2" t="s">
        <v>5864</v>
      </c>
      <c r="X2015" s="10" t="s">
        <v>56</v>
      </c>
      <c r="Y2015" s="10" t="s">
        <v>288</v>
      </c>
      <c r="Z2015" s="75"/>
      <c r="AA2015" s="13">
        <v>41442</v>
      </c>
      <c r="AB2015" s="14">
        <v>41442</v>
      </c>
      <c r="AC2015" s="14"/>
      <c r="AD2015" s="14"/>
      <c r="AE2015" s="7">
        <v>2012</v>
      </c>
      <c r="AF2015" s="7">
        <v>69</v>
      </c>
      <c r="AG2015" s="7">
        <v>2013</v>
      </c>
      <c r="AH2015" s="7">
        <v>2010</v>
      </c>
      <c r="AI2015" s="7"/>
      <c r="AJ2015" s="73"/>
      <c r="AK2015" s="7"/>
      <c r="AL2015" s="99"/>
      <c r="AM2015" s="2" t="s">
        <v>53</v>
      </c>
      <c r="AN2015" s="6" t="s">
        <v>73</v>
      </c>
      <c r="AO2015" s="6" t="s">
        <v>53</v>
      </c>
      <c r="AP2015" s="6" t="s">
        <v>73</v>
      </c>
      <c r="AQ2015" s="5" t="s">
        <v>73</v>
      </c>
      <c r="AR2015" s="2" t="s">
        <v>104</v>
      </c>
      <c r="AS2015" s="6" t="s">
        <v>73</v>
      </c>
      <c r="AT2015" s="6">
        <v>2011</v>
      </c>
      <c r="AU2015" s="16" t="s">
        <v>5865</v>
      </c>
      <c r="AV2015" s="17"/>
      <c r="AW2015" s="6">
        <f t="shared" ca="1" si="33"/>
        <v>15</v>
      </c>
    </row>
    <row r="2016" s="86" customFormat="1" ht="45" hidden="1" customHeight="1" outlineLevel="1">
      <c r="A2016" s="69">
        <v>44105</v>
      </c>
      <c r="B2016" s="3" t="s">
        <v>190</v>
      </c>
      <c r="C2016" s="4" t="s">
        <v>5866</v>
      </c>
      <c r="D2016" s="5" t="s">
        <v>5867</v>
      </c>
      <c r="E2016" s="2" t="s">
        <v>63</v>
      </c>
      <c r="F2016" s="6" t="s">
        <v>428</v>
      </c>
      <c r="G2016" s="5" t="s">
        <v>3522</v>
      </c>
      <c r="H2016" s="2" t="s">
        <v>68</v>
      </c>
      <c r="I2016" s="3" t="s">
        <v>5868</v>
      </c>
      <c r="J2016" s="7">
        <v>1</v>
      </c>
      <c r="K2016" s="8"/>
      <c r="L2016" s="9">
        <v>1</v>
      </c>
      <c r="M2016" s="3">
        <v>1610</v>
      </c>
      <c r="N2016" s="6">
        <v>2010</v>
      </c>
      <c r="O2016" s="10"/>
      <c r="P2016" s="71"/>
      <c r="Q2016" s="10"/>
      <c r="R2016" s="6">
        <v>2010</v>
      </c>
      <c r="S2016" s="3" t="s">
        <v>283</v>
      </c>
      <c r="T2016" s="72" t="s">
        <v>998</v>
      </c>
      <c r="U2016" s="73"/>
      <c r="V2016" s="12"/>
      <c r="W2016" s="74" t="s">
        <v>62</v>
      </c>
      <c r="X2016" s="10" t="s">
        <v>56</v>
      </c>
      <c r="Y2016" s="10" t="s">
        <v>68</v>
      </c>
      <c r="Z2016" s="75"/>
      <c r="AA2016" s="13"/>
      <c r="AB2016" s="14"/>
      <c r="AC2016" s="14"/>
      <c r="AD2016" s="14"/>
      <c r="AE2016" s="7"/>
      <c r="AF2016" s="7"/>
      <c r="AG2016" s="7"/>
      <c r="AH2016" s="7"/>
      <c r="AI2016" s="7"/>
      <c r="AJ2016" s="73"/>
      <c r="AK2016" s="7"/>
      <c r="AL2016" s="16"/>
      <c r="AM2016" s="2"/>
      <c r="AN2016" s="6"/>
      <c r="AO2016" s="6"/>
      <c r="AP2016" s="6"/>
      <c r="AQ2016" s="5"/>
      <c r="AR2016" s="2"/>
      <c r="AS2016" s="6"/>
      <c r="AT2016" s="6"/>
      <c r="AU2016" s="16"/>
      <c r="AV2016" s="17"/>
      <c r="AW2016" s="6">
        <f t="shared" ca="1" si="33"/>
        <v>15</v>
      </c>
    </row>
    <row r="2017" s="86" customFormat="1" ht="45" hidden="1" customHeight="1" outlineLevel="1">
      <c r="A2017" s="69">
        <v>44099</v>
      </c>
      <c r="B2017" s="3" t="s">
        <v>47</v>
      </c>
      <c r="C2017" s="4" t="s">
        <v>5869</v>
      </c>
      <c r="D2017" s="5" t="s">
        <v>5870</v>
      </c>
      <c r="E2017" s="2" t="s">
        <v>63</v>
      </c>
      <c r="F2017" s="6" t="s">
        <v>428</v>
      </c>
      <c r="G2017" s="5" t="s">
        <v>5871</v>
      </c>
      <c r="H2017" s="2" t="s">
        <v>491</v>
      </c>
      <c r="I2017" s="3" t="s">
        <v>5872</v>
      </c>
      <c r="J2017" s="7">
        <v>1</v>
      </c>
      <c r="K2017" s="8"/>
      <c r="L2017" s="9">
        <v>1</v>
      </c>
      <c r="M2017" s="3">
        <v>1611</v>
      </c>
      <c r="N2017" s="6">
        <v>2010</v>
      </c>
      <c r="O2017" s="10"/>
      <c r="P2017" s="71"/>
      <c r="Q2017" s="10"/>
      <c r="R2017" s="6">
        <v>2010</v>
      </c>
      <c r="S2017" s="3" t="s">
        <v>236</v>
      </c>
      <c r="T2017" s="72" t="s">
        <v>1136</v>
      </c>
      <c r="U2017" s="10"/>
      <c r="V2017" s="12"/>
      <c r="W2017" s="2" t="s">
        <v>62</v>
      </c>
      <c r="X2017" s="10" t="s">
        <v>56</v>
      </c>
      <c r="Y2017" s="10" t="s">
        <v>523</v>
      </c>
      <c r="Z2017" s="75"/>
      <c r="AA2017" s="13"/>
      <c r="AB2017" s="14"/>
      <c r="AC2017" s="14"/>
      <c r="AD2017" s="14"/>
      <c r="AE2017" s="7"/>
      <c r="AF2017" s="7"/>
      <c r="AG2017" s="7"/>
      <c r="AH2017" s="7"/>
      <c r="AI2017" s="7"/>
      <c r="AJ2017" s="10">
        <v>44433</v>
      </c>
      <c r="AK2017" s="7">
        <v>2020</v>
      </c>
      <c r="AL2017" s="16"/>
      <c r="AM2017" s="2"/>
      <c r="AN2017" s="6"/>
      <c r="AO2017" s="6"/>
      <c r="AP2017" s="6"/>
      <c r="AQ2017" s="5"/>
      <c r="AR2017" s="2"/>
      <c r="AS2017" s="6"/>
      <c r="AT2017" s="6"/>
      <c r="AU2017" s="16"/>
      <c r="AV2017" s="17"/>
      <c r="AW2017" s="6">
        <f t="shared" ca="1" si="33"/>
        <v>15</v>
      </c>
    </row>
    <row r="2018" s="86" customFormat="1" ht="45" hidden="1" customHeight="1">
      <c r="A2018" s="69"/>
      <c r="B2018" s="3" t="s">
        <v>47</v>
      </c>
      <c r="C2018" s="4" t="s">
        <v>5873</v>
      </c>
      <c r="D2018" s="5" t="s">
        <v>5874</v>
      </c>
      <c r="E2018" s="2" t="s">
        <v>63</v>
      </c>
      <c r="F2018" s="6" t="s">
        <v>64</v>
      </c>
      <c r="G2018" s="5" t="s">
        <v>4847</v>
      </c>
      <c r="H2018" s="2" t="s">
        <v>57</v>
      </c>
      <c r="I2018" s="3" t="s">
        <v>5875</v>
      </c>
      <c r="J2018" s="7">
        <v>1</v>
      </c>
      <c r="K2018" s="8"/>
      <c r="L2018" s="9">
        <v>1</v>
      </c>
      <c r="M2018" s="3">
        <v>1612</v>
      </c>
      <c r="N2018" s="6">
        <v>2010</v>
      </c>
      <c r="O2018" s="10"/>
      <c r="P2018" s="71"/>
      <c r="Q2018" s="10"/>
      <c r="R2018" s="6">
        <v>2010</v>
      </c>
      <c r="S2018" s="3" t="s">
        <v>236</v>
      </c>
      <c r="T2018" s="72"/>
      <c r="U2018" s="73"/>
      <c r="V2018" s="12"/>
      <c r="W2018" s="2" t="s">
        <v>62</v>
      </c>
      <c r="X2018" s="10" t="s">
        <v>56</v>
      </c>
      <c r="Y2018" s="10" t="s">
        <v>57</v>
      </c>
      <c r="Z2018" s="75"/>
      <c r="AA2018" s="13"/>
      <c r="AB2018" s="14"/>
      <c r="AC2018" s="14"/>
      <c r="AD2018" s="14"/>
      <c r="AE2018" s="7"/>
      <c r="AF2018" s="7"/>
      <c r="AG2018" s="7"/>
      <c r="AH2018" s="7"/>
      <c r="AI2018" s="7"/>
      <c r="AJ2018" s="95">
        <v>41429</v>
      </c>
      <c r="AK2018" s="7">
        <v>2010</v>
      </c>
      <c r="AL2018" s="16"/>
      <c r="AM2018" s="2"/>
      <c r="AN2018" s="6"/>
      <c r="AO2018" s="6"/>
      <c r="AP2018" s="6"/>
      <c r="AQ2018" s="5"/>
      <c r="AR2018" s="2"/>
      <c r="AS2018" s="6"/>
      <c r="AT2018" s="6"/>
      <c r="AU2018" s="16"/>
      <c r="AV2018" s="17"/>
      <c r="AW2018" s="6">
        <f t="shared" ca="1" si="33"/>
        <v>15</v>
      </c>
    </row>
    <row r="2019" s="86" customFormat="1" ht="45" customHeight="1">
      <c r="A2019" s="69">
        <v>43076</v>
      </c>
      <c r="B2019" s="3" t="s">
        <v>47</v>
      </c>
      <c r="C2019" s="4" t="s">
        <v>5876</v>
      </c>
      <c r="D2019" s="5" t="s">
        <v>3138</v>
      </c>
      <c r="E2019" s="2" t="s">
        <v>63</v>
      </c>
      <c r="F2019" s="6" t="s">
        <v>354</v>
      </c>
      <c r="G2019" s="5" t="s">
        <v>5749</v>
      </c>
      <c r="H2019" s="2" t="s">
        <v>181</v>
      </c>
      <c r="I2019" s="3" t="s">
        <v>5877</v>
      </c>
      <c r="J2019" s="7">
        <v>1</v>
      </c>
      <c r="K2019" s="8" t="s">
        <v>53</v>
      </c>
      <c r="L2019" s="9">
        <v>0</v>
      </c>
      <c r="M2019" s="3">
        <v>1613</v>
      </c>
      <c r="N2019" s="6">
        <v>2010</v>
      </c>
      <c r="O2019" s="10"/>
      <c r="P2019" s="71"/>
      <c r="Q2019" s="10"/>
      <c r="R2019" s="6">
        <v>2010</v>
      </c>
      <c r="S2019" s="3" t="s">
        <v>54</v>
      </c>
      <c r="T2019" s="72"/>
      <c r="U2019" s="73"/>
      <c r="V2019" s="12"/>
      <c r="W2019" s="2" t="s">
        <v>5751</v>
      </c>
      <c r="X2019" s="10" t="s">
        <v>56</v>
      </c>
      <c r="Y2019" s="10" t="s">
        <v>181</v>
      </c>
      <c r="Z2019" s="75"/>
      <c r="AA2019" s="13"/>
      <c r="AB2019" s="14" t="s">
        <v>208</v>
      </c>
      <c r="AC2019" s="14"/>
      <c r="AD2019" s="14"/>
      <c r="AE2019" s="7">
        <v>2014</v>
      </c>
      <c r="AF2019" s="7">
        <v>76</v>
      </c>
      <c r="AG2019" s="7">
        <v>2022</v>
      </c>
      <c r="AH2019" s="7">
        <v>20</v>
      </c>
      <c r="AI2019" s="7"/>
      <c r="AJ2019" s="73"/>
      <c r="AK2019" s="7"/>
      <c r="AL2019" s="16" t="s">
        <v>5878</v>
      </c>
      <c r="AM2019" s="2" t="s">
        <v>53</v>
      </c>
      <c r="AN2019" s="6"/>
      <c r="AO2019" s="6" t="s">
        <v>53</v>
      </c>
      <c r="AP2019" s="6"/>
      <c r="AQ2019" s="5"/>
      <c r="AR2019" s="2"/>
      <c r="AS2019" s="6"/>
      <c r="AT2019" s="6"/>
      <c r="AU2019" s="16"/>
      <c r="AV2019" s="17"/>
      <c r="AW2019" s="6">
        <f t="shared" ca="1" si="33"/>
        <v>15</v>
      </c>
    </row>
    <row r="2020" s="86" customFormat="1" ht="45" customHeight="1">
      <c r="A2020" s="69">
        <v>43076</v>
      </c>
      <c r="B2020" s="3" t="s">
        <v>47</v>
      </c>
      <c r="C2020" s="4" t="s">
        <v>5879</v>
      </c>
      <c r="D2020" s="5" t="s">
        <v>3138</v>
      </c>
      <c r="E2020" s="78" t="s">
        <v>694</v>
      </c>
      <c r="F2020" s="79" t="s">
        <v>695</v>
      </c>
      <c r="G2020" s="80" t="s">
        <v>3605</v>
      </c>
      <c r="H2020" s="78" t="s">
        <v>68</v>
      </c>
      <c r="I2020" s="81" t="s">
        <v>5880</v>
      </c>
      <c r="J2020" s="7">
        <v>1</v>
      </c>
      <c r="K2020" s="8" t="s">
        <v>53</v>
      </c>
      <c r="L2020" s="9">
        <v>0</v>
      </c>
      <c r="M2020" s="3">
        <v>1613</v>
      </c>
      <c r="N2020" s="6">
        <v>2010</v>
      </c>
      <c r="O2020" s="10"/>
      <c r="P2020" s="71"/>
      <c r="Q2020" s="10"/>
      <c r="R2020" s="6">
        <v>2010</v>
      </c>
      <c r="S2020" s="3" t="s">
        <v>54</v>
      </c>
      <c r="T2020" s="72"/>
      <c r="U2020" s="73"/>
      <c r="V2020" s="12"/>
      <c r="W2020" s="78" t="s">
        <v>5881</v>
      </c>
      <c r="X2020" s="82" t="s">
        <v>56</v>
      </c>
      <c r="Y2020" s="82" t="s">
        <v>68</v>
      </c>
      <c r="Z2020" s="83"/>
      <c r="AA2020" s="13"/>
      <c r="AB2020" s="14" t="s">
        <v>208</v>
      </c>
      <c r="AC2020" s="14"/>
      <c r="AD2020" s="14"/>
      <c r="AE2020" s="7">
        <v>2014</v>
      </c>
      <c r="AF2020" s="7">
        <v>76</v>
      </c>
      <c r="AG2020" s="7">
        <v>2022</v>
      </c>
      <c r="AH2020" s="7">
        <v>20</v>
      </c>
      <c r="AI2020" s="7"/>
      <c r="AJ2020" s="73"/>
      <c r="AK2020" s="7"/>
      <c r="AL2020" s="16" t="s">
        <v>5878</v>
      </c>
      <c r="AM2020" s="2" t="s">
        <v>59</v>
      </c>
      <c r="AN2020" s="6"/>
      <c r="AO2020" s="6" t="s">
        <v>53</v>
      </c>
      <c r="AP2020" s="6"/>
      <c r="AQ2020" s="5"/>
      <c r="AR2020" s="2"/>
      <c r="AS2020" s="6"/>
      <c r="AT2020" s="6"/>
      <c r="AU2020" s="16"/>
      <c r="AV2020" s="17"/>
      <c r="AW2020" s="6">
        <f t="shared" ca="1" si="33"/>
        <v>15</v>
      </c>
    </row>
    <row r="2021" s="86" customFormat="1" ht="45" customHeight="1" outlineLevel="1">
      <c r="A2021" s="69">
        <v>43076</v>
      </c>
      <c r="B2021" s="3" t="s">
        <v>47</v>
      </c>
      <c r="C2021" s="4" t="s">
        <v>5879</v>
      </c>
      <c r="D2021" s="5" t="s">
        <v>3138</v>
      </c>
      <c r="E2021" s="2" t="s">
        <v>1074</v>
      </c>
      <c r="F2021" s="6" t="s">
        <v>2026</v>
      </c>
      <c r="G2021" s="5" t="s">
        <v>5882</v>
      </c>
      <c r="H2021" s="2" t="s">
        <v>51</v>
      </c>
      <c r="I2021" s="3" t="s">
        <v>5883</v>
      </c>
      <c r="J2021" s="7">
        <v>1</v>
      </c>
      <c r="K2021" s="8" t="s">
        <v>53</v>
      </c>
      <c r="L2021" s="9">
        <v>1</v>
      </c>
      <c r="M2021" s="3">
        <v>1613</v>
      </c>
      <c r="N2021" s="6">
        <v>2010</v>
      </c>
      <c r="O2021" s="10"/>
      <c r="P2021" s="71"/>
      <c r="Q2021" s="10"/>
      <c r="R2021" s="6">
        <v>2010</v>
      </c>
      <c r="S2021" s="3" t="s">
        <v>54</v>
      </c>
      <c r="T2021" s="72"/>
      <c r="U2021" s="73"/>
      <c r="V2021" s="12"/>
      <c r="W2021" s="2" t="s">
        <v>5884</v>
      </c>
      <c r="X2021" s="10" t="s">
        <v>56</v>
      </c>
      <c r="Y2021" s="10" t="s">
        <v>57</v>
      </c>
      <c r="Z2021" s="75"/>
      <c r="AA2021" s="13"/>
      <c r="AB2021" s="14" t="s">
        <v>208</v>
      </c>
      <c r="AC2021" s="14"/>
      <c r="AD2021" s="14"/>
      <c r="AE2021" s="7">
        <v>2014</v>
      </c>
      <c r="AF2021" s="7">
        <v>76</v>
      </c>
      <c r="AG2021" s="7">
        <v>2022</v>
      </c>
      <c r="AH2021" s="7">
        <v>20</v>
      </c>
      <c r="AI2021" s="7"/>
      <c r="AJ2021" s="73"/>
      <c r="AK2021" s="7"/>
      <c r="AL2021" s="16" t="s">
        <v>5878</v>
      </c>
      <c r="AM2021" s="2" t="s">
        <v>53</v>
      </c>
      <c r="AN2021" s="6"/>
      <c r="AO2021" s="224" t="s">
        <v>136</v>
      </c>
      <c r="AP2021" s="6"/>
      <c r="AQ2021" s="5"/>
      <c r="AR2021" s="2"/>
      <c r="AS2021" s="6"/>
      <c r="AT2021" s="6"/>
      <c r="AU2021" s="16" t="s">
        <v>5885</v>
      </c>
      <c r="AV2021" s="17"/>
      <c r="AW2021" s="6">
        <f t="shared" ca="1" si="33"/>
        <v>15</v>
      </c>
    </row>
    <row r="2022" s="86" customFormat="1" ht="45" customHeight="1" outlineLevel="1">
      <c r="A2022" s="69">
        <v>43076</v>
      </c>
      <c r="B2022" s="3" t="s">
        <v>47</v>
      </c>
      <c r="C2022" s="4" t="s">
        <v>5879</v>
      </c>
      <c r="D2022" s="5" t="s">
        <v>3138</v>
      </c>
      <c r="E2022" s="2" t="s">
        <v>1074</v>
      </c>
      <c r="F2022" s="6" t="s">
        <v>2026</v>
      </c>
      <c r="G2022" s="5" t="s">
        <v>3139</v>
      </c>
      <c r="H2022" s="2" t="s">
        <v>57</v>
      </c>
      <c r="I2022" s="3" t="s">
        <v>5886</v>
      </c>
      <c r="J2022" s="7">
        <v>1</v>
      </c>
      <c r="K2022" s="8" t="s">
        <v>53</v>
      </c>
      <c r="L2022" s="9">
        <v>0</v>
      </c>
      <c r="M2022" s="3">
        <v>1613</v>
      </c>
      <c r="N2022" s="6">
        <v>2010</v>
      </c>
      <c r="O2022" s="10"/>
      <c r="P2022" s="71"/>
      <c r="Q2022" s="10"/>
      <c r="R2022" s="6">
        <v>2010</v>
      </c>
      <c r="S2022" s="3" t="s">
        <v>54</v>
      </c>
      <c r="T2022" s="72"/>
      <c r="U2022" s="73"/>
      <c r="V2022" s="12"/>
      <c r="W2022" s="110" t="s">
        <v>3607</v>
      </c>
      <c r="X2022" s="10" t="s">
        <v>56</v>
      </c>
      <c r="Y2022" s="10" t="s">
        <v>57</v>
      </c>
      <c r="Z2022" s="75"/>
      <c r="AA2022" s="13"/>
      <c r="AB2022" s="14" t="s">
        <v>208</v>
      </c>
      <c r="AC2022" s="14"/>
      <c r="AD2022" s="14"/>
      <c r="AE2022" s="7">
        <v>2014</v>
      </c>
      <c r="AF2022" s="7">
        <v>76</v>
      </c>
      <c r="AG2022" s="7">
        <v>2022</v>
      </c>
      <c r="AH2022" s="7">
        <v>20</v>
      </c>
      <c r="AI2022" s="7"/>
      <c r="AJ2022" s="73"/>
      <c r="AK2022" s="7"/>
      <c r="AL2022" s="16" t="s">
        <v>5878</v>
      </c>
      <c r="AM2022" s="2" t="s">
        <v>53</v>
      </c>
      <c r="AN2022" s="6"/>
      <c r="AO2022" s="224" t="s">
        <v>53</v>
      </c>
      <c r="AP2022" s="6"/>
      <c r="AQ2022" s="5"/>
      <c r="AR2022" s="2"/>
      <c r="AS2022" s="6"/>
      <c r="AT2022" s="6"/>
      <c r="AU2022" s="16" t="s">
        <v>5887</v>
      </c>
      <c r="AV2022" s="17"/>
      <c r="AW2022" s="6">
        <f t="shared" ca="1" si="33"/>
        <v>15</v>
      </c>
    </row>
    <row r="2023" s="86" customFormat="1" ht="45" customHeight="1" outlineLevel="1">
      <c r="A2023" s="69">
        <v>43076</v>
      </c>
      <c r="B2023" s="3" t="s">
        <v>47</v>
      </c>
      <c r="C2023" s="4" t="s">
        <v>5879</v>
      </c>
      <c r="D2023" s="5" t="s">
        <v>3138</v>
      </c>
      <c r="E2023" s="2" t="s">
        <v>694</v>
      </c>
      <c r="F2023" s="6" t="s">
        <v>695</v>
      </c>
      <c r="G2023" s="5" t="s">
        <v>3605</v>
      </c>
      <c r="H2023" s="2" t="s">
        <v>181</v>
      </c>
      <c r="I2023" s="3" t="s">
        <v>5888</v>
      </c>
      <c r="J2023" s="7">
        <v>1</v>
      </c>
      <c r="K2023" s="8" t="s">
        <v>53</v>
      </c>
      <c r="L2023" s="9">
        <v>0</v>
      </c>
      <c r="M2023" s="3">
        <v>1613</v>
      </c>
      <c r="N2023" s="6">
        <v>2010</v>
      </c>
      <c r="O2023" s="10"/>
      <c r="P2023" s="71"/>
      <c r="Q2023" s="10"/>
      <c r="R2023" s="6">
        <v>2010</v>
      </c>
      <c r="S2023" s="3" t="s">
        <v>54</v>
      </c>
      <c r="T2023" s="72"/>
      <c r="U2023" s="73"/>
      <c r="V2023" s="12"/>
      <c r="W2023" s="2" t="s">
        <v>5889</v>
      </c>
      <c r="X2023" s="10" t="s">
        <v>56</v>
      </c>
      <c r="Y2023" s="10" t="s">
        <v>68</v>
      </c>
      <c r="Z2023" s="75" t="s">
        <v>1700</v>
      </c>
      <c r="AA2023" s="13" t="s">
        <v>208</v>
      </c>
      <c r="AB2023" s="14" t="s">
        <v>208</v>
      </c>
      <c r="AC2023" s="14"/>
      <c r="AD2023" s="14"/>
      <c r="AE2023" s="7">
        <v>2014</v>
      </c>
      <c r="AF2023" s="7">
        <v>76</v>
      </c>
      <c r="AG2023" s="7">
        <v>2022</v>
      </c>
      <c r="AH2023" s="7">
        <v>20</v>
      </c>
      <c r="AI2023" s="7"/>
      <c r="AJ2023" s="73"/>
      <c r="AK2023" s="7"/>
      <c r="AL2023" s="16" t="s">
        <v>5878</v>
      </c>
      <c r="AM2023" s="2" t="s">
        <v>53</v>
      </c>
      <c r="AN2023" s="6" t="s">
        <v>73</v>
      </c>
      <c r="AO2023" s="6" t="s">
        <v>53</v>
      </c>
      <c r="AP2023" s="6"/>
      <c r="AQ2023" s="5" t="s">
        <v>73</v>
      </c>
      <c r="AR2023" s="2"/>
      <c r="AS2023" s="6"/>
      <c r="AT2023" s="6"/>
      <c r="AU2023" s="16"/>
      <c r="AV2023" s="17"/>
      <c r="AW2023" s="6">
        <f t="shared" ref="AW2023:AW2086" ca="1" si="34">IF(N2023&lt;&gt;0,(YEAR(TODAY())-N2023),(""))</f>
        <v>15</v>
      </c>
    </row>
    <row r="2024" s="86" customFormat="1" ht="45" customHeight="1" outlineLevel="1">
      <c r="A2024" s="69">
        <v>43076</v>
      </c>
      <c r="B2024" s="3" t="s">
        <v>47</v>
      </c>
      <c r="C2024" s="4" t="s">
        <v>5890</v>
      </c>
      <c r="D2024" s="5" t="s">
        <v>3138</v>
      </c>
      <c r="E2024" s="2" t="s">
        <v>694</v>
      </c>
      <c r="F2024" s="6" t="s">
        <v>5199</v>
      </c>
      <c r="G2024" s="5" t="s">
        <v>5200</v>
      </c>
      <c r="H2024" s="2" t="s">
        <v>181</v>
      </c>
      <c r="I2024" s="3" t="s">
        <v>5891</v>
      </c>
      <c r="J2024" s="7">
        <v>1</v>
      </c>
      <c r="K2024" s="8" t="s">
        <v>53</v>
      </c>
      <c r="L2024" s="9">
        <v>0</v>
      </c>
      <c r="M2024" s="3">
        <v>1613</v>
      </c>
      <c r="N2024" s="6">
        <v>2010</v>
      </c>
      <c r="O2024" s="10"/>
      <c r="P2024" s="71"/>
      <c r="Q2024" s="10"/>
      <c r="R2024" s="6">
        <v>2010</v>
      </c>
      <c r="S2024" s="3" t="s">
        <v>54</v>
      </c>
      <c r="T2024" s="72"/>
      <c r="U2024" s="73"/>
      <c r="V2024" s="12"/>
      <c r="W2024" s="2" t="s">
        <v>5892</v>
      </c>
      <c r="X2024" s="10" t="s">
        <v>56</v>
      </c>
      <c r="Y2024" s="10" t="s">
        <v>181</v>
      </c>
      <c r="Z2024" s="75"/>
      <c r="AA2024" s="13" t="s">
        <v>208</v>
      </c>
      <c r="AB2024" s="14" t="s">
        <v>208</v>
      </c>
      <c r="AC2024" s="14"/>
      <c r="AD2024" s="14"/>
      <c r="AE2024" s="7">
        <v>2014</v>
      </c>
      <c r="AF2024" s="7">
        <v>76</v>
      </c>
      <c r="AG2024" s="7">
        <v>2022</v>
      </c>
      <c r="AH2024" s="7">
        <v>20</v>
      </c>
      <c r="AI2024" s="7"/>
      <c r="AJ2024" s="73"/>
      <c r="AK2024" s="7"/>
      <c r="AL2024" s="16" t="s">
        <v>5878</v>
      </c>
      <c r="AM2024" s="2" t="s">
        <v>53</v>
      </c>
      <c r="AN2024" s="6"/>
      <c r="AO2024" s="6" t="s">
        <v>53</v>
      </c>
      <c r="AP2024" s="6"/>
      <c r="AQ2024" s="5"/>
      <c r="AR2024" s="2"/>
      <c r="AS2024" s="6"/>
      <c r="AT2024" s="6"/>
      <c r="AU2024" s="16"/>
      <c r="AV2024" s="17"/>
      <c r="AW2024" s="6">
        <f t="shared" ca="1" si="34"/>
        <v>15</v>
      </c>
    </row>
    <row r="2025" s="86" customFormat="1" ht="45" customHeight="1" outlineLevel="1">
      <c r="A2025" s="69"/>
      <c r="B2025" s="3" t="s">
        <v>47</v>
      </c>
      <c r="C2025" s="4" t="s">
        <v>5893</v>
      </c>
      <c r="D2025" s="5" t="s">
        <v>5894</v>
      </c>
      <c r="E2025" s="2" t="s">
        <v>694</v>
      </c>
      <c r="F2025" s="6" t="s">
        <v>2495</v>
      </c>
      <c r="G2025" s="5" t="s">
        <v>2496</v>
      </c>
      <c r="H2025" s="2" t="s">
        <v>288</v>
      </c>
      <c r="I2025" s="3" t="s">
        <v>5895</v>
      </c>
      <c r="J2025" s="7">
        <v>1</v>
      </c>
      <c r="K2025" s="70" t="s">
        <v>53</v>
      </c>
      <c r="L2025" s="9">
        <v>1</v>
      </c>
      <c r="M2025" s="3">
        <v>1614</v>
      </c>
      <c r="N2025" s="6">
        <v>2010</v>
      </c>
      <c r="O2025" s="10">
        <v>40445</v>
      </c>
      <c r="P2025" s="71" t="s">
        <v>5896</v>
      </c>
      <c r="Q2025" s="10">
        <v>40473</v>
      </c>
      <c r="R2025" s="6">
        <v>2010</v>
      </c>
      <c r="S2025" s="3" t="s">
        <v>54</v>
      </c>
      <c r="T2025" s="72" t="s">
        <v>998</v>
      </c>
      <c r="U2025" s="73">
        <v>45125</v>
      </c>
      <c r="V2025" s="12"/>
      <c r="W2025" s="2" t="s">
        <v>5897</v>
      </c>
      <c r="X2025" s="10" t="s">
        <v>56</v>
      </c>
      <c r="Y2025" s="10" t="s">
        <v>288</v>
      </c>
      <c r="Z2025" s="75"/>
      <c r="AA2025" s="76">
        <v>45068</v>
      </c>
      <c r="AB2025" s="77">
        <v>45068</v>
      </c>
      <c r="AC2025" s="77"/>
      <c r="AD2025" s="6"/>
      <c r="AE2025" s="7">
        <v>2012</v>
      </c>
      <c r="AF2025" s="7">
        <v>69</v>
      </c>
      <c r="AG2025" s="7">
        <v>2023</v>
      </c>
      <c r="AH2025" s="7">
        <v>2020</v>
      </c>
      <c r="AI2025" s="7"/>
      <c r="AJ2025" s="73"/>
      <c r="AK2025" s="7"/>
      <c r="AL2025" s="75" t="s">
        <v>5898</v>
      </c>
      <c r="AM2025" s="2" t="s">
        <v>53</v>
      </c>
      <c r="AN2025" s="6" t="s">
        <v>73</v>
      </c>
      <c r="AO2025" s="6" t="s">
        <v>53</v>
      </c>
      <c r="AP2025" s="6" t="s">
        <v>73</v>
      </c>
      <c r="AQ2025" s="5" t="s">
        <v>73</v>
      </c>
      <c r="AR2025" s="2" t="s">
        <v>104</v>
      </c>
      <c r="AS2025" s="6" t="s">
        <v>73</v>
      </c>
      <c r="AT2025" s="6">
        <v>2010</v>
      </c>
      <c r="AU2025" s="99" t="s">
        <v>5899</v>
      </c>
      <c r="AV2025" s="157"/>
      <c r="AW2025" s="6">
        <f t="shared" ca="1" si="34"/>
        <v>15</v>
      </c>
    </row>
    <row r="2026" s="86" customFormat="1" ht="45" customHeight="1" outlineLevel="1">
      <c r="A2026" s="69"/>
      <c r="B2026" s="3" t="s">
        <v>47</v>
      </c>
      <c r="C2026" s="4"/>
      <c r="D2026" s="5" t="s">
        <v>5900</v>
      </c>
      <c r="E2026" s="2" t="s">
        <v>63</v>
      </c>
      <c r="F2026" s="6" t="s">
        <v>172</v>
      </c>
      <c r="G2026" s="5" t="s">
        <v>5901</v>
      </c>
      <c r="H2026" s="2" t="s">
        <v>382</v>
      </c>
      <c r="I2026" s="3" t="s">
        <v>5902</v>
      </c>
      <c r="J2026" s="7">
        <v>1</v>
      </c>
      <c r="K2026" s="70" t="s">
        <v>53</v>
      </c>
      <c r="L2026" s="9">
        <v>1</v>
      </c>
      <c r="M2026" s="3">
        <v>1615</v>
      </c>
      <c r="N2026" s="6">
        <v>2010</v>
      </c>
      <c r="O2026" s="10"/>
      <c r="P2026" s="71"/>
      <c r="Q2026" s="10"/>
      <c r="R2026" s="6">
        <v>2010</v>
      </c>
      <c r="S2026" s="3" t="s">
        <v>54</v>
      </c>
      <c r="T2026" s="72"/>
      <c r="U2026" s="73"/>
      <c r="V2026" s="12"/>
      <c r="W2026" s="2" t="s">
        <v>5903</v>
      </c>
      <c r="X2026" s="10" t="s">
        <v>91</v>
      </c>
      <c r="Y2026" s="10" t="s">
        <v>385</v>
      </c>
      <c r="Z2026" s="75"/>
      <c r="AA2026" s="76">
        <v>41263</v>
      </c>
      <c r="AB2026" s="77">
        <v>41263</v>
      </c>
      <c r="AC2026" s="77">
        <v>41263</v>
      </c>
      <c r="AD2026" s="6"/>
      <c r="AE2026" s="7">
        <v>2010</v>
      </c>
      <c r="AF2026" s="7">
        <v>66</v>
      </c>
      <c r="AG2026" s="7">
        <v>2012</v>
      </c>
      <c r="AH2026" s="7">
        <v>2010</v>
      </c>
      <c r="AI2026" s="7"/>
      <c r="AJ2026" s="73"/>
      <c r="AK2026" s="7"/>
      <c r="AL2026" s="75" t="s">
        <v>5904</v>
      </c>
      <c r="AM2026" s="2" t="s">
        <v>59</v>
      </c>
      <c r="AN2026" s="6"/>
      <c r="AO2026" s="6" t="s">
        <v>59</v>
      </c>
      <c r="AP2026" s="6"/>
      <c r="AQ2026" s="5"/>
      <c r="AR2026" s="2"/>
      <c r="AS2026" s="6"/>
      <c r="AT2026" s="6"/>
      <c r="AU2026" s="16"/>
      <c r="AV2026" s="17"/>
      <c r="AW2026" s="6">
        <f t="shared" ca="1" si="34"/>
        <v>15</v>
      </c>
    </row>
    <row r="2027" s="86" customFormat="1" ht="45" customHeight="1" outlineLevel="1">
      <c r="A2027" s="69"/>
      <c r="B2027" s="3" t="s">
        <v>47</v>
      </c>
      <c r="C2027" s="4"/>
      <c r="D2027" s="5" t="s">
        <v>5905</v>
      </c>
      <c r="E2027" s="2" t="s">
        <v>63</v>
      </c>
      <c r="F2027" s="6" t="s">
        <v>354</v>
      </c>
      <c r="G2027" s="5" t="s">
        <v>971</v>
      </c>
      <c r="H2027" s="2" t="s">
        <v>382</v>
      </c>
      <c r="I2027" s="3" t="s">
        <v>5906</v>
      </c>
      <c r="J2027" s="7">
        <v>1</v>
      </c>
      <c r="K2027" s="104" t="s">
        <v>53</v>
      </c>
      <c r="L2027" s="9">
        <v>1</v>
      </c>
      <c r="M2027" s="3">
        <v>1616</v>
      </c>
      <c r="N2027" s="6">
        <v>2010</v>
      </c>
      <c r="O2027" s="10"/>
      <c r="P2027" s="71"/>
      <c r="Q2027" s="10"/>
      <c r="R2027" s="6">
        <v>2010</v>
      </c>
      <c r="S2027" s="3" t="s">
        <v>54</v>
      </c>
      <c r="T2027" s="72"/>
      <c r="U2027" s="73"/>
      <c r="V2027" s="12"/>
      <c r="W2027" s="2" t="s">
        <v>5907</v>
      </c>
      <c r="X2027" s="10" t="s">
        <v>91</v>
      </c>
      <c r="Y2027" s="10" t="s">
        <v>385</v>
      </c>
      <c r="Z2027" s="75"/>
      <c r="AA2027" s="76">
        <v>41200</v>
      </c>
      <c r="AB2027" s="77">
        <v>41200</v>
      </c>
      <c r="AC2027" s="77">
        <v>41200</v>
      </c>
      <c r="AD2027" s="6"/>
      <c r="AE2027" s="7">
        <v>2010</v>
      </c>
      <c r="AF2027" s="7">
        <v>66</v>
      </c>
      <c r="AG2027" s="7">
        <v>2012</v>
      </c>
      <c r="AH2027" s="7">
        <v>2010</v>
      </c>
      <c r="AI2027" s="7"/>
      <c r="AJ2027" s="73"/>
      <c r="AK2027" s="7"/>
      <c r="AL2027" s="5" t="s">
        <v>5908</v>
      </c>
      <c r="AM2027" s="2" t="s">
        <v>59</v>
      </c>
      <c r="AN2027" s="6"/>
      <c r="AO2027" s="6" t="s">
        <v>59</v>
      </c>
      <c r="AP2027" s="6"/>
      <c r="AQ2027" s="5"/>
      <c r="AR2027" s="2"/>
      <c r="AS2027" s="6"/>
      <c r="AT2027" s="6"/>
      <c r="AU2027" s="16"/>
      <c r="AV2027" s="17"/>
      <c r="AW2027" s="6">
        <f t="shared" ca="1" si="34"/>
        <v>15</v>
      </c>
    </row>
    <row r="2028" s="86" customFormat="1" ht="45" customHeight="1" outlineLevel="1">
      <c r="A2028" s="69"/>
      <c r="B2028" s="3" t="s">
        <v>47</v>
      </c>
      <c r="C2028" s="4"/>
      <c r="D2028" s="5" t="s">
        <v>5909</v>
      </c>
      <c r="E2028" s="2" t="s">
        <v>48</v>
      </c>
      <c r="F2028" s="6" t="s">
        <v>49</v>
      </c>
      <c r="G2028" s="5" t="s">
        <v>50</v>
      </c>
      <c r="H2028" s="2" t="s">
        <v>382</v>
      </c>
      <c r="I2028" s="3" t="s">
        <v>5910</v>
      </c>
      <c r="J2028" s="7">
        <v>1</v>
      </c>
      <c r="K2028" s="70" t="s">
        <v>53</v>
      </c>
      <c r="L2028" s="9">
        <v>1</v>
      </c>
      <c r="M2028" s="3">
        <v>1617</v>
      </c>
      <c r="N2028" s="6">
        <v>2010</v>
      </c>
      <c r="O2028" s="10"/>
      <c r="P2028" s="71"/>
      <c r="Q2028" s="10"/>
      <c r="R2028" s="6">
        <v>2010</v>
      </c>
      <c r="S2028" s="3" t="s">
        <v>54</v>
      </c>
      <c r="T2028" s="72"/>
      <c r="U2028" s="73"/>
      <c r="V2028" s="12"/>
      <c r="W2028" s="2" t="s">
        <v>5911</v>
      </c>
      <c r="X2028" s="10" t="s">
        <v>91</v>
      </c>
      <c r="Y2028" s="10" t="s">
        <v>385</v>
      </c>
      <c r="Z2028" s="75"/>
      <c r="AA2028" s="76">
        <v>41193</v>
      </c>
      <c r="AB2028" s="77">
        <v>41193</v>
      </c>
      <c r="AC2028" s="77">
        <v>41193</v>
      </c>
      <c r="AD2028" s="6"/>
      <c r="AE2028" s="7">
        <v>2010</v>
      </c>
      <c r="AF2028" s="7">
        <v>66</v>
      </c>
      <c r="AG2028" s="7">
        <v>2012</v>
      </c>
      <c r="AH2028" s="7">
        <v>2010</v>
      </c>
      <c r="AI2028" s="7"/>
      <c r="AJ2028" s="73"/>
      <c r="AK2028" s="7"/>
      <c r="AL2028" s="75" t="s">
        <v>5912</v>
      </c>
      <c r="AM2028" s="2" t="s">
        <v>59</v>
      </c>
      <c r="AN2028" s="6"/>
      <c r="AO2028" s="6" t="s">
        <v>59</v>
      </c>
      <c r="AP2028" s="6"/>
      <c r="AQ2028" s="5"/>
      <c r="AR2028" s="2"/>
      <c r="AS2028" s="6"/>
      <c r="AT2028" s="6"/>
      <c r="AU2028" s="99"/>
      <c r="AV2028" s="157"/>
      <c r="AW2028" s="6">
        <f t="shared" ca="1" si="34"/>
        <v>15</v>
      </c>
    </row>
    <row r="2029" s="86" customFormat="1" ht="45" customHeight="1" outlineLevel="1">
      <c r="A2029" s="69"/>
      <c r="B2029" s="3" t="s">
        <v>47</v>
      </c>
      <c r="C2029" s="4" t="s">
        <v>5913</v>
      </c>
      <c r="D2029" s="5" t="s">
        <v>5914</v>
      </c>
      <c r="E2029" s="2" t="s">
        <v>48</v>
      </c>
      <c r="F2029" s="6" t="s">
        <v>564</v>
      </c>
      <c r="G2029" s="5" t="s">
        <v>2141</v>
      </c>
      <c r="H2029" s="2" t="s">
        <v>88</v>
      </c>
      <c r="I2029" s="3" t="s">
        <v>5915</v>
      </c>
      <c r="J2029" s="7">
        <v>1</v>
      </c>
      <c r="K2029" s="70" t="s">
        <v>53</v>
      </c>
      <c r="L2029" s="9">
        <v>1</v>
      </c>
      <c r="M2029" s="3">
        <v>1618</v>
      </c>
      <c r="N2029" s="6">
        <v>2010</v>
      </c>
      <c r="O2029" s="10"/>
      <c r="P2029" s="71"/>
      <c r="Q2029" s="10"/>
      <c r="R2029" s="6">
        <v>2010</v>
      </c>
      <c r="S2029" s="3" t="s">
        <v>54</v>
      </c>
      <c r="T2029" s="72"/>
      <c r="U2029" s="73"/>
      <c r="V2029" s="12"/>
      <c r="W2029" s="2" t="s">
        <v>5916</v>
      </c>
      <c r="X2029" s="10" t="s">
        <v>91</v>
      </c>
      <c r="Y2029" s="10" t="s">
        <v>92</v>
      </c>
      <c r="Z2029" s="75"/>
      <c r="AA2029" s="76">
        <v>41906</v>
      </c>
      <c r="AB2029" s="77">
        <v>41906</v>
      </c>
      <c r="AC2029" s="77">
        <v>41906</v>
      </c>
      <c r="AD2029" s="6"/>
      <c r="AE2029" s="7">
        <v>2010</v>
      </c>
      <c r="AF2029" s="7">
        <v>66</v>
      </c>
      <c r="AG2029" s="7">
        <v>2014</v>
      </c>
      <c r="AH2029" s="7">
        <v>2010</v>
      </c>
      <c r="AI2029" s="7"/>
      <c r="AJ2029" s="73"/>
      <c r="AK2029" s="7"/>
      <c r="AL2029" s="15" t="s">
        <v>5917</v>
      </c>
      <c r="AM2029" s="2" t="s">
        <v>59</v>
      </c>
      <c r="AN2029" s="6"/>
      <c r="AO2029" s="6" t="s">
        <v>59</v>
      </c>
      <c r="AP2029" s="6"/>
      <c r="AQ2029" s="5"/>
      <c r="AR2029" s="2"/>
      <c r="AS2029" s="6"/>
      <c r="AT2029" s="6"/>
      <c r="AU2029" s="16"/>
      <c r="AV2029" s="17"/>
      <c r="AW2029" s="6">
        <f t="shared" ca="1" si="34"/>
        <v>15</v>
      </c>
    </row>
    <row r="2030" s="86" customFormat="1" ht="45" hidden="1" customHeight="1" outlineLevel="1">
      <c r="A2030" s="2">
        <v>45096</v>
      </c>
      <c r="B2030" s="3" t="s">
        <v>190</v>
      </c>
      <c r="C2030" s="4" t="s">
        <v>5918</v>
      </c>
      <c r="D2030" s="5" t="s">
        <v>5919</v>
      </c>
      <c r="E2030" s="2" t="s">
        <v>63</v>
      </c>
      <c r="F2030" s="6" t="s">
        <v>64</v>
      </c>
      <c r="G2030" s="5" t="s">
        <v>5920</v>
      </c>
      <c r="H2030" s="2" t="s">
        <v>51</v>
      </c>
      <c r="I2030" s="3" t="s">
        <v>5921</v>
      </c>
      <c r="J2030" s="7">
        <v>1</v>
      </c>
      <c r="K2030" s="104"/>
      <c r="L2030" s="9">
        <v>1</v>
      </c>
      <c r="M2030" s="3">
        <v>1619</v>
      </c>
      <c r="N2030" s="6">
        <v>2010</v>
      </c>
      <c r="O2030" s="10">
        <v>40465</v>
      </c>
      <c r="P2030" s="71" t="s">
        <v>5922</v>
      </c>
      <c r="Q2030" s="10"/>
      <c r="R2030" s="6">
        <v>2010</v>
      </c>
      <c r="S2030" s="3" t="s">
        <v>283</v>
      </c>
      <c r="T2030" s="72"/>
      <c r="U2030" s="73"/>
      <c r="V2030" s="12"/>
      <c r="W2030" s="74" t="s">
        <v>62</v>
      </c>
      <c r="X2030" s="10" t="s">
        <v>56</v>
      </c>
      <c r="Y2030" s="10" t="s">
        <v>57</v>
      </c>
      <c r="Z2030" s="75" t="s">
        <v>58</v>
      </c>
      <c r="AA2030" s="76"/>
      <c r="AB2030" s="77"/>
      <c r="AC2030" s="77"/>
      <c r="AD2030" s="6"/>
      <c r="AE2030" s="7"/>
      <c r="AF2030" s="7"/>
      <c r="AG2030" s="7"/>
      <c r="AH2030" s="7"/>
      <c r="AI2030" s="7"/>
      <c r="AJ2030" s="73"/>
      <c r="AK2030" s="7"/>
      <c r="AL2030" s="16"/>
      <c r="AM2030" s="2"/>
      <c r="AN2030" s="6"/>
      <c r="AO2030" s="6"/>
      <c r="AP2030" s="6"/>
      <c r="AQ2030" s="5"/>
      <c r="AR2030" s="2"/>
      <c r="AS2030" s="6"/>
      <c r="AT2030" s="6"/>
      <c r="AU2030" s="16"/>
      <c r="AV2030" s="17"/>
      <c r="AW2030" s="6">
        <f t="shared" ca="1" si="34"/>
        <v>15</v>
      </c>
    </row>
    <row r="2031" s="86" customFormat="1" ht="45" hidden="1" customHeight="1" outlineLevel="1">
      <c r="A2031" s="69"/>
      <c r="B2031" s="3" t="s">
        <v>190</v>
      </c>
      <c r="C2031" s="4" t="s">
        <v>5923</v>
      </c>
      <c r="D2031" s="5" t="s">
        <v>5924</v>
      </c>
      <c r="E2031" s="2" t="s">
        <v>48</v>
      </c>
      <c r="F2031" s="6" t="s">
        <v>564</v>
      </c>
      <c r="G2031" s="5" t="s">
        <v>1901</v>
      </c>
      <c r="H2031" s="2" t="s">
        <v>57</v>
      </c>
      <c r="I2031" s="3" t="s">
        <v>5925</v>
      </c>
      <c r="J2031" s="7">
        <v>1</v>
      </c>
      <c r="K2031" s="104"/>
      <c r="L2031" s="9">
        <v>1</v>
      </c>
      <c r="M2031" s="3">
        <v>1620</v>
      </c>
      <c r="N2031" s="6">
        <v>2010</v>
      </c>
      <c r="O2031" s="10"/>
      <c r="P2031" s="71"/>
      <c r="Q2031" s="10"/>
      <c r="R2031" s="6">
        <v>2010</v>
      </c>
      <c r="S2031" s="3" t="s">
        <v>283</v>
      </c>
      <c r="T2031" s="72"/>
      <c r="U2031" s="73"/>
      <c r="V2031" s="12"/>
      <c r="W2031" s="74" t="s">
        <v>62</v>
      </c>
      <c r="X2031" s="10" t="s">
        <v>56</v>
      </c>
      <c r="Y2031" s="10" t="s">
        <v>57</v>
      </c>
      <c r="Z2031" s="75"/>
      <c r="AA2031" s="76"/>
      <c r="AB2031" s="77"/>
      <c r="AC2031" s="77"/>
      <c r="AD2031" s="6"/>
      <c r="AE2031" s="7"/>
      <c r="AF2031" s="7"/>
      <c r="AG2031" s="7"/>
      <c r="AH2031" s="7"/>
      <c r="AI2031" s="7"/>
      <c r="AJ2031" s="73"/>
      <c r="AK2031" s="7"/>
      <c r="AL2031" s="16" t="s">
        <v>5926</v>
      </c>
      <c r="AM2031" s="2"/>
      <c r="AN2031" s="6"/>
      <c r="AO2031" s="6"/>
      <c r="AP2031" s="6"/>
      <c r="AQ2031" s="5"/>
      <c r="AR2031" s="2"/>
      <c r="AS2031" s="6"/>
      <c r="AT2031" s="6"/>
      <c r="AU2031" s="16"/>
      <c r="AV2031" s="17"/>
      <c r="AW2031" s="6">
        <f t="shared" ca="1" si="34"/>
        <v>15</v>
      </c>
    </row>
    <row r="2032" ht="45" hidden="1" customHeight="1" outlineLevel="1">
      <c r="A2032" s="69">
        <v>44346</v>
      </c>
      <c r="B2032" s="3" t="s">
        <v>47</v>
      </c>
      <c r="C2032" s="4" t="s">
        <v>5178</v>
      </c>
      <c r="D2032" s="5" t="s">
        <v>5927</v>
      </c>
      <c r="E2032" s="2" t="s">
        <v>83</v>
      </c>
      <c r="F2032" s="6" t="s">
        <v>84</v>
      </c>
      <c r="G2032" s="5" t="s">
        <v>85</v>
      </c>
      <c r="H2032" s="2" t="s">
        <v>501</v>
      </c>
      <c r="I2032" s="3" t="s">
        <v>5928</v>
      </c>
      <c r="J2032" s="7">
        <v>1</v>
      </c>
      <c r="K2032" s="104"/>
      <c r="L2032" s="9">
        <v>1</v>
      </c>
      <c r="M2032" s="3">
        <v>1621</v>
      </c>
      <c r="N2032" s="6">
        <v>2010</v>
      </c>
      <c r="P2032" s="71"/>
      <c r="R2032" s="6">
        <v>2010</v>
      </c>
      <c r="S2032" s="3" t="s">
        <v>236</v>
      </c>
      <c r="T2032" s="178"/>
      <c r="W2032" s="2" t="s">
        <v>62</v>
      </c>
      <c r="X2032" s="10" t="s">
        <v>213</v>
      </c>
      <c r="Y2032" s="10" t="s">
        <v>980</v>
      </c>
      <c r="Z2032" s="75"/>
      <c r="AA2032" s="76"/>
      <c r="AB2032" s="77"/>
      <c r="AC2032" s="77"/>
      <c r="AD2032" s="10"/>
      <c r="AI2032" s="7"/>
      <c r="AJ2032" s="10">
        <v>44404</v>
      </c>
      <c r="AK2032" s="7">
        <v>2020</v>
      </c>
      <c r="AL2032" s="16"/>
      <c r="AW2032" s="6">
        <f t="shared" ca="1" si="34"/>
        <v>15</v>
      </c>
    </row>
    <row r="2033" s="86" customFormat="1" ht="45" hidden="1" customHeight="1" outlineLevel="1">
      <c r="A2033" s="69"/>
      <c r="B2033" s="3" t="s">
        <v>47</v>
      </c>
      <c r="C2033" s="4" t="s">
        <v>1345</v>
      </c>
      <c r="D2033" s="5" t="s">
        <v>5929</v>
      </c>
      <c r="E2033" s="2" t="s">
        <v>83</v>
      </c>
      <c r="F2033" s="6" t="s">
        <v>84</v>
      </c>
      <c r="G2033" s="5" t="s">
        <v>85</v>
      </c>
      <c r="H2033" s="2" t="s">
        <v>382</v>
      </c>
      <c r="I2033" s="3" t="s">
        <v>5930</v>
      </c>
      <c r="J2033" s="7">
        <v>1</v>
      </c>
      <c r="K2033" s="8"/>
      <c r="L2033" s="9">
        <v>1</v>
      </c>
      <c r="M2033" s="3">
        <v>1622</v>
      </c>
      <c r="N2033" s="6">
        <v>2010</v>
      </c>
      <c r="O2033" s="10"/>
      <c r="P2033" s="71"/>
      <c r="Q2033" s="10"/>
      <c r="R2033" s="6">
        <v>2010</v>
      </c>
      <c r="S2033" s="3" t="s">
        <v>236</v>
      </c>
      <c r="T2033" s="72"/>
      <c r="U2033" s="73"/>
      <c r="V2033" s="12"/>
      <c r="W2033" s="2" t="s">
        <v>62</v>
      </c>
      <c r="X2033" s="10" t="s">
        <v>91</v>
      </c>
      <c r="Y2033" s="10" t="s">
        <v>385</v>
      </c>
      <c r="Z2033" s="75"/>
      <c r="AA2033" s="13"/>
      <c r="AB2033" s="14"/>
      <c r="AC2033" s="14"/>
      <c r="AD2033" s="14"/>
      <c r="AE2033" s="7"/>
      <c r="AF2033" s="7"/>
      <c r="AG2033" s="7"/>
      <c r="AH2033" s="7"/>
      <c r="AI2033" s="7"/>
      <c r="AJ2033" s="95">
        <v>41878</v>
      </c>
      <c r="AK2033" s="7">
        <v>2010</v>
      </c>
      <c r="AL2033" s="16"/>
      <c r="AM2033" s="2"/>
      <c r="AN2033" s="6"/>
      <c r="AO2033" s="6"/>
      <c r="AP2033" s="6"/>
      <c r="AQ2033" s="5"/>
      <c r="AR2033" s="2"/>
      <c r="AS2033" s="6"/>
      <c r="AT2033" s="6"/>
      <c r="AU2033" s="16"/>
      <c r="AV2033" s="17"/>
      <c r="AW2033" s="6">
        <f t="shared" ca="1" si="34"/>
        <v>15</v>
      </c>
    </row>
    <row r="2034" s="86" customFormat="1" ht="45" hidden="1" customHeight="1" outlineLevel="1">
      <c r="A2034" s="69"/>
      <c r="B2034" s="3" t="s">
        <v>47</v>
      </c>
      <c r="C2034" s="4" t="s">
        <v>5931</v>
      </c>
      <c r="D2034" s="5" t="s">
        <v>5932</v>
      </c>
      <c r="E2034" s="2" t="s">
        <v>83</v>
      </c>
      <c r="F2034" s="6" t="s">
        <v>84</v>
      </c>
      <c r="G2034" s="5" t="s">
        <v>1053</v>
      </c>
      <c r="H2034" s="2" t="s">
        <v>491</v>
      </c>
      <c r="I2034" s="3" t="s">
        <v>5933</v>
      </c>
      <c r="J2034" s="7">
        <v>1</v>
      </c>
      <c r="K2034" s="8"/>
      <c r="L2034" s="9">
        <v>1</v>
      </c>
      <c r="M2034" s="3">
        <v>1623</v>
      </c>
      <c r="N2034" s="6">
        <v>2011</v>
      </c>
      <c r="O2034" s="10"/>
      <c r="P2034" s="71"/>
      <c r="Q2034" s="10"/>
      <c r="R2034" s="6">
        <v>2010</v>
      </c>
      <c r="S2034" s="3" t="s">
        <v>236</v>
      </c>
      <c r="T2034" s="72"/>
      <c r="U2034" s="73"/>
      <c r="V2034" s="12"/>
      <c r="W2034" s="2" t="s">
        <v>62</v>
      </c>
      <c r="X2034" s="10" t="s">
        <v>56</v>
      </c>
      <c r="Y2034" s="10" t="s">
        <v>523</v>
      </c>
      <c r="Z2034" s="75"/>
      <c r="AA2034" s="13"/>
      <c r="AB2034" s="14"/>
      <c r="AC2034" s="14"/>
      <c r="AD2034" s="14"/>
      <c r="AE2034" s="7"/>
      <c r="AF2034" s="7"/>
      <c r="AG2034" s="7"/>
      <c r="AH2034" s="7"/>
      <c r="AI2034" s="7"/>
      <c r="AJ2034" s="10">
        <v>42275</v>
      </c>
      <c r="AK2034" s="7">
        <v>2010</v>
      </c>
      <c r="AL2034" s="16"/>
      <c r="AM2034" s="2"/>
      <c r="AN2034" s="6"/>
      <c r="AO2034" s="6"/>
      <c r="AP2034" s="6"/>
      <c r="AQ2034" s="5"/>
      <c r="AR2034" s="2"/>
      <c r="AS2034" s="6"/>
      <c r="AT2034" s="6"/>
      <c r="AU2034" s="16"/>
      <c r="AV2034" s="17"/>
      <c r="AW2034" s="6">
        <f t="shared" ca="1" si="34"/>
        <v>14</v>
      </c>
    </row>
    <row r="2035" s="86" customFormat="1" ht="45" hidden="1" customHeight="1" outlineLevel="1">
      <c r="A2035" s="69"/>
      <c r="B2035" s="3" t="s">
        <v>47</v>
      </c>
      <c r="C2035" s="144" t="s">
        <v>1352</v>
      </c>
      <c r="D2035" s="5" t="s">
        <v>5934</v>
      </c>
      <c r="E2035" s="2" t="s">
        <v>83</v>
      </c>
      <c r="F2035" s="6" t="s">
        <v>179</v>
      </c>
      <c r="G2035" s="5" t="s">
        <v>5935</v>
      </c>
      <c r="H2035" s="2" t="s">
        <v>977</v>
      </c>
      <c r="I2035" s="3" t="s">
        <v>5936</v>
      </c>
      <c r="J2035" s="7">
        <v>1</v>
      </c>
      <c r="K2035" s="8"/>
      <c r="L2035" s="9">
        <v>1</v>
      </c>
      <c r="M2035" s="3">
        <v>1624</v>
      </c>
      <c r="N2035" s="6">
        <v>2011</v>
      </c>
      <c r="O2035" s="10"/>
      <c r="P2035" s="71"/>
      <c r="Q2035" s="10"/>
      <c r="R2035" s="6">
        <v>2010</v>
      </c>
      <c r="S2035" s="3" t="s">
        <v>236</v>
      </c>
      <c r="T2035" s="72"/>
      <c r="U2035" s="73"/>
      <c r="V2035" s="12"/>
      <c r="W2035" s="2" t="s">
        <v>62</v>
      </c>
      <c r="X2035" s="10" t="s">
        <v>213</v>
      </c>
      <c r="Y2035" s="10" t="s">
        <v>980</v>
      </c>
      <c r="Z2035" s="75"/>
      <c r="AA2035" s="13"/>
      <c r="AB2035" s="14"/>
      <c r="AC2035" s="14"/>
      <c r="AD2035" s="14"/>
      <c r="AE2035" s="7"/>
      <c r="AF2035" s="7"/>
      <c r="AG2035" s="7"/>
      <c r="AH2035" s="7"/>
      <c r="AI2035" s="7"/>
      <c r="AJ2035" s="10"/>
      <c r="AK2035" s="7"/>
      <c r="AL2035" s="16"/>
      <c r="AM2035" s="2"/>
      <c r="AN2035" s="6"/>
      <c r="AO2035" s="6"/>
      <c r="AP2035" s="6"/>
      <c r="AQ2035" s="5"/>
      <c r="AR2035" s="2"/>
      <c r="AS2035" s="6"/>
      <c r="AT2035" s="6"/>
      <c r="AU2035" s="16"/>
      <c r="AV2035" s="17"/>
      <c r="AW2035" s="6">
        <f t="shared" ca="1" si="34"/>
        <v>14</v>
      </c>
    </row>
    <row r="2036" s="86" customFormat="1" ht="45" hidden="1" customHeight="1" outlineLevel="1">
      <c r="A2036" s="69"/>
      <c r="B2036" s="3" t="s">
        <v>47</v>
      </c>
      <c r="C2036" s="4" t="s">
        <v>5937</v>
      </c>
      <c r="D2036" s="5" t="s">
        <v>5938</v>
      </c>
      <c r="E2036" s="2" t="s">
        <v>83</v>
      </c>
      <c r="F2036" s="6" t="s">
        <v>704</v>
      </c>
      <c r="G2036" s="5" t="s">
        <v>5939</v>
      </c>
      <c r="H2036" s="2" t="s">
        <v>68</v>
      </c>
      <c r="I2036" s="3" t="s">
        <v>5940</v>
      </c>
      <c r="J2036" s="7">
        <v>1</v>
      </c>
      <c r="K2036" s="8"/>
      <c r="L2036" s="9">
        <v>1</v>
      </c>
      <c r="M2036" s="3">
        <v>1625</v>
      </c>
      <c r="N2036" s="6">
        <v>2011</v>
      </c>
      <c r="O2036" s="10"/>
      <c r="P2036" s="71"/>
      <c r="Q2036" s="10"/>
      <c r="R2036" s="6">
        <v>2010</v>
      </c>
      <c r="S2036" s="3" t="s">
        <v>236</v>
      </c>
      <c r="T2036" s="72" t="s">
        <v>1136</v>
      </c>
      <c r="U2036" s="73">
        <v>43735</v>
      </c>
      <c r="V2036" s="12"/>
      <c r="W2036" s="2" t="s">
        <v>62</v>
      </c>
      <c r="X2036" s="10" t="s">
        <v>56</v>
      </c>
      <c r="Y2036" s="10" t="s">
        <v>68</v>
      </c>
      <c r="Z2036" s="75"/>
      <c r="AA2036" s="13"/>
      <c r="AB2036" s="14"/>
      <c r="AC2036" s="14"/>
      <c r="AD2036" s="14"/>
      <c r="AE2036" s="7"/>
      <c r="AF2036" s="7"/>
      <c r="AG2036" s="7"/>
      <c r="AH2036" s="7"/>
      <c r="AI2036" s="7"/>
      <c r="AJ2036" s="10"/>
      <c r="AK2036" s="7"/>
      <c r="AL2036" s="16"/>
      <c r="AM2036" s="2"/>
      <c r="AN2036" s="6"/>
      <c r="AO2036" s="6"/>
      <c r="AP2036" s="6"/>
      <c r="AQ2036" s="5"/>
      <c r="AR2036" s="2"/>
      <c r="AS2036" s="6"/>
      <c r="AT2036" s="6"/>
      <c r="AU2036" s="16"/>
      <c r="AV2036" s="17"/>
      <c r="AW2036" s="6">
        <f t="shared" ca="1" si="34"/>
        <v>14</v>
      </c>
    </row>
    <row r="2037" ht="45" hidden="1" customHeight="1" outlineLevel="1">
      <c r="A2037" s="69"/>
      <c r="B2037" s="3" t="s">
        <v>47</v>
      </c>
      <c r="C2037" s="183" t="s">
        <v>3384</v>
      </c>
      <c r="D2037" s="5" t="s">
        <v>5941</v>
      </c>
      <c r="E2037" s="2" t="s">
        <v>83</v>
      </c>
      <c r="F2037" s="6" t="s">
        <v>704</v>
      </c>
      <c r="G2037" s="5" t="s">
        <v>5939</v>
      </c>
      <c r="H2037" s="2" t="s">
        <v>257</v>
      </c>
      <c r="I2037" s="3" t="s">
        <v>5942</v>
      </c>
      <c r="J2037" s="7">
        <v>1</v>
      </c>
      <c r="L2037" s="9">
        <v>1</v>
      </c>
      <c r="M2037" s="3">
        <v>1626</v>
      </c>
      <c r="N2037" s="6">
        <v>2011</v>
      </c>
      <c r="O2037" s="10">
        <v>40256</v>
      </c>
      <c r="P2037" s="71" t="s">
        <v>5943</v>
      </c>
      <c r="Q2037" s="10">
        <v>40549</v>
      </c>
      <c r="R2037" s="6">
        <v>2010</v>
      </c>
      <c r="S2037" s="3" t="s">
        <v>236</v>
      </c>
      <c r="T2037" s="72"/>
      <c r="U2037" s="73"/>
      <c r="W2037" s="2" t="s">
        <v>62</v>
      </c>
      <c r="X2037" s="10" t="s">
        <v>56</v>
      </c>
      <c r="Y2037" s="10" t="s">
        <v>68</v>
      </c>
      <c r="Z2037" s="75" t="s">
        <v>260</v>
      </c>
      <c r="AI2037" s="7"/>
      <c r="AJ2037" s="95">
        <v>41943</v>
      </c>
      <c r="AK2037" s="7">
        <v>2010</v>
      </c>
      <c r="AL2037" s="16"/>
      <c r="AW2037" s="6">
        <f t="shared" ca="1" si="34"/>
        <v>14</v>
      </c>
    </row>
    <row r="2038" ht="45" customHeight="1" outlineLevel="1">
      <c r="A2038" s="69"/>
      <c r="B2038" s="3" t="s">
        <v>47</v>
      </c>
      <c r="C2038" s="4" t="s">
        <v>5944</v>
      </c>
      <c r="D2038" s="5" t="s">
        <v>5945</v>
      </c>
      <c r="E2038" s="2" t="s">
        <v>63</v>
      </c>
      <c r="F2038" s="6" t="s">
        <v>172</v>
      </c>
      <c r="G2038" s="5" t="s">
        <v>618</v>
      </c>
      <c r="H2038" s="2" t="s">
        <v>3735</v>
      </c>
      <c r="I2038" s="3" t="s">
        <v>5946</v>
      </c>
      <c r="J2038" s="7">
        <v>1</v>
      </c>
      <c r="K2038" s="8" t="s">
        <v>53</v>
      </c>
      <c r="L2038" s="9">
        <v>1</v>
      </c>
      <c r="M2038" s="3">
        <v>1627</v>
      </c>
      <c r="N2038" s="6">
        <v>2011</v>
      </c>
      <c r="P2038" s="71"/>
      <c r="R2038" s="6">
        <v>2010</v>
      </c>
      <c r="S2038" s="3" t="s">
        <v>54</v>
      </c>
      <c r="T2038" s="72"/>
      <c r="U2038" s="73"/>
      <c r="W2038" s="2" t="s">
        <v>5947</v>
      </c>
      <c r="X2038" s="10" t="s">
        <v>56</v>
      </c>
      <c r="Y2038" s="10" t="s">
        <v>68</v>
      </c>
      <c r="Z2038" s="75" t="s">
        <v>58</v>
      </c>
      <c r="AA2038" s="13">
        <v>42348</v>
      </c>
      <c r="AB2038" s="14">
        <v>42348</v>
      </c>
      <c r="AE2038" s="7" t="s">
        <v>5948</v>
      </c>
      <c r="AF2038" s="7" t="s">
        <v>5949</v>
      </c>
      <c r="AG2038" s="7">
        <v>2015</v>
      </c>
      <c r="AH2038" s="7">
        <v>2010</v>
      </c>
      <c r="AI2038" s="7"/>
      <c r="AJ2038" s="73"/>
      <c r="AK2038" s="7"/>
      <c r="AL2038" s="16" t="s">
        <v>5950</v>
      </c>
      <c r="AM2038" s="2" t="s">
        <v>53</v>
      </c>
      <c r="AN2038" s="6" t="s">
        <v>73</v>
      </c>
      <c r="AO2038" s="6" t="s">
        <v>53</v>
      </c>
      <c r="AP2038" s="6" t="s">
        <v>73</v>
      </c>
      <c r="AQ2038" s="5" t="s">
        <v>73</v>
      </c>
      <c r="AW2038" s="6">
        <f t="shared" ca="1" si="34"/>
        <v>14</v>
      </c>
    </row>
    <row r="2039" ht="45" customHeight="1" outlineLevel="1">
      <c r="A2039" s="69">
        <v>44600</v>
      </c>
      <c r="B2039" s="3" t="s">
        <v>47</v>
      </c>
      <c r="C2039" s="4" t="s">
        <v>5951</v>
      </c>
      <c r="D2039" s="5" t="s">
        <v>5952</v>
      </c>
      <c r="E2039" s="2" t="s">
        <v>48</v>
      </c>
      <c r="F2039" s="6" t="s">
        <v>140</v>
      </c>
      <c r="G2039" s="5" t="s">
        <v>5953</v>
      </c>
      <c r="H2039" s="2" t="s">
        <v>57</v>
      </c>
      <c r="I2039" s="3" t="s">
        <v>5954</v>
      </c>
      <c r="J2039" s="7">
        <v>1</v>
      </c>
      <c r="K2039" s="8" t="s">
        <v>53</v>
      </c>
      <c r="L2039" s="9">
        <v>1</v>
      </c>
      <c r="M2039" s="3">
        <v>1628</v>
      </c>
      <c r="N2039" s="6">
        <v>2011</v>
      </c>
      <c r="P2039" s="71"/>
      <c r="R2039" s="6">
        <v>2010</v>
      </c>
      <c r="S2039" s="3" t="s">
        <v>54</v>
      </c>
      <c r="T2039" s="72"/>
      <c r="U2039" s="73"/>
      <c r="W2039" s="2" t="s">
        <v>62</v>
      </c>
      <c r="X2039" s="10" t="s">
        <v>56</v>
      </c>
      <c r="Y2039" s="10" t="s">
        <v>57</v>
      </c>
      <c r="Z2039" s="75"/>
      <c r="AC2039" s="14" t="s">
        <v>208</v>
      </c>
      <c r="AE2039" s="7">
        <v>2021</v>
      </c>
      <c r="AF2039" s="7">
        <v>95</v>
      </c>
      <c r="AG2039" s="7">
        <v>2022</v>
      </c>
      <c r="AH2039" s="7">
        <v>20</v>
      </c>
      <c r="AI2039" s="7"/>
      <c r="AJ2039" s="73"/>
      <c r="AK2039" s="7"/>
      <c r="AL2039" s="16"/>
      <c r="AW2039" s="6">
        <f t="shared" ca="1" si="34"/>
        <v>14</v>
      </c>
    </row>
    <row r="2040" ht="45" hidden="1" customHeight="1" outlineLevel="1">
      <c r="A2040" s="69"/>
      <c r="B2040" s="3" t="s">
        <v>190</v>
      </c>
      <c r="C2040" s="4" t="s">
        <v>5955</v>
      </c>
      <c r="D2040" s="5" t="s">
        <v>5952</v>
      </c>
      <c r="E2040" s="2" t="s">
        <v>48</v>
      </c>
      <c r="F2040" s="6" t="s">
        <v>140</v>
      </c>
      <c r="G2040" s="5" t="s">
        <v>5953</v>
      </c>
      <c r="H2040" s="2" t="s">
        <v>57</v>
      </c>
      <c r="I2040" s="3" t="s">
        <v>5956</v>
      </c>
      <c r="J2040" s="7">
        <v>1</v>
      </c>
      <c r="L2040" s="9">
        <v>0</v>
      </c>
      <c r="M2040" s="3">
        <v>1628</v>
      </c>
      <c r="N2040" s="6">
        <v>2011</v>
      </c>
      <c r="P2040" s="71"/>
      <c r="R2040" s="6">
        <v>2010</v>
      </c>
      <c r="S2040" s="3" t="s">
        <v>5957</v>
      </c>
      <c r="T2040" s="72"/>
      <c r="U2040" s="73"/>
      <c r="W2040" s="74" t="s">
        <v>62</v>
      </c>
      <c r="X2040" s="10" t="s">
        <v>56</v>
      </c>
      <c r="Y2040" s="10" t="s">
        <v>57</v>
      </c>
      <c r="Z2040" s="75"/>
      <c r="AI2040" s="7"/>
      <c r="AJ2040" s="73"/>
      <c r="AK2040" s="7"/>
      <c r="AL2040" s="16"/>
      <c r="AW2040" s="6">
        <f t="shared" ca="1" si="34"/>
        <v>14</v>
      </c>
    </row>
    <row r="2041" ht="45" hidden="1" customHeight="1" outlineLevel="1">
      <c r="A2041" s="69"/>
      <c r="B2041" s="3" t="s">
        <v>190</v>
      </c>
      <c r="C2041" s="4" t="s">
        <v>5958</v>
      </c>
      <c r="D2041" s="5" t="s">
        <v>5959</v>
      </c>
      <c r="E2041" s="2" t="s">
        <v>1074</v>
      </c>
      <c r="F2041" s="6" t="s">
        <v>1075</v>
      </c>
      <c r="G2041" s="5" t="s">
        <v>5960</v>
      </c>
      <c r="H2041" s="2" t="s">
        <v>3735</v>
      </c>
      <c r="I2041" s="3" t="s">
        <v>5961</v>
      </c>
      <c r="J2041" s="7">
        <v>1</v>
      </c>
      <c r="L2041" s="9">
        <v>1</v>
      </c>
      <c r="M2041" s="3">
        <v>1629</v>
      </c>
      <c r="N2041" s="6">
        <v>2011</v>
      </c>
      <c r="P2041" s="71"/>
      <c r="R2041" s="6">
        <v>2010</v>
      </c>
      <c r="S2041" s="3" t="s">
        <v>283</v>
      </c>
      <c r="T2041" s="72"/>
      <c r="U2041" s="73"/>
      <c r="W2041" s="74" t="s">
        <v>62</v>
      </c>
      <c r="X2041" s="10" t="s">
        <v>56</v>
      </c>
      <c r="Y2041" s="10" t="s">
        <v>68</v>
      </c>
      <c r="Z2041" s="75" t="s">
        <v>58</v>
      </c>
      <c r="AI2041" s="7"/>
      <c r="AJ2041" s="73"/>
      <c r="AK2041" s="7"/>
      <c r="AL2041" s="16"/>
      <c r="AW2041" s="6">
        <f t="shared" ca="1" si="34"/>
        <v>14</v>
      </c>
    </row>
    <row r="2042" ht="45" hidden="1" customHeight="1" outlineLevel="1">
      <c r="A2042" s="69"/>
      <c r="B2042" s="3" t="s">
        <v>47</v>
      </c>
      <c r="C2042" s="4" t="s">
        <v>5962</v>
      </c>
      <c r="D2042" s="5" t="s">
        <v>5963</v>
      </c>
      <c r="E2042" s="2" t="s">
        <v>63</v>
      </c>
      <c r="F2042" s="6" t="s">
        <v>1480</v>
      </c>
      <c r="G2042" s="5" t="s">
        <v>2415</v>
      </c>
      <c r="H2042" s="2" t="s">
        <v>382</v>
      </c>
      <c r="I2042" s="3" t="s">
        <v>5964</v>
      </c>
      <c r="J2042" s="7">
        <v>1</v>
      </c>
      <c r="L2042" s="9">
        <v>1</v>
      </c>
      <c r="M2042" s="3">
        <v>1630</v>
      </c>
      <c r="N2042" s="6">
        <v>2011</v>
      </c>
      <c r="P2042" s="71"/>
      <c r="R2042" s="6">
        <v>2010</v>
      </c>
      <c r="S2042" s="3" t="s">
        <v>236</v>
      </c>
      <c r="T2042" s="72"/>
      <c r="U2042" s="73"/>
      <c r="W2042" s="2" t="s">
        <v>62</v>
      </c>
      <c r="X2042" s="10" t="s">
        <v>91</v>
      </c>
      <c r="Y2042" s="10" t="s">
        <v>385</v>
      </c>
      <c r="Z2042" s="75"/>
      <c r="AI2042" s="7"/>
      <c r="AJ2042" s="10">
        <v>42453</v>
      </c>
      <c r="AK2042" s="7">
        <v>2010</v>
      </c>
      <c r="AL2042" s="16"/>
      <c r="AW2042" s="6">
        <f t="shared" ca="1" si="34"/>
        <v>14</v>
      </c>
    </row>
    <row r="2043" ht="45" hidden="1" customHeight="1" outlineLevel="1">
      <c r="A2043" s="69"/>
      <c r="B2043" s="3" t="s">
        <v>47</v>
      </c>
      <c r="C2043" s="4" t="s">
        <v>5965</v>
      </c>
      <c r="D2043" s="5" t="s">
        <v>5966</v>
      </c>
      <c r="E2043" s="2" t="s">
        <v>63</v>
      </c>
      <c r="F2043" s="6" t="s">
        <v>83</v>
      </c>
      <c r="G2043" s="5" t="s">
        <v>5967</v>
      </c>
      <c r="H2043" s="2" t="s">
        <v>57</v>
      </c>
      <c r="I2043" s="3" t="s">
        <v>5968</v>
      </c>
      <c r="J2043" s="7">
        <v>1</v>
      </c>
      <c r="L2043" s="9">
        <v>1</v>
      </c>
      <c r="M2043" s="3">
        <v>1631</v>
      </c>
      <c r="N2043" s="6">
        <v>2011</v>
      </c>
      <c r="P2043" s="71"/>
      <c r="R2043" s="6">
        <v>2010</v>
      </c>
      <c r="S2043" s="3" t="s">
        <v>236</v>
      </c>
      <c r="T2043" s="72"/>
      <c r="U2043" s="73"/>
      <c r="W2043" s="2" t="s">
        <v>62</v>
      </c>
      <c r="X2043" s="10" t="s">
        <v>56</v>
      </c>
      <c r="Y2043" s="10" t="s">
        <v>57</v>
      </c>
      <c r="Z2043" s="75"/>
      <c r="AI2043" s="7"/>
      <c r="AJ2043" s="10">
        <v>40826</v>
      </c>
      <c r="AK2043" s="7">
        <v>2010</v>
      </c>
      <c r="AL2043" s="16"/>
      <c r="AW2043" s="6">
        <f t="shared" ca="1" si="34"/>
        <v>14</v>
      </c>
    </row>
    <row r="2044" ht="45" hidden="1" customHeight="1" outlineLevel="1">
      <c r="A2044" s="69"/>
      <c r="B2044" s="3" t="s">
        <v>47</v>
      </c>
      <c r="C2044" s="4" t="s">
        <v>5969</v>
      </c>
      <c r="D2044" s="5" t="s">
        <v>5970</v>
      </c>
      <c r="E2044" s="2" t="s">
        <v>83</v>
      </c>
      <c r="F2044" s="6" t="s">
        <v>84</v>
      </c>
      <c r="G2044" s="5" t="s">
        <v>5971</v>
      </c>
      <c r="H2044" s="2" t="s">
        <v>288</v>
      </c>
      <c r="I2044" s="3" t="s">
        <v>5972</v>
      </c>
      <c r="J2044" s="7">
        <v>1</v>
      </c>
      <c r="L2044" s="9">
        <v>1</v>
      </c>
      <c r="M2044" s="3">
        <v>1632</v>
      </c>
      <c r="N2044" s="6">
        <v>2011</v>
      </c>
      <c r="P2044" s="71"/>
      <c r="R2044" s="6">
        <v>2010</v>
      </c>
      <c r="S2044" s="3" t="s">
        <v>236</v>
      </c>
      <c r="T2044" s="72" t="s">
        <v>998</v>
      </c>
      <c r="W2044" s="2" t="s">
        <v>62</v>
      </c>
      <c r="X2044" s="10" t="s">
        <v>56</v>
      </c>
      <c r="Y2044" s="10" t="s">
        <v>288</v>
      </c>
      <c r="Z2044" s="75"/>
      <c r="AI2044" s="7"/>
      <c r="AJ2044" s="10">
        <v>44916</v>
      </c>
      <c r="AK2044" s="7">
        <v>2020</v>
      </c>
      <c r="AL2044" s="16"/>
      <c r="AW2044" s="6">
        <f t="shared" ca="1" si="34"/>
        <v>14</v>
      </c>
    </row>
    <row r="2045" ht="45" hidden="1" customHeight="1" outlineLevel="1">
      <c r="A2045" s="69">
        <v>43621</v>
      </c>
      <c r="B2045" s="3" t="s">
        <v>1926</v>
      </c>
      <c r="C2045" s="4" t="s">
        <v>5973</v>
      </c>
      <c r="D2045" s="5" t="s">
        <v>5974</v>
      </c>
      <c r="E2045" s="2" t="s">
        <v>83</v>
      </c>
      <c r="F2045" s="6" t="s">
        <v>84</v>
      </c>
      <c r="G2045" s="5" t="s">
        <v>85</v>
      </c>
      <c r="H2045" s="2" t="s">
        <v>57</v>
      </c>
      <c r="I2045" s="3" t="s">
        <v>5975</v>
      </c>
      <c r="J2045" s="7">
        <v>1</v>
      </c>
      <c r="L2045" s="9">
        <v>1</v>
      </c>
      <c r="M2045" s="3">
        <v>1633</v>
      </c>
      <c r="N2045" s="6">
        <v>2011</v>
      </c>
      <c r="P2045" s="71"/>
      <c r="R2045" s="6">
        <v>2010</v>
      </c>
      <c r="S2045" s="3" t="s">
        <v>283</v>
      </c>
      <c r="T2045" s="72" t="s">
        <v>998</v>
      </c>
      <c r="U2045" s="73"/>
      <c r="W2045" s="74" t="s">
        <v>62</v>
      </c>
      <c r="X2045" s="10" t="s">
        <v>56</v>
      </c>
      <c r="Y2045" s="10" t="s">
        <v>57</v>
      </c>
      <c r="Z2045" s="75"/>
      <c r="AI2045" s="7"/>
      <c r="AJ2045" s="73"/>
      <c r="AK2045" s="7"/>
      <c r="AL2045" s="16"/>
      <c r="AW2045" s="6">
        <f t="shared" ca="1" si="34"/>
        <v>14</v>
      </c>
    </row>
    <row r="2046" ht="45" hidden="1" customHeight="1" outlineLevel="1">
      <c r="A2046" s="69">
        <v>45094</v>
      </c>
      <c r="B2046" s="3" t="s">
        <v>1926</v>
      </c>
      <c r="C2046" s="4" t="s">
        <v>5976</v>
      </c>
      <c r="D2046" s="5" t="s">
        <v>5977</v>
      </c>
      <c r="E2046" s="2" t="s">
        <v>83</v>
      </c>
      <c r="F2046" s="6" t="s">
        <v>84</v>
      </c>
      <c r="G2046" s="5" t="s">
        <v>85</v>
      </c>
      <c r="H2046" s="2" t="s">
        <v>57</v>
      </c>
      <c r="I2046" s="3" t="s">
        <v>5978</v>
      </c>
      <c r="J2046" s="7">
        <v>1</v>
      </c>
      <c r="L2046" s="9">
        <v>1</v>
      </c>
      <c r="M2046" s="3">
        <v>1634</v>
      </c>
      <c r="N2046" s="6">
        <v>2011</v>
      </c>
      <c r="P2046" s="71"/>
      <c r="R2046" s="6">
        <v>2010</v>
      </c>
      <c r="S2046" s="3" t="s">
        <v>283</v>
      </c>
      <c r="T2046" s="72" t="s">
        <v>998</v>
      </c>
      <c r="U2046" s="73"/>
      <c r="W2046" s="74" t="s">
        <v>62</v>
      </c>
      <c r="X2046" s="10" t="s">
        <v>56</v>
      </c>
      <c r="Y2046" s="10" t="s">
        <v>57</v>
      </c>
      <c r="Z2046" s="75"/>
      <c r="AI2046" s="7"/>
      <c r="AJ2046" s="73"/>
      <c r="AK2046" s="7"/>
      <c r="AL2046" s="16"/>
      <c r="AW2046" s="6">
        <f t="shared" ca="1" si="34"/>
        <v>14</v>
      </c>
    </row>
    <row r="2047" ht="45" hidden="1" customHeight="1">
      <c r="A2047" s="69"/>
      <c r="B2047" s="3" t="s">
        <v>190</v>
      </c>
      <c r="C2047" s="4" t="s">
        <v>5979</v>
      </c>
      <c r="D2047" s="5" t="s">
        <v>5980</v>
      </c>
      <c r="E2047" s="2" t="s">
        <v>48</v>
      </c>
      <c r="F2047" s="6" t="s">
        <v>140</v>
      </c>
      <c r="G2047" s="5" t="s">
        <v>3818</v>
      </c>
      <c r="H2047" s="2" t="s">
        <v>68</v>
      </c>
      <c r="I2047" s="96" t="s">
        <v>5981</v>
      </c>
      <c r="J2047" s="7">
        <v>1</v>
      </c>
      <c r="L2047" s="9">
        <v>1</v>
      </c>
      <c r="M2047" s="3">
        <v>1635</v>
      </c>
      <c r="N2047" s="6">
        <v>2011</v>
      </c>
      <c r="P2047" s="71"/>
      <c r="R2047" s="6">
        <v>2010</v>
      </c>
      <c r="S2047" s="3" t="s">
        <v>283</v>
      </c>
      <c r="T2047" s="72"/>
      <c r="U2047" s="73"/>
      <c r="W2047" s="74" t="s">
        <v>62</v>
      </c>
      <c r="X2047" s="10" t="s">
        <v>56</v>
      </c>
      <c r="Y2047" s="10" t="s">
        <v>68</v>
      </c>
      <c r="Z2047" s="75"/>
      <c r="AI2047" s="7"/>
      <c r="AJ2047" s="73"/>
      <c r="AK2047" s="7"/>
      <c r="AL2047" s="174"/>
      <c r="AW2047" s="6">
        <f t="shared" ca="1" si="34"/>
        <v>14</v>
      </c>
    </row>
    <row r="2048" ht="45" hidden="1" customHeight="1">
      <c r="A2048" s="69"/>
      <c r="B2048" s="3" t="s">
        <v>47</v>
      </c>
      <c r="C2048" s="4" t="s">
        <v>5982</v>
      </c>
      <c r="D2048" s="5" t="s">
        <v>5983</v>
      </c>
      <c r="E2048" s="2" t="s">
        <v>83</v>
      </c>
      <c r="F2048" s="6" t="s">
        <v>84</v>
      </c>
      <c r="G2048" s="5" t="s">
        <v>85</v>
      </c>
      <c r="H2048" s="2" t="s">
        <v>57</v>
      </c>
      <c r="I2048" s="3" t="s">
        <v>5984</v>
      </c>
      <c r="J2048" s="7">
        <v>1</v>
      </c>
      <c r="L2048" s="9">
        <v>1</v>
      </c>
      <c r="M2048" s="3">
        <v>1636</v>
      </c>
      <c r="N2048" s="6">
        <v>2011</v>
      </c>
      <c r="P2048" s="71"/>
      <c r="R2048" s="6">
        <v>2010</v>
      </c>
      <c r="S2048" s="3" t="s">
        <v>236</v>
      </c>
      <c r="T2048" s="72"/>
      <c r="U2048" s="73"/>
      <c r="W2048" s="2" t="s">
        <v>62</v>
      </c>
      <c r="X2048" s="10" t="s">
        <v>56</v>
      </c>
      <c r="Y2048" s="10" t="s">
        <v>57</v>
      </c>
      <c r="Z2048" s="75"/>
      <c r="AI2048" s="7"/>
      <c r="AJ2048" s="95">
        <v>40905</v>
      </c>
      <c r="AK2048" s="7">
        <v>2010</v>
      </c>
      <c r="AL2048" s="16"/>
      <c r="AW2048" s="6">
        <f t="shared" ca="1" si="34"/>
        <v>14</v>
      </c>
    </row>
    <row r="2049" ht="45" hidden="1" customHeight="1" outlineLevel="1">
      <c r="A2049" s="69"/>
      <c r="B2049" s="3" t="s">
        <v>47</v>
      </c>
      <c r="C2049" s="4" t="s">
        <v>5982</v>
      </c>
      <c r="D2049" s="5" t="s">
        <v>5985</v>
      </c>
      <c r="E2049" s="2" t="s">
        <v>83</v>
      </c>
      <c r="F2049" s="6" t="s">
        <v>84</v>
      </c>
      <c r="G2049" s="5" t="s">
        <v>5986</v>
      </c>
      <c r="H2049" s="2" t="s">
        <v>382</v>
      </c>
      <c r="I2049" s="3" t="s">
        <v>5987</v>
      </c>
      <c r="J2049" s="7">
        <v>1</v>
      </c>
      <c r="L2049" s="9">
        <v>1</v>
      </c>
      <c r="M2049" s="3">
        <v>1637</v>
      </c>
      <c r="N2049" s="6">
        <v>2011</v>
      </c>
      <c r="P2049" s="71"/>
      <c r="R2049" s="6">
        <v>2010</v>
      </c>
      <c r="S2049" s="3" t="s">
        <v>236</v>
      </c>
      <c r="T2049" s="72"/>
      <c r="U2049" s="73"/>
      <c r="W2049" s="2" t="s">
        <v>62</v>
      </c>
      <c r="X2049" s="10" t="s">
        <v>91</v>
      </c>
      <c r="Y2049" s="10" t="s">
        <v>385</v>
      </c>
      <c r="Z2049" s="75"/>
      <c r="AI2049" s="7"/>
      <c r="AJ2049" s="95">
        <v>40905</v>
      </c>
      <c r="AK2049" s="7">
        <v>2010</v>
      </c>
      <c r="AL2049" s="16"/>
      <c r="AW2049" s="6">
        <f t="shared" ca="1" si="34"/>
        <v>14</v>
      </c>
    </row>
    <row r="2050" ht="45" hidden="1" customHeight="1" outlineLevel="1">
      <c r="A2050" s="69"/>
      <c r="B2050" s="3" t="s">
        <v>47</v>
      </c>
      <c r="C2050" s="4" t="s">
        <v>4554</v>
      </c>
      <c r="D2050" s="5" t="s">
        <v>5988</v>
      </c>
      <c r="E2050" s="2" t="s">
        <v>83</v>
      </c>
      <c r="F2050" s="6" t="s">
        <v>84</v>
      </c>
      <c r="G2050" s="5" t="s">
        <v>85</v>
      </c>
      <c r="H2050" s="2" t="s">
        <v>57</v>
      </c>
      <c r="I2050" s="3" t="s">
        <v>5989</v>
      </c>
      <c r="J2050" s="7">
        <v>1</v>
      </c>
      <c r="L2050" s="9">
        <v>1</v>
      </c>
      <c r="M2050" s="3">
        <v>1638</v>
      </c>
      <c r="N2050" s="6">
        <v>2011</v>
      </c>
      <c r="P2050" s="71"/>
      <c r="R2050" s="6">
        <v>2010</v>
      </c>
      <c r="S2050" s="3" t="s">
        <v>236</v>
      </c>
      <c r="T2050" s="72"/>
      <c r="U2050" s="73"/>
      <c r="W2050" s="2" t="s">
        <v>62</v>
      </c>
      <c r="X2050" s="10" t="s">
        <v>56</v>
      </c>
      <c r="Y2050" s="10" t="s">
        <v>57</v>
      </c>
      <c r="Z2050" s="75"/>
      <c r="AI2050" s="7"/>
      <c r="AJ2050" s="95">
        <v>40905</v>
      </c>
      <c r="AK2050" s="7">
        <v>2010</v>
      </c>
      <c r="AL2050" s="16"/>
      <c r="AW2050" s="6">
        <f t="shared" ca="1" si="34"/>
        <v>14</v>
      </c>
    </row>
    <row r="2051" ht="45" hidden="1" customHeight="1" outlineLevel="1">
      <c r="A2051" s="69"/>
      <c r="B2051" s="3" t="s">
        <v>47</v>
      </c>
      <c r="C2051" s="4" t="s">
        <v>5982</v>
      </c>
      <c r="D2051" s="5" t="s">
        <v>5990</v>
      </c>
      <c r="E2051" s="2" t="s">
        <v>83</v>
      </c>
      <c r="F2051" s="6" t="s">
        <v>84</v>
      </c>
      <c r="G2051" s="5" t="s">
        <v>85</v>
      </c>
      <c r="H2051" s="2" t="s">
        <v>57</v>
      </c>
      <c r="I2051" s="96" t="s">
        <v>5991</v>
      </c>
      <c r="J2051" s="7">
        <v>1</v>
      </c>
      <c r="L2051" s="9">
        <v>1</v>
      </c>
      <c r="M2051" s="3">
        <v>1639</v>
      </c>
      <c r="N2051" s="6">
        <v>2011</v>
      </c>
      <c r="P2051" s="71"/>
      <c r="R2051" s="6">
        <v>2010</v>
      </c>
      <c r="S2051" s="3" t="s">
        <v>236</v>
      </c>
      <c r="T2051" s="72"/>
      <c r="U2051" s="73"/>
      <c r="W2051" s="2" t="s">
        <v>62</v>
      </c>
      <c r="X2051" s="10" t="s">
        <v>56</v>
      </c>
      <c r="Y2051" s="10" t="s">
        <v>57</v>
      </c>
      <c r="Z2051" s="75"/>
      <c r="AI2051" s="7"/>
      <c r="AJ2051" s="95">
        <v>40905</v>
      </c>
      <c r="AK2051" s="7">
        <v>2010</v>
      </c>
      <c r="AL2051" s="16"/>
      <c r="AW2051" s="6">
        <f t="shared" ca="1" si="34"/>
        <v>14</v>
      </c>
    </row>
    <row r="2052" ht="45" hidden="1" customHeight="1" outlineLevel="1">
      <c r="A2052" s="69"/>
      <c r="B2052" s="3" t="s">
        <v>47</v>
      </c>
      <c r="C2052" s="4" t="s">
        <v>5982</v>
      </c>
      <c r="D2052" s="5" t="s">
        <v>5992</v>
      </c>
      <c r="E2052" s="2" t="s">
        <v>83</v>
      </c>
      <c r="F2052" s="6" t="s">
        <v>84</v>
      </c>
      <c r="G2052" s="5" t="s">
        <v>85</v>
      </c>
      <c r="H2052" s="2" t="s">
        <v>57</v>
      </c>
      <c r="I2052" s="3" t="s">
        <v>5993</v>
      </c>
      <c r="J2052" s="7">
        <v>1</v>
      </c>
      <c r="L2052" s="9">
        <v>1</v>
      </c>
      <c r="M2052" s="3">
        <v>1640</v>
      </c>
      <c r="N2052" s="6">
        <v>2011</v>
      </c>
      <c r="P2052" s="71"/>
      <c r="R2052" s="6">
        <v>2010</v>
      </c>
      <c r="S2052" s="3" t="s">
        <v>236</v>
      </c>
      <c r="T2052" s="72"/>
      <c r="U2052" s="73"/>
      <c r="W2052" s="2" t="s">
        <v>62</v>
      </c>
      <c r="X2052" s="10" t="s">
        <v>56</v>
      </c>
      <c r="Y2052" s="10" t="s">
        <v>57</v>
      </c>
      <c r="Z2052" s="75"/>
      <c r="AI2052" s="7"/>
      <c r="AJ2052" s="95">
        <v>40905</v>
      </c>
      <c r="AK2052" s="7">
        <v>2010</v>
      </c>
      <c r="AL2052" s="16"/>
      <c r="AW2052" s="6">
        <f t="shared" ca="1" si="34"/>
        <v>14</v>
      </c>
    </row>
    <row r="2053" ht="45" hidden="1" customHeight="1" outlineLevel="1">
      <c r="A2053" s="69"/>
      <c r="B2053" s="3" t="s">
        <v>47</v>
      </c>
      <c r="C2053" s="4" t="s">
        <v>3134</v>
      </c>
      <c r="D2053" s="5" t="s">
        <v>5994</v>
      </c>
      <c r="E2053" s="2" t="s">
        <v>694</v>
      </c>
      <c r="F2053" s="6" t="s">
        <v>1593</v>
      </c>
      <c r="G2053" s="5" t="s">
        <v>1594</v>
      </c>
      <c r="H2053" s="2" t="s">
        <v>288</v>
      </c>
      <c r="I2053" s="96" t="s">
        <v>5995</v>
      </c>
      <c r="J2053" s="7">
        <v>1</v>
      </c>
      <c r="L2053" s="9">
        <v>1</v>
      </c>
      <c r="M2053" s="3">
        <v>1641</v>
      </c>
      <c r="N2053" s="6">
        <v>2011</v>
      </c>
      <c r="P2053" s="71"/>
      <c r="R2053" s="6">
        <v>2010</v>
      </c>
      <c r="S2053" s="3" t="s">
        <v>236</v>
      </c>
      <c r="T2053" s="72"/>
      <c r="U2053" s="73"/>
      <c r="W2053" s="2" t="s">
        <v>62</v>
      </c>
      <c r="X2053" s="10" t="s">
        <v>56</v>
      </c>
      <c r="Y2053" s="10" t="s">
        <v>288</v>
      </c>
      <c r="Z2053" s="75"/>
      <c r="AI2053" s="7"/>
      <c r="AJ2053" s="95">
        <v>41877</v>
      </c>
      <c r="AK2053" s="7">
        <v>2010</v>
      </c>
      <c r="AL2053" s="16"/>
      <c r="AW2053" s="6">
        <f t="shared" ca="1" si="34"/>
        <v>14</v>
      </c>
    </row>
    <row r="2054" ht="45" customHeight="1" outlineLevel="1">
      <c r="A2054" s="69"/>
      <c r="B2054" s="3" t="s">
        <v>47</v>
      </c>
      <c r="D2054" s="5" t="s">
        <v>5996</v>
      </c>
      <c r="E2054" s="2" t="s">
        <v>83</v>
      </c>
      <c r="F2054" s="6" t="s">
        <v>704</v>
      </c>
      <c r="G2054" s="5" t="s">
        <v>705</v>
      </c>
      <c r="H2054" s="2" t="s">
        <v>88</v>
      </c>
      <c r="I2054" s="3" t="s">
        <v>5997</v>
      </c>
      <c r="J2054" s="7">
        <v>1</v>
      </c>
      <c r="K2054" s="70" t="s">
        <v>53</v>
      </c>
      <c r="L2054" s="9">
        <v>1</v>
      </c>
      <c r="M2054" s="3">
        <v>1642</v>
      </c>
      <c r="N2054" s="6">
        <v>2011</v>
      </c>
      <c r="P2054" s="71"/>
      <c r="R2054" s="6">
        <v>2010</v>
      </c>
      <c r="S2054" s="3" t="s">
        <v>54</v>
      </c>
      <c r="T2054" s="72"/>
      <c r="U2054" s="73"/>
      <c r="W2054" s="2" t="s">
        <v>5998</v>
      </c>
      <c r="X2054" s="10" t="s">
        <v>91</v>
      </c>
      <c r="Y2054" s="10" t="s">
        <v>214</v>
      </c>
      <c r="Z2054" s="75"/>
      <c r="AA2054" s="76"/>
      <c r="AB2054" s="77"/>
      <c r="AC2054" s="77">
        <v>44118</v>
      </c>
      <c r="AD2054" s="10"/>
      <c r="AE2054" s="7">
        <v>2018</v>
      </c>
      <c r="AI2054" s="7"/>
      <c r="AJ2054" s="73"/>
      <c r="AK2054" s="7"/>
      <c r="AL2054" s="15" t="s">
        <v>5999</v>
      </c>
      <c r="AM2054" s="2" t="s">
        <v>59</v>
      </c>
      <c r="AO2054" s="6" t="s">
        <v>59</v>
      </c>
      <c r="AW2054" s="6">
        <f t="shared" ca="1" si="34"/>
        <v>14</v>
      </c>
    </row>
    <row r="2055" ht="45" customHeight="1" outlineLevel="1">
      <c r="A2055" s="69">
        <v>42940</v>
      </c>
      <c r="B2055" s="3" t="s">
        <v>190</v>
      </c>
      <c r="C2055" s="4" t="s">
        <v>6000</v>
      </c>
      <c r="D2055" s="5" t="s">
        <v>6001</v>
      </c>
      <c r="E2055" s="78" t="s">
        <v>83</v>
      </c>
      <c r="F2055" s="79" t="s">
        <v>84</v>
      </c>
      <c r="G2055" s="80" t="s">
        <v>85</v>
      </c>
      <c r="H2055" s="78" t="s">
        <v>68</v>
      </c>
      <c r="I2055" s="81" t="s">
        <v>6002</v>
      </c>
      <c r="J2055" s="7">
        <v>1</v>
      </c>
      <c r="K2055" s="70" t="s">
        <v>1978</v>
      </c>
      <c r="L2055" s="9">
        <v>1</v>
      </c>
      <c r="M2055" s="3">
        <v>1643</v>
      </c>
      <c r="N2055" s="6">
        <v>2012</v>
      </c>
      <c r="P2055" s="71"/>
      <c r="R2055" s="6">
        <v>2010</v>
      </c>
      <c r="S2055" s="3" t="s">
        <v>1980</v>
      </c>
      <c r="T2055" s="72" t="s">
        <v>998</v>
      </c>
      <c r="U2055" s="73"/>
      <c r="V2055" s="12">
        <v>41892</v>
      </c>
      <c r="W2055" s="180" t="s">
        <v>6003</v>
      </c>
      <c r="X2055" s="82" t="s">
        <v>56</v>
      </c>
      <c r="Y2055" s="82" t="s">
        <v>68</v>
      </c>
      <c r="Z2055" s="83"/>
      <c r="AA2055" s="76"/>
      <c r="AB2055" s="77"/>
      <c r="AC2055" s="77"/>
      <c r="AD2055" s="10"/>
      <c r="AI2055" s="7"/>
      <c r="AJ2055" s="73"/>
      <c r="AK2055" s="7"/>
      <c r="AL2055" s="102" t="s">
        <v>6004</v>
      </c>
      <c r="AW2055" s="6">
        <f t="shared" ca="1" si="34"/>
        <v>13</v>
      </c>
    </row>
    <row r="2056" ht="45" hidden="1" customHeight="1" outlineLevel="1">
      <c r="A2056" s="69"/>
      <c r="B2056" s="3" t="s">
        <v>47</v>
      </c>
      <c r="C2056" s="4" t="s">
        <v>6005</v>
      </c>
      <c r="D2056" s="5" t="s">
        <v>6006</v>
      </c>
      <c r="E2056" s="2" t="s">
        <v>83</v>
      </c>
      <c r="F2056" s="6" t="s">
        <v>84</v>
      </c>
      <c r="G2056" s="5" t="s">
        <v>85</v>
      </c>
      <c r="H2056" s="2" t="s">
        <v>57</v>
      </c>
      <c r="I2056" s="3" t="s">
        <v>6007</v>
      </c>
      <c r="J2056" s="7">
        <v>1</v>
      </c>
      <c r="L2056" s="9">
        <v>1</v>
      </c>
      <c r="M2056" s="3">
        <v>1644</v>
      </c>
      <c r="N2056" s="6">
        <v>2011</v>
      </c>
      <c r="P2056" s="71"/>
      <c r="R2056" s="6">
        <v>2010</v>
      </c>
      <c r="S2056" s="3" t="s">
        <v>236</v>
      </c>
      <c r="T2056" s="72"/>
      <c r="U2056" s="73"/>
      <c r="W2056" s="2" t="s">
        <v>62</v>
      </c>
      <c r="X2056" s="10" t="s">
        <v>56</v>
      </c>
      <c r="Y2056" s="10" t="s">
        <v>57</v>
      </c>
      <c r="Z2056" s="75"/>
      <c r="AI2056" s="7"/>
      <c r="AJ2056" s="95">
        <v>41123</v>
      </c>
      <c r="AK2056" s="7">
        <v>2010</v>
      </c>
      <c r="AL2056" s="174"/>
      <c r="AW2056" s="6">
        <f t="shared" ca="1" si="34"/>
        <v>14</v>
      </c>
    </row>
    <row r="2057" ht="45" hidden="1" customHeight="1" outlineLevel="1">
      <c r="A2057" s="69"/>
      <c r="B2057" s="3" t="s">
        <v>47</v>
      </c>
      <c r="C2057" s="4" t="s">
        <v>6008</v>
      </c>
      <c r="D2057" s="5" t="s">
        <v>6009</v>
      </c>
      <c r="E2057" s="2" t="s">
        <v>83</v>
      </c>
      <c r="F2057" s="6" t="s">
        <v>84</v>
      </c>
      <c r="G2057" s="5" t="s">
        <v>85</v>
      </c>
      <c r="H2057" s="2" t="s">
        <v>57</v>
      </c>
      <c r="I2057" s="3" t="s">
        <v>6010</v>
      </c>
      <c r="J2057" s="7">
        <v>1</v>
      </c>
      <c r="L2057" s="9">
        <v>1</v>
      </c>
      <c r="M2057" s="3">
        <v>1645</v>
      </c>
      <c r="N2057" s="6">
        <v>2012</v>
      </c>
      <c r="P2057" s="71"/>
      <c r="R2057" s="6">
        <v>2010</v>
      </c>
      <c r="S2057" s="3" t="s">
        <v>236</v>
      </c>
      <c r="T2057" s="72"/>
      <c r="U2057" s="73"/>
      <c r="W2057" s="2" t="s">
        <v>62</v>
      </c>
      <c r="X2057" s="10" t="s">
        <v>56</v>
      </c>
      <c r="Y2057" s="10" t="s">
        <v>57</v>
      </c>
      <c r="Z2057" s="75"/>
      <c r="AI2057" s="7"/>
      <c r="AJ2057" s="95">
        <v>41108</v>
      </c>
      <c r="AK2057" s="7">
        <v>2010</v>
      </c>
      <c r="AL2057" s="174"/>
      <c r="AW2057" s="6">
        <f t="shared" ca="1" si="34"/>
        <v>13</v>
      </c>
    </row>
    <row r="2058" ht="45" hidden="1" customHeight="1" outlineLevel="1">
      <c r="A2058" s="69"/>
      <c r="B2058" s="3" t="s">
        <v>47</v>
      </c>
      <c r="C2058" s="4" t="s">
        <v>4170</v>
      </c>
      <c r="D2058" s="5" t="s">
        <v>6011</v>
      </c>
      <c r="E2058" s="2" t="s">
        <v>83</v>
      </c>
      <c r="F2058" s="6" t="s">
        <v>84</v>
      </c>
      <c r="G2058" s="5" t="s">
        <v>85</v>
      </c>
      <c r="H2058" s="2" t="s">
        <v>57</v>
      </c>
      <c r="I2058" s="3" t="s">
        <v>6012</v>
      </c>
      <c r="J2058" s="7">
        <v>1</v>
      </c>
      <c r="L2058" s="9">
        <v>1</v>
      </c>
      <c r="M2058" s="3">
        <v>1646</v>
      </c>
      <c r="N2058" s="6">
        <v>2012</v>
      </c>
      <c r="P2058" s="71"/>
      <c r="R2058" s="6">
        <v>2010</v>
      </c>
      <c r="S2058" s="3" t="s">
        <v>236</v>
      </c>
      <c r="T2058" s="72"/>
      <c r="U2058" s="73"/>
      <c r="W2058" s="2" t="s">
        <v>62</v>
      </c>
      <c r="X2058" s="10" t="s">
        <v>56</v>
      </c>
      <c r="Y2058" s="10" t="s">
        <v>57</v>
      </c>
      <c r="Z2058" s="75"/>
      <c r="AI2058" s="7"/>
      <c r="AJ2058" s="10">
        <v>42520</v>
      </c>
      <c r="AK2058" s="7">
        <v>2010</v>
      </c>
      <c r="AL2058" s="99" t="s">
        <v>6013</v>
      </c>
      <c r="AW2058" s="6">
        <f t="shared" ca="1" si="34"/>
        <v>13</v>
      </c>
    </row>
    <row r="2059" ht="45" hidden="1" customHeight="1" outlineLevel="1">
      <c r="A2059" s="69"/>
      <c r="B2059" s="3" t="s">
        <v>190</v>
      </c>
      <c r="C2059" s="4" t="s">
        <v>6014</v>
      </c>
      <c r="D2059" s="5" t="s">
        <v>6015</v>
      </c>
      <c r="E2059" s="2" t="s">
        <v>48</v>
      </c>
      <c r="F2059" s="6" t="s">
        <v>564</v>
      </c>
      <c r="G2059" s="5" t="s">
        <v>565</v>
      </c>
      <c r="H2059" s="2" t="s">
        <v>382</v>
      </c>
      <c r="I2059" s="3" t="s">
        <v>6016</v>
      </c>
      <c r="J2059" s="7">
        <v>1</v>
      </c>
      <c r="L2059" s="9">
        <v>1</v>
      </c>
      <c r="M2059" s="3">
        <v>1647</v>
      </c>
      <c r="N2059" s="6">
        <v>2012</v>
      </c>
      <c r="P2059" s="71"/>
      <c r="R2059" s="6">
        <v>2010</v>
      </c>
      <c r="S2059" s="3" t="s">
        <v>283</v>
      </c>
      <c r="T2059" s="72"/>
      <c r="U2059" s="73"/>
      <c r="W2059" s="74" t="s">
        <v>62</v>
      </c>
      <c r="X2059" s="10" t="s">
        <v>91</v>
      </c>
      <c r="Y2059" s="10" t="s">
        <v>385</v>
      </c>
      <c r="Z2059" s="75"/>
      <c r="AI2059" s="7"/>
      <c r="AJ2059" s="73"/>
      <c r="AK2059" s="7"/>
      <c r="AL2059" s="16" t="s">
        <v>6017</v>
      </c>
      <c r="AW2059" s="6">
        <f t="shared" ca="1" si="34"/>
        <v>13</v>
      </c>
    </row>
    <row r="2060" ht="45" customHeight="1" outlineLevel="1">
      <c r="A2060" s="69"/>
      <c r="B2060" s="3" t="s">
        <v>47</v>
      </c>
      <c r="D2060" s="5" t="s">
        <v>6018</v>
      </c>
      <c r="E2060" s="2" t="s">
        <v>83</v>
      </c>
      <c r="F2060" s="6" t="s">
        <v>84</v>
      </c>
      <c r="G2060" s="5" t="s">
        <v>85</v>
      </c>
      <c r="H2060" s="2" t="s">
        <v>57</v>
      </c>
      <c r="I2060" s="3" t="s">
        <v>6019</v>
      </c>
      <c r="J2060" s="7">
        <v>1</v>
      </c>
      <c r="K2060" s="70" t="s">
        <v>53</v>
      </c>
      <c r="L2060" s="9">
        <v>1</v>
      </c>
      <c r="M2060" s="3">
        <v>1648</v>
      </c>
      <c r="N2060" s="6">
        <v>2012</v>
      </c>
      <c r="P2060" s="71"/>
      <c r="R2060" s="6">
        <v>2010</v>
      </c>
      <c r="S2060" s="3" t="s">
        <v>54</v>
      </c>
      <c r="T2060" s="72"/>
      <c r="U2060" s="73">
        <v>42720</v>
      </c>
      <c r="W2060" s="2" t="s">
        <v>6020</v>
      </c>
      <c r="X2060" s="10" t="s">
        <v>56</v>
      </c>
      <c r="Y2060" s="10" t="s">
        <v>57</v>
      </c>
      <c r="Z2060" s="75"/>
      <c r="AB2060" s="14">
        <v>42607</v>
      </c>
      <c r="AC2060" s="14">
        <v>42607</v>
      </c>
      <c r="AE2060" s="7">
        <v>2013</v>
      </c>
      <c r="AF2060" s="7">
        <v>72</v>
      </c>
      <c r="AG2060" s="93"/>
      <c r="AI2060" s="7"/>
      <c r="AJ2060" s="73"/>
      <c r="AK2060" s="7"/>
      <c r="AL2060" s="16" t="s">
        <v>6021</v>
      </c>
      <c r="AM2060" s="2" t="s">
        <v>59</v>
      </c>
      <c r="AW2060" s="6">
        <f t="shared" ca="1" si="34"/>
        <v>13</v>
      </c>
    </row>
    <row r="2061" ht="45" hidden="1" customHeight="1" outlineLevel="1">
      <c r="A2061" s="69"/>
      <c r="B2061" s="3" t="s">
        <v>47</v>
      </c>
      <c r="C2061" s="4" t="s">
        <v>6022</v>
      </c>
      <c r="D2061" s="5" t="s">
        <v>6023</v>
      </c>
      <c r="E2061" s="2" t="s">
        <v>83</v>
      </c>
      <c r="F2061" s="6" t="s">
        <v>704</v>
      </c>
      <c r="G2061" s="5" t="s">
        <v>705</v>
      </c>
      <c r="H2061" s="2" t="s">
        <v>57</v>
      </c>
      <c r="I2061" s="3" t="s">
        <v>6024</v>
      </c>
      <c r="J2061" s="7">
        <v>1</v>
      </c>
      <c r="K2061" s="70"/>
      <c r="L2061" s="9">
        <v>1</v>
      </c>
      <c r="M2061" s="3">
        <v>1649</v>
      </c>
      <c r="N2061" s="6">
        <v>2012</v>
      </c>
      <c r="P2061" s="71"/>
      <c r="R2061" s="6">
        <v>2010</v>
      </c>
      <c r="S2061" s="3" t="s">
        <v>236</v>
      </c>
      <c r="T2061" s="72"/>
      <c r="U2061" s="73"/>
      <c r="W2061" s="2" t="s">
        <v>62</v>
      </c>
      <c r="X2061" s="10" t="s">
        <v>56</v>
      </c>
      <c r="Y2061" s="10" t="s">
        <v>57</v>
      </c>
      <c r="Z2061" s="75"/>
      <c r="AA2061" s="76"/>
      <c r="AB2061" s="77"/>
      <c r="AC2061" s="77"/>
      <c r="AD2061" s="10"/>
      <c r="AI2061" s="7"/>
      <c r="AJ2061" s="95">
        <v>41429</v>
      </c>
      <c r="AK2061" s="7">
        <v>2010</v>
      </c>
      <c r="AL2061" s="16" t="s">
        <v>6025</v>
      </c>
      <c r="AW2061" s="6">
        <f t="shared" ca="1" si="34"/>
        <v>13</v>
      </c>
    </row>
    <row r="2062" ht="45" hidden="1" customHeight="1" outlineLevel="1">
      <c r="A2062" s="69"/>
      <c r="B2062" s="3" t="s">
        <v>190</v>
      </c>
      <c r="C2062" s="4" t="s">
        <v>6026</v>
      </c>
      <c r="D2062" s="5" t="s">
        <v>6027</v>
      </c>
      <c r="E2062" s="2" t="s">
        <v>1074</v>
      </c>
      <c r="F2062" s="6" t="s">
        <v>2092</v>
      </c>
      <c r="G2062" s="5" t="s">
        <v>3103</v>
      </c>
      <c r="H2062" s="2" t="s">
        <v>977</v>
      </c>
      <c r="I2062" s="3" t="s">
        <v>6028</v>
      </c>
      <c r="J2062" s="7">
        <v>1</v>
      </c>
      <c r="L2062" s="9">
        <v>1</v>
      </c>
      <c r="M2062" s="3">
        <v>1650</v>
      </c>
      <c r="N2062" s="6">
        <v>2012</v>
      </c>
      <c r="P2062" s="71"/>
      <c r="R2062" s="6">
        <v>2010</v>
      </c>
      <c r="S2062" s="3" t="s">
        <v>283</v>
      </c>
      <c r="T2062" s="72"/>
      <c r="U2062" s="73"/>
      <c r="W2062" s="74" t="s">
        <v>62</v>
      </c>
      <c r="X2062" s="10" t="s">
        <v>213</v>
      </c>
      <c r="Y2062" s="10" t="s">
        <v>980</v>
      </c>
      <c r="Z2062" s="75"/>
      <c r="AI2062" s="7"/>
      <c r="AJ2062" s="73"/>
      <c r="AK2062" s="7"/>
      <c r="AL2062" s="174"/>
      <c r="AW2062" s="6">
        <f t="shared" ca="1" si="34"/>
        <v>13</v>
      </c>
    </row>
    <row r="2063" ht="45" hidden="1" customHeight="1" outlineLevel="1">
      <c r="A2063" s="69">
        <v>45265</v>
      </c>
      <c r="B2063" s="3" t="s">
        <v>190</v>
      </c>
      <c r="C2063" s="4" t="s">
        <v>6029</v>
      </c>
      <c r="D2063" s="5" t="s">
        <v>6030</v>
      </c>
      <c r="E2063" s="2" t="s">
        <v>83</v>
      </c>
      <c r="F2063" s="6" t="s">
        <v>84</v>
      </c>
      <c r="G2063" s="5" t="s">
        <v>2275</v>
      </c>
      <c r="H2063" s="2" t="s">
        <v>51</v>
      </c>
      <c r="I2063" s="3" t="s">
        <v>6031</v>
      </c>
      <c r="J2063" s="7">
        <v>1</v>
      </c>
      <c r="L2063" s="9">
        <v>1</v>
      </c>
      <c r="M2063" s="3">
        <v>1651</v>
      </c>
      <c r="N2063" s="6">
        <v>2012</v>
      </c>
      <c r="O2063" s="10">
        <v>40854</v>
      </c>
      <c r="P2063" s="71" t="s">
        <v>6032</v>
      </c>
      <c r="Q2063" s="10">
        <v>41009</v>
      </c>
      <c r="R2063" s="6">
        <v>2010</v>
      </c>
      <c r="S2063" s="3" t="s">
        <v>283</v>
      </c>
      <c r="T2063" s="72"/>
      <c r="U2063" s="73"/>
      <c r="W2063" s="74" t="s">
        <v>62</v>
      </c>
      <c r="X2063" s="10" t="s">
        <v>56</v>
      </c>
      <c r="Y2063" s="10" t="s">
        <v>57</v>
      </c>
      <c r="Z2063" s="75"/>
      <c r="AI2063" s="7"/>
      <c r="AJ2063" s="73"/>
      <c r="AK2063" s="7"/>
      <c r="AL2063" s="174"/>
      <c r="AW2063" s="6">
        <f t="shared" ca="1" si="34"/>
        <v>13</v>
      </c>
    </row>
    <row r="2064" ht="45" hidden="1" customHeight="1">
      <c r="A2064" s="69">
        <v>43780</v>
      </c>
      <c r="B2064" s="3" t="s">
        <v>190</v>
      </c>
      <c r="C2064" s="4" t="s">
        <v>6033</v>
      </c>
      <c r="D2064" s="5" t="s">
        <v>6034</v>
      </c>
      <c r="E2064" s="2" t="s">
        <v>48</v>
      </c>
      <c r="F2064" s="6" t="s">
        <v>564</v>
      </c>
      <c r="H2064" s="2" t="s">
        <v>257</v>
      </c>
      <c r="I2064" s="3" t="s">
        <v>6035</v>
      </c>
      <c r="J2064" s="7">
        <v>1</v>
      </c>
      <c r="L2064" s="9">
        <v>1</v>
      </c>
      <c r="M2064" s="3">
        <v>1652</v>
      </c>
      <c r="N2064" s="6">
        <v>2012</v>
      </c>
      <c r="P2064" s="71"/>
      <c r="R2064" s="6">
        <v>2010</v>
      </c>
      <c r="S2064" s="3" t="s">
        <v>283</v>
      </c>
      <c r="T2064" s="72" t="s">
        <v>3250</v>
      </c>
      <c r="U2064" s="173"/>
      <c r="W2064" s="74" t="s">
        <v>62</v>
      </c>
      <c r="X2064" s="10" t="s">
        <v>56</v>
      </c>
      <c r="Y2064" s="10" t="s">
        <v>68</v>
      </c>
      <c r="Z2064" s="75"/>
      <c r="AI2064" s="7"/>
      <c r="AJ2064" s="73"/>
      <c r="AK2064" s="7"/>
      <c r="AL2064" s="16"/>
      <c r="AW2064" s="6">
        <f t="shared" ca="1" si="34"/>
        <v>13</v>
      </c>
    </row>
    <row r="2065" ht="45" hidden="1" customHeight="1">
      <c r="A2065" s="69"/>
      <c r="B2065" s="3" t="s">
        <v>47</v>
      </c>
      <c r="C2065" s="4" t="s">
        <v>6005</v>
      </c>
      <c r="D2065" s="5" t="s">
        <v>6036</v>
      </c>
      <c r="E2065" s="2" t="s">
        <v>83</v>
      </c>
      <c r="F2065" s="6" t="s">
        <v>84</v>
      </c>
      <c r="G2065" s="5" t="s">
        <v>85</v>
      </c>
      <c r="H2065" s="2" t="s">
        <v>57</v>
      </c>
      <c r="I2065" s="3" t="s">
        <v>6037</v>
      </c>
      <c r="J2065" s="7">
        <v>1</v>
      </c>
      <c r="L2065" s="9">
        <v>1</v>
      </c>
      <c r="M2065" s="3">
        <v>1653</v>
      </c>
      <c r="N2065" s="6">
        <v>2012</v>
      </c>
      <c r="P2065" s="71"/>
      <c r="R2065" s="6">
        <v>2010</v>
      </c>
      <c r="S2065" s="3" t="s">
        <v>236</v>
      </c>
      <c r="T2065" s="72"/>
      <c r="U2065" s="73"/>
      <c r="W2065" s="2" t="s">
        <v>62</v>
      </c>
      <c r="X2065" s="10" t="s">
        <v>56</v>
      </c>
      <c r="Y2065" s="10" t="s">
        <v>57</v>
      </c>
      <c r="Z2065" s="75"/>
      <c r="AI2065" s="7"/>
      <c r="AJ2065" s="95">
        <v>41123</v>
      </c>
      <c r="AK2065" s="7">
        <v>2010</v>
      </c>
      <c r="AL2065" s="16"/>
      <c r="AW2065" s="6">
        <f t="shared" ca="1" si="34"/>
        <v>13</v>
      </c>
    </row>
    <row r="2066" ht="45" hidden="1" customHeight="1" outlineLevel="1">
      <c r="A2066" s="69"/>
      <c r="B2066" s="3" t="s">
        <v>47</v>
      </c>
      <c r="C2066" s="4" t="s">
        <v>6038</v>
      </c>
      <c r="D2066" s="5" t="s">
        <v>6039</v>
      </c>
      <c r="E2066" s="2" t="s">
        <v>63</v>
      </c>
      <c r="F2066" s="6" t="s">
        <v>354</v>
      </c>
      <c r="G2066" s="5" t="s">
        <v>971</v>
      </c>
      <c r="H2066" s="2" t="s">
        <v>288</v>
      </c>
      <c r="I2066" s="3" t="s">
        <v>6040</v>
      </c>
      <c r="J2066" s="7">
        <v>1</v>
      </c>
      <c r="K2066" s="104"/>
      <c r="L2066" s="9">
        <v>1</v>
      </c>
      <c r="M2066" s="3">
        <v>1654</v>
      </c>
      <c r="N2066" s="6">
        <v>2012</v>
      </c>
      <c r="P2066" s="71"/>
      <c r="R2066" s="6">
        <v>2010</v>
      </c>
      <c r="S2066" s="3" t="s">
        <v>236</v>
      </c>
      <c r="T2066" s="72"/>
      <c r="U2066" s="73"/>
      <c r="W2066" s="2" t="s">
        <v>62</v>
      </c>
      <c r="X2066" s="10" t="s">
        <v>56</v>
      </c>
      <c r="Y2066" s="10" t="s">
        <v>288</v>
      </c>
      <c r="Z2066" s="75"/>
      <c r="AA2066" s="2"/>
      <c r="AB2066" s="6"/>
      <c r="AC2066" s="6"/>
      <c r="AD2066" s="6"/>
      <c r="AI2066" s="84"/>
      <c r="AK2066" s="84"/>
      <c r="AL2066" s="16"/>
      <c r="AU2066" s="5"/>
      <c r="AV2066" s="111"/>
      <c r="AW2066" s="6">
        <f t="shared" ca="1" si="34"/>
        <v>13</v>
      </c>
    </row>
    <row r="2067" ht="45" customHeight="1" outlineLevel="1">
      <c r="A2067" s="69"/>
      <c r="B2067" s="3" t="s">
        <v>190</v>
      </c>
      <c r="C2067" s="4" t="s">
        <v>6041</v>
      </c>
      <c r="D2067" s="5" t="s">
        <v>6042</v>
      </c>
      <c r="E2067" s="2" t="s">
        <v>83</v>
      </c>
      <c r="F2067" s="6" t="s">
        <v>84</v>
      </c>
      <c r="G2067" s="5" t="s">
        <v>85</v>
      </c>
      <c r="H2067" s="2" t="s">
        <v>88</v>
      </c>
      <c r="I2067" s="3" t="s">
        <v>6043</v>
      </c>
      <c r="J2067" s="7">
        <v>1</v>
      </c>
      <c r="K2067" s="8" t="s">
        <v>1978</v>
      </c>
      <c r="L2067" s="9">
        <v>1</v>
      </c>
      <c r="M2067" s="3">
        <v>1655</v>
      </c>
      <c r="N2067" s="6">
        <v>2012</v>
      </c>
      <c r="P2067" s="71"/>
      <c r="R2067" s="6">
        <v>2010</v>
      </c>
      <c r="S2067" s="3" t="s">
        <v>5758</v>
      </c>
      <c r="T2067" s="72" t="s">
        <v>998</v>
      </c>
      <c r="U2067" s="73"/>
      <c r="V2067" s="12">
        <v>41107</v>
      </c>
      <c r="W2067" s="74" t="s">
        <v>6044</v>
      </c>
      <c r="X2067" s="10" t="s">
        <v>91</v>
      </c>
      <c r="Y2067" s="10" t="s">
        <v>214</v>
      </c>
      <c r="Z2067" s="75"/>
      <c r="AI2067" s="7"/>
      <c r="AJ2067" s="73"/>
      <c r="AK2067" s="7"/>
      <c r="AL2067" s="217"/>
      <c r="AM2067" s="2" t="s">
        <v>59</v>
      </c>
      <c r="AO2067" s="6" t="s">
        <v>59</v>
      </c>
      <c r="AW2067" s="6">
        <f t="shared" ca="1" si="34"/>
        <v>13</v>
      </c>
    </row>
    <row r="2068" ht="45" customHeight="1">
      <c r="A2068" s="69"/>
      <c r="B2068" s="3" t="s">
        <v>190</v>
      </c>
      <c r="C2068" s="4" t="s">
        <v>6045</v>
      </c>
      <c r="D2068" s="5" t="s">
        <v>6046</v>
      </c>
      <c r="E2068" s="2" t="s">
        <v>1074</v>
      </c>
      <c r="F2068" s="6" t="s">
        <v>1075</v>
      </c>
      <c r="G2068" s="5" t="s">
        <v>6047</v>
      </c>
      <c r="H2068" s="2" t="s">
        <v>51</v>
      </c>
      <c r="I2068" s="3" t="s">
        <v>6048</v>
      </c>
      <c r="J2068" s="7">
        <v>1</v>
      </c>
      <c r="K2068" s="70" t="s">
        <v>53</v>
      </c>
      <c r="L2068" s="9">
        <v>1</v>
      </c>
      <c r="M2068" s="3">
        <v>1656</v>
      </c>
      <c r="N2068" s="6">
        <v>2012</v>
      </c>
      <c r="P2068" s="71"/>
      <c r="R2068" s="6">
        <v>2010</v>
      </c>
      <c r="S2068" s="3" t="s">
        <v>54</v>
      </c>
      <c r="T2068" s="72"/>
      <c r="U2068" s="73"/>
      <c r="W2068" s="74" t="s">
        <v>6049</v>
      </c>
      <c r="X2068" s="10" t="s">
        <v>56</v>
      </c>
      <c r="Y2068" s="10" t="s">
        <v>57</v>
      </c>
      <c r="Z2068" s="75"/>
      <c r="AB2068" s="14">
        <v>42317</v>
      </c>
      <c r="AE2068" s="7">
        <v>2013</v>
      </c>
      <c r="AF2068" s="7">
        <v>73</v>
      </c>
      <c r="AG2068" s="7">
        <v>2015</v>
      </c>
      <c r="AI2068" s="7"/>
      <c r="AJ2068" s="73"/>
      <c r="AK2068" s="7"/>
      <c r="AL2068" s="16" t="s">
        <v>6050</v>
      </c>
      <c r="AM2068" s="2" t="s">
        <v>59</v>
      </c>
      <c r="AW2068" s="6">
        <f t="shared" ca="1" si="34"/>
        <v>13</v>
      </c>
    </row>
    <row r="2069" ht="45" hidden="1" customHeight="1">
      <c r="A2069" s="69"/>
      <c r="B2069" s="3" t="s">
        <v>47</v>
      </c>
      <c r="C2069" s="4" t="s">
        <v>6051</v>
      </c>
      <c r="D2069" s="5" t="s">
        <v>6052</v>
      </c>
      <c r="E2069" s="2" t="s">
        <v>83</v>
      </c>
      <c r="F2069" s="6" t="s">
        <v>704</v>
      </c>
      <c r="G2069" s="5" t="s">
        <v>2643</v>
      </c>
      <c r="H2069" s="2" t="s">
        <v>57</v>
      </c>
      <c r="I2069" s="3" t="s">
        <v>6053</v>
      </c>
      <c r="J2069" s="7">
        <v>1</v>
      </c>
      <c r="K2069" s="70"/>
      <c r="L2069" s="9">
        <v>1</v>
      </c>
      <c r="M2069" s="3">
        <v>1657</v>
      </c>
      <c r="N2069" s="6">
        <v>2012</v>
      </c>
      <c r="P2069" s="71"/>
      <c r="R2069" s="6">
        <v>2010</v>
      </c>
      <c r="S2069" s="3" t="s">
        <v>236</v>
      </c>
      <c r="T2069" s="72"/>
      <c r="U2069" s="73"/>
      <c r="W2069" s="2" t="s">
        <v>62</v>
      </c>
      <c r="X2069" s="10" t="s">
        <v>56</v>
      </c>
      <c r="Y2069" s="10" t="s">
        <v>57</v>
      </c>
      <c r="Z2069" s="75"/>
      <c r="AG2069" s="93"/>
      <c r="AI2069" s="7"/>
      <c r="AJ2069" s="95">
        <v>41166</v>
      </c>
      <c r="AK2069" s="7">
        <v>2010</v>
      </c>
      <c r="AL2069" s="16" t="s">
        <v>6054</v>
      </c>
      <c r="AW2069" s="6">
        <f t="shared" ca="1" si="34"/>
        <v>13</v>
      </c>
    </row>
    <row r="2070" ht="45" hidden="1" customHeight="1">
      <c r="A2070" s="169"/>
      <c r="B2070" s="3" t="s">
        <v>47</v>
      </c>
      <c r="C2070" s="4" t="s">
        <v>6005</v>
      </c>
      <c r="D2070" s="5" t="s">
        <v>6055</v>
      </c>
      <c r="E2070" s="2" t="s">
        <v>83</v>
      </c>
      <c r="F2070" s="6" t="s">
        <v>84</v>
      </c>
      <c r="G2070" s="5" t="s">
        <v>85</v>
      </c>
      <c r="H2070" s="2" t="s">
        <v>57</v>
      </c>
      <c r="I2070" s="3" t="s">
        <v>6056</v>
      </c>
      <c r="J2070" s="7">
        <v>1</v>
      </c>
      <c r="K2070" s="170"/>
      <c r="L2070" s="9">
        <v>1</v>
      </c>
      <c r="M2070" s="3">
        <v>1658</v>
      </c>
      <c r="N2070" s="6">
        <v>2012</v>
      </c>
      <c r="P2070" s="71"/>
      <c r="R2070" s="6">
        <v>2010</v>
      </c>
      <c r="S2070" s="3" t="s">
        <v>236</v>
      </c>
      <c r="T2070" s="72"/>
      <c r="U2070" s="73"/>
      <c r="W2070" s="2" t="s">
        <v>62</v>
      </c>
      <c r="X2070" s="10" t="s">
        <v>56</v>
      </c>
      <c r="Y2070" s="10" t="s">
        <v>57</v>
      </c>
      <c r="Z2070" s="75"/>
      <c r="AA2070" s="91"/>
      <c r="AB2070" s="172"/>
      <c r="AC2070" s="172"/>
      <c r="AD2070" s="172"/>
      <c r="AE2070" s="93"/>
      <c r="AG2070" s="93"/>
      <c r="AH2070" s="93"/>
      <c r="AI2070" s="93"/>
      <c r="AJ2070" s="95">
        <v>41123</v>
      </c>
      <c r="AK2070" s="7">
        <v>2010</v>
      </c>
      <c r="AL2070" s="16"/>
      <c r="AO2070" s="172"/>
      <c r="AP2070" s="172"/>
      <c r="AQ2070" s="174"/>
      <c r="AR2070" s="175"/>
      <c r="AS2070" s="172"/>
      <c r="AT2070" s="172"/>
      <c r="AU2070" s="99"/>
      <c r="AV2070" s="157"/>
      <c r="AW2070" s="6">
        <f t="shared" ca="1" si="34"/>
        <v>13</v>
      </c>
    </row>
    <row r="2071" ht="45" customHeight="1">
      <c r="A2071" s="69"/>
      <c r="B2071" s="3" t="s">
        <v>47</v>
      </c>
      <c r="D2071" s="5" t="s">
        <v>6057</v>
      </c>
      <c r="E2071" s="2" t="s">
        <v>83</v>
      </c>
      <c r="F2071" s="6" t="s">
        <v>84</v>
      </c>
      <c r="G2071" s="5" t="s">
        <v>881</v>
      </c>
      <c r="H2071" s="2" t="s">
        <v>57</v>
      </c>
      <c r="I2071" s="3" t="s">
        <v>6058</v>
      </c>
      <c r="J2071" s="7">
        <v>1</v>
      </c>
      <c r="K2071" s="8" t="s">
        <v>53</v>
      </c>
      <c r="L2071" s="9">
        <v>1</v>
      </c>
      <c r="M2071" s="3">
        <v>1659</v>
      </c>
      <c r="N2071" s="6">
        <v>2012</v>
      </c>
      <c r="P2071" s="71"/>
      <c r="R2071" s="6">
        <v>2010</v>
      </c>
      <c r="S2071" s="3" t="s">
        <v>54</v>
      </c>
      <c r="T2071" s="72"/>
      <c r="U2071" s="73"/>
      <c r="W2071" s="2" t="s">
        <v>6059</v>
      </c>
      <c r="X2071" s="10" t="s">
        <v>56</v>
      </c>
      <c r="Y2071" s="10" t="s">
        <v>57</v>
      </c>
      <c r="Z2071" s="75"/>
      <c r="AC2071" s="14" t="s">
        <v>208</v>
      </c>
      <c r="AE2071" s="7">
        <v>2016</v>
      </c>
      <c r="AF2071" s="7">
        <v>83</v>
      </c>
      <c r="AI2071" s="7"/>
      <c r="AJ2071" s="73"/>
      <c r="AK2071" s="7"/>
      <c r="AL2071" s="99"/>
      <c r="AM2071" s="2" t="s">
        <v>59</v>
      </c>
      <c r="AW2071" s="6">
        <f t="shared" ca="1" si="34"/>
        <v>13</v>
      </c>
    </row>
    <row r="2072" ht="45" hidden="1" customHeight="1">
      <c r="A2072" s="69"/>
      <c r="B2072" s="3" t="s">
        <v>47</v>
      </c>
      <c r="C2072" s="4" t="s">
        <v>6060</v>
      </c>
      <c r="D2072" s="5" t="s">
        <v>6061</v>
      </c>
      <c r="E2072" s="2" t="s">
        <v>83</v>
      </c>
      <c r="F2072" s="6" t="s">
        <v>84</v>
      </c>
      <c r="G2072" s="5" t="s">
        <v>3322</v>
      </c>
      <c r="H2072" s="2" t="s">
        <v>57</v>
      </c>
      <c r="I2072" s="3" t="s">
        <v>6062</v>
      </c>
      <c r="J2072" s="7">
        <v>1</v>
      </c>
      <c r="L2072" s="9">
        <v>1</v>
      </c>
      <c r="M2072" s="3">
        <v>1660</v>
      </c>
      <c r="N2072" s="6">
        <v>2012</v>
      </c>
      <c r="P2072" s="71"/>
      <c r="R2072" s="6">
        <v>2010</v>
      </c>
      <c r="S2072" s="3" t="s">
        <v>236</v>
      </c>
      <c r="T2072" s="72"/>
      <c r="U2072" s="73"/>
      <c r="W2072" s="2" t="s">
        <v>62</v>
      </c>
      <c r="X2072" s="10" t="s">
        <v>56</v>
      </c>
      <c r="Y2072" s="10" t="s">
        <v>57</v>
      </c>
      <c r="Z2072" s="75"/>
      <c r="AI2072" s="7"/>
      <c r="AJ2072" s="95">
        <v>41292</v>
      </c>
      <c r="AK2072" s="7">
        <v>2010</v>
      </c>
      <c r="AL2072" s="16"/>
      <c r="AW2072" s="6">
        <f t="shared" ca="1" si="34"/>
        <v>13</v>
      </c>
    </row>
    <row r="2073" ht="45" customHeight="1">
      <c r="A2073" s="69"/>
      <c r="B2073" s="3" t="s">
        <v>47</v>
      </c>
      <c r="C2073" s="4" t="s">
        <v>6063</v>
      </c>
      <c r="D2073" s="5" t="s">
        <v>6064</v>
      </c>
      <c r="E2073" s="2" t="s">
        <v>83</v>
      </c>
      <c r="F2073" s="6" t="s">
        <v>84</v>
      </c>
      <c r="G2073" s="5" t="s">
        <v>85</v>
      </c>
      <c r="H2073" s="2" t="s">
        <v>51</v>
      </c>
      <c r="I2073" s="3" t="s">
        <v>6065</v>
      </c>
      <c r="J2073" s="7">
        <v>1</v>
      </c>
      <c r="K2073" s="8" t="s">
        <v>53</v>
      </c>
      <c r="L2073" s="9">
        <v>1</v>
      </c>
      <c r="M2073" s="3">
        <v>1661</v>
      </c>
      <c r="N2073" s="6">
        <v>2012</v>
      </c>
      <c r="P2073" s="71"/>
      <c r="R2073" s="6">
        <v>2010</v>
      </c>
      <c r="S2073" s="3" t="s">
        <v>54</v>
      </c>
      <c r="T2073" s="72"/>
      <c r="U2073" s="73"/>
      <c r="W2073" s="2" t="s">
        <v>6066</v>
      </c>
      <c r="X2073" s="10" t="s">
        <v>56</v>
      </c>
      <c r="Y2073" s="10" t="s">
        <v>57</v>
      </c>
      <c r="Z2073" s="75"/>
      <c r="AA2073" s="13" t="s">
        <v>208</v>
      </c>
      <c r="AB2073" s="14" t="s">
        <v>208</v>
      </c>
      <c r="AE2073" s="7">
        <v>2016</v>
      </c>
      <c r="AF2073" s="7">
        <v>84</v>
      </c>
      <c r="AG2073" s="7">
        <v>2018</v>
      </c>
      <c r="AI2073" s="7"/>
      <c r="AJ2073" s="73"/>
      <c r="AK2073" s="7"/>
      <c r="AL2073" s="99"/>
      <c r="AM2073" s="2" t="s">
        <v>59</v>
      </c>
      <c r="AW2073" s="6">
        <f t="shared" ca="1" si="34"/>
        <v>13</v>
      </c>
    </row>
    <row r="2074" ht="45" hidden="1" customHeight="1">
      <c r="A2074" s="69"/>
      <c r="B2074" s="3" t="s">
        <v>190</v>
      </c>
      <c r="C2074" s="144" t="s">
        <v>6067</v>
      </c>
      <c r="D2074" s="5" t="s">
        <v>6068</v>
      </c>
      <c r="E2074" s="2" t="s">
        <v>83</v>
      </c>
      <c r="F2074" s="6" t="s">
        <v>179</v>
      </c>
      <c r="H2074" s="2" t="s">
        <v>88</v>
      </c>
      <c r="I2074" s="94" t="s">
        <v>6069</v>
      </c>
      <c r="J2074" s="7">
        <v>1</v>
      </c>
      <c r="L2074" s="9">
        <v>1</v>
      </c>
      <c r="M2074" s="3">
        <v>1662</v>
      </c>
      <c r="N2074" s="6">
        <v>2012</v>
      </c>
      <c r="P2074" s="71"/>
      <c r="R2074" s="6">
        <v>2010</v>
      </c>
      <c r="S2074" s="3" t="s">
        <v>283</v>
      </c>
      <c r="T2074" s="72"/>
      <c r="U2074" s="73"/>
      <c r="W2074" s="74" t="s">
        <v>62</v>
      </c>
      <c r="X2074" s="10"/>
      <c r="Y2074" s="10"/>
      <c r="Z2074" s="75"/>
      <c r="AI2074" s="7"/>
      <c r="AJ2074" s="73"/>
      <c r="AK2074" s="7"/>
      <c r="AL2074" s="16"/>
      <c r="AW2074" s="6">
        <f t="shared" ca="1" si="34"/>
        <v>13</v>
      </c>
    </row>
    <row r="2075" ht="45" hidden="1" customHeight="1">
      <c r="A2075" s="69"/>
      <c r="B2075" s="3" t="s">
        <v>47</v>
      </c>
      <c r="C2075" s="4" t="s">
        <v>4814</v>
      </c>
      <c r="D2075" s="5" t="s">
        <v>6070</v>
      </c>
      <c r="E2075" s="2" t="s">
        <v>83</v>
      </c>
      <c r="F2075" s="6" t="s">
        <v>84</v>
      </c>
      <c r="G2075" s="5" t="s">
        <v>85</v>
      </c>
      <c r="H2075" s="2" t="s">
        <v>491</v>
      </c>
      <c r="I2075" s="3" t="s">
        <v>6071</v>
      </c>
      <c r="J2075" s="7">
        <v>1</v>
      </c>
      <c r="L2075" s="9">
        <v>1</v>
      </c>
      <c r="M2075" s="3">
        <v>1663</v>
      </c>
      <c r="N2075" s="6">
        <v>2012</v>
      </c>
      <c r="P2075" s="71"/>
      <c r="R2075" s="6">
        <v>2010</v>
      </c>
      <c r="S2075" s="3" t="s">
        <v>236</v>
      </c>
      <c r="T2075" s="72"/>
      <c r="U2075" s="73"/>
      <c r="W2075" s="2" t="s">
        <v>62</v>
      </c>
      <c r="X2075" s="10" t="s">
        <v>56</v>
      </c>
      <c r="Y2075" s="10" t="s">
        <v>523</v>
      </c>
      <c r="Z2075" s="75"/>
      <c r="AI2075" s="7"/>
      <c r="AJ2075" s="95">
        <v>41277</v>
      </c>
      <c r="AK2075" s="7">
        <v>2010</v>
      </c>
      <c r="AL2075" s="16"/>
      <c r="AW2075" s="6">
        <f t="shared" ca="1" si="34"/>
        <v>13</v>
      </c>
    </row>
    <row r="2076" ht="45" hidden="1" customHeight="1" outlineLevel="1">
      <c r="A2076" s="69"/>
      <c r="B2076" s="3" t="s">
        <v>47</v>
      </c>
      <c r="C2076" s="4" t="s">
        <v>4814</v>
      </c>
      <c r="D2076" s="5" t="s">
        <v>6072</v>
      </c>
      <c r="E2076" s="2" t="s">
        <v>83</v>
      </c>
      <c r="F2076" s="6" t="s">
        <v>84</v>
      </c>
      <c r="G2076" s="5" t="s">
        <v>85</v>
      </c>
      <c r="H2076" s="2" t="s">
        <v>57</v>
      </c>
      <c r="I2076" s="3" t="s">
        <v>6073</v>
      </c>
      <c r="J2076" s="7">
        <v>1</v>
      </c>
      <c r="L2076" s="9">
        <v>1</v>
      </c>
      <c r="M2076" s="3">
        <v>1664</v>
      </c>
      <c r="N2076" s="6">
        <v>2012</v>
      </c>
      <c r="P2076" s="71"/>
      <c r="R2076" s="6">
        <v>2010</v>
      </c>
      <c r="S2076" s="3" t="s">
        <v>236</v>
      </c>
      <c r="T2076" s="72"/>
      <c r="U2076" s="73"/>
      <c r="W2076" s="2" t="s">
        <v>62</v>
      </c>
      <c r="X2076" s="10" t="s">
        <v>56</v>
      </c>
      <c r="Y2076" s="10" t="s">
        <v>57</v>
      </c>
      <c r="Z2076" s="75"/>
      <c r="AI2076" s="7"/>
      <c r="AJ2076" s="95">
        <v>41277</v>
      </c>
      <c r="AK2076" s="7">
        <v>2010</v>
      </c>
      <c r="AL2076" s="16"/>
      <c r="AW2076" s="6">
        <f t="shared" ca="1" si="34"/>
        <v>13</v>
      </c>
    </row>
    <row r="2077" ht="45" hidden="1" customHeight="1" outlineLevel="1">
      <c r="A2077" s="69"/>
      <c r="B2077" s="3" t="s">
        <v>47</v>
      </c>
      <c r="C2077" s="4" t="s">
        <v>6074</v>
      </c>
      <c r="D2077" s="5" t="s">
        <v>6075</v>
      </c>
      <c r="E2077" s="2" t="s">
        <v>1074</v>
      </c>
      <c r="F2077" s="6" t="s">
        <v>1075</v>
      </c>
      <c r="G2077" s="5" t="s">
        <v>6076</v>
      </c>
      <c r="H2077" s="2" t="s">
        <v>57</v>
      </c>
      <c r="I2077" s="3" t="s">
        <v>6077</v>
      </c>
      <c r="J2077" s="7">
        <v>1</v>
      </c>
      <c r="L2077" s="9">
        <v>1</v>
      </c>
      <c r="M2077" s="3">
        <v>1665</v>
      </c>
      <c r="N2077" s="6">
        <v>2012</v>
      </c>
      <c r="P2077" s="71"/>
      <c r="R2077" s="6">
        <v>2010</v>
      </c>
      <c r="S2077" s="3" t="s">
        <v>236</v>
      </c>
      <c r="T2077" s="72" t="s">
        <v>1136</v>
      </c>
      <c r="W2077" s="2" t="s">
        <v>62</v>
      </c>
      <c r="X2077" s="10" t="s">
        <v>56</v>
      </c>
      <c r="Y2077" s="10" t="s">
        <v>57</v>
      </c>
      <c r="Z2077" s="75"/>
      <c r="AI2077" s="7"/>
      <c r="AJ2077" s="10">
        <v>44417</v>
      </c>
      <c r="AK2077" s="7">
        <v>2020</v>
      </c>
      <c r="AL2077" s="16"/>
      <c r="AW2077" s="6">
        <f t="shared" ca="1" si="34"/>
        <v>13</v>
      </c>
    </row>
    <row r="2078" ht="45" hidden="1" customHeight="1" outlineLevel="1">
      <c r="A2078" s="69"/>
      <c r="B2078" s="3" t="s">
        <v>47</v>
      </c>
      <c r="C2078" s="4" t="s">
        <v>6078</v>
      </c>
      <c r="D2078" s="5" t="s">
        <v>6079</v>
      </c>
      <c r="E2078" s="2" t="s">
        <v>83</v>
      </c>
      <c r="F2078" s="6" t="s">
        <v>84</v>
      </c>
      <c r="G2078" s="5" t="s">
        <v>85</v>
      </c>
      <c r="H2078" s="2" t="s">
        <v>57</v>
      </c>
      <c r="I2078" s="96" t="s">
        <v>6080</v>
      </c>
      <c r="J2078" s="7">
        <v>1</v>
      </c>
      <c r="L2078" s="9">
        <v>1</v>
      </c>
      <c r="M2078" s="3">
        <v>1666</v>
      </c>
      <c r="N2078" s="6">
        <v>2012</v>
      </c>
      <c r="P2078" s="71"/>
      <c r="R2078" s="6">
        <v>2010</v>
      </c>
      <c r="S2078" s="3" t="s">
        <v>236</v>
      </c>
      <c r="T2078" s="72"/>
      <c r="U2078" s="73"/>
      <c r="W2078" s="2" t="s">
        <v>62</v>
      </c>
      <c r="X2078" s="10" t="s">
        <v>56</v>
      </c>
      <c r="Y2078" s="10" t="s">
        <v>57</v>
      </c>
      <c r="Z2078" s="75"/>
      <c r="AI2078" s="7"/>
      <c r="AJ2078" s="95">
        <v>41408</v>
      </c>
      <c r="AK2078" s="7">
        <v>2010</v>
      </c>
      <c r="AL2078" s="16"/>
      <c r="AW2078" s="6">
        <f t="shared" ca="1" si="34"/>
        <v>13</v>
      </c>
    </row>
    <row r="2079" ht="45" hidden="1" customHeight="1" outlineLevel="1">
      <c r="A2079" s="69"/>
      <c r="B2079" s="3" t="s">
        <v>47</v>
      </c>
      <c r="C2079" s="4" t="s">
        <v>3220</v>
      </c>
      <c r="D2079" s="5" t="s">
        <v>6081</v>
      </c>
      <c r="E2079" s="2" t="s">
        <v>83</v>
      </c>
      <c r="F2079" s="6" t="s">
        <v>84</v>
      </c>
      <c r="G2079" s="5" t="s">
        <v>3776</v>
      </c>
      <c r="H2079" s="2" t="s">
        <v>288</v>
      </c>
      <c r="I2079" s="96" t="s">
        <v>6082</v>
      </c>
      <c r="J2079" s="7">
        <v>1</v>
      </c>
      <c r="L2079" s="9">
        <v>1</v>
      </c>
      <c r="M2079" s="3">
        <v>1667</v>
      </c>
      <c r="N2079" s="6">
        <v>2012</v>
      </c>
      <c r="P2079" s="71"/>
      <c r="R2079" s="6">
        <v>2010</v>
      </c>
      <c r="S2079" s="3" t="s">
        <v>236</v>
      </c>
      <c r="T2079" s="72"/>
      <c r="U2079" s="73"/>
      <c r="W2079" s="2" t="s">
        <v>62</v>
      </c>
      <c r="X2079" s="10" t="s">
        <v>56</v>
      </c>
      <c r="Y2079" s="10" t="s">
        <v>288</v>
      </c>
      <c r="Z2079" s="75"/>
      <c r="AI2079" s="7"/>
      <c r="AJ2079" s="95">
        <v>41381</v>
      </c>
      <c r="AK2079" s="7">
        <v>2010</v>
      </c>
      <c r="AL2079" s="16"/>
      <c r="AW2079" s="6">
        <f t="shared" ca="1" si="34"/>
        <v>13</v>
      </c>
    </row>
    <row r="2080" ht="45" hidden="1" customHeight="1" outlineLevel="1">
      <c r="A2080" s="69"/>
      <c r="B2080" s="3" t="s">
        <v>47</v>
      </c>
      <c r="C2080" s="183" t="s">
        <v>3384</v>
      </c>
      <c r="D2080" s="5" t="s">
        <v>6083</v>
      </c>
      <c r="E2080" s="2" t="s">
        <v>694</v>
      </c>
      <c r="F2080" s="6" t="s">
        <v>5199</v>
      </c>
      <c r="G2080" s="5" t="s">
        <v>6084</v>
      </c>
      <c r="H2080" s="2" t="s">
        <v>977</v>
      </c>
      <c r="I2080" s="3" t="s">
        <v>6085</v>
      </c>
      <c r="J2080" s="7">
        <v>1</v>
      </c>
      <c r="L2080" s="9">
        <v>1</v>
      </c>
      <c r="M2080" s="3">
        <v>1668</v>
      </c>
      <c r="N2080" s="6">
        <v>2013</v>
      </c>
      <c r="O2080" s="10">
        <v>30403</v>
      </c>
      <c r="P2080" s="71" t="s">
        <v>6086</v>
      </c>
      <c r="Q2080" s="10">
        <v>41346</v>
      </c>
      <c r="R2080" s="6">
        <v>2010</v>
      </c>
      <c r="S2080" s="3" t="s">
        <v>236</v>
      </c>
      <c r="T2080" s="72"/>
      <c r="U2080" s="73"/>
      <c r="W2080" s="2" t="s">
        <v>62</v>
      </c>
      <c r="X2080" s="10" t="s">
        <v>213</v>
      </c>
      <c r="Y2080" s="10" t="s">
        <v>980</v>
      </c>
      <c r="Z2080" s="75"/>
      <c r="AI2080" s="7"/>
      <c r="AJ2080" s="95">
        <v>41943</v>
      </c>
      <c r="AK2080" s="7">
        <v>2010</v>
      </c>
      <c r="AL2080" s="16"/>
      <c r="AW2080" s="6">
        <f t="shared" ca="1" si="34"/>
        <v>12</v>
      </c>
    </row>
    <row r="2081" ht="45" hidden="1" customHeight="1" outlineLevel="1">
      <c r="A2081" s="69">
        <v>45352</v>
      </c>
      <c r="B2081" s="3" t="s">
        <v>190</v>
      </c>
      <c r="C2081" s="4" t="s">
        <v>6087</v>
      </c>
      <c r="D2081" s="5" t="s">
        <v>6088</v>
      </c>
      <c r="E2081" s="2" t="s">
        <v>83</v>
      </c>
      <c r="F2081" s="6" t="s">
        <v>179</v>
      </c>
      <c r="G2081" s="5" t="s">
        <v>2444</v>
      </c>
      <c r="H2081" s="2" t="s">
        <v>508</v>
      </c>
      <c r="I2081" s="3" t="s">
        <v>6089</v>
      </c>
      <c r="J2081" s="7">
        <v>1</v>
      </c>
      <c r="L2081" s="9">
        <v>1</v>
      </c>
      <c r="M2081" s="3">
        <v>1669</v>
      </c>
      <c r="N2081" s="6">
        <v>2013</v>
      </c>
      <c r="O2081" s="10">
        <v>41338</v>
      </c>
      <c r="P2081" s="71" t="s">
        <v>6090</v>
      </c>
      <c r="Q2081" s="10">
        <v>41368</v>
      </c>
      <c r="R2081" s="6">
        <v>2010</v>
      </c>
      <c r="S2081" s="3" t="s">
        <v>283</v>
      </c>
      <c r="T2081" s="72"/>
      <c r="U2081" s="73"/>
      <c r="W2081" s="74" t="s">
        <v>62</v>
      </c>
      <c r="X2081" s="10" t="s">
        <v>504</v>
      </c>
      <c r="Y2081" s="10" t="s">
        <v>511</v>
      </c>
      <c r="Z2081" s="75"/>
      <c r="AI2081" s="7"/>
      <c r="AJ2081" s="73"/>
      <c r="AK2081" s="7"/>
      <c r="AL2081" s="140"/>
      <c r="AW2081" s="6">
        <f t="shared" ca="1" si="34"/>
        <v>12</v>
      </c>
    </row>
    <row r="2082" ht="45" hidden="1" customHeight="1" outlineLevel="1">
      <c r="A2082" s="69">
        <v>41646</v>
      </c>
      <c r="B2082" s="3" t="s">
        <v>47</v>
      </c>
      <c r="C2082" s="4" t="s">
        <v>6091</v>
      </c>
      <c r="D2082" s="5" t="s">
        <v>6092</v>
      </c>
      <c r="E2082" s="2" t="s">
        <v>83</v>
      </c>
      <c r="F2082" s="6" t="s">
        <v>84</v>
      </c>
      <c r="G2082" s="5" t="s">
        <v>6093</v>
      </c>
      <c r="H2082" s="2" t="s">
        <v>57</v>
      </c>
      <c r="I2082" s="3" t="s">
        <v>6094</v>
      </c>
      <c r="J2082" s="7">
        <v>1</v>
      </c>
      <c r="L2082" s="9">
        <v>1</v>
      </c>
      <c r="M2082" s="3">
        <v>1670</v>
      </c>
      <c r="N2082" s="6">
        <v>2013</v>
      </c>
      <c r="P2082" s="71"/>
      <c r="R2082" s="6">
        <v>2010</v>
      </c>
      <c r="S2082" s="3" t="s">
        <v>236</v>
      </c>
      <c r="T2082" s="72" t="s">
        <v>998</v>
      </c>
      <c r="W2082" s="2" t="s">
        <v>62</v>
      </c>
      <c r="X2082" s="10" t="s">
        <v>56</v>
      </c>
      <c r="Y2082" s="10" t="s">
        <v>57</v>
      </c>
      <c r="Z2082" s="75"/>
      <c r="AI2082" s="7"/>
      <c r="AJ2082" s="10">
        <v>44544</v>
      </c>
      <c r="AK2082" s="7">
        <v>2020</v>
      </c>
      <c r="AL2082" s="16"/>
      <c r="AW2082" s="6">
        <f t="shared" ca="1" si="34"/>
        <v>12</v>
      </c>
    </row>
    <row r="2083" ht="45" hidden="1" customHeight="1" outlineLevel="1">
      <c r="A2083" s="69"/>
      <c r="B2083" s="3" t="s">
        <v>47</v>
      </c>
      <c r="C2083" s="4" t="s">
        <v>6095</v>
      </c>
      <c r="D2083" s="5" t="s">
        <v>6096</v>
      </c>
      <c r="E2083" s="2" t="s">
        <v>83</v>
      </c>
      <c r="F2083" s="6" t="s">
        <v>84</v>
      </c>
      <c r="G2083" s="5" t="s">
        <v>2722</v>
      </c>
      <c r="H2083" s="2" t="s">
        <v>51</v>
      </c>
      <c r="I2083" s="3" t="s">
        <v>6097</v>
      </c>
      <c r="J2083" s="7">
        <v>1</v>
      </c>
      <c r="L2083" s="9">
        <v>1</v>
      </c>
      <c r="M2083" s="3">
        <v>1671</v>
      </c>
      <c r="N2083" s="6">
        <v>2013</v>
      </c>
      <c r="P2083" s="71"/>
      <c r="R2083" s="6">
        <v>2010</v>
      </c>
      <c r="S2083" s="3" t="s">
        <v>236</v>
      </c>
      <c r="T2083" s="72"/>
      <c r="U2083" s="73"/>
      <c r="W2083" s="2" t="s">
        <v>62</v>
      </c>
      <c r="X2083" s="10" t="s">
        <v>56</v>
      </c>
      <c r="Y2083" s="10" t="s">
        <v>57</v>
      </c>
      <c r="Z2083" s="75" t="s">
        <v>58</v>
      </c>
      <c r="AI2083" s="7"/>
      <c r="AJ2083" s="95">
        <v>41452</v>
      </c>
      <c r="AK2083" s="7">
        <v>2010</v>
      </c>
      <c r="AL2083" s="16"/>
      <c r="AW2083" s="6">
        <f t="shared" ca="1" si="34"/>
        <v>12</v>
      </c>
    </row>
    <row r="2084" ht="45" hidden="1" customHeight="1" outlineLevel="1">
      <c r="A2084" s="69"/>
      <c r="B2084" s="3" t="s">
        <v>47</v>
      </c>
      <c r="C2084" s="4" t="s">
        <v>6098</v>
      </c>
      <c r="D2084" s="5" t="s">
        <v>6099</v>
      </c>
      <c r="E2084" s="2" t="s">
        <v>83</v>
      </c>
      <c r="F2084" s="6" t="s">
        <v>84</v>
      </c>
      <c r="G2084" s="5" t="s">
        <v>85</v>
      </c>
      <c r="H2084" s="2" t="s">
        <v>382</v>
      </c>
      <c r="I2084" s="3" t="s">
        <v>6100</v>
      </c>
      <c r="J2084" s="7">
        <v>1</v>
      </c>
      <c r="L2084" s="9">
        <v>1</v>
      </c>
      <c r="M2084" s="3">
        <v>1672</v>
      </c>
      <c r="N2084" s="6">
        <v>2013</v>
      </c>
      <c r="P2084" s="71"/>
      <c r="R2084" s="6">
        <v>2010</v>
      </c>
      <c r="S2084" s="3" t="s">
        <v>236</v>
      </c>
      <c r="T2084" s="72"/>
      <c r="U2084" s="73"/>
      <c r="W2084" s="2" t="s">
        <v>62</v>
      </c>
      <c r="X2084" s="10" t="s">
        <v>91</v>
      </c>
      <c r="Y2084" s="10" t="s">
        <v>385</v>
      </c>
      <c r="Z2084" s="75"/>
      <c r="AI2084" s="7"/>
      <c r="AJ2084" s="95">
        <v>41967</v>
      </c>
      <c r="AK2084" s="7">
        <v>2010</v>
      </c>
      <c r="AL2084" s="16"/>
      <c r="AW2084" s="6">
        <f t="shared" ca="1" si="34"/>
        <v>12</v>
      </c>
    </row>
    <row r="2085" ht="45" hidden="1" customHeight="1" outlineLevel="1">
      <c r="A2085" s="69"/>
      <c r="B2085" s="3" t="s">
        <v>47</v>
      </c>
      <c r="C2085" s="4" t="s">
        <v>6101</v>
      </c>
      <c r="D2085" s="5" t="s">
        <v>6102</v>
      </c>
      <c r="E2085" s="2" t="s">
        <v>83</v>
      </c>
      <c r="F2085" s="6" t="s">
        <v>84</v>
      </c>
      <c r="G2085" s="5" t="s">
        <v>85</v>
      </c>
      <c r="H2085" s="2" t="s">
        <v>51</v>
      </c>
      <c r="I2085" s="96" t="s">
        <v>6103</v>
      </c>
      <c r="J2085" s="7">
        <v>1</v>
      </c>
      <c r="L2085" s="9">
        <v>1</v>
      </c>
      <c r="M2085" s="3">
        <v>1673</v>
      </c>
      <c r="N2085" s="6">
        <v>2013</v>
      </c>
      <c r="P2085" s="71"/>
      <c r="R2085" s="6">
        <v>2010</v>
      </c>
      <c r="S2085" s="3" t="s">
        <v>236</v>
      </c>
      <c r="T2085" s="72"/>
      <c r="U2085" s="73"/>
      <c r="W2085" s="2" t="s">
        <v>62</v>
      </c>
      <c r="X2085" s="10" t="s">
        <v>56</v>
      </c>
      <c r="Y2085" s="10" t="s">
        <v>57</v>
      </c>
      <c r="Z2085" s="75" t="s">
        <v>58</v>
      </c>
      <c r="AI2085" s="7"/>
      <c r="AJ2085" s="95">
        <v>41565</v>
      </c>
      <c r="AK2085" s="7">
        <v>2010</v>
      </c>
      <c r="AL2085" s="16"/>
      <c r="AW2085" s="6">
        <f t="shared" ca="1" si="34"/>
        <v>12</v>
      </c>
    </row>
    <row r="2086" ht="45" hidden="1" customHeight="1" outlineLevel="1">
      <c r="A2086" s="69"/>
      <c r="B2086" s="3" t="s">
        <v>47</v>
      </c>
      <c r="C2086" s="4" t="s">
        <v>6104</v>
      </c>
      <c r="D2086" s="5" t="s">
        <v>6105</v>
      </c>
      <c r="E2086" s="2" t="s">
        <v>83</v>
      </c>
      <c r="F2086" s="6" t="s">
        <v>84</v>
      </c>
      <c r="G2086" s="5" t="s">
        <v>85</v>
      </c>
      <c r="H2086" s="2" t="s">
        <v>51</v>
      </c>
      <c r="I2086" s="3" t="s">
        <v>6106</v>
      </c>
      <c r="J2086" s="7">
        <v>1</v>
      </c>
      <c r="L2086" s="9">
        <v>1</v>
      </c>
      <c r="M2086" s="3">
        <v>1674</v>
      </c>
      <c r="N2086" s="6">
        <v>2013</v>
      </c>
      <c r="P2086" s="71"/>
      <c r="R2086" s="6">
        <v>2010</v>
      </c>
      <c r="S2086" s="3" t="s">
        <v>236</v>
      </c>
      <c r="T2086" s="72"/>
      <c r="U2086" s="73"/>
      <c r="W2086" s="2" t="s">
        <v>62</v>
      </c>
      <c r="X2086" s="10" t="s">
        <v>56</v>
      </c>
      <c r="Y2086" s="10" t="s">
        <v>57</v>
      </c>
      <c r="Z2086" s="75" t="s">
        <v>58</v>
      </c>
      <c r="AI2086" s="7"/>
      <c r="AJ2086" s="95">
        <v>41555</v>
      </c>
      <c r="AK2086" s="7">
        <v>2010</v>
      </c>
      <c r="AL2086" s="16"/>
      <c r="AW2086" s="6">
        <f t="shared" ca="1" si="34"/>
        <v>12</v>
      </c>
    </row>
    <row r="2087" ht="45" hidden="1" customHeight="1" outlineLevel="1">
      <c r="A2087" s="69"/>
      <c r="B2087" s="3" t="s">
        <v>47</v>
      </c>
      <c r="C2087" s="4" t="s">
        <v>6101</v>
      </c>
      <c r="D2087" s="5" t="s">
        <v>6107</v>
      </c>
      <c r="E2087" s="2" t="s">
        <v>63</v>
      </c>
      <c r="F2087" s="6" t="s">
        <v>428</v>
      </c>
      <c r="G2087" s="5" t="s">
        <v>6108</v>
      </c>
      <c r="H2087" s="2" t="s">
        <v>57</v>
      </c>
      <c r="I2087" s="3" t="s">
        <v>6109</v>
      </c>
      <c r="J2087" s="7">
        <v>1</v>
      </c>
      <c r="L2087" s="9">
        <v>1</v>
      </c>
      <c r="M2087" s="3">
        <v>1675</v>
      </c>
      <c r="N2087" s="6">
        <v>2013</v>
      </c>
      <c r="P2087" s="71"/>
      <c r="R2087" s="6">
        <v>2010</v>
      </c>
      <c r="S2087" s="3" t="s">
        <v>236</v>
      </c>
      <c r="T2087" s="72"/>
      <c r="U2087" s="73"/>
      <c r="W2087" s="2" t="s">
        <v>62</v>
      </c>
      <c r="X2087" s="10" t="s">
        <v>56</v>
      </c>
      <c r="Y2087" s="10" t="s">
        <v>57</v>
      </c>
      <c r="Z2087" s="75"/>
      <c r="AI2087" s="7"/>
      <c r="AJ2087" s="95">
        <v>41565</v>
      </c>
      <c r="AK2087" s="7">
        <v>2010</v>
      </c>
      <c r="AL2087" s="16"/>
      <c r="AW2087" s="6">
        <f t="shared" ref="AW2087:AW2150" ca="1" si="35">IF(N2087&lt;&gt;0,(YEAR(TODAY())-N2087),(""))</f>
        <v>12</v>
      </c>
    </row>
    <row r="2088" ht="45" hidden="1" customHeight="1" outlineLevel="1">
      <c r="A2088" s="69"/>
      <c r="B2088" s="3" t="s">
        <v>47</v>
      </c>
      <c r="C2088" s="4" t="s">
        <v>6110</v>
      </c>
      <c r="D2088" s="5" t="s">
        <v>6111</v>
      </c>
      <c r="E2088" s="2" t="s">
        <v>83</v>
      </c>
      <c r="F2088" s="6" t="s">
        <v>84</v>
      </c>
      <c r="G2088" s="5" t="s">
        <v>85</v>
      </c>
      <c r="H2088" s="2" t="s">
        <v>68</v>
      </c>
      <c r="I2088" s="96" t="s">
        <v>6112</v>
      </c>
      <c r="J2088" s="7">
        <v>1</v>
      </c>
      <c r="L2088" s="9">
        <v>1</v>
      </c>
      <c r="M2088" s="3">
        <v>1676</v>
      </c>
      <c r="N2088" s="6">
        <v>2013</v>
      </c>
      <c r="P2088" s="71"/>
      <c r="R2088" s="6">
        <v>2010</v>
      </c>
      <c r="S2088" s="3" t="s">
        <v>236</v>
      </c>
      <c r="T2088" s="72"/>
      <c r="U2088" s="73"/>
      <c r="W2088" s="2" t="s">
        <v>62</v>
      </c>
      <c r="X2088" s="10" t="s">
        <v>56</v>
      </c>
      <c r="Y2088" s="10" t="s">
        <v>68</v>
      </c>
      <c r="Z2088" s="75"/>
      <c r="AI2088" s="7"/>
      <c r="AJ2088" s="95">
        <v>41585</v>
      </c>
      <c r="AK2088" s="7">
        <v>2010</v>
      </c>
      <c r="AL2088" s="16"/>
      <c r="AW2088" s="6">
        <f t="shared" ca="1" si="35"/>
        <v>12</v>
      </c>
    </row>
    <row r="2089" ht="45" hidden="1" customHeight="1" outlineLevel="1">
      <c r="A2089" s="69"/>
      <c r="B2089" s="3" t="s">
        <v>47</v>
      </c>
      <c r="C2089" s="4" t="s">
        <v>6113</v>
      </c>
      <c r="D2089" s="5" t="s">
        <v>6114</v>
      </c>
      <c r="E2089" s="2" t="s">
        <v>83</v>
      </c>
      <c r="F2089" s="6" t="s">
        <v>84</v>
      </c>
      <c r="G2089" s="5" t="s">
        <v>797</v>
      </c>
      <c r="H2089" s="2" t="s">
        <v>51</v>
      </c>
      <c r="I2089" s="96" t="s">
        <v>6115</v>
      </c>
      <c r="J2089" s="7">
        <v>1</v>
      </c>
      <c r="L2089" s="9">
        <v>1</v>
      </c>
      <c r="M2089" s="3">
        <v>1677</v>
      </c>
      <c r="N2089" s="6">
        <v>2013</v>
      </c>
      <c r="P2089" s="71"/>
      <c r="R2089" s="6">
        <v>2010</v>
      </c>
      <c r="S2089" s="3" t="s">
        <v>236</v>
      </c>
      <c r="T2089" s="72"/>
      <c r="U2089" s="73"/>
      <c r="W2089" s="2" t="s">
        <v>62</v>
      </c>
      <c r="X2089" s="10" t="s">
        <v>56</v>
      </c>
      <c r="Y2089" s="10" t="s">
        <v>57</v>
      </c>
      <c r="Z2089" s="75" t="s">
        <v>58</v>
      </c>
      <c r="AI2089" s="7"/>
      <c r="AJ2089" s="95">
        <v>41586</v>
      </c>
      <c r="AK2089" s="7">
        <v>2010</v>
      </c>
      <c r="AL2089" s="16"/>
      <c r="AW2089" s="6">
        <f t="shared" ca="1" si="35"/>
        <v>12</v>
      </c>
    </row>
    <row r="2090" ht="45" hidden="1" customHeight="1" outlineLevel="1">
      <c r="A2090" s="69"/>
      <c r="B2090" s="3" t="s">
        <v>190</v>
      </c>
      <c r="C2090" s="4" t="s">
        <v>6116</v>
      </c>
      <c r="D2090" s="5" t="s">
        <v>6117</v>
      </c>
      <c r="E2090" s="2" t="s">
        <v>83</v>
      </c>
      <c r="F2090" s="6" t="s">
        <v>179</v>
      </c>
      <c r="G2090" s="5" t="s">
        <v>6118</v>
      </c>
      <c r="H2090" s="2" t="s">
        <v>508</v>
      </c>
      <c r="I2090" s="3" t="s">
        <v>6119</v>
      </c>
      <c r="J2090" s="7">
        <v>1</v>
      </c>
      <c r="L2090" s="9">
        <v>1</v>
      </c>
      <c r="M2090" s="3">
        <v>1678</v>
      </c>
      <c r="N2090" s="6">
        <v>2013</v>
      </c>
      <c r="P2090" s="71"/>
      <c r="R2090" s="6">
        <v>2010</v>
      </c>
      <c r="S2090" s="3" t="s">
        <v>283</v>
      </c>
      <c r="T2090" s="72"/>
      <c r="U2090" s="73"/>
      <c r="W2090" s="74" t="s">
        <v>62</v>
      </c>
      <c r="X2090" s="10" t="s">
        <v>504</v>
      </c>
      <c r="Y2090" s="10" t="s">
        <v>511</v>
      </c>
      <c r="Z2090" s="75"/>
      <c r="AI2090" s="7"/>
      <c r="AJ2090" s="73"/>
      <c r="AK2090" s="7"/>
      <c r="AL2090" s="16"/>
      <c r="AW2090" s="6">
        <f t="shared" ca="1" si="35"/>
        <v>12</v>
      </c>
    </row>
    <row r="2091" ht="45" hidden="1" customHeight="1" outlineLevel="1">
      <c r="A2091" s="69">
        <v>43035</v>
      </c>
      <c r="B2091" s="3" t="s">
        <v>1926</v>
      </c>
      <c r="C2091" s="4" t="s">
        <v>6120</v>
      </c>
      <c r="D2091" s="5" t="s">
        <v>6121</v>
      </c>
      <c r="E2091" s="2" t="s">
        <v>48</v>
      </c>
      <c r="F2091" s="6" t="s">
        <v>140</v>
      </c>
      <c r="G2091" s="5" t="s">
        <v>6122</v>
      </c>
      <c r="H2091" s="2" t="s">
        <v>508</v>
      </c>
      <c r="I2091" s="3" t="s">
        <v>6123</v>
      </c>
      <c r="J2091" s="7">
        <v>1</v>
      </c>
      <c r="L2091" s="9">
        <v>1</v>
      </c>
      <c r="M2091" s="3">
        <v>1679</v>
      </c>
      <c r="N2091" s="6">
        <v>2013</v>
      </c>
      <c r="P2091" s="71"/>
      <c r="R2091" s="6">
        <v>2010</v>
      </c>
      <c r="S2091" s="3" t="s">
        <v>283</v>
      </c>
      <c r="T2091" s="72" t="s">
        <v>1136</v>
      </c>
      <c r="U2091" s="73"/>
      <c r="W2091" s="74" t="s">
        <v>62</v>
      </c>
      <c r="X2091" s="10" t="s">
        <v>504</v>
      </c>
      <c r="Y2091" s="10" t="s">
        <v>511</v>
      </c>
      <c r="Z2091" s="75"/>
      <c r="AI2091" s="7"/>
      <c r="AJ2091" s="192">
        <v>41877</v>
      </c>
      <c r="AK2091" s="7">
        <v>2010</v>
      </c>
      <c r="AL2091" s="16"/>
      <c r="AW2091" s="6">
        <f t="shared" ca="1" si="35"/>
        <v>12</v>
      </c>
    </row>
    <row r="2092" ht="45" hidden="1" customHeight="1" outlineLevel="1">
      <c r="A2092" s="69"/>
      <c r="B2092" s="3" t="s">
        <v>47</v>
      </c>
      <c r="C2092" s="4" t="s">
        <v>6124</v>
      </c>
      <c r="D2092" s="5" t="s">
        <v>6125</v>
      </c>
      <c r="E2092" s="2" t="s">
        <v>83</v>
      </c>
      <c r="F2092" s="6" t="s">
        <v>84</v>
      </c>
      <c r="G2092" s="5" t="s">
        <v>85</v>
      </c>
      <c r="H2092" s="2" t="s">
        <v>57</v>
      </c>
      <c r="I2092" s="3" t="s">
        <v>6126</v>
      </c>
      <c r="J2092" s="7">
        <v>1</v>
      </c>
      <c r="L2092" s="9">
        <v>1</v>
      </c>
      <c r="M2092" s="3">
        <v>1680</v>
      </c>
      <c r="N2092" s="6">
        <v>2013</v>
      </c>
      <c r="P2092" s="71"/>
      <c r="R2092" s="6">
        <v>2010</v>
      </c>
      <c r="S2092" s="3" t="s">
        <v>236</v>
      </c>
      <c r="T2092" s="72"/>
      <c r="U2092" s="73"/>
      <c r="W2092" s="2" t="s">
        <v>62</v>
      </c>
      <c r="X2092" s="10" t="s">
        <v>56</v>
      </c>
      <c r="Y2092" s="10" t="s">
        <v>57</v>
      </c>
      <c r="Z2092" s="75"/>
      <c r="AI2092" s="7"/>
      <c r="AJ2092" s="95">
        <v>41590</v>
      </c>
      <c r="AK2092" s="7">
        <v>2010</v>
      </c>
      <c r="AL2092" s="16"/>
      <c r="AW2092" s="6">
        <f t="shared" ca="1" si="35"/>
        <v>12</v>
      </c>
    </row>
    <row r="2093" ht="45" hidden="1" customHeight="1" outlineLevel="1">
      <c r="A2093" s="69"/>
      <c r="B2093" s="3" t="s">
        <v>47</v>
      </c>
      <c r="C2093" s="4" t="s">
        <v>1345</v>
      </c>
      <c r="D2093" s="5" t="s">
        <v>6127</v>
      </c>
      <c r="E2093" s="2" t="s">
        <v>48</v>
      </c>
      <c r="F2093" s="6" t="s">
        <v>49</v>
      </c>
      <c r="G2093" s="5" t="s">
        <v>87</v>
      </c>
      <c r="H2093" s="2" t="s">
        <v>288</v>
      </c>
      <c r="I2093" s="3" t="s">
        <v>6128</v>
      </c>
      <c r="J2093" s="7">
        <v>1</v>
      </c>
      <c r="L2093" s="9">
        <v>1</v>
      </c>
      <c r="M2093" s="3">
        <v>1681</v>
      </c>
      <c r="N2093" s="6">
        <v>2013</v>
      </c>
      <c r="P2093" s="71"/>
      <c r="R2093" s="6">
        <v>2010</v>
      </c>
      <c r="S2093" s="3" t="s">
        <v>236</v>
      </c>
      <c r="T2093" s="72"/>
      <c r="U2093" s="73"/>
      <c r="W2093" s="2" t="s">
        <v>62</v>
      </c>
      <c r="X2093" s="10" t="s">
        <v>56</v>
      </c>
      <c r="Y2093" s="10" t="s">
        <v>288</v>
      </c>
      <c r="Z2093" s="75"/>
      <c r="AJ2093" s="95">
        <v>41878</v>
      </c>
      <c r="AK2093" s="7">
        <v>2010</v>
      </c>
      <c r="AL2093" s="16" t="s">
        <v>6129</v>
      </c>
      <c r="AW2093" s="6">
        <f t="shared" ca="1" si="35"/>
        <v>12</v>
      </c>
    </row>
    <row r="2094" ht="45" hidden="1" customHeight="1" outlineLevel="1">
      <c r="A2094" s="69"/>
      <c r="B2094" s="3" t="s">
        <v>190</v>
      </c>
      <c r="C2094" s="4" t="s">
        <v>6130</v>
      </c>
      <c r="D2094" s="5" t="s">
        <v>6131</v>
      </c>
      <c r="E2094" s="2" t="s">
        <v>83</v>
      </c>
      <c r="F2094" s="6" t="s">
        <v>84</v>
      </c>
      <c r="G2094" s="5" t="s">
        <v>6132</v>
      </c>
      <c r="H2094" s="2" t="s">
        <v>3735</v>
      </c>
      <c r="I2094" s="3" t="s">
        <v>6133</v>
      </c>
      <c r="J2094" s="7">
        <v>1</v>
      </c>
      <c r="K2094" s="70"/>
      <c r="L2094" s="9">
        <v>1</v>
      </c>
      <c r="M2094" s="3">
        <v>1682</v>
      </c>
      <c r="N2094" s="6">
        <v>2013</v>
      </c>
      <c r="P2094" s="71"/>
      <c r="R2094" s="6">
        <v>2010</v>
      </c>
      <c r="S2094" s="3" t="s">
        <v>283</v>
      </c>
      <c r="T2094" s="72"/>
      <c r="U2094" s="73"/>
      <c r="W2094" s="74" t="s">
        <v>62</v>
      </c>
      <c r="X2094" s="10" t="s">
        <v>56</v>
      </c>
      <c r="Y2094" s="10" t="s">
        <v>68</v>
      </c>
      <c r="Z2094" s="75" t="s">
        <v>58</v>
      </c>
      <c r="AA2094" s="76"/>
      <c r="AB2094" s="77"/>
      <c r="AC2094" s="77"/>
      <c r="AD2094" s="10"/>
      <c r="AI2094" s="7"/>
      <c r="AJ2094" s="73"/>
      <c r="AK2094" s="7"/>
      <c r="AL2094" s="16"/>
      <c r="AW2094" s="6">
        <f t="shared" ca="1" si="35"/>
        <v>12</v>
      </c>
    </row>
    <row r="2095" ht="45" hidden="1" customHeight="1" outlineLevel="1">
      <c r="A2095" s="169"/>
      <c r="B2095" s="3" t="s">
        <v>190</v>
      </c>
      <c r="C2095" s="4" t="s">
        <v>6134</v>
      </c>
      <c r="D2095" s="5" t="s">
        <v>6135</v>
      </c>
      <c r="E2095" s="2" t="s">
        <v>83</v>
      </c>
      <c r="F2095" s="6" t="s">
        <v>704</v>
      </c>
      <c r="G2095" s="5" t="s">
        <v>4310</v>
      </c>
      <c r="H2095" s="2" t="s">
        <v>3735</v>
      </c>
      <c r="I2095" s="3" t="s">
        <v>6136</v>
      </c>
      <c r="J2095" s="7">
        <v>1</v>
      </c>
      <c r="K2095" s="225"/>
      <c r="L2095" s="9">
        <v>1</v>
      </c>
      <c r="M2095" s="3">
        <v>1683</v>
      </c>
      <c r="N2095" s="6">
        <v>2013</v>
      </c>
      <c r="P2095" s="71"/>
      <c r="R2095" s="6">
        <v>2010</v>
      </c>
      <c r="S2095" s="3" t="s">
        <v>283</v>
      </c>
      <c r="T2095" s="72"/>
      <c r="U2095" s="73"/>
      <c r="W2095" s="74" t="s">
        <v>62</v>
      </c>
      <c r="X2095" s="10" t="s">
        <v>56</v>
      </c>
      <c r="Y2095" s="10" t="s">
        <v>68</v>
      </c>
      <c r="Z2095" s="75" t="s">
        <v>58</v>
      </c>
      <c r="AA2095" s="91"/>
      <c r="AB2095" s="171"/>
      <c r="AC2095" s="171"/>
      <c r="AD2095" s="92"/>
      <c r="AE2095" s="93"/>
      <c r="AG2095" s="93"/>
      <c r="AH2095" s="93"/>
      <c r="AI2095" s="93"/>
      <c r="AJ2095" s="173"/>
      <c r="AK2095" s="93"/>
      <c r="AL2095" s="99"/>
      <c r="AO2095" s="172"/>
      <c r="AP2095" s="172"/>
      <c r="AQ2095" s="174"/>
      <c r="AR2095" s="175"/>
      <c r="AS2095" s="172"/>
      <c r="AT2095" s="172"/>
      <c r="AU2095" s="99"/>
      <c r="AV2095" s="157"/>
      <c r="AW2095" s="6">
        <f t="shared" ca="1" si="35"/>
        <v>12</v>
      </c>
    </row>
    <row r="2096" ht="45" hidden="1" customHeight="1" outlineLevel="1">
      <c r="A2096" s="69"/>
      <c r="B2096" s="3" t="s">
        <v>190</v>
      </c>
      <c r="C2096" s="4" t="s">
        <v>6137</v>
      </c>
      <c r="D2096" s="5" t="s">
        <v>6138</v>
      </c>
      <c r="E2096" s="2" t="s">
        <v>63</v>
      </c>
      <c r="F2096" s="6" t="s">
        <v>354</v>
      </c>
      <c r="G2096" s="5" t="s">
        <v>6139</v>
      </c>
      <c r="H2096" s="2" t="s">
        <v>51</v>
      </c>
      <c r="I2096" s="3" t="s">
        <v>6140</v>
      </c>
      <c r="J2096" s="7">
        <v>1</v>
      </c>
      <c r="K2096" s="104"/>
      <c r="L2096" s="9">
        <v>1</v>
      </c>
      <c r="M2096" s="3">
        <v>1684</v>
      </c>
      <c r="N2096" s="6">
        <v>2013</v>
      </c>
      <c r="P2096" s="71"/>
      <c r="R2096" s="6">
        <v>2010</v>
      </c>
      <c r="S2096" s="3" t="s">
        <v>283</v>
      </c>
      <c r="T2096" s="72"/>
      <c r="U2096" s="73"/>
      <c r="W2096" s="74" t="s">
        <v>62</v>
      </c>
      <c r="X2096" s="10" t="s">
        <v>56</v>
      </c>
      <c r="Y2096" s="10" t="s">
        <v>57</v>
      </c>
      <c r="Z2096" s="75"/>
      <c r="AA2096" s="2"/>
      <c r="AB2096" s="6"/>
      <c r="AC2096" s="6"/>
      <c r="AD2096" s="6"/>
      <c r="AI2096" s="84"/>
      <c r="AJ2096" s="226"/>
      <c r="AK2096" s="84"/>
      <c r="AL2096" s="16"/>
      <c r="AU2096" s="5"/>
      <c r="AV2096" s="111"/>
      <c r="AW2096" s="6">
        <f t="shared" ca="1" si="35"/>
        <v>12</v>
      </c>
    </row>
    <row r="2097" ht="45" hidden="1" customHeight="1" outlineLevel="1">
      <c r="A2097" s="169"/>
      <c r="B2097" s="3" t="s">
        <v>47</v>
      </c>
      <c r="C2097" s="4" t="s">
        <v>6141</v>
      </c>
      <c r="D2097" s="5" t="s">
        <v>6142</v>
      </c>
      <c r="E2097" s="2" t="s">
        <v>83</v>
      </c>
      <c r="F2097" s="6" t="s">
        <v>84</v>
      </c>
      <c r="G2097" s="5" t="s">
        <v>6143</v>
      </c>
      <c r="H2097" s="2" t="s">
        <v>57</v>
      </c>
      <c r="I2097" s="3" t="s">
        <v>6144</v>
      </c>
      <c r="J2097" s="7">
        <v>1</v>
      </c>
      <c r="K2097" s="225"/>
      <c r="L2097" s="9">
        <v>1</v>
      </c>
      <c r="M2097" s="3">
        <v>1685</v>
      </c>
      <c r="N2097" s="6">
        <v>2014</v>
      </c>
      <c r="O2097" s="10">
        <v>41590</v>
      </c>
      <c r="P2097" s="71" t="s">
        <v>6145</v>
      </c>
      <c r="Q2097" s="10">
        <v>41645</v>
      </c>
      <c r="R2097" s="6">
        <v>2010</v>
      </c>
      <c r="S2097" s="3" t="s">
        <v>236</v>
      </c>
      <c r="T2097" s="72"/>
      <c r="U2097" s="73"/>
      <c r="W2097" s="2" t="s">
        <v>62</v>
      </c>
      <c r="X2097" s="10" t="s">
        <v>56</v>
      </c>
      <c r="Y2097" s="10" t="s">
        <v>57</v>
      </c>
      <c r="Z2097" s="75"/>
      <c r="AA2097" s="91"/>
      <c r="AB2097" s="171"/>
      <c r="AC2097" s="171"/>
      <c r="AD2097" s="92"/>
      <c r="AE2097" s="93"/>
      <c r="AG2097" s="93"/>
      <c r="AH2097" s="93"/>
      <c r="AI2097" s="93"/>
      <c r="AJ2097" s="10">
        <v>43500</v>
      </c>
      <c r="AK2097" s="7">
        <v>2010</v>
      </c>
      <c r="AL2097" s="99"/>
      <c r="AO2097" s="172"/>
      <c r="AP2097" s="172"/>
      <c r="AQ2097" s="174"/>
      <c r="AR2097" s="175"/>
      <c r="AS2097" s="172"/>
      <c r="AT2097" s="172"/>
      <c r="AU2097" s="99"/>
      <c r="AV2097" s="157"/>
      <c r="AW2097" s="6">
        <f t="shared" ca="1" si="35"/>
        <v>11</v>
      </c>
    </row>
    <row r="2098" ht="45" hidden="1" customHeight="1" outlineLevel="1">
      <c r="A2098" s="69"/>
      <c r="B2098" s="3" t="s">
        <v>47</v>
      </c>
      <c r="C2098" s="4" t="s">
        <v>3044</v>
      </c>
      <c r="D2098" s="5" t="s">
        <v>6146</v>
      </c>
      <c r="E2098" s="2" t="s">
        <v>63</v>
      </c>
      <c r="F2098" s="6" t="s">
        <v>1480</v>
      </c>
      <c r="G2098" s="5" t="s">
        <v>1481</v>
      </c>
      <c r="H2098" s="2" t="s">
        <v>57</v>
      </c>
      <c r="I2098" s="3" t="s">
        <v>6147</v>
      </c>
      <c r="J2098" s="7">
        <v>1</v>
      </c>
      <c r="K2098" s="70"/>
      <c r="L2098" s="9">
        <v>1</v>
      </c>
      <c r="M2098" s="3">
        <v>1686</v>
      </c>
      <c r="N2098" s="6">
        <v>2014</v>
      </c>
      <c r="P2098" s="71"/>
      <c r="R2098" s="6">
        <v>2010</v>
      </c>
      <c r="S2098" s="3" t="s">
        <v>236</v>
      </c>
      <c r="T2098" s="72" t="s">
        <v>1136</v>
      </c>
      <c r="W2098" s="2" t="s">
        <v>62</v>
      </c>
      <c r="X2098" s="10" t="s">
        <v>56</v>
      </c>
      <c r="Y2098" s="10" t="s">
        <v>57</v>
      </c>
      <c r="Z2098" s="75"/>
      <c r="AA2098" s="76"/>
      <c r="AB2098" s="77"/>
      <c r="AC2098" s="77"/>
      <c r="AD2098" s="10"/>
      <c r="AI2098" s="7"/>
      <c r="AJ2098" s="10">
        <v>44474</v>
      </c>
      <c r="AK2098" s="7">
        <v>2020</v>
      </c>
      <c r="AL2098" s="16"/>
      <c r="AW2098" s="6">
        <f t="shared" ca="1" si="35"/>
        <v>11</v>
      </c>
    </row>
    <row r="2099" ht="45" hidden="1" customHeight="1" outlineLevel="1">
      <c r="A2099" s="69"/>
      <c r="B2099" s="3" t="s">
        <v>47</v>
      </c>
      <c r="C2099" s="4" t="s">
        <v>6148</v>
      </c>
      <c r="D2099" s="5" t="s">
        <v>6149</v>
      </c>
      <c r="E2099" s="2" t="s">
        <v>48</v>
      </c>
      <c r="F2099" s="6" t="s">
        <v>84</v>
      </c>
      <c r="G2099" s="5" t="s">
        <v>2903</v>
      </c>
      <c r="H2099" s="2" t="s">
        <v>51</v>
      </c>
      <c r="I2099" s="3" t="s">
        <v>6150</v>
      </c>
      <c r="J2099" s="7">
        <v>1</v>
      </c>
      <c r="L2099" s="9">
        <v>1</v>
      </c>
      <c r="M2099" s="3">
        <v>1687</v>
      </c>
      <c r="N2099" s="6">
        <v>2014</v>
      </c>
      <c r="P2099" s="71"/>
      <c r="R2099" s="6">
        <v>2010</v>
      </c>
      <c r="S2099" s="3" t="s">
        <v>236</v>
      </c>
      <c r="T2099" s="72"/>
      <c r="U2099" s="73"/>
      <c r="W2099" s="2" t="s">
        <v>62</v>
      </c>
      <c r="X2099" s="10" t="s">
        <v>56</v>
      </c>
      <c r="Y2099" s="10" t="s">
        <v>57</v>
      </c>
      <c r="Z2099" s="75" t="s">
        <v>58</v>
      </c>
      <c r="AJ2099" s="10">
        <v>41640</v>
      </c>
      <c r="AK2099" s="7">
        <v>2010</v>
      </c>
      <c r="AL2099" s="16"/>
      <c r="AW2099" s="6">
        <f t="shared" ca="1" si="35"/>
        <v>11</v>
      </c>
    </row>
    <row r="2100" ht="45" hidden="1" customHeight="1">
      <c r="A2100" s="69" t="s">
        <v>6151</v>
      </c>
      <c r="B2100" s="3" t="s">
        <v>190</v>
      </c>
      <c r="C2100" s="4" t="s">
        <v>6152</v>
      </c>
      <c r="D2100" s="5" t="s">
        <v>6153</v>
      </c>
      <c r="E2100" s="2" t="s">
        <v>48</v>
      </c>
      <c r="F2100" s="6" t="s">
        <v>49</v>
      </c>
      <c r="G2100" s="5" t="s">
        <v>6154</v>
      </c>
      <c r="H2100" s="2" t="s">
        <v>4501</v>
      </c>
      <c r="I2100" s="3" t="s">
        <v>6155</v>
      </c>
      <c r="J2100" s="7">
        <v>1</v>
      </c>
      <c r="K2100" s="227"/>
      <c r="L2100" s="9">
        <v>1</v>
      </c>
      <c r="M2100" s="3">
        <v>1688</v>
      </c>
      <c r="N2100" s="6">
        <v>2014</v>
      </c>
      <c r="O2100" s="10">
        <v>38952</v>
      </c>
      <c r="P2100" s="71" t="s">
        <v>6156</v>
      </c>
      <c r="Q2100" s="10">
        <v>41696</v>
      </c>
      <c r="R2100" s="6">
        <v>2010</v>
      </c>
      <c r="S2100" s="3" t="s">
        <v>283</v>
      </c>
      <c r="T2100" s="72"/>
      <c r="U2100" s="73"/>
      <c r="W2100" s="74" t="s">
        <v>62</v>
      </c>
      <c r="X2100" s="10" t="s">
        <v>56</v>
      </c>
      <c r="Y2100" s="10" t="s">
        <v>4501</v>
      </c>
      <c r="Z2100" s="75"/>
      <c r="AA2100" s="228"/>
      <c r="AB2100" s="229"/>
      <c r="AC2100" s="229"/>
      <c r="AD2100" s="229"/>
      <c r="AE2100" s="93"/>
      <c r="AG2100" s="93"/>
      <c r="AH2100" s="93"/>
      <c r="AI2100" s="93"/>
      <c r="AJ2100" s="173"/>
      <c r="AK2100" s="93"/>
      <c r="AL2100" s="16"/>
      <c r="AO2100" s="172"/>
      <c r="AP2100" s="172"/>
      <c r="AQ2100" s="174"/>
      <c r="AR2100" s="175"/>
      <c r="AS2100" s="172"/>
      <c r="AT2100" s="172"/>
      <c r="AU2100" s="99"/>
      <c r="AV2100" s="157"/>
      <c r="AW2100" s="6">
        <f t="shared" ca="1" si="35"/>
        <v>11</v>
      </c>
    </row>
    <row r="2101" ht="45" hidden="1" customHeight="1">
      <c r="A2101" s="169"/>
      <c r="B2101" s="3" t="s">
        <v>47</v>
      </c>
      <c r="C2101" s="4" t="s">
        <v>6157</v>
      </c>
      <c r="D2101" s="5" t="s">
        <v>6158</v>
      </c>
      <c r="E2101" s="2" t="s">
        <v>63</v>
      </c>
      <c r="F2101" s="6" t="s">
        <v>1480</v>
      </c>
      <c r="G2101" s="5" t="s">
        <v>1481</v>
      </c>
      <c r="H2101" s="2" t="s">
        <v>57</v>
      </c>
      <c r="I2101" s="3" t="s">
        <v>6159</v>
      </c>
      <c r="J2101" s="7">
        <v>1</v>
      </c>
      <c r="K2101" s="227"/>
      <c r="L2101" s="9">
        <v>1</v>
      </c>
      <c r="M2101" s="3">
        <v>1689</v>
      </c>
      <c r="N2101" s="6">
        <v>2014</v>
      </c>
      <c r="P2101" s="71"/>
      <c r="R2101" s="6">
        <v>2010</v>
      </c>
      <c r="S2101" s="3" t="s">
        <v>236</v>
      </c>
      <c r="T2101" s="72"/>
      <c r="W2101" s="2" t="s">
        <v>62</v>
      </c>
      <c r="X2101" s="10" t="s">
        <v>56</v>
      </c>
      <c r="Y2101" s="10" t="s">
        <v>57</v>
      </c>
      <c r="Z2101" s="75"/>
      <c r="AA2101" s="228"/>
      <c r="AB2101" s="229"/>
      <c r="AC2101" s="229"/>
      <c r="AD2101" s="229"/>
      <c r="AE2101" s="93"/>
      <c r="AG2101" s="93"/>
      <c r="AH2101" s="93"/>
      <c r="AI2101" s="93"/>
      <c r="AJ2101" s="92">
        <v>44459</v>
      </c>
      <c r="AK2101" s="93">
        <v>2020</v>
      </c>
      <c r="AL2101" s="99"/>
      <c r="AO2101" s="172"/>
      <c r="AP2101" s="172"/>
      <c r="AQ2101" s="174"/>
      <c r="AR2101" s="175"/>
      <c r="AS2101" s="172"/>
      <c r="AT2101" s="172"/>
      <c r="AU2101" s="99"/>
      <c r="AV2101" s="157"/>
      <c r="AW2101" s="6">
        <f t="shared" ca="1" si="35"/>
        <v>11</v>
      </c>
    </row>
    <row r="2102" ht="45" hidden="1" customHeight="1">
      <c r="A2102" s="169"/>
      <c r="B2102" s="3" t="s">
        <v>47</v>
      </c>
      <c r="C2102" s="4" t="s">
        <v>6160</v>
      </c>
      <c r="D2102" s="5" t="s">
        <v>6161</v>
      </c>
      <c r="E2102" s="2" t="s">
        <v>48</v>
      </c>
      <c r="F2102" s="6" t="s">
        <v>564</v>
      </c>
      <c r="G2102" s="5" t="s">
        <v>2868</v>
      </c>
      <c r="H2102" s="2" t="s">
        <v>57</v>
      </c>
      <c r="I2102" s="3" t="s">
        <v>6162</v>
      </c>
      <c r="J2102" s="7">
        <v>1</v>
      </c>
      <c r="K2102" s="227"/>
      <c r="L2102" s="9">
        <v>1</v>
      </c>
      <c r="M2102" s="3">
        <v>1690</v>
      </c>
      <c r="N2102" s="6">
        <v>2014</v>
      </c>
      <c r="O2102" s="10">
        <v>38058</v>
      </c>
      <c r="P2102" s="71" t="s">
        <v>6163</v>
      </c>
      <c r="Q2102" s="10">
        <v>41697</v>
      </c>
      <c r="R2102" s="6">
        <v>2010</v>
      </c>
      <c r="S2102" s="3" t="s">
        <v>236</v>
      </c>
      <c r="T2102" s="72"/>
      <c r="U2102" s="73"/>
      <c r="W2102" s="2" t="s">
        <v>62</v>
      </c>
      <c r="X2102" s="10" t="s">
        <v>56</v>
      </c>
      <c r="Y2102" s="10" t="s">
        <v>57</v>
      </c>
      <c r="Z2102" s="75"/>
      <c r="AA2102" s="228"/>
      <c r="AB2102" s="229"/>
      <c r="AC2102" s="229"/>
      <c r="AD2102" s="229"/>
      <c r="AE2102" s="93"/>
      <c r="AG2102" s="93"/>
      <c r="AH2102" s="93"/>
      <c r="AI2102" s="93"/>
      <c r="AJ2102" s="95">
        <v>41950</v>
      </c>
      <c r="AK2102" s="7">
        <v>2010</v>
      </c>
      <c r="AL2102" s="16"/>
      <c r="AO2102" s="172"/>
      <c r="AP2102" s="172"/>
      <c r="AQ2102" s="174"/>
      <c r="AR2102" s="175"/>
      <c r="AS2102" s="172"/>
      <c r="AT2102" s="172"/>
      <c r="AU2102" s="99"/>
      <c r="AV2102" s="157"/>
      <c r="AW2102" s="6">
        <f t="shared" ca="1" si="35"/>
        <v>11</v>
      </c>
    </row>
    <row r="2103" ht="45" customHeight="1">
      <c r="A2103" s="69">
        <v>45258</v>
      </c>
      <c r="B2103" s="3" t="s">
        <v>47</v>
      </c>
      <c r="C2103" s="4" t="s">
        <v>6164</v>
      </c>
      <c r="D2103" s="5" t="s">
        <v>6165</v>
      </c>
      <c r="E2103" s="2" t="s">
        <v>83</v>
      </c>
      <c r="F2103" s="6" t="s">
        <v>179</v>
      </c>
      <c r="G2103" s="5" t="s">
        <v>921</v>
      </c>
      <c r="H2103" s="2" t="s">
        <v>68</v>
      </c>
      <c r="I2103" s="3" t="s">
        <v>6166</v>
      </c>
      <c r="J2103" s="7">
        <v>1</v>
      </c>
      <c r="K2103" s="8" t="s">
        <v>1748</v>
      </c>
      <c r="L2103" s="9">
        <v>1</v>
      </c>
      <c r="M2103" s="3">
        <v>1691</v>
      </c>
      <c r="N2103" s="6">
        <v>2014</v>
      </c>
      <c r="O2103" s="201">
        <v>40189</v>
      </c>
      <c r="P2103" s="11" t="s">
        <v>6167</v>
      </c>
      <c r="Q2103" s="10">
        <v>41709</v>
      </c>
      <c r="R2103" s="6">
        <v>2010</v>
      </c>
      <c r="S2103" s="3" t="s">
        <v>2102</v>
      </c>
      <c r="T2103" s="72" t="s">
        <v>998</v>
      </c>
      <c r="U2103" s="73"/>
      <c r="V2103" s="12">
        <v>44917</v>
      </c>
      <c r="W2103" s="2" t="s">
        <v>6168</v>
      </c>
      <c r="X2103" s="10" t="s">
        <v>56</v>
      </c>
      <c r="Y2103" s="10" t="s">
        <v>68</v>
      </c>
      <c r="Z2103" s="75"/>
      <c r="AA2103" s="13" t="s">
        <v>208</v>
      </c>
      <c r="AB2103" s="14" t="s">
        <v>208</v>
      </c>
      <c r="AC2103" s="14" t="s">
        <v>208</v>
      </c>
      <c r="AE2103" s="7">
        <v>2015</v>
      </c>
      <c r="AF2103" s="7">
        <v>80</v>
      </c>
      <c r="AG2103" s="93"/>
      <c r="AI2103" s="93"/>
      <c r="AJ2103" s="173"/>
      <c r="AK2103" s="93"/>
      <c r="AL2103" s="16"/>
      <c r="AM2103" s="2" t="s">
        <v>53</v>
      </c>
      <c r="AN2103" s="6" t="s">
        <v>73</v>
      </c>
      <c r="AO2103" s="6" t="s">
        <v>53</v>
      </c>
      <c r="AP2103" s="6" t="s">
        <v>73</v>
      </c>
      <c r="AQ2103" s="174"/>
      <c r="AR2103" s="175"/>
      <c r="AS2103" s="172"/>
      <c r="AT2103" s="172"/>
      <c r="AU2103" s="99"/>
      <c r="AV2103" s="157"/>
      <c r="AW2103" s="6">
        <f t="shared" ca="1" si="35"/>
        <v>11</v>
      </c>
    </row>
    <row r="2104" ht="45" hidden="1" customHeight="1">
      <c r="A2104" s="169"/>
      <c r="B2104" s="3" t="s">
        <v>47</v>
      </c>
      <c r="C2104" s="4" t="s">
        <v>4616</v>
      </c>
      <c r="D2104" s="5" t="s">
        <v>6169</v>
      </c>
      <c r="E2104" s="2" t="s">
        <v>63</v>
      </c>
      <c r="F2104" s="6" t="s">
        <v>428</v>
      </c>
      <c r="G2104" s="5" t="s">
        <v>4618</v>
      </c>
      <c r="H2104" s="2" t="s">
        <v>382</v>
      </c>
      <c r="I2104" s="3" t="s">
        <v>6170</v>
      </c>
      <c r="J2104" s="7">
        <v>1</v>
      </c>
      <c r="K2104" s="227"/>
      <c r="L2104" s="9">
        <v>1</v>
      </c>
      <c r="M2104" s="3">
        <v>1692</v>
      </c>
      <c r="N2104" s="6">
        <v>2014</v>
      </c>
      <c r="P2104" s="71"/>
      <c r="R2104" s="6">
        <v>2010</v>
      </c>
      <c r="S2104" s="3" t="s">
        <v>236</v>
      </c>
      <c r="T2104" s="72"/>
      <c r="U2104" s="73"/>
      <c r="W2104" s="2" t="s">
        <v>62</v>
      </c>
      <c r="X2104" s="10" t="s">
        <v>91</v>
      </c>
      <c r="Y2104" s="10" t="s">
        <v>385</v>
      </c>
      <c r="Z2104" s="75"/>
      <c r="AA2104" s="228"/>
      <c r="AB2104" s="229"/>
      <c r="AC2104" s="229"/>
      <c r="AD2104" s="229"/>
      <c r="AE2104" s="93"/>
      <c r="AG2104" s="93"/>
      <c r="AH2104" s="93"/>
      <c r="AI2104" s="93"/>
      <c r="AJ2104" s="92">
        <v>43105</v>
      </c>
      <c r="AK2104" s="93">
        <v>2010</v>
      </c>
      <c r="AL2104" s="16"/>
      <c r="AO2104" s="172"/>
      <c r="AP2104" s="172"/>
      <c r="AQ2104" s="174"/>
      <c r="AR2104" s="175"/>
      <c r="AS2104" s="172"/>
      <c r="AT2104" s="172"/>
      <c r="AU2104" s="99"/>
      <c r="AV2104" s="157"/>
      <c r="AW2104" s="6">
        <f t="shared" ca="1" si="35"/>
        <v>11</v>
      </c>
    </row>
    <row r="2105" ht="45" hidden="1" customHeight="1" outlineLevel="1">
      <c r="A2105" s="169"/>
      <c r="B2105" s="3" t="s">
        <v>190</v>
      </c>
      <c r="C2105" s="4" t="s">
        <v>6171</v>
      </c>
      <c r="D2105" s="5" t="s">
        <v>6172</v>
      </c>
      <c r="E2105" s="2" t="s">
        <v>1074</v>
      </c>
      <c r="F2105" s="6" t="s">
        <v>2154</v>
      </c>
      <c r="G2105" s="5" t="s">
        <v>2155</v>
      </c>
      <c r="H2105" s="2" t="s">
        <v>57</v>
      </c>
      <c r="I2105" s="3" t="s">
        <v>6173</v>
      </c>
      <c r="J2105" s="7">
        <v>1</v>
      </c>
      <c r="K2105" s="227"/>
      <c r="L2105" s="9">
        <v>1</v>
      </c>
      <c r="M2105" s="3">
        <v>1693</v>
      </c>
      <c r="N2105" s="6">
        <v>2014</v>
      </c>
      <c r="P2105" s="71"/>
      <c r="R2105" s="6">
        <v>2010</v>
      </c>
      <c r="S2105" s="3" t="s">
        <v>283</v>
      </c>
      <c r="T2105" s="72"/>
      <c r="U2105" s="73"/>
      <c r="W2105" s="74" t="s">
        <v>62</v>
      </c>
      <c r="X2105" s="10" t="s">
        <v>56</v>
      </c>
      <c r="Y2105" s="10" t="s">
        <v>57</v>
      </c>
      <c r="Z2105" s="75"/>
      <c r="AA2105" s="228"/>
      <c r="AB2105" s="229"/>
      <c r="AC2105" s="229"/>
      <c r="AD2105" s="229"/>
      <c r="AE2105" s="93"/>
      <c r="AG2105" s="93"/>
      <c r="AH2105" s="93"/>
      <c r="AI2105" s="93"/>
      <c r="AJ2105" s="173"/>
      <c r="AK2105" s="93"/>
      <c r="AL2105" s="16"/>
      <c r="AO2105" s="172"/>
      <c r="AP2105" s="172"/>
      <c r="AQ2105" s="174"/>
      <c r="AR2105" s="175"/>
      <c r="AS2105" s="172"/>
      <c r="AT2105" s="172"/>
      <c r="AU2105" s="99"/>
      <c r="AV2105" s="157"/>
      <c r="AW2105" s="6">
        <f t="shared" ca="1" si="35"/>
        <v>11</v>
      </c>
    </row>
    <row r="2106" ht="45" hidden="1" customHeight="1" outlineLevel="1">
      <c r="A2106" s="169"/>
      <c r="B2106" s="3" t="s">
        <v>190</v>
      </c>
      <c r="C2106" s="4" t="s">
        <v>6174</v>
      </c>
      <c r="D2106" s="5" t="s">
        <v>6175</v>
      </c>
      <c r="E2106" s="2" t="s">
        <v>83</v>
      </c>
      <c r="F2106" s="6" t="s">
        <v>179</v>
      </c>
      <c r="G2106" s="5" t="s">
        <v>6176</v>
      </c>
      <c r="H2106" s="2" t="s">
        <v>508</v>
      </c>
      <c r="I2106" s="3" t="s">
        <v>6177</v>
      </c>
      <c r="J2106" s="7">
        <v>1</v>
      </c>
      <c r="K2106" s="227"/>
      <c r="L2106" s="9">
        <v>1</v>
      </c>
      <c r="M2106" s="3">
        <v>1694</v>
      </c>
      <c r="N2106" s="6">
        <v>2014</v>
      </c>
      <c r="P2106" s="71"/>
      <c r="R2106" s="6">
        <v>2010</v>
      </c>
      <c r="S2106" s="3" t="s">
        <v>283</v>
      </c>
      <c r="T2106" s="72"/>
      <c r="U2106" s="73"/>
      <c r="W2106" s="74" t="s">
        <v>62</v>
      </c>
      <c r="X2106" s="10" t="s">
        <v>504</v>
      </c>
      <c r="Y2106" s="10" t="s">
        <v>511</v>
      </c>
      <c r="Z2106" s="75"/>
      <c r="AA2106" s="228"/>
      <c r="AB2106" s="229"/>
      <c r="AC2106" s="229"/>
      <c r="AD2106" s="229"/>
      <c r="AE2106" s="93"/>
      <c r="AG2106" s="93"/>
      <c r="AH2106" s="93"/>
      <c r="AI2106" s="93"/>
      <c r="AJ2106" s="173"/>
      <c r="AK2106" s="93"/>
      <c r="AL2106" s="16"/>
      <c r="AO2106" s="172"/>
      <c r="AP2106" s="172"/>
      <c r="AQ2106" s="174"/>
      <c r="AR2106" s="175"/>
      <c r="AS2106" s="172"/>
      <c r="AT2106" s="172"/>
      <c r="AU2106" s="99"/>
      <c r="AV2106" s="157"/>
      <c r="AW2106" s="6">
        <f t="shared" ca="1" si="35"/>
        <v>11</v>
      </c>
    </row>
    <row r="2107" ht="45" hidden="1" customHeight="1" outlineLevel="1">
      <c r="A2107" s="169"/>
      <c r="B2107" s="3" t="s">
        <v>47</v>
      </c>
      <c r="C2107" s="4" t="s">
        <v>1345</v>
      </c>
      <c r="D2107" s="5" t="s">
        <v>6178</v>
      </c>
      <c r="E2107" s="2" t="s">
        <v>63</v>
      </c>
      <c r="F2107" s="6" t="s">
        <v>83</v>
      </c>
      <c r="G2107" s="5" t="s">
        <v>4837</v>
      </c>
      <c r="H2107" s="2" t="s">
        <v>68</v>
      </c>
      <c r="I2107" s="3" t="s">
        <v>6179</v>
      </c>
      <c r="J2107" s="7">
        <v>1</v>
      </c>
      <c r="K2107" s="227"/>
      <c r="L2107" s="9">
        <v>1</v>
      </c>
      <c r="M2107" s="3">
        <v>1695</v>
      </c>
      <c r="N2107" s="6">
        <v>2014</v>
      </c>
      <c r="P2107" s="71"/>
      <c r="R2107" s="6">
        <v>2010</v>
      </c>
      <c r="S2107" s="3" t="s">
        <v>236</v>
      </c>
      <c r="T2107" s="72"/>
      <c r="U2107" s="73"/>
      <c r="W2107" s="2" t="s">
        <v>62</v>
      </c>
      <c r="X2107" s="10" t="s">
        <v>56</v>
      </c>
      <c r="Y2107" s="10" t="s">
        <v>68</v>
      </c>
      <c r="Z2107" s="75" t="s">
        <v>260</v>
      </c>
      <c r="AA2107" s="228"/>
      <c r="AB2107" s="229"/>
      <c r="AC2107" s="229"/>
      <c r="AD2107" s="229"/>
      <c r="AE2107" s="93"/>
      <c r="AG2107" s="93"/>
      <c r="AH2107" s="93"/>
      <c r="AI2107" s="93"/>
      <c r="AJ2107" s="95">
        <v>41878</v>
      </c>
      <c r="AK2107" s="7">
        <v>2010</v>
      </c>
      <c r="AL2107" s="16"/>
      <c r="AO2107" s="172"/>
      <c r="AP2107" s="172"/>
      <c r="AQ2107" s="174"/>
      <c r="AR2107" s="175"/>
      <c r="AS2107" s="172"/>
      <c r="AT2107" s="172"/>
      <c r="AU2107" s="99"/>
      <c r="AV2107" s="157"/>
      <c r="AW2107" s="6">
        <f t="shared" ca="1" si="35"/>
        <v>11</v>
      </c>
    </row>
    <row r="2108" ht="45" hidden="1" customHeight="1" outlineLevel="1">
      <c r="A2108" s="69">
        <v>42802</v>
      </c>
      <c r="B2108" s="3" t="s">
        <v>1926</v>
      </c>
      <c r="C2108" s="4" t="s">
        <v>6180</v>
      </c>
      <c r="D2108" s="5" t="s">
        <v>6181</v>
      </c>
      <c r="E2108" s="2" t="s">
        <v>694</v>
      </c>
      <c r="F2108" s="6" t="s">
        <v>5199</v>
      </c>
      <c r="G2108" s="5" t="s">
        <v>6182</v>
      </c>
      <c r="H2108" s="2" t="s">
        <v>257</v>
      </c>
      <c r="I2108" s="3" t="s">
        <v>6183</v>
      </c>
      <c r="J2108" s="7">
        <v>1</v>
      </c>
      <c r="K2108" s="227"/>
      <c r="L2108" s="9">
        <v>1</v>
      </c>
      <c r="M2108" s="3">
        <v>1696</v>
      </c>
      <c r="N2108" s="6">
        <v>2014</v>
      </c>
      <c r="P2108" s="71"/>
      <c r="R2108" s="6">
        <v>2010</v>
      </c>
      <c r="S2108" s="3" t="s">
        <v>283</v>
      </c>
      <c r="T2108" s="72"/>
      <c r="U2108" s="73"/>
      <c r="W2108" s="74" t="s">
        <v>62</v>
      </c>
      <c r="X2108" s="10" t="s">
        <v>56</v>
      </c>
      <c r="Y2108" s="10" t="s">
        <v>68</v>
      </c>
      <c r="Z2108" s="75" t="s">
        <v>260</v>
      </c>
      <c r="AA2108" s="228"/>
      <c r="AB2108" s="229"/>
      <c r="AC2108" s="229"/>
      <c r="AD2108" s="229"/>
      <c r="AE2108" s="93"/>
      <c r="AG2108" s="93"/>
      <c r="AH2108" s="93"/>
      <c r="AI2108" s="93"/>
      <c r="AJ2108" s="173"/>
      <c r="AK2108" s="93"/>
      <c r="AL2108" s="16"/>
      <c r="AO2108" s="172"/>
      <c r="AP2108" s="172"/>
      <c r="AQ2108" s="174"/>
      <c r="AR2108" s="175"/>
      <c r="AS2108" s="172"/>
      <c r="AT2108" s="172"/>
      <c r="AU2108" s="99"/>
      <c r="AV2108" s="157"/>
      <c r="AW2108" s="6">
        <f t="shared" ca="1" si="35"/>
        <v>11</v>
      </c>
    </row>
    <row r="2109" ht="45" hidden="1" customHeight="1" outlineLevel="1">
      <c r="A2109" s="69">
        <v>42811</v>
      </c>
      <c r="B2109" s="3" t="s">
        <v>1926</v>
      </c>
      <c r="C2109" s="4" t="s">
        <v>6180</v>
      </c>
      <c r="D2109" s="5" t="s">
        <v>6184</v>
      </c>
      <c r="E2109" s="2" t="s">
        <v>694</v>
      </c>
      <c r="F2109" s="6" t="s">
        <v>5199</v>
      </c>
      <c r="G2109" s="5" t="s">
        <v>6182</v>
      </c>
      <c r="H2109" s="2" t="s">
        <v>57</v>
      </c>
      <c r="I2109" s="3" t="s">
        <v>6185</v>
      </c>
      <c r="J2109" s="7">
        <v>1</v>
      </c>
      <c r="K2109" s="227"/>
      <c r="L2109" s="9">
        <v>1</v>
      </c>
      <c r="M2109" s="3">
        <v>1697</v>
      </c>
      <c r="N2109" s="6">
        <v>2014</v>
      </c>
      <c r="P2109" s="71"/>
      <c r="R2109" s="6">
        <v>2010</v>
      </c>
      <c r="S2109" s="3" t="s">
        <v>283</v>
      </c>
      <c r="T2109" s="72"/>
      <c r="U2109" s="73"/>
      <c r="W2109" s="74" t="s">
        <v>62</v>
      </c>
      <c r="X2109" s="10" t="s">
        <v>56</v>
      </c>
      <c r="Y2109" s="10" t="s">
        <v>57</v>
      </c>
      <c r="Z2109" s="75"/>
      <c r="AA2109" s="228"/>
      <c r="AB2109" s="229"/>
      <c r="AC2109" s="229"/>
      <c r="AD2109" s="229"/>
      <c r="AE2109" s="93"/>
      <c r="AG2109" s="93"/>
      <c r="AH2109" s="93"/>
      <c r="AI2109" s="93"/>
      <c r="AJ2109" s="173"/>
      <c r="AK2109" s="93"/>
      <c r="AL2109" s="16"/>
      <c r="AO2109" s="172"/>
      <c r="AP2109" s="172"/>
      <c r="AQ2109" s="174"/>
      <c r="AR2109" s="175"/>
      <c r="AS2109" s="172"/>
      <c r="AT2109" s="172"/>
      <c r="AU2109" s="99"/>
      <c r="AV2109" s="157"/>
      <c r="AW2109" s="6">
        <f t="shared" ca="1" si="35"/>
        <v>11</v>
      </c>
    </row>
    <row r="2110" ht="45" hidden="1" customHeight="1" outlineLevel="1">
      <c r="A2110" s="169"/>
      <c r="B2110" s="3" t="s">
        <v>47</v>
      </c>
      <c r="C2110" s="4" t="s">
        <v>1345</v>
      </c>
      <c r="D2110" s="5" t="s">
        <v>6186</v>
      </c>
      <c r="E2110" s="2" t="s">
        <v>694</v>
      </c>
      <c r="F2110" s="6" t="s">
        <v>5199</v>
      </c>
      <c r="G2110" s="5" t="s">
        <v>6187</v>
      </c>
      <c r="H2110" s="2" t="s">
        <v>977</v>
      </c>
      <c r="I2110" s="3" t="s">
        <v>6188</v>
      </c>
      <c r="J2110" s="7">
        <v>1</v>
      </c>
      <c r="K2110" s="227"/>
      <c r="L2110" s="9">
        <v>1</v>
      </c>
      <c r="M2110" s="3">
        <v>1698</v>
      </c>
      <c r="N2110" s="6">
        <v>2014</v>
      </c>
      <c r="P2110" s="71"/>
      <c r="R2110" s="6">
        <v>2010</v>
      </c>
      <c r="S2110" s="3" t="s">
        <v>236</v>
      </c>
      <c r="T2110" s="72"/>
      <c r="U2110" s="73"/>
      <c r="W2110" s="2" t="s">
        <v>62</v>
      </c>
      <c r="X2110" s="10" t="s">
        <v>213</v>
      </c>
      <c r="Y2110" s="10" t="s">
        <v>980</v>
      </c>
      <c r="Z2110" s="75"/>
      <c r="AA2110" s="228"/>
      <c r="AB2110" s="229"/>
      <c r="AC2110" s="229"/>
      <c r="AD2110" s="229"/>
      <c r="AE2110" s="93"/>
      <c r="AG2110" s="93"/>
      <c r="AH2110" s="93"/>
      <c r="AI2110" s="93"/>
      <c r="AJ2110" s="95">
        <v>41878</v>
      </c>
      <c r="AK2110" s="7">
        <v>2010</v>
      </c>
      <c r="AL2110" s="16"/>
      <c r="AO2110" s="172"/>
      <c r="AP2110" s="172"/>
      <c r="AQ2110" s="174"/>
      <c r="AR2110" s="175"/>
      <c r="AS2110" s="172"/>
      <c r="AT2110" s="172"/>
      <c r="AU2110" s="99"/>
      <c r="AV2110" s="157"/>
      <c r="AW2110" s="6">
        <f t="shared" ca="1" si="35"/>
        <v>11</v>
      </c>
    </row>
    <row r="2111" ht="45" hidden="1" customHeight="1">
      <c r="A2111" s="169"/>
      <c r="B2111" s="3" t="s">
        <v>47</v>
      </c>
      <c r="C2111" s="4" t="s">
        <v>6189</v>
      </c>
      <c r="D2111" s="5" t="s">
        <v>6190</v>
      </c>
      <c r="E2111" s="2" t="s">
        <v>83</v>
      </c>
      <c r="F2111" s="6" t="s">
        <v>704</v>
      </c>
      <c r="G2111" s="5" t="s">
        <v>6191</v>
      </c>
      <c r="H2111" s="2" t="s">
        <v>57</v>
      </c>
      <c r="I2111" s="3" t="s">
        <v>6192</v>
      </c>
      <c r="J2111" s="7">
        <v>1</v>
      </c>
      <c r="K2111" s="227"/>
      <c r="L2111" s="9">
        <v>1</v>
      </c>
      <c r="M2111" s="3">
        <v>1699</v>
      </c>
      <c r="N2111" s="6">
        <v>2014</v>
      </c>
      <c r="O2111" s="10">
        <v>38043</v>
      </c>
      <c r="P2111" s="71" t="s">
        <v>6193</v>
      </c>
      <c r="Q2111" s="10">
        <v>41834</v>
      </c>
      <c r="R2111" s="6">
        <v>2010</v>
      </c>
      <c r="S2111" s="3" t="s">
        <v>236</v>
      </c>
      <c r="T2111" s="72"/>
      <c r="U2111" s="73">
        <v>43454</v>
      </c>
      <c r="W2111" s="2" t="s">
        <v>62</v>
      </c>
      <c r="X2111" s="10" t="s">
        <v>56</v>
      </c>
      <c r="Y2111" s="10" t="s">
        <v>57</v>
      </c>
      <c r="Z2111" s="75"/>
      <c r="AA2111" s="228"/>
      <c r="AB2111" s="229"/>
      <c r="AC2111" s="229"/>
      <c r="AD2111" s="229"/>
      <c r="AE2111" s="93"/>
      <c r="AG2111" s="93"/>
      <c r="AH2111" s="93"/>
      <c r="AI2111" s="93"/>
      <c r="AJ2111" s="92">
        <v>43584</v>
      </c>
      <c r="AK2111" s="93">
        <v>2010</v>
      </c>
      <c r="AL2111" s="16"/>
      <c r="AO2111" s="172"/>
      <c r="AP2111" s="172"/>
      <c r="AQ2111" s="174"/>
      <c r="AR2111" s="175"/>
      <c r="AS2111" s="172"/>
      <c r="AT2111" s="172"/>
      <c r="AU2111" s="99"/>
      <c r="AV2111" s="157"/>
      <c r="AW2111" s="6">
        <f t="shared" ca="1" si="35"/>
        <v>11</v>
      </c>
    </row>
    <row r="2112" ht="45" hidden="1" customHeight="1" outlineLevel="1">
      <c r="A2112" s="69">
        <v>45054</v>
      </c>
      <c r="B2112" s="3" t="s">
        <v>190</v>
      </c>
      <c r="C2112" s="4" t="s">
        <v>6194</v>
      </c>
      <c r="D2112" s="5" t="s">
        <v>6195</v>
      </c>
      <c r="E2112" s="2" t="s">
        <v>83</v>
      </c>
      <c r="F2112" s="6" t="s">
        <v>704</v>
      </c>
      <c r="G2112" s="5" t="s">
        <v>2643</v>
      </c>
      <c r="H2112" s="2" t="s">
        <v>88</v>
      </c>
      <c r="I2112" s="3" t="s">
        <v>6196</v>
      </c>
      <c r="J2112" s="7">
        <v>1</v>
      </c>
      <c r="K2112" s="227"/>
      <c r="L2112" s="9">
        <v>1</v>
      </c>
      <c r="M2112" s="3">
        <v>1700</v>
      </c>
      <c r="N2112" s="6">
        <v>2014</v>
      </c>
      <c r="O2112" s="10" t="s">
        <v>2064</v>
      </c>
      <c r="P2112" s="71" t="s">
        <v>1452</v>
      </c>
      <c r="Q2112" s="10">
        <v>41789</v>
      </c>
      <c r="R2112" s="6">
        <v>2010</v>
      </c>
      <c r="S2112" s="3" t="s">
        <v>283</v>
      </c>
      <c r="T2112" s="72"/>
      <c r="U2112" s="73"/>
      <c r="W2112" s="74" t="s">
        <v>62</v>
      </c>
      <c r="X2112" s="10" t="s">
        <v>91</v>
      </c>
      <c r="Y2112" s="10" t="s">
        <v>92</v>
      </c>
      <c r="Z2112" s="75"/>
      <c r="AA2112" s="228"/>
      <c r="AB2112" s="229"/>
      <c r="AC2112" s="229"/>
      <c r="AD2112" s="229"/>
      <c r="AE2112" s="93"/>
      <c r="AG2112" s="93"/>
      <c r="AH2112" s="93"/>
      <c r="AI2112" s="93"/>
      <c r="AJ2112" s="173"/>
      <c r="AK2112" s="93"/>
      <c r="AO2112" s="172"/>
      <c r="AP2112" s="172"/>
      <c r="AQ2112" s="174"/>
      <c r="AR2112" s="175"/>
      <c r="AS2112" s="172"/>
      <c r="AT2112" s="172"/>
      <c r="AU2112" s="99"/>
      <c r="AV2112" s="157"/>
      <c r="AW2112" s="6">
        <f t="shared" ca="1" si="35"/>
        <v>11</v>
      </c>
    </row>
    <row r="2113" ht="45" hidden="1" customHeight="1" outlineLevel="1">
      <c r="A2113" s="69">
        <v>43549</v>
      </c>
      <c r="B2113" s="3" t="s">
        <v>190</v>
      </c>
      <c r="C2113" s="4" t="s">
        <v>6197</v>
      </c>
      <c r="D2113" s="5" t="s">
        <v>6198</v>
      </c>
      <c r="E2113" s="2" t="s">
        <v>694</v>
      </c>
      <c r="F2113" s="6" t="s">
        <v>2495</v>
      </c>
      <c r="G2113" s="5" t="s">
        <v>6199</v>
      </c>
      <c r="H2113" s="2" t="s">
        <v>57</v>
      </c>
      <c r="I2113" s="3" t="s">
        <v>6200</v>
      </c>
      <c r="J2113" s="7">
        <v>1</v>
      </c>
      <c r="K2113" s="227"/>
      <c r="L2113" s="9">
        <v>1</v>
      </c>
      <c r="M2113" s="3">
        <v>1701</v>
      </c>
      <c r="N2113" s="6">
        <v>2014</v>
      </c>
      <c r="P2113" s="71"/>
      <c r="R2113" s="6">
        <v>2010</v>
      </c>
      <c r="S2113" s="3" t="s">
        <v>283</v>
      </c>
      <c r="T2113" s="72"/>
      <c r="U2113" s="73"/>
      <c r="W2113" s="74" t="s">
        <v>62</v>
      </c>
      <c r="X2113" s="10" t="s">
        <v>56</v>
      </c>
      <c r="Y2113" s="10" t="s">
        <v>57</v>
      </c>
      <c r="Z2113" s="75"/>
      <c r="AA2113" s="228"/>
      <c r="AB2113" s="229"/>
      <c r="AC2113" s="229"/>
      <c r="AD2113" s="229"/>
      <c r="AE2113" s="93"/>
      <c r="AG2113" s="93"/>
      <c r="AH2113" s="93"/>
      <c r="AI2113" s="93"/>
      <c r="AJ2113" s="173"/>
      <c r="AK2113" s="93"/>
      <c r="AL2113" s="16"/>
      <c r="AO2113" s="172"/>
      <c r="AP2113" s="172"/>
      <c r="AQ2113" s="174"/>
      <c r="AR2113" s="175"/>
      <c r="AS2113" s="172"/>
      <c r="AT2113" s="172"/>
      <c r="AU2113" s="99"/>
      <c r="AV2113" s="157"/>
      <c r="AW2113" s="6">
        <f t="shared" ca="1" si="35"/>
        <v>11</v>
      </c>
    </row>
    <row r="2114" ht="45" hidden="1" customHeight="1" outlineLevel="1">
      <c r="A2114" s="169"/>
      <c r="B2114" s="3" t="s">
        <v>47</v>
      </c>
      <c r="C2114" s="4" t="s">
        <v>6201</v>
      </c>
      <c r="D2114" s="5" t="s">
        <v>6202</v>
      </c>
      <c r="E2114" s="2" t="s">
        <v>1074</v>
      </c>
      <c r="F2114" s="6" t="s">
        <v>2026</v>
      </c>
      <c r="G2114" s="5" t="s">
        <v>6203</v>
      </c>
      <c r="H2114" s="2" t="s">
        <v>288</v>
      </c>
      <c r="I2114" s="3" t="s">
        <v>6204</v>
      </c>
      <c r="J2114" s="7">
        <v>1</v>
      </c>
      <c r="K2114" s="227"/>
      <c r="L2114" s="9">
        <v>1</v>
      </c>
      <c r="M2114" s="3">
        <v>1702</v>
      </c>
      <c r="N2114" s="6">
        <v>2014</v>
      </c>
      <c r="P2114" s="71"/>
      <c r="R2114" s="6">
        <v>2010</v>
      </c>
      <c r="S2114" s="3" t="s">
        <v>236</v>
      </c>
      <c r="T2114" s="72"/>
      <c r="U2114" s="73"/>
      <c r="W2114" s="2" t="s">
        <v>62</v>
      </c>
      <c r="X2114" s="10" t="s">
        <v>56</v>
      </c>
      <c r="Y2114" s="10" t="s">
        <v>288</v>
      </c>
      <c r="Z2114" s="75"/>
      <c r="AA2114" s="228"/>
      <c r="AB2114" s="229"/>
      <c r="AC2114" s="229"/>
      <c r="AD2114" s="229"/>
      <c r="AE2114" s="93"/>
      <c r="AG2114" s="93"/>
      <c r="AH2114" s="93"/>
      <c r="AI2114" s="93"/>
      <c r="AJ2114" s="95">
        <v>41842</v>
      </c>
      <c r="AK2114" s="7">
        <v>2010</v>
      </c>
      <c r="AL2114" s="16"/>
      <c r="AO2114" s="172"/>
      <c r="AP2114" s="172"/>
      <c r="AQ2114" s="174"/>
      <c r="AR2114" s="175"/>
      <c r="AS2114" s="172"/>
      <c r="AT2114" s="172"/>
      <c r="AU2114" s="99"/>
      <c r="AV2114" s="157"/>
      <c r="AW2114" s="6">
        <f t="shared" ca="1" si="35"/>
        <v>11</v>
      </c>
    </row>
    <row r="2115" ht="45" hidden="1" customHeight="1">
      <c r="A2115" s="169"/>
      <c r="B2115" s="3" t="s">
        <v>47</v>
      </c>
      <c r="C2115" s="4" t="s">
        <v>6201</v>
      </c>
      <c r="D2115" s="5" t="s">
        <v>6205</v>
      </c>
      <c r="E2115" s="2" t="s">
        <v>83</v>
      </c>
      <c r="F2115" s="6" t="s">
        <v>84</v>
      </c>
      <c r="G2115" s="5" t="s">
        <v>85</v>
      </c>
      <c r="H2115" s="2" t="s">
        <v>57</v>
      </c>
      <c r="I2115" s="3" t="s">
        <v>6206</v>
      </c>
      <c r="J2115" s="7">
        <v>1</v>
      </c>
      <c r="K2115" s="227"/>
      <c r="L2115" s="9">
        <v>1</v>
      </c>
      <c r="M2115" s="3">
        <v>1703</v>
      </c>
      <c r="N2115" s="6">
        <v>2014</v>
      </c>
      <c r="P2115" s="71"/>
      <c r="R2115" s="6">
        <v>2010</v>
      </c>
      <c r="S2115" s="3" t="s">
        <v>236</v>
      </c>
      <c r="T2115" s="72"/>
      <c r="U2115" s="73"/>
      <c r="W2115" s="2" t="s">
        <v>62</v>
      </c>
      <c r="X2115" s="10" t="s">
        <v>56</v>
      </c>
      <c r="Y2115" s="10" t="s">
        <v>57</v>
      </c>
      <c r="Z2115" s="75"/>
      <c r="AA2115" s="228"/>
      <c r="AB2115" s="229"/>
      <c r="AC2115" s="229"/>
      <c r="AD2115" s="229"/>
      <c r="AE2115" s="93"/>
      <c r="AG2115" s="93"/>
      <c r="AH2115" s="93"/>
      <c r="AI2115" s="93"/>
      <c r="AJ2115" s="95">
        <v>41842</v>
      </c>
      <c r="AK2115" s="7">
        <v>2010</v>
      </c>
      <c r="AL2115" s="16"/>
      <c r="AO2115" s="172"/>
      <c r="AP2115" s="172"/>
      <c r="AQ2115" s="174"/>
      <c r="AR2115" s="175"/>
      <c r="AS2115" s="172"/>
      <c r="AT2115" s="172"/>
      <c r="AU2115" s="99"/>
      <c r="AV2115" s="157"/>
      <c r="AW2115" s="6">
        <f t="shared" ca="1" si="35"/>
        <v>11</v>
      </c>
    </row>
    <row r="2116" ht="45" hidden="1" customHeight="1">
      <c r="A2116" s="69">
        <v>41864</v>
      </c>
      <c r="B2116" s="3" t="s">
        <v>47</v>
      </c>
      <c r="C2116" s="4" t="s">
        <v>6207</v>
      </c>
      <c r="D2116" s="5" t="s">
        <v>6208</v>
      </c>
      <c r="E2116" s="2" t="s">
        <v>83</v>
      </c>
      <c r="F2116" s="6" t="s">
        <v>84</v>
      </c>
      <c r="G2116" s="5" t="s">
        <v>85</v>
      </c>
      <c r="H2116" s="2" t="s">
        <v>57</v>
      </c>
      <c r="I2116" s="3" t="s">
        <v>6209</v>
      </c>
      <c r="J2116" s="7">
        <v>1</v>
      </c>
      <c r="K2116" s="227"/>
      <c r="L2116" s="9">
        <v>1</v>
      </c>
      <c r="M2116" s="3">
        <v>1704</v>
      </c>
      <c r="N2116" s="6">
        <v>2014</v>
      </c>
      <c r="O2116" s="10">
        <v>41065</v>
      </c>
      <c r="P2116" s="71" t="s">
        <v>6210</v>
      </c>
      <c r="Q2116" s="10">
        <v>41857</v>
      </c>
      <c r="R2116" s="6">
        <v>2010</v>
      </c>
      <c r="S2116" s="3" t="s">
        <v>236</v>
      </c>
      <c r="T2116" s="72"/>
      <c r="W2116" s="2" t="s">
        <v>62</v>
      </c>
      <c r="X2116" s="10" t="s">
        <v>56</v>
      </c>
      <c r="Y2116" s="10" t="s">
        <v>57</v>
      </c>
      <c r="Z2116" s="75"/>
      <c r="AA2116" s="228"/>
      <c r="AB2116" s="229"/>
      <c r="AC2116" s="229"/>
      <c r="AD2116" s="229"/>
      <c r="AE2116" s="93"/>
      <c r="AG2116" s="93"/>
      <c r="AH2116" s="93"/>
      <c r="AI2116" s="93"/>
      <c r="AJ2116" s="92">
        <v>44382</v>
      </c>
      <c r="AK2116" s="93">
        <v>2020</v>
      </c>
      <c r="AL2116" s="16"/>
      <c r="AO2116" s="172"/>
      <c r="AP2116" s="172"/>
      <c r="AQ2116" s="174"/>
      <c r="AR2116" s="175"/>
      <c r="AS2116" s="172"/>
      <c r="AT2116" s="172"/>
      <c r="AU2116" s="99"/>
      <c r="AV2116" s="157"/>
      <c r="AW2116" s="6">
        <f t="shared" ca="1" si="35"/>
        <v>11</v>
      </c>
    </row>
    <row r="2117" ht="45" hidden="1" customHeight="1" outlineLevel="1">
      <c r="A2117" s="69">
        <v>43475</v>
      </c>
      <c r="B2117" s="3" t="s">
        <v>190</v>
      </c>
      <c r="C2117" s="4" t="s">
        <v>6211</v>
      </c>
      <c r="D2117" s="5" t="s">
        <v>6212</v>
      </c>
      <c r="E2117" s="2" t="s">
        <v>83</v>
      </c>
      <c r="F2117" s="6" t="s">
        <v>704</v>
      </c>
      <c r="G2117" s="5" t="s">
        <v>5939</v>
      </c>
      <c r="H2117" s="2" t="s">
        <v>57</v>
      </c>
      <c r="I2117" s="3" t="s">
        <v>6213</v>
      </c>
      <c r="J2117" s="7">
        <v>1</v>
      </c>
      <c r="K2117" s="227"/>
      <c r="L2117" s="9">
        <v>1</v>
      </c>
      <c r="M2117" s="3">
        <v>1705</v>
      </c>
      <c r="N2117" s="6">
        <v>2014</v>
      </c>
      <c r="O2117" s="10">
        <v>39629</v>
      </c>
      <c r="P2117" s="71" t="s">
        <v>6214</v>
      </c>
      <c r="Q2117" s="10">
        <v>41918</v>
      </c>
      <c r="R2117" s="6">
        <v>2010</v>
      </c>
      <c r="S2117" s="3" t="s">
        <v>283</v>
      </c>
      <c r="T2117" s="72" t="s">
        <v>998</v>
      </c>
      <c r="U2117" s="73"/>
      <c r="W2117" s="74" t="s">
        <v>62</v>
      </c>
      <c r="X2117" s="10" t="s">
        <v>56</v>
      </c>
      <c r="Y2117" s="10" t="s">
        <v>57</v>
      </c>
      <c r="Z2117" s="75"/>
      <c r="AA2117" s="228"/>
      <c r="AB2117" s="229"/>
      <c r="AC2117" s="229"/>
      <c r="AD2117" s="229"/>
      <c r="AE2117" s="93"/>
      <c r="AG2117" s="93"/>
      <c r="AH2117" s="93"/>
      <c r="AI2117" s="93"/>
      <c r="AJ2117" s="173"/>
      <c r="AK2117" s="93"/>
      <c r="AL2117" s="16"/>
      <c r="AO2117" s="172"/>
      <c r="AP2117" s="172"/>
      <c r="AQ2117" s="174"/>
      <c r="AR2117" s="175"/>
      <c r="AS2117" s="172"/>
      <c r="AT2117" s="172"/>
      <c r="AU2117" s="99"/>
      <c r="AV2117" s="157"/>
      <c r="AW2117" s="6">
        <f t="shared" ca="1" si="35"/>
        <v>11</v>
      </c>
    </row>
    <row r="2118" ht="45" hidden="1" customHeight="1" outlineLevel="1">
      <c r="A2118" s="169">
        <v>45331</v>
      </c>
      <c r="B2118" s="3" t="s">
        <v>1926</v>
      </c>
      <c r="C2118" s="4" t="s">
        <v>6215</v>
      </c>
      <c r="D2118" s="5" t="s">
        <v>6216</v>
      </c>
      <c r="E2118" s="2" t="s">
        <v>83</v>
      </c>
      <c r="F2118" s="6" t="s">
        <v>84</v>
      </c>
      <c r="G2118" s="5" t="s">
        <v>85</v>
      </c>
      <c r="H2118" s="2" t="s">
        <v>57</v>
      </c>
      <c r="I2118" s="3" t="s">
        <v>6217</v>
      </c>
      <c r="J2118" s="7">
        <v>1</v>
      </c>
      <c r="K2118" s="227"/>
      <c r="L2118" s="9">
        <v>1</v>
      </c>
      <c r="M2118" s="3">
        <v>1706</v>
      </c>
      <c r="N2118" s="6">
        <v>2014</v>
      </c>
      <c r="O2118" s="10">
        <v>41506</v>
      </c>
      <c r="P2118" s="71" t="s">
        <v>6218</v>
      </c>
      <c r="Q2118" s="10">
        <v>41921</v>
      </c>
      <c r="R2118" s="6">
        <v>2010</v>
      </c>
      <c r="S2118" s="3" t="s">
        <v>283</v>
      </c>
      <c r="T2118" s="72"/>
      <c r="U2118" s="73"/>
      <c r="W2118" s="74" t="s">
        <v>62</v>
      </c>
      <c r="X2118" s="10" t="s">
        <v>56</v>
      </c>
      <c r="Y2118" s="10" t="s">
        <v>57</v>
      </c>
      <c r="Z2118" s="75"/>
      <c r="AA2118" s="228"/>
      <c r="AB2118" s="229"/>
      <c r="AC2118" s="229"/>
      <c r="AD2118" s="229"/>
      <c r="AE2118" s="93"/>
      <c r="AG2118" s="93"/>
      <c r="AH2118" s="93"/>
      <c r="AI2118" s="93"/>
      <c r="AJ2118" s="173"/>
      <c r="AK2118" s="93"/>
      <c r="AL2118" s="16"/>
      <c r="AO2118" s="172"/>
      <c r="AP2118" s="172"/>
      <c r="AQ2118" s="174"/>
      <c r="AR2118" s="175"/>
      <c r="AS2118" s="172"/>
      <c r="AT2118" s="172"/>
      <c r="AU2118" s="99"/>
      <c r="AV2118" s="157"/>
      <c r="AW2118" s="6">
        <f t="shared" ca="1" si="35"/>
        <v>11</v>
      </c>
    </row>
    <row r="2119" ht="45" hidden="1" customHeight="1">
      <c r="A2119" s="69"/>
      <c r="B2119" s="3" t="s">
        <v>47</v>
      </c>
      <c r="C2119" s="4" t="s">
        <v>6219</v>
      </c>
      <c r="D2119" s="5" t="s">
        <v>6220</v>
      </c>
      <c r="E2119" s="2" t="s">
        <v>83</v>
      </c>
      <c r="F2119" s="6" t="s">
        <v>179</v>
      </c>
      <c r="G2119" s="5" t="s">
        <v>180</v>
      </c>
      <c r="H2119" s="2" t="s">
        <v>382</v>
      </c>
      <c r="I2119" s="3" t="s">
        <v>6221</v>
      </c>
      <c r="J2119" s="7">
        <v>1</v>
      </c>
      <c r="K2119" s="227"/>
      <c r="L2119" s="9">
        <v>1</v>
      </c>
      <c r="M2119" s="3">
        <v>1707</v>
      </c>
      <c r="N2119" s="6">
        <v>2014</v>
      </c>
      <c r="P2119" s="71"/>
      <c r="Q2119" s="10">
        <v>41922</v>
      </c>
      <c r="R2119" s="6">
        <v>2010</v>
      </c>
      <c r="S2119" s="3" t="s">
        <v>236</v>
      </c>
      <c r="T2119" s="72" t="s">
        <v>1136</v>
      </c>
      <c r="W2119" s="2" t="s">
        <v>62</v>
      </c>
      <c r="X2119" s="10" t="s">
        <v>91</v>
      </c>
      <c r="Y2119" s="10" t="s">
        <v>385</v>
      </c>
      <c r="Z2119" s="75"/>
      <c r="AA2119" s="228"/>
      <c r="AB2119" s="229"/>
      <c r="AC2119" s="229"/>
      <c r="AD2119" s="229"/>
      <c r="AE2119" s="93"/>
      <c r="AG2119" s="93"/>
      <c r="AH2119" s="93"/>
      <c r="AI2119" s="93"/>
      <c r="AJ2119" s="92">
        <v>44767</v>
      </c>
      <c r="AK2119" s="93">
        <v>2020</v>
      </c>
      <c r="AL2119" s="16"/>
      <c r="AO2119" s="172"/>
      <c r="AP2119" s="172"/>
      <c r="AQ2119" s="174"/>
      <c r="AR2119" s="175"/>
      <c r="AS2119" s="172"/>
      <c r="AT2119" s="172"/>
      <c r="AU2119" s="99"/>
      <c r="AV2119" s="157"/>
      <c r="AW2119" s="6">
        <f t="shared" ca="1" si="35"/>
        <v>11</v>
      </c>
    </row>
    <row r="2120" ht="45" hidden="1" customHeight="1">
      <c r="A2120" s="169"/>
      <c r="B2120" s="3" t="s">
        <v>47</v>
      </c>
      <c r="C2120" s="4" t="s">
        <v>3955</v>
      </c>
      <c r="D2120" s="5" t="s">
        <v>6222</v>
      </c>
      <c r="E2120" s="2" t="s">
        <v>48</v>
      </c>
      <c r="F2120" s="6" t="s">
        <v>564</v>
      </c>
      <c r="G2120" s="5" t="s">
        <v>6223</v>
      </c>
      <c r="H2120" s="2" t="s">
        <v>51</v>
      </c>
      <c r="I2120" s="3" t="s">
        <v>6224</v>
      </c>
      <c r="J2120" s="7">
        <v>1</v>
      </c>
      <c r="K2120" s="227"/>
      <c r="L2120" s="9">
        <v>1</v>
      </c>
      <c r="M2120" s="3">
        <v>1708</v>
      </c>
      <c r="N2120" s="6">
        <v>2014</v>
      </c>
      <c r="O2120" s="10">
        <v>41786</v>
      </c>
      <c r="P2120" s="71" t="s">
        <v>6225</v>
      </c>
      <c r="Q2120" s="10">
        <v>41921</v>
      </c>
      <c r="R2120" s="6">
        <v>2010</v>
      </c>
      <c r="S2120" s="3" t="s">
        <v>236</v>
      </c>
      <c r="T2120" s="72"/>
      <c r="U2120" s="73"/>
      <c r="W2120" s="2" t="s">
        <v>62</v>
      </c>
      <c r="X2120" s="10" t="s">
        <v>56</v>
      </c>
      <c r="Y2120" s="10" t="s">
        <v>57</v>
      </c>
      <c r="Z2120" s="75" t="s">
        <v>58</v>
      </c>
      <c r="AA2120" s="228"/>
      <c r="AB2120" s="229"/>
      <c r="AC2120" s="229"/>
      <c r="AD2120" s="229"/>
      <c r="AE2120" s="93"/>
      <c r="AG2120" s="93"/>
      <c r="AH2120" s="93"/>
      <c r="AI2120" s="93"/>
      <c r="AJ2120" s="10">
        <v>42460</v>
      </c>
      <c r="AK2120" s="7">
        <v>2010</v>
      </c>
      <c r="AL2120" s="16" t="s">
        <v>6226</v>
      </c>
      <c r="AO2120" s="172"/>
      <c r="AP2120" s="172"/>
      <c r="AQ2120" s="174"/>
      <c r="AR2120" s="175"/>
      <c r="AS2120" s="172"/>
      <c r="AT2120" s="172"/>
      <c r="AU2120" s="99"/>
      <c r="AV2120" s="157"/>
      <c r="AW2120" s="6">
        <f t="shared" ca="1" si="35"/>
        <v>11</v>
      </c>
    </row>
    <row r="2121" ht="45" hidden="1" customHeight="1" outlineLevel="1">
      <c r="A2121" s="169"/>
      <c r="B2121" s="3" t="s">
        <v>47</v>
      </c>
      <c r="C2121" s="4" t="s">
        <v>3955</v>
      </c>
      <c r="D2121" s="5" t="s">
        <v>6227</v>
      </c>
      <c r="E2121" s="2" t="s">
        <v>48</v>
      </c>
      <c r="F2121" s="6" t="s">
        <v>564</v>
      </c>
      <c r="G2121" s="5" t="s">
        <v>6223</v>
      </c>
      <c r="H2121" s="2" t="s">
        <v>51</v>
      </c>
      <c r="I2121" s="3" t="s">
        <v>6228</v>
      </c>
      <c r="J2121" s="7">
        <v>1</v>
      </c>
      <c r="K2121" s="227"/>
      <c r="L2121" s="9">
        <v>1</v>
      </c>
      <c r="M2121" s="3">
        <v>1709</v>
      </c>
      <c r="N2121" s="6">
        <v>2014</v>
      </c>
      <c r="O2121" s="10">
        <v>41786</v>
      </c>
      <c r="P2121" s="71" t="s">
        <v>6225</v>
      </c>
      <c r="Q2121" s="10">
        <v>41921</v>
      </c>
      <c r="R2121" s="6">
        <v>2010</v>
      </c>
      <c r="S2121" s="3" t="s">
        <v>236</v>
      </c>
      <c r="T2121" s="72"/>
      <c r="U2121" s="73"/>
      <c r="W2121" s="2" t="s">
        <v>62</v>
      </c>
      <c r="X2121" s="10" t="s">
        <v>56</v>
      </c>
      <c r="Y2121" s="10" t="s">
        <v>57</v>
      </c>
      <c r="Z2121" s="75" t="s">
        <v>58</v>
      </c>
      <c r="AA2121" s="228"/>
      <c r="AB2121" s="229"/>
      <c r="AC2121" s="229"/>
      <c r="AD2121" s="229"/>
      <c r="AE2121" s="93"/>
      <c r="AG2121" s="93"/>
      <c r="AH2121" s="93"/>
      <c r="AI2121" s="93"/>
      <c r="AJ2121" s="10">
        <v>42674</v>
      </c>
      <c r="AK2121" s="7">
        <v>2010</v>
      </c>
      <c r="AL2121" s="16" t="s">
        <v>6229</v>
      </c>
      <c r="AO2121" s="172"/>
      <c r="AP2121" s="172"/>
      <c r="AQ2121" s="174"/>
      <c r="AR2121" s="175"/>
      <c r="AS2121" s="172"/>
      <c r="AT2121" s="172"/>
      <c r="AU2121" s="99"/>
      <c r="AV2121" s="157"/>
      <c r="AW2121" s="6">
        <f t="shared" ca="1" si="35"/>
        <v>11</v>
      </c>
    </row>
    <row r="2122" ht="45" hidden="1" customHeight="1" outlineLevel="1">
      <c r="A2122" s="69"/>
      <c r="B2122" s="3" t="s">
        <v>47</v>
      </c>
      <c r="C2122" s="4" t="s">
        <v>6230</v>
      </c>
      <c r="D2122" s="5" t="s">
        <v>6231</v>
      </c>
      <c r="E2122" s="2" t="s">
        <v>63</v>
      </c>
      <c r="F2122" s="6" t="s">
        <v>172</v>
      </c>
      <c r="G2122" s="5" t="s">
        <v>6232</v>
      </c>
      <c r="H2122" s="2" t="s">
        <v>3735</v>
      </c>
      <c r="I2122" s="3" t="s">
        <v>6233</v>
      </c>
      <c r="J2122" s="7">
        <v>1</v>
      </c>
      <c r="K2122" s="104"/>
      <c r="L2122" s="9">
        <v>1</v>
      </c>
      <c r="M2122" s="3">
        <v>1710</v>
      </c>
      <c r="N2122" s="6">
        <v>2014</v>
      </c>
      <c r="O2122" s="10">
        <v>39182</v>
      </c>
      <c r="P2122" s="71" t="s">
        <v>6234</v>
      </c>
      <c r="Q2122" s="10">
        <v>41932</v>
      </c>
      <c r="R2122" s="6">
        <v>2010</v>
      </c>
      <c r="S2122" s="3" t="s">
        <v>236</v>
      </c>
      <c r="T2122" s="72"/>
      <c r="U2122" s="73"/>
      <c r="W2122" s="2" t="s">
        <v>62</v>
      </c>
      <c r="X2122" s="10" t="s">
        <v>56</v>
      </c>
      <c r="Y2122" s="10" t="s">
        <v>68</v>
      </c>
      <c r="Z2122" s="75" t="s">
        <v>58</v>
      </c>
      <c r="AA2122" s="76"/>
      <c r="AB2122" s="6"/>
      <c r="AC2122" s="6"/>
      <c r="AD2122" s="6"/>
      <c r="AI2122" s="7"/>
      <c r="AJ2122" s="10">
        <v>43719</v>
      </c>
      <c r="AK2122" s="7">
        <v>2010</v>
      </c>
      <c r="AL2122" s="16"/>
      <c r="AW2122" s="6">
        <f t="shared" ca="1" si="35"/>
        <v>11</v>
      </c>
    </row>
    <row r="2123" ht="45" hidden="1" customHeight="1" outlineLevel="1">
      <c r="A2123" s="69"/>
      <c r="B2123" s="3" t="s">
        <v>190</v>
      </c>
      <c r="C2123" s="4" t="s">
        <v>6235</v>
      </c>
      <c r="D2123" s="5" t="s">
        <v>6236</v>
      </c>
      <c r="E2123" s="2" t="s">
        <v>63</v>
      </c>
      <c r="F2123" s="6" t="s">
        <v>64</v>
      </c>
      <c r="G2123" s="5" t="s">
        <v>3818</v>
      </c>
      <c r="H2123" s="2" t="s">
        <v>68</v>
      </c>
      <c r="I2123" s="3" t="s">
        <v>6237</v>
      </c>
      <c r="J2123" s="7">
        <v>1</v>
      </c>
      <c r="K2123" s="104"/>
      <c r="L2123" s="9">
        <v>1</v>
      </c>
      <c r="M2123" s="3">
        <v>1711</v>
      </c>
      <c r="N2123" s="6">
        <v>2014</v>
      </c>
      <c r="O2123" s="10">
        <v>41780</v>
      </c>
      <c r="P2123" s="71" t="s">
        <v>6238</v>
      </c>
      <c r="Q2123" s="10">
        <v>41932</v>
      </c>
      <c r="R2123" s="6">
        <v>2010</v>
      </c>
      <c r="S2123" s="3" t="s">
        <v>283</v>
      </c>
      <c r="T2123" s="72"/>
      <c r="U2123" s="73"/>
      <c r="W2123" s="74" t="s">
        <v>62</v>
      </c>
      <c r="X2123" s="10" t="s">
        <v>56</v>
      </c>
      <c r="Y2123" s="10" t="s">
        <v>68</v>
      </c>
      <c r="Z2123" s="75"/>
      <c r="AA2123" s="76"/>
      <c r="AB2123" s="6"/>
      <c r="AC2123" s="6"/>
      <c r="AD2123" s="6"/>
      <c r="AI2123" s="7"/>
      <c r="AJ2123" s="73"/>
      <c r="AK2123" s="7"/>
      <c r="AL2123" s="16"/>
      <c r="AW2123" s="6">
        <f t="shared" ca="1" si="35"/>
        <v>11</v>
      </c>
    </row>
    <row r="2124" ht="45" hidden="1" customHeight="1" outlineLevel="1">
      <c r="A2124" s="169"/>
      <c r="B2124" s="3" t="s">
        <v>47</v>
      </c>
      <c r="C2124" s="4" t="s">
        <v>6239</v>
      </c>
      <c r="D2124" s="5" t="s">
        <v>6240</v>
      </c>
      <c r="E2124" s="2" t="s">
        <v>83</v>
      </c>
      <c r="F2124" s="6" t="s">
        <v>84</v>
      </c>
      <c r="G2124" s="5" t="s">
        <v>1938</v>
      </c>
      <c r="H2124" s="2" t="s">
        <v>57</v>
      </c>
      <c r="I2124" s="3" t="s">
        <v>6241</v>
      </c>
      <c r="J2124" s="7">
        <v>1</v>
      </c>
      <c r="K2124" s="227"/>
      <c r="L2124" s="9">
        <v>1</v>
      </c>
      <c r="M2124" s="3">
        <v>1712</v>
      </c>
      <c r="N2124" s="6">
        <v>2014</v>
      </c>
      <c r="O2124" s="10">
        <v>41813</v>
      </c>
      <c r="P2124" s="71" t="s">
        <v>6242</v>
      </c>
      <c r="Q2124" s="10">
        <v>41932</v>
      </c>
      <c r="R2124" s="6">
        <v>2010</v>
      </c>
      <c r="S2124" s="3" t="s">
        <v>236</v>
      </c>
      <c r="T2124" s="72"/>
      <c r="U2124" s="73"/>
      <c r="W2124" s="2" t="s">
        <v>62</v>
      </c>
      <c r="X2124" s="10" t="s">
        <v>56</v>
      </c>
      <c r="Y2124" s="10" t="s">
        <v>57</v>
      </c>
      <c r="Z2124" s="75"/>
      <c r="AA2124" s="228"/>
      <c r="AB2124" s="229"/>
      <c r="AC2124" s="229"/>
      <c r="AD2124" s="229"/>
      <c r="AE2124" s="93"/>
      <c r="AG2124" s="93"/>
      <c r="AH2124" s="93"/>
      <c r="AI2124" s="93"/>
      <c r="AJ2124" s="95">
        <v>41933</v>
      </c>
      <c r="AK2124" s="7">
        <v>2010</v>
      </c>
      <c r="AL2124" s="16"/>
      <c r="AO2124" s="172"/>
      <c r="AP2124" s="172"/>
      <c r="AQ2124" s="174"/>
      <c r="AR2124" s="175"/>
      <c r="AS2124" s="172"/>
      <c r="AT2124" s="172"/>
      <c r="AU2124" s="99"/>
      <c r="AV2124" s="157"/>
      <c r="AW2124" s="6">
        <f t="shared" ca="1" si="35"/>
        <v>11</v>
      </c>
    </row>
    <row r="2125" ht="45" customHeight="1" outlineLevel="1">
      <c r="A2125" s="169"/>
      <c r="B2125" s="3" t="s">
        <v>47</v>
      </c>
      <c r="C2125" s="4" t="s">
        <v>6243</v>
      </c>
      <c r="D2125" s="5" t="s">
        <v>6244</v>
      </c>
      <c r="E2125" s="2" t="s">
        <v>694</v>
      </c>
      <c r="F2125" s="6" t="s">
        <v>3727</v>
      </c>
      <c r="G2125" s="5" t="s">
        <v>3818</v>
      </c>
      <c r="H2125" s="2" t="s">
        <v>977</v>
      </c>
      <c r="I2125" s="3" t="s">
        <v>6245</v>
      </c>
      <c r="J2125" s="7">
        <v>1</v>
      </c>
      <c r="K2125" s="8" t="s">
        <v>53</v>
      </c>
      <c r="L2125" s="9">
        <v>1</v>
      </c>
      <c r="M2125" s="3">
        <v>1713</v>
      </c>
      <c r="N2125" s="6">
        <v>2014</v>
      </c>
      <c r="O2125" s="10">
        <v>39399</v>
      </c>
      <c r="P2125" s="71" t="s">
        <v>6246</v>
      </c>
      <c r="Q2125" s="10">
        <v>41826</v>
      </c>
      <c r="R2125" s="6">
        <v>2010</v>
      </c>
      <c r="S2125" s="3" t="s">
        <v>54</v>
      </c>
      <c r="T2125" s="72" t="s">
        <v>998</v>
      </c>
      <c r="U2125" s="73">
        <v>43426</v>
      </c>
      <c r="V2125" s="12">
        <v>43397</v>
      </c>
      <c r="W2125" s="74" t="s">
        <v>62</v>
      </c>
      <c r="X2125" s="10" t="s">
        <v>213</v>
      </c>
      <c r="Y2125" s="10" t="s">
        <v>980</v>
      </c>
      <c r="Z2125" s="75"/>
      <c r="AA2125" s="13" t="s">
        <v>208</v>
      </c>
      <c r="AB2125" s="229"/>
      <c r="AC2125" s="229"/>
      <c r="AD2125" s="229"/>
      <c r="AE2125" s="7">
        <v>2018</v>
      </c>
      <c r="AF2125" s="7">
        <v>91</v>
      </c>
      <c r="AG2125" s="7">
        <v>2024</v>
      </c>
      <c r="AH2125" s="7">
        <v>2020</v>
      </c>
      <c r="AI2125" s="93"/>
      <c r="AJ2125" s="173"/>
      <c r="AK2125" s="93"/>
      <c r="AL2125" s="16"/>
      <c r="AO2125" s="172"/>
      <c r="AP2125" s="172"/>
      <c r="AQ2125" s="174"/>
      <c r="AR2125" s="175"/>
      <c r="AS2125" s="172"/>
      <c r="AT2125" s="172"/>
      <c r="AU2125" s="99"/>
      <c r="AV2125" s="157"/>
      <c r="AW2125" s="6">
        <f t="shared" ca="1" si="35"/>
        <v>11</v>
      </c>
    </row>
    <row r="2126" ht="45" hidden="1" customHeight="1" outlineLevel="1">
      <c r="A2126" s="169"/>
      <c r="B2126" s="3" t="s">
        <v>47</v>
      </c>
      <c r="C2126" s="4" t="s">
        <v>6247</v>
      </c>
      <c r="D2126" s="5" t="s">
        <v>6248</v>
      </c>
      <c r="E2126" s="2" t="s">
        <v>83</v>
      </c>
      <c r="F2126" s="6" t="s">
        <v>84</v>
      </c>
      <c r="G2126" s="5" t="s">
        <v>6249</v>
      </c>
      <c r="H2126" s="2" t="s">
        <v>57</v>
      </c>
      <c r="I2126" s="3" t="s">
        <v>6250</v>
      </c>
      <c r="J2126" s="7">
        <v>1</v>
      </c>
      <c r="K2126" s="227"/>
      <c r="L2126" s="9">
        <v>1</v>
      </c>
      <c r="M2126" s="3">
        <v>1714</v>
      </c>
      <c r="N2126" s="6">
        <v>2014</v>
      </c>
      <c r="O2126" s="10">
        <v>41856</v>
      </c>
      <c r="P2126" s="71" t="s">
        <v>6251</v>
      </c>
      <c r="R2126" s="6">
        <v>2010</v>
      </c>
      <c r="S2126" s="3" t="s">
        <v>236</v>
      </c>
      <c r="T2126" s="72"/>
      <c r="U2126" s="73"/>
      <c r="W2126" s="2" t="s">
        <v>62</v>
      </c>
      <c r="X2126" s="10" t="s">
        <v>56</v>
      </c>
      <c r="Y2126" s="10" t="s">
        <v>57</v>
      </c>
      <c r="Z2126" s="75"/>
      <c r="AA2126" s="228"/>
      <c r="AB2126" s="229"/>
      <c r="AC2126" s="229"/>
      <c r="AD2126" s="229"/>
      <c r="AE2126" s="93"/>
      <c r="AG2126" s="93"/>
      <c r="AH2126" s="93"/>
      <c r="AI2126" s="93"/>
      <c r="AJ2126" s="95">
        <v>42039</v>
      </c>
      <c r="AK2126" s="7">
        <v>2010</v>
      </c>
      <c r="AL2126" s="16"/>
      <c r="AO2126" s="172"/>
      <c r="AP2126" s="172"/>
      <c r="AQ2126" s="174"/>
      <c r="AR2126" s="175"/>
      <c r="AS2126" s="172"/>
      <c r="AT2126" s="172"/>
      <c r="AU2126" s="99"/>
      <c r="AV2126" s="157"/>
      <c r="AW2126" s="6">
        <f t="shared" ca="1" si="35"/>
        <v>11</v>
      </c>
    </row>
    <row r="2127" ht="45" hidden="1" customHeight="1" outlineLevel="1">
      <c r="A2127" s="69">
        <v>42787</v>
      </c>
      <c r="B2127" s="3" t="s">
        <v>47</v>
      </c>
      <c r="C2127" s="4" t="s">
        <v>6252</v>
      </c>
      <c r="D2127" s="5" t="s">
        <v>6253</v>
      </c>
      <c r="E2127" s="2" t="s">
        <v>83</v>
      </c>
      <c r="F2127" s="6" t="s">
        <v>179</v>
      </c>
      <c r="G2127" s="5" t="s">
        <v>3816</v>
      </c>
      <c r="H2127" s="2" t="s">
        <v>68</v>
      </c>
      <c r="I2127" s="3" t="s">
        <v>6254</v>
      </c>
      <c r="J2127" s="7">
        <v>1</v>
      </c>
      <c r="L2127" s="9">
        <v>1</v>
      </c>
      <c r="M2127" s="3">
        <v>1715</v>
      </c>
      <c r="N2127" s="6">
        <v>2014</v>
      </c>
      <c r="O2127" s="10">
        <v>41912</v>
      </c>
      <c r="P2127" s="71" t="s">
        <v>6255</v>
      </c>
      <c r="Q2127" s="10">
        <v>41935</v>
      </c>
      <c r="R2127" s="6">
        <v>2010</v>
      </c>
      <c r="S2127" s="3" t="s">
        <v>236</v>
      </c>
      <c r="T2127" s="72" t="s">
        <v>1136</v>
      </c>
      <c r="W2127" s="2" t="s">
        <v>62</v>
      </c>
      <c r="X2127" s="10" t="s">
        <v>56</v>
      </c>
      <c r="Y2127" s="10" t="s">
        <v>68</v>
      </c>
      <c r="Z2127" s="75"/>
      <c r="AJ2127" s="10">
        <v>44018</v>
      </c>
      <c r="AK2127" s="6">
        <v>2020</v>
      </c>
      <c r="AL2127" s="16"/>
      <c r="AW2127" s="6">
        <f t="shared" ca="1" si="35"/>
        <v>11</v>
      </c>
    </row>
    <row r="2128" ht="45" hidden="1" customHeight="1" outlineLevel="1">
      <c r="A2128" s="69">
        <v>41943</v>
      </c>
      <c r="B2128" s="3" t="s">
        <v>190</v>
      </c>
      <c r="C2128" s="4" t="s">
        <v>6256</v>
      </c>
      <c r="D2128" s="5" t="s">
        <v>6257</v>
      </c>
      <c r="E2128" s="2" t="s">
        <v>83</v>
      </c>
      <c r="F2128" s="6" t="s">
        <v>84</v>
      </c>
      <c r="G2128" s="5" t="s">
        <v>6258</v>
      </c>
      <c r="H2128" s="2" t="s">
        <v>3735</v>
      </c>
      <c r="I2128" s="3" t="s">
        <v>6259</v>
      </c>
      <c r="J2128" s="7">
        <v>1</v>
      </c>
      <c r="K2128" s="227"/>
      <c r="L2128" s="9">
        <v>1</v>
      </c>
      <c r="M2128" s="3">
        <v>1716</v>
      </c>
      <c r="N2128" s="6">
        <v>2014</v>
      </c>
      <c r="O2128" s="10">
        <v>40036</v>
      </c>
      <c r="P2128" s="71" t="s">
        <v>6260</v>
      </c>
      <c r="Q2128" s="10">
        <v>41939</v>
      </c>
      <c r="R2128" s="6">
        <v>2010</v>
      </c>
      <c r="S2128" s="3" t="s">
        <v>283</v>
      </c>
      <c r="T2128" s="72"/>
      <c r="U2128" s="73"/>
      <c r="W2128" s="74" t="s">
        <v>62</v>
      </c>
      <c r="X2128" s="10" t="s">
        <v>56</v>
      </c>
      <c r="Y2128" s="10" t="s">
        <v>68</v>
      </c>
      <c r="Z2128" s="75" t="s">
        <v>58</v>
      </c>
      <c r="AA2128" s="228"/>
      <c r="AB2128" s="229"/>
      <c r="AC2128" s="229"/>
      <c r="AD2128" s="229"/>
      <c r="AE2128" s="93"/>
      <c r="AG2128" s="93"/>
      <c r="AH2128" s="93"/>
      <c r="AI2128" s="93"/>
      <c r="AJ2128" s="173"/>
      <c r="AK2128" s="93"/>
      <c r="AL2128" s="16"/>
      <c r="AO2128" s="172"/>
      <c r="AP2128" s="172"/>
      <c r="AQ2128" s="174"/>
      <c r="AR2128" s="175"/>
      <c r="AS2128" s="172"/>
      <c r="AT2128" s="172"/>
      <c r="AU2128" s="99"/>
      <c r="AV2128" s="157"/>
      <c r="AW2128" s="6">
        <f t="shared" ca="1" si="35"/>
        <v>11</v>
      </c>
    </row>
    <row r="2129" ht="45" hidden="1" customHeight="1" outlineLevel="1">
      <c r="A2129" s="169"/>
      <c r="B2129" s="3" t="s">
        <v>47</v>
      </c>
      <c r="C2129" s="4" t="s">
        <v>6261</v>
      </c>
      <c r="D2129" s="5" t="s">
        <v>6262</v>
      </c>
      <c r="E2129" s="2" t="s">
        <v>63</v>
      </c>
      <c r="F2129" s="6" t="s">
        <v>1230</v>
      </c>
      <c r="G2129" s="5" t="s">
        <v>6263</v>
      </c>
      <c r="H2129" s="2" t="s">
        <v>57</v>
      </c>
      <c r="I2129" s="3" t="s">
        <v>6264</v>
      </c>
      <c r="J2129" s="7">
        <v>1</v>
      </c>
      <c r="K2129" s="227"/>
      <c r="L2129" s="9">
        <v>1</v>
      </c>
      <c r="M2129" s="3">
        <v>1717</v>
      </c>
      <c r="N2129" s="6">
        <v>2014</v>
      </c>
      <c r="O2129" s="10">
        <v>41557</v>
      </c>
      <c r="P2129" s="71" t="s">
        <v>6265</v>
      </c>
      <c r="Q2129" s="10">
        <v>41943</v>
      </c>
      <c r="R2129" s="6">
        <v>2010</v>
      </c>
      <c r="S2129" s="3" t="s">
        <v>236</v>
      </c>
      <c r="T2129" s="72"/>
      <c r="W2129" s="2" t="s">
        <v>62</v>
      </c>
      <c r="X2129" s="10" t="s">
        <v>56</v>
      </c>
      <c r="Y2129" s="10" t="s">
        <v>57</v>
      </c>
      <c r="Z2129" s="75"/>
      <c r="AA2129" s="228"/>
      <c r="AB2129" s="229"/>
      <c r="AC2129" s="229"/>
      <c r="AD2129" s="229"/>
      <c r="AE2129" s="93"/>
      <c r="AG2129" s="93"/>
      <c r="AH2129" s="93"/>
      <c r="AI2129" s="93"/>
      <c r="AJ2129" s="92">
        <v>43839</v>
      </c>
      <c r="AK2129" s="93">
        <v>2020</v>
      </c>
      <c r="AL2129" s="16"/>
      <c r="AO2129" s="172"/>
      <c r="AP2129" s="172"/>
      <c r="AQ2129" s="174"/>
      <c r="AR2129" s="175"/>
      <c r="AS2129" s="172"/>
      <c r="AT2129" s="172"/>
      <c r="AU2129" s="99"/>
      <c r="AV2129" s="157"/>
      <c r="AW2129" s="6">
        <f t="shared" ca="1" si="35"/>
        <v>11</v>
      </c>
    </row>
    <row r="2130" ht="45" hidden="1" customHeight="1" outlineLevel="1">
      <c r="A2130" s="169"/>
      <c r="B2130" s="3" t="s">
        <v>190</v>
      </c>
      <c r="C2130" s="4" t="s">
        <v>6266</v>
      </c>
      <c r="D2130" s="5" t="s">
        <v>6267</v>
      </c>
      <c r="E2130" s="2" t="s">
        <v>83</v>
      </c>
      <c r="F2130" s="6" t="s">
        <v>179</v>
      </c>
      <c r="G2130" s="5" t="s">
        <v>1396</v>
      </c>
      <c r="H2130" s="2" t="s">
        <v>68</v>
      </c>
      <c r="I2130" s="3" t="s">
        <v>6268</v>
      </c>
      <c r="J2130" s="7">
        <v>1</v>
      </c>
      <c r="K2130" s="227"/>
      <c r="L2130" s="9">
        <v>1</v>
      </c>
      <c r="M2130" s="3">
        <v>1718</v>
      </c>
      <c r="N2130" s="6">
        <v>2014</v>
      </c>
      <c r="O2130" s="10">
        <v>40108</v>
      </c>
      <c r="P2130" s="71" t="s">
        <v>6269</v>
      </c>
      <c r="Q2130" s="10">
        <v>41943</v>
      </c>
      <c r="R2130" s="6">
        <v>2010</v>
      </c>
      <c r="S2130" s="3" t="s">
        <v>283</v>
      </c>
      <c r="T2130" s="72"/>
      <c r="U2130" s="73"/>
      <c r="W2130" s="74" t="s">
        <v>62</v>
      </c>
      <c r="X2130" s="10" t="s">
        <v>56</v>
      </c>
      <c r="Y2130" s="10" t="s">
        <v>68</v>
      </c>
      <c r="Z2130" s="75"/>
      <c r="AA2130" s="228"/>
      <c r="AB2130" s="229"/>
      <c r="AC2130" s="229"/>
      <c r="AD2130" s="229"/>
      <c r="AE2130" s="93"/>
      <c r="AG2130" s="93"/>
      <c r="AH2130" s="93"/>
      <c r="AI2130" s="93"/>
      <c r="AJ2130" s="173"/>
      <c r="AK2130" s="93"/>
      <c r="AL2130" s="16"/>
      <c r="AO2130" s="172"/>
      <c r="AP2130" s="172"/>
      <c r="AQ2130" s="174"/>
      <c r="AR2130" s="175"/>
      <c r="AS2130" s="172"/>
      <c r="AT2130" s="172"/>
      <c r="AU2130" s="99"/>
      <c r="AV2130" s="157"/>
      <c r="AW2130" s="6">
        <f t="shared" ca="1" si="35"/>
        <v>11</v>
      </c>
    </row>
    <row r="2131" ht="45" hidden="1" customHeight="1" outlineLevel="1">
      <c r="A2131" s="169"/>
      <c r="B2131" s="3" t="s">
        <v>47</v>
      </c>
      <c r="C2131" s="4" t="s">
        <v>6270</v>
      </c>
      <c r="D2131" s="5" t="s">
        <v>6271</v>
      </c>
      <c r="E2131" s="2" t="s">
        <v>83</v>
      </c>
      <c r="F2131" s="6" t="s">
        <v>704</v>
      </c>
      <c r="G2131" s="5" t="s">
        <v>705</v>
      </c>
      <c r="H2131" s="2" t="s">
        <v>508</v>
      </c>
      <c r="I2131" s="3" t="s">
        <v>6272</v>
      </c>
      <c r="J2131" s="7">
        <v>1</v>
      </c>
      <c r="K2131" s="227"/>
      <c r="L2131" s="9">
        <v>1</v>
      </c>
      <c r="M2131" s="3">
        <v>1719</v>
      </c>
      <c r="N2131" s="6">
        <v>2014</v>
      </c>
      <c r="O2131" s="10" t="s">
        <v>6273</v>
      </c>
      <c r="P2131" s="71" t="s">
        <v>6274</v>
      </c>
      <c r="R2131" s="6">
        <v>2010</v>
      </c>
      <c r="S2131" s="3" t="s">
        <v>236</v>
      </c>
      <c r="T2131" s="72"/>
      <c r="U2131" s="73"/>
      <c r="W2131" s="2" t="s">
        <v>62</v>
      </c>
      <c r="X2131" s="10" t="s">
        <v>504</v>
      </c>
      <c r="Y2131" s="10" t="s">
        <v>511</v>
      </c>
      <c r="Z2131" s="75"/>
      <c r="AA2131" s="228"/>
      <c r="AB2131" s="229"/>
      <c r="AC2131" s="229"/>
      <c r="AD2131" s="229"/>
      <c r="AE2131" s="93"/>
      <c r="AG2131" s="93"/>
      <c r="AH2131" s="93"/>
      <c r="AI2131" s="93"/>
      <c r="AJ2131" s="95">
        <v>41943</v>
      </c>
      <c r="AK2131" s="7">
        <v>2010</v>
      </c>
      <c r="AL2131" s="16"/>
      <c r="AO2131" s="172"/>
      <c r="AP2131" s="172"/>
      <c r="AQ2131" s="174"/>
      <c r="AR2131" s="175"/>
      <c r="AS2131" s="172"/>
      <c r="AT2131" s="172"/>
      <c r="AU2131" s="99"/>
      <c r="AV2131" s="157"/>
      <c r="AW2131" s="6">
        <f t="shared" ca="1" si="35"/>
        <v>11</v>
      </c>
    </row>
    <row r="2132" s="86" customFormat="1" ht="45" hidden="1" customHeight="1" outlineLevel="1">
      <c r="A2132" s="169"/>
      <c r="B2132" s="3" t="s">
        <v>47</v>
      </c>
      <c r="C2132" s="4" t="s">
        <v>6275</v>
      </c>
      <c r="D2132" s="5" t="s">
        <v>6276</v>
      </c>
      <c r="E2132" s="2" t="s">
        <v>83</v>
      </c>
      <c r="F2132" s="6" t="s">
        <v>931</v>
      </c>
      <c r="G2132" s="5" t="s">
        <v>1046</v>
      </c>
      <c r="H2132" s="2" t="s">
        <v>508</v>
      </c>
      <c r="I2132" s="3" t="s">
        <v>6277</v>
      </c>
      <c r="J2132" s="7">
        <v>1</v>
      </c>
      <c r="K2132" s="227"/>
      <c r="L2132" s="9">
        <v>1</v>
      </c>
      <c r="M2132" s="3">
        <v>1720</v>
      </c>
      <c r="N2132" s="6">
        <v>2014</v>
      </c>
      <c r="O2132" s="10">
        <v>40973</v>
      </c>
      <c r="P2132" s="71" t="s">
        <v>6278</v>
      </c>
      <c r="Q2132" s="10"/>
      <c r="R2132" s="6">
        <v>2010</v>
      </c>
      <c r="S2132" s="3" t="s">
        <v>236</v>
      </c>
      <c r="T2132" s="72"/>
      <c r="U2132" s="73"/>
      <c r="V2132" s="12"/>
      <c r="W2132" s="2" t="s">
        <v>62</v>
      </c>
      <c r="X2132" s="10" t="s">
        <v>504</v>
      </c>
      <c r="Y2132" s="10" t="s">
        <v>511</v>
      </c>
      <c r="Z2132" s="75"/>
      <c r="AA2132" s="228"/>
      <c r="AB2132" s="229"/>
      <c r="AC2132" s="229"/>
      <c r="AD2132" s="229"/>
      <c r="AE2132" s="93"/>
      <c r="AF2132" s="7"/>
      <c r="AG2132" s="93"/>
      <c r="AH2132" s="93"/>
      <c r="AI2132" s="93"/>
      <c r="AJ2132" s="10">
        <v>42327</v>
      </c>
      <c r="AK2132" s="7">
        <v>2010</v>
      </c>
      <c r="AL2132" s="16"/>
      <c r="AM2132" s="2"/>
      <c r="AN2132" s="6"/>
      <c r="AO2132" s="172"/>
      <c r="AP2132" s="172"/>
      <c r="AQ2132" s="174"/>
      <c r="AR2132" s="175"/>
      <c r="AS2132" s="172"/>
      <c r="AT2132" s="172"/>
      <c r="AU2132" s="99"/>
      <c r="AV2132" s="157"/>
      <c r="AW2132" s="6">
        <f t="shared" ca="1" si="35"/>
        <v>11</v>
      </c>
    </row>
    <row r="2133" ht="45" hidden="1" customHeight="1" outlineLevel="1">
      <c r="A2133" s="169"/>
      <c r="B2133" s="3" t="s">
        <v>190</v>
      </c>
      <c r="C2133" s="4" t="s">
        <v>6279</v>
      </c>
      <c r="D2133" s="5" t="s">
        <v>6280</v>
      </c>
      <c r="E2133" s="2" t="s">
        <v>63</v>
      </c>
      <c r="F2133" s="6" t="s">
        <v>172</v>
      </c>
      <c r="G2133" s="5" t="s">
        <v>6281</v>
      </c>
      <c r="H2133" s="2" t="s">
        <v>51</v>
      </c>
      <c r="I2133" s="3" t="s">
        <v>6282</v>
      </c>
      <c r="J2133" s="7">
        <v>1</v>
      </c>
      <c r="K2133" s="227"/>
      <c r="L2133" s="9">
        <v>1</v>
      </c>
      <c r="M2133" s="3">
        <v>1721</v>
      </c>
      <c r="N2133" s="6">
        <v>2014</v>
      </c>
      <c r="P2133" s="71"/>
      <c r="R2133" s="6">
        <v>2010</v>
      </c>
      <c r="S2133" s="3" t="s">
        <v>283</v>
      </c>
      <c r="T2133" s="72"/>
      <c r="U2133" s="73"/>
      <c r="W2133" s="74" t="s">
        <v>62</v>
      </c>
      <c r="X2133" s="10" t="s">
        <v>56</v>
      </c>
      <c r="Y2133" s="10" t="s">
        <v>57</v>
      </c>
      <c r="Z2133" s="75"/>
      <c r="AA2133" s="228"/>
      <c r="AB2133" s="229"/>
      <c r="AC2133" s="229"/>
      <c r="AD2133" s="229"/>
      <c r="AE2133" s="93"/>
      <c r="AG2133" s="93"/>
      <c r="AH2133" s="93"/>
      <c r="AI2133" s="93"/>
      <c r="AJ2133" s="173"/>
      <c r="AK2133" s="93"/>
      <c r="AL2133" s="16"/>
      <c r="AO2133" s="172"/>
      <c r="AP2133" s="172"/>
      <c r="AQ2133" s="174"/>
      <c r="AR2133" s="175"/>
      <c r="AS2133" s="172"/>
      <c r="AT2133" s="172"/>
      <c r="AU2133" s="99"/>
      <c r="AV2133" s="157"/>
      <c r="AW2133" s="6">
        <f t="shared" ca="1" si="35"/>
        <v>11</v>
      </c>
    </row>
    <row r="2134" ht="45" hidden="1" customHeight="1" outlineLevel="1">
      <c r="A2134" s="169"/>
      <c r="B2134" s="3" t="s">
        <v>190</v>
      </c>
      <c r="C2134" s="4" t="s">
        <v>6279</v>
      </c>
      <c r="D2134" s="5" t="s">
        <v>6283</v>
      </c>
      <c r="E2134" s="2" t="s">
        <v>63</v>
      </c>
      <c r="F2134" s="6" t="s">
        <v>172</v>
      </c>
      <c r="G2134" s="5" t="s">
        <v>6281</v>
      </c>
      <c r="H2134" s="2" t="s">
        <v>508</v>
      </c>
      <c r="I2134" s="3" t="s">
        <v>6284</v>
      </c>
      <c r="J2134" s="7">
        <v>1</v>
      </c>
      <c r="K2134" s="227"/>
      <c r="L2134" s="9">
        <v>1</v>
      </c>
      <c r="M2134" s="3">
        <v>1722</v>
      </c>
      <c r="N2134" s="6">
        <v>2014</v>
      </c>
      <c r="P2134" s="71"/>
      <c r="R2134" s="6">
        <v>2010</v>
      </c>
      <c r="S2134" s="3" t="s">
        <v>283</v>
      </c>
      <c r="T2134" s="72"/>
      <c r="U2134" s="73"/>
      <c r="W2134" s="74" t="s">
        <v>62</v>
      </c>
      <c r="X2134" s="10" t="s">
        <v>504</v>
      </c>
      <c r="Y2134" s="10" t="s">
        <v>511</v>
      </c>
      <c r="Z2134" s="75"/>
      <c r="AA2134" s="228"/>
      <c r="AB2134" s="229"/>
      <c r="AC2134" s="229"/>
      <c r="AD2134" s="229"/>
      <c r="AE2134" s="93"/>
      <c r="AG2134" s="93"/>
      <c r="AH2134" s="93"/>
      <c r="AI2134" s="93"/>
      <c r="AJ2134" s="173"/>
      <c r="AK2134" s="93"/>
      <c r="AL2134" s="16"/>
      <c r="AO2134" s="172"/>
      <c r="AP2134" s="172"/>
      <c r="AQ2134" s="174"/>
      <c r="AR2134" s="175"/>
      <c r="AS2134" s="172"/>
      <c r="AT2134" s="172"/>
      <c r="AU2134" s="99"/>
      <c r="AV2134" s="157"/>
      <c r="AW2134" s="6">
        <f t="shared" ca="1" si="35"/>
        <v>11</v>
      </c>
    </row>
    <row r="2135" ht="45" hidden="1" customHeight="1" outlineLevel="1">
      <c r="A2135" s="169"/>
      <c r="B2135" s="3" t="s">
        <v>47</v>
      </c>
      <c r="C2135" s="4" t="s">
        <v>6285</v>
      </c>
      <c r="D2135" s="5" t="s">
        <v>6286</v>
      </c>
      <c r="E2135" s="2" t="s">
        <v>48</v>
      </c>
      <c r="F2135" s="6" t="s">
        <v>564</v>
      </c>
      <c r="G2135" s="5" t="s">
        <v>565</v>
      </c>
      <c r="H2135" s="2" t="s">
        <v>491</v>
      </c>
      <c r="I2135" s="3" t="s">
        <v>6287</v>
      </c>
      <c r="J2135" s="7">
        <v>1</v>
      </c>
      <c r="K2135" s="227"/>
      <c r="L2135" s="9">
        <v>1</v>
      </c>
      <c r="M2135" s="3">
        <v>1723</v>
      </c>
      <c r="N2135" s="6">
        <v>2014</v>
      </c>
      <c r="O2135" s="10">
        <v>37482</v>
      </c>
      <c r="P2135" s="71" t="s">
        <v>6288</v>
      </c>
      <c r="Q2135" s="10">
        <v>41953</v>
      </c>
      <c r="R2135" s="6">
        <v>2010</v>
      </c>
      <c r="S2135" s="3" t="s">
        <v>236</v>
      </c>
      <c r="T2135" s="72"/>
      <c r="U2135" s="173">
        <v>42002</v>
      </c>
      <c r="V2135" s="196"/>
      <c r="W2135" s="2" t="s">
        <v>62</v>
      </c>
      <c r="X2135" s="10" t="s">
        <v>56</v>
      </c>
      <c r="Y2135" s="10" t="s">
        <v>523</v>
      </c>
      <c r="Z2135" s="75"/>
      <c r="AA2135" s="228"/>
      <c r="AB2135" s="229"/>
      <c r="AC2135" s="229"/>
      <c r="AD2135" s="229"/>
      <c r="AE2135" s="93"/>
      <c r="AG2135" s="93"/>
      <c r="AH2135" s="93"/>
      <c r="AI2135" s="93"/>
      <c r="AJ2135" s="95">
        <v>42002</v>
      </c>
      <c r="AK2135" s="7">
        <v>2010</v>
      </c>
      <c r="AL2135" s="16"/>
      <c r="AO2135" s="172"/>
      <c r="AP2135" s="172"/>
      <c r="AQ2135" s="174"/>
      <c r="AR2135" s="175"/>
      <c r="AS2135" s="172"/>
      <c r="AT2135" s="172"/>
      <c r="AU2135" s="99"/>
      <c r="AV2135" s="157"/>
      <c r="AW2135" s="6">
        <f t="shared" ca="1" si="35"/>
        <v>11</v>
      </c>
    </row>
    <row r="2136" ht="45" hidden="1" customHeight="1" outlineLevel="1">
      <c r="A2136" s="169"/>
      <c r="B2136" s="3" t="s">
        <v>47</v>
      </c>
      <c r="C2136" s="4" t="s">
        <v>6289</v>
      </c>
      <c r="D2136" s="5" t="s">
        <v>6290</v>
      </c>
      <c r="E2136" s="2" t="s">
        <v>1074</v>
      </c>
      <c r="F2136" s="6" t="s">
        <v>1075</v>
      </c>
      <c r="G2136" s="5" t="s">
        <v>6291</v>
      </c>
      <c r="H2136" s="2" t="s">
        <v>491</v>
      </c>
      <c r="I2136" s="3" t="s">
        <v>6292</v>
      </c>
      <c r="J2136" s="7">
        <v>1</v>
      </c>
      <c r="K2136" s="227"/>
      <c r="L2136" s="9">
        <v>1</v>
      </c>
      <c r="M2136" s="3">
        <v>1724</v>
      </c>
      <c r="N2136" s="6">
        <v>2014</v>
      </c>
      <c r="O2136" s="10" t="s">
        <v>6293</v>
      </c>
      <c r="P2136" s="71" t="s">
        <v>6294</v>
      </c>
      <c r="R2136" s="6">
        <v>2010</v>
      </c>
      <c r="S2136" s="3" t="s">
        <v>236</v>
      </c>
      <c r="T2136" s="72"/>
      <c r="U2136" s="73"/>
      <c r="W2136" s="2" t="s">
        <v>62</v>
      </c>
      <c r="X2136" s="10" t="s">
        <v>56</v>
      </c>
      <c r="Y2136" s="10" t="s">
        <v>523</v>
      </c>
      <c r="Z2136" s="75"/>
      <c r="AA2136" s="228"/>
      <c r="AB2136" s="229"/>
      <c r="AC2136" s="229"/>
      <c r="AD2136" s="229"/>
      <c r="AE2136" s="93"/>
      <c r="AG2136" s="93"/>
      <c r="AH2136" s="93"/>
      <c r="AI2136" s="93"/>
      <c r="AJ2136" s="95">
        <v>41957</v>
      </c>
      <c r="AK2136" s="7">
        <v>2010</v>
      </c>
      <c r="AL2136" s="16"/>
      <c r="AO2136" s="172"/>
      <c r="AP2136" s="172"/>
      <c r="AQ2136" s="174"/>
      <c r="AR2136" s="175"/>
      <c r="AS2136" s="172"/>
      <c r="AT2136" s="172"/>
      <c r="AU2136" s="99"/>
      <c r="AV2136" s="157"/>
      <c r="AW2136" s="6">
        <f t="shared" ca="1" si="35"/>
        <v>11</v>
      </c>
    </row>
    <row r="2137" ht="45" hidden="1" customHeight="1" outlineLevel="1">
      <c r="A2137" s="169"/>
      <c r="B2137" s="3" t="s">
        <v>47</v>
      </c>
      <c r="C2137" s="4" t="s">
        <v>6289</v>
      </c>
      <c r="D2137" s="5" t="s">
        <v>6295</v>
      </c>
      <c r="E2137" s="2" t="s">
        <v>694</v>
      </c>
      <c r="G2137" s="5" t="s">
        <v>3818</v>
      </c>
      <c r="H2137" s="2" t="s">
        <v>508</v>
      </c>
      <c r="I2137" s="3" t="s">
        <v>6296</v>
      </c>
      <c r="J2137" s="7">
        <v>1</v>
      </c>
      <c r="K2137" s="227"/>
      <c r="L2137" s="9">
        <v>1</v>
      </c>
      <c r="M2137" s="3">
        <v>1725</v>
      </c>
      <c r="N2137" s="6">
        <v>2014</v>
      </c>
      <c r="P2137" s="71"/>
      <c r="R2137" s="6">
        <v>2010</v>
      </c>
      <c r="S2137" s="3" t="s">
        <v>236</v>
      </c>
      <c r="T2137" s="72"/>
      <c r="U2137" s="73"/>
      <c r="W2137" s="2" t="s">
        <v>62</v>
      </c>
      <c r="X2137" s="10" t="s">
        <v>504</v>
      </c>
      <c r="Y2137" s="10" t="s">
        <v>511</v>
      </c>
      <c r="Z2137" s="75"/>
      <c r="AA2137" s="228"/>
      <c r="AB2137" s="229"/>
      <c r="AC2137" s="229"/>
      <c r="AD2137" s="229"/>
      <c r="AE2137" s="93"/>
      <c r="AG2137" s="93"/>
      <c r="AH2137" s="93"/>
      <c r="AI2137" s="93"/>
      <c r="AJ2137" s="95">
        <v>41957</v>
      </c>
      <c r="AK2137" s="7">
        <v>2010</v>
      </c>
      <c r="AL2137" s="16"/>
      <c r="AO2137" s="172"/>
      <c r="AP2137" s="172"/>
      <c r="AQ2137" s="174"/>
      <c r="AR2137" s="175"/>
      <c r="AS2137" s="172"/>
      <c r="AT2137" s="172"/>
      <c r="AU2137" s="99"/>
      <c r="AV2137" s="157"/>
      <c r="AW2137" s="6">
        <f t="shared" ca="1" si="35"/>
        <v>11</v>
      </c>
    </row>
    <row r="2138" ht="45" customHeight="1" outlineLevel="1">
      <c r="A2138" s="169"/>
      <c r="B2138" s="3" t="s">
        <v>47</v>
      </c>
      <c r="D2138" s="5" t="s">
        <v>6297</v>
      </c>
      <c r="E2138" s="2" t="s">
        <v>83</v>
      </c>
      <c r="F2138" s="6" t="s">
        <v>704</v>
      </c>
      <c r="G2138" s="5" t="s">
        <v>705</v>
      </c>
      <c r="H2138" s="2" t="s">
        <v>68</v>
      </c>
      <c r="I2138" s="3" t="s">
        <v>6298</v>
      </c>
      <c r="J2138" s="7">
        <v>1</v>
      </c>
      <c r="K2138" s="8" t="s">
        <v>53</v>
      </c>
      <c r="L2138" s="9">
        <v>1</v>
      </c>
      <c r="M2138" s="3">
        <v>1726</v>
      </c>
      <c r="N2138" s="6">
        <v>2014</v>
      </c>
      <c r="P2138" s="71"/>
      <c r="Q2138" s="10">
        <v>41970</v>
      </c>
      <c r="R2138" s="6">
        <v>2010</v>
      </c>
      <c r="S2138" s="3" t="s">
        <v>54</v>
      </c>
      <c r="T2138" s="72"/>
      <c r="U2138" s="73"/>
      <c r="W2138" s="2" t="s">
        <v>6299</v>
      </c>
      <c r="X2138" s="10" t="s">
        <v>56</v>
      </c>
      <c r="Y2138" s="10" t="s">
        <v>68</v>
      </c>
      <c r="Z2138" s="75" t="s">
        <v>4498</v>
      </c>
      <c r="AC2138" s="14">
        <v>42340</v>
      </c>
      <c r="AE2138" s="7">
        <v>2015</v>
      </c>
      <c r="AF2138" s="7">
        <v>78</v>
      </c>
      <c r="AG2138" s="7">
        <v>2015</v>
      </c>
      <c r="AI2138" s="93"/>
      <c r="AJ2138" s="173"/>
      <c r="AK2138" s="93"/>
      <c r="AL2138" s="16" t="s">
        <v>6300</v>
      </c>
      <c r="AN2138" s="6" t="s">
        <v>73</v>
      </c>
      <c r="AO2138" s="172"/>
      <c r="AP2138" s="172" t="s">
        <v>73</v>
      </c>
      <c r="AQ2138" s="174" t="s">
        <v>73</v>
      </c>
      <c r="AR2138" s="175"/>
      <c r="AS2138" s="172"/>
      <c r="AT2138" s="172"/>
      <c r="AU2138" s="99"/>
      <c r="AV2138" s="157"/>
      <c r="AW2138" s="6">
        <f t="shared" ca="1" si="35"/>
        <v>11</v>
      </c>
    </row>
    <row r="2139" ht="45" hidden="1" customHeight="1" outlineLevel="1">
      <c r="A2139" s="169"/>
      <c r="B2139" s="3" t="s">
        <v>47</v>
      </c>
      <c r="C2139" s="4" t="s">
        <v>6301</v>
      </c>
      <c r="D2139" s="5" t="s">
        <v>6302</v>
      </c>
      <c r="E2139" s="2" t="s">
        <v>63</v>
      </c>
      <c r="F2139" s="6" t="s">
        <v>428</v>
      </c>
      <c r="G2139" s="5" t="s">
        <v>429</v>
      </c>
      <c r="H2139" s="2" t="s">
        <v>501</v>
      </c>
      <c r="I2139" s="3" t="s">
        <v>6303</v>
      </c>
      <c r="J2139" s="7">
        <v>1</v>
      </c>
      <c r="K2139" s="227"/>
      <c r="L2139" s="9">
        <v>1</v>
      </c>
      <c r="M2139" s="3">
        <v>1727</v>
      </c>
      <c r="N2139" s="6">
        <v>2014</v>
      </c>
      <c r="P2139" s="71"/>
      <c r="Q2139" s="10">
        <v>41977</v>
      </c>
      <c r="R2139" s="6">
        <v>2010</v>
      </c>
      <c r="S2139" s="3" t="s">
        <v>236</v>
      </c>
      <c r="T2139" s="72"/>
      <c r="U2139" s="73">
        <v>42277</v>
      </c>
      <c r="W2139" s="2" t="s">
        <v>62</v>
      </c>
      <c r="X2139" s="10" t="s">
        <v>504</v>
      </c>
      <c r="Y2139" s="10" t="s">
        <v>501</v>
      </c>
      <c r="Z2139" s="75"/>
      <c r="AA2139" s="228"/>
      <c r="AB2139" s="229"/>
      <c r="AC2139" s="229"/>
      <c r="AD2139" s="229"/>
      <c r="AE2139" s="93"/>
      <c r="AG2139" s="93"/>
      <c r="AH2139" s="93"/>
      <c r="AI2139" s="93"/>
      <c r="AJ2139" s="10">
        <v>42277</v>
      </c>
      <c r="AK2139" s="7">
        <v>2010</v>
      </c>
      <c r="AL2139" s="16"/>
      <c r="AO2139" s="172"/>
      <c r="AP2139" s="172"/>
      <c r="AQ2139" s="174"/>
      <c r="AR2139" s="175"/>
      <c r="AS2139" s="172"/>
      <c r="AT2139" s="172"/>
      <c r="AU2139" s="99"/>
      <c r="AV2139" s="157"/>
      <c r="AW2139" s="6">
        <f t="shared" ca="1" si="35"/>
        <v>11</v>
      </c>
    </row>
    <row r="2140" ht="45" hidden="1" customHeight="1" outlineLevel="1">
      <c r="A2140" s="69"/>
      <c r="B2140" s="3" t="s">
        <v>190</v>
      </c>
      <c r="C2140" s="4" t="s">
        <v>6304</v>
      </c>
      <c r="D2140" s="5" t="s">
        <v>6305</v>
      </c>
      <c r="E2140" s="2" t="s">
        <v>83</v>
      </c>
      <c r="F2140" s="6" t="s">
        <v>84</v>
      </c>
      <c r="G2140" s="5" t="s">
        <v>85</v>
      </c>
      <c r="H2140" s="2" t="s">
        <v>51</v>
      </c>
      <c r="I2140" s="3" t="s">
        <v>6306</v>
      </c>
      <c r="J2140" s="7">
        <v>1</v>
      </c>
      <c r="L2140" s="9">
        <v>1</v>
      </c>
      <c r="M2140" s="3">
        <v>1728</v>
      </c>
      <c r="N2140" s="6">
        <v>2014</v>
      </c>
      <c r="O2140" s="10" t="s">
        <v>6307</v>
      </c>
      <c r="P2140" s="71" t="s">
        <v>6308</v>
      </c>
      <c r="Q2140" s="10">
        <v>41988</v>
      </c>
      <c r="R2140" s="6">
        <v>2010</v>
      </c>
      <c r="S2140" s="3" t="s">
        <v>283</v>
      </c>
      <c r="T2140" s="72" t="s">
        <v>998</v>
      </c>
      <c r="U2140" s="73"/>
      <c r="W2140" s="74" t="s">
        <v>62</v>
      </c>
      <c r="X2140" s="10" t="s">
        <v>91</v>
      </c>
      <c r="Y2140" s="10" t="s">
        <v>92</v>
      </c>
      <c r="Z2140" s="75"/>
      <c r="AJ2140" s="73"/>
      <c r="AL2140" s="16"/>
      <c r="AW2140" s="6">
        <f t="shared" ca="1" si="35"/>
        <v>11</v>
      </c>
    </row>
    <row r="2141" ht="45" hidden="1" customHeight="1" outlineLevel="1">
      <c r="A2141" s="69"/>
      <c r="B2141" s="3" t="s">
        <v>47</v>
      </c>
      <c r="C2141" s="4" t="s">
        <v>6309</v>
      </c>
      <c r="D2141" s="5" t="s">
        <v>6310</v>
      </c>
      <c r="E2141" s="2" t="s">
        <v>83</v>
      </c>
      <c r="F2141" s="6" t="s">
        <v>84</v>
      </c>
      <c r="G2141" s="5" t="s">
        <v>85</v>
      </c>
      <c r="H2141" s="2" t="s">
        <v>57</v>
      </c>
      <c r="I2141" s="3" t="s">
        <v>6311</v>
      </c>
      <c r="J2141" s="7">
        <v>1</v>
      </c>
      <c r="L2141" s="9">
        <v>1</v>
      </c>
      <c r="M2141" s="3">
        <v>1729</v>
      </c>
      <c r="N2141" s="6">
        <v>2015</v>
      </c>
      <c r="P2141" s="71"/>
      <c r="Q2141" s="10">
        <v>42026</v>
      </c>
      <c r="R2141" s="6">
        <v>2010</v>
      </c>
      <c r="S2141" s="3" t="s">
        <v>236</v>
      </c>
      <c r="T2141" s="72"/>
      <c r="U2141" s="73"/>
      <c r="W2141" s="2" t="s">
        <v>62</v>
      </c>
      <c r="X2141" s="10" t="s">
        <v>56</v>
      </c>
      <c r="Y2141" s="10" t="s">
        <v>57</v>
      </c>
      <c r="Z2141" s="75"/>
      <c r="AJ2141" s="95">
        <v>42086</v>
      </c>
      <c r="AK2141" s="6">
        <v>2010</v>
      </c>
      <c r="AL2141" s="16"/>
      <c r="AW2141" s="6">
        <f t="shared" ca="1" si="35"/>
        <v>10</v>
      </c>
    </row>
    <row r="2142" ht="45" hidden="1" customHeight="1" outlineLevel="1">
      <c r="A2142" s="69"/>
      <c r="B2142" s="3" t="s">
        <v>47</v>
      </c>
      <c r="C2142" s="4" t="s">
        <v>6312</v>
      </c>
      <c r="D2142" s="5" t="s">
        <v>6313</v>
      </c>
      <c r="E2142" s="2" t="s">
        <v>63</v>
      </c>
      <c r="F2142" s="6" t="s">
        <v>64</v>
      </c>
      <c r="G2142" s="5" t="s">
        <v>69</v>
      </c>
      <c r="H2142" s="2" t="s">
        <v>68</v>
      </c>
      <c r="I2142" s="3" t="s">
        <v>6314</v>
      </c>
      <c r="J2142" s="7">
        <v>1</v>
      </c>
      <c r="L2142" s="9">
        <v>1</v>
      </c>
      <c r="M2142" s="3">
        <v>1730</v>
      </c>
      <c r="N2142" s="6">
        <v>2015</v>
      </c>
      <c r="O2142" s="10">
        <v>42045</v>
      </c>
      <c r="P2142" s="71" t="s">
        <v>6315</v>
      </c>
      <c r="Q2142" s="10">
        <v>42072</v>
      </c>
      <c r="R2142" s="6">
        <v>2010</v>
      </c>
      <c r="S2142" s="3" t="s">
        <v>236</v>
      </c>
      <c r="T2142" s="72"/>
      <c r="U2142" s="73"/>
      <c r="W2142" s="2" t="s">
        <v>62</v>
      </c>
      <c r="X2142" s="10" t="s">
        <v>56</v>
      </c>
      <c r="Y2142" s="10" t="s">
        <v>68</v>
      </c>
      <c r="Z2142" s="75" t="s">
        <v>4870</v>
      </c>
      <c r="AJ2142" s="10">
        <v>42486</v>
      </c>
      <c r="AK2142" s="7">
        <v>2010</v>
      </c>
      <c r="AL2142" s="16"/>
      <c r="AW2142" s="6">
        <f t="shared" ca="1" si="35"/>
        <v>10</v>
      </c>
    </row>
    <row r="2143" ht="45" hidden="1" customHeight="1" outlineLevel="1">
      <c r="A2143" s="69"/>
      <c r="B2143" s="3" t="s">
        <v>47</v>
      </c>
      <c r="C2143" s="4" t="s">
        <v>6316</v>
      </c>
      <c r="D2143" s="5" t="s">
        <v>6317</v>
      </c>
      <c r="E2143" s="2" t="s">
        <v>63</v>
      </c>
      <c r="F2143" s="6" t="s">
        <v>172</v>
      </c>
      <c r="G2143" s="5" t="s">
        <v>6318</v>
      </c>
      <c r="H2143" s="2" t="s">
        <v>508</v>
      </c>
      <c r="I2143" s="3" t="s">
        <v>6319</v>
      </c>
      <c r="J2143" s="7">
        <v>1</v>
      </c>
      <c r="L2143" s="9">
        <v>1</v>
      </c>
      <c r="M2143" s="3">
        <v>1731</v>
      </c>
      <c r="N2143" s="6">
        <v>2015</v>
      </c>
      <c r="P2143" s="71" t="s">
        <v>6320</v>
      </c>
      <c r="Q2143" s="10">
        <v>42074</v>
      </c>
      <c r="R2143" s="6">
        <v>2010</v>
      </c>
      <c r="S2143" s="3" t="s">
        <v>236</v>
      </c>
      <c r="T2143" s="72" t="s">
        <v>1136</v>
      </c>
      <c r="W2143" s="2" t="s">
        <v>62</v>
      </c>
      <c r="X2143" s="10" t="s">
        <v>56</v>
      </c>
      <c r="Y2143" s="10" t="s">
        <v>511</v>
      </c>
      <c r="Z2143" s="75"/>
      <c r="AJ2143" s="10">
        <v>44508</v>
      </c>
      <c r="AK2143" s="6">
        <v>2020</v>
      </c>
      <c r="AL2143" s="16"/>
      <c r="AW2143" s="6">
        <f t="shared" ca="1" si="35"/>
        <v>10</v>
      </c>
    </row>
    <row r="2144" ht="45" customHeight="1" outlineLevel="1">
      <c r="A2144" s="69"/>
      <c r="B2144" s="3" t="s">
        <v>47</v>
      </c>
      <c r="D2144" s="5" t="s">
        <v>6321</v>
      </c>
      <c r="E2144" s="2" t="s">
        <v>83</v>
      </c>
      <c r="F2144" s="6" t="s">
        <v>704</v>
      </c>
      <c r="G2144" s="5" t="s">
        <v>705</v>
      </c>
      <c r="H2144" s="2" t="s">
        <v>57</v>
      </c>
      <c r="I2144" s="3" t="s">
        <v>6322</v>
      </c>
      <c r="J2144" s="7">
        <v>1</v>
      </c>
      <c r="K2144" s="8" t="s">
        <v>53</v>
      </c>
      <c r="L2144" s="9">
        <v>1</v>
      </c>
      <c r="M2144" s="3">
        <v>1732</v>
      </c>
      <c r="N2144" s="6">
        <v>2015</v>
      </c>
      <c r="P2144" s="71" t="s">
        <v>6323</v>
      </c>
      <c r="Q2144" s="10">
        <v>42102</v>
      </c>
      <c r="R2144" s="6">
        <v>2010</v>
      </c>
      <c r="S2144" s="3" t="s">
        <v>54</v>
      </c>
      <c r="T2144" s="72"/>
      <c r="U2144" s="73"/>
      <c r="W2144" s="2" t="s">
        <v>6324</v>
      </c>
      <c r="X2144" s="10" t="s">
        <v>56</v>
      </c>
      <c r="Y2144" s="10" t="s">
        <v>57</v>
      </c>
      <c r="Z2144" s="75" t="s">
        <v>4498</v>
      </c>
      <c r="AB2144" s="77">
        <v>42887</v>
      </c>
      <c r="AC2144" s="77">
        <v>42887</v>
      </c>
      <c r="AD2144" s="6"/>
      <c r="AE2144" s="7">
        <v>2015</v>
      </c>
      <c r="AF2144" s="7">
        <v>81</v>
      </c>
      <c r="AG2144" s="7">
        <v>2017</v>
      </c>
      <c r="AJ2144" s="73"/>
      <c r="AL2144" s="16" t="s">
        <v>6325</v>
      </c>
      <c r="AW2144" s="6">
        <f t="shared" ca="1" si="35"/>
        <v>10</v>
      </c>
    </row>
    <row r="2145" ht="45" hidden="1" customHeight="1" outlineLevel="1">
      <c r="A2145" s="69"/>
      <c r="B2145" s="3" t="s">
        <v>47</v>
      </c>
      <c r="C2145" s="4" t="s">
        <v>6326</v>
      </c>
      <c r="D2145" s="5" t="s">
        <v>6327</v>
      </c>
      <c r="E2145" s="2" t="s">
        <v>63</v>
      </c>
      <c r="F2145" s="6" t="s">
        <v>83</v>
      </c>
      <c r="G2145" s="5" t="s">
        <v>4163</v>
      </c>
      <c r="H2145" s="2" t="s">
        <v>57</v>
      </c>
      <c r="I2145" s="3" t="s">
        <v>6328</v>
      </c>
      <c r="J2145" s="7">
        <v>1</v>
      </c>
      <c r="L2145" s="9">
        <v>1</v>
      </c>
      <c r="M2145" s="3">
        <v>1733</v>
      </c>
      <c r="N2145" s="6">
        <v>2015</v>
      </c>
      <c r="P2145" s="71" t="s">
        <v>6329</v>
      </c>
      <c r="Q2145" s="10">
        <v>42116</v>
      </c>
      <c r="R2145" s="6">
        <v>2010</v>
      </c>
      <c r="S2145" s="3" t="s">
        <v>236</v>
      </c>
      <c r="T2145" s="72"/>
      <c r="U2145" s="73"/>
      <c r="W2145" s="2" t="s">
        <v>62</v>
      </c>
      <c r="X2145" s="10" t="s">
        <v>56</v>
      </c>
      <c r="Y2145" s="10" t="s">
        <v>57</v>
      </c>
      <c r="Z2145" s="75" t="s">
        <v>58</v>
      </c>
      <c r="AJ2145" s="10">
        <v>42520</v>
      </c>
      <c r="AK2145" s="6">
        <v>2010</v>
      </c>
      <c r="AL2145" s="16"/>
      <c r="AW2145" s="6">
        <f t="shared" ca="1" si="35"/>
        <v>10</v>
      </c>
    </row>
    <row r="2146" ht="45" hidden="1" customHeight="1" outlineLevel="1">
      <c r="A2146" s="69"/>
      <c r="B2146" s="3" t="s">
        <v>47</v>
      </c>
      <c r="C2146" s="4" t="s">
        <v>2900</v>
      </c>
      <c r="D2146" s="5" t="s">
        <v>6330</v>
      </c>
      <c r="E2146" s="2" t="s">
        <v>83</v>
      </c>
      <c r="F2146" s="6" t="s">
        <v>84</v>
      </c>
      <c r="G2146" s="5" t="s">
        <v>85</v>
      </c>
      <c r="H2146" s="2" t="s">
        <v>57</v>
      </c>
      <c r="I2146" s="3" t="s">
        <v>6331</v>
      </c>
      <c r="J2146" s="7">
        <v>1</v>
      </c>
      <c r="L2146" s="9">
        <v>1</v>
      </c>
      <c r="M2146" s="3">
        <v>1734</v>
      </c>
      <c r="N2146" s="6">
        <v>2015</v>
      </c>
      <c r="O2146" s="10">
        <v>42013</v>
      </c>
      <c r="P2146" s="71" t="s">
        <v>6332</v>
      </c>
      <c r="Q2146" s="10">
        <v>42131</v>
      </c>
      <c r="R2146" s="6">
        <v>2010</v>
      </c>
      <c r="S2146" s="3" t="s">
        <v>236</v>
      </c>
      <c r="T2146" s="72" t="s">
        <v>1136</v>
      </c>
      <c r="W2146" s="2" t="s">
        <v>62</v>
      </c>
      <c r="X2146" s="10" t="s">
        <v>56</v>
      </c>
      <c r="Y2146" s="10" t="s">
        <v>57</v>
      </c>
      <c r="Z2146" s="75" t="s">
        <v>2228</v>
      </c>
      <c r="AJ2146" s="10">
        <v>44466</v>
      </c>
      <c r="AK2146" s="6">
        <v>2020</v>
      </c>
      <c r="AL2146" s="16"/>
      <c r="AW2146" s="6">
        <f t="shared" ca="1" si="35"/>
        <v>10</v>
      </c>
    </row>
    <row r="2147" ht="45" hidden="1" customHeight="1" outlineLevel="1">
      <c r="A2147" s="69">
        <v>43474</v>
      </c>
      <c r="B2147" s="3" t="s">
        <v>190</v>
      </c>
      <c r="C2147" s="4" t="s">
        <v>6333</v>
      </c>
      <c r="D2147" s="5" t="s">
        <v>6334</v>
      </c>
      <c r="E2147" s="2" t="s">
        <v>83</v>
      </c>
      <c r="F2147" s="6" t="s">
        <v>84</v>
      </c>
      <c r="G2147" s="5" t="s">
        <v>868</v>
      </c>
      <c r="H2147" s="2" t="s">
        <v>68</v>
      </c>
      <c r="I2147" s="3" t="s">
        <v>6335</v>
      </c>
      <c r="J2147" s="7">
        <v>1</v>
      </c>
      <c r="L2147" s="9">
        <v>1</v>
      </c>
      <c r="M2147" s="3">
        <v>1735</v>
      </c>
      <c r="N2147" s="6">
        <v>2015</v>
      </c>
      <c r="O2147" s="10">
        <v>40316</v>
      </c>
      <c r="P2147" s="71" t="s">
        <v>6336</v>
      </c>
      <c r="Q2147" s="10">
        <v>42150</v>
      </c>
      <c r="R2147" s="6">
        <v>2010</v>
      </c>
      <c r="S2147" s="3" t="s">
        <v>283</v>
      </c>
      <c r="T2147" s="72" t="s">
        <v>998</v>
      </c>
      <c r="U2147" s="73"/>
      <c r="W2147" s="74" t="s">
        <v>62</v>
      </c>
      <c r="X2147" s="10" t="s">
        <v>56</v>
      </c>
      <c r="Y2147" s="10" t="s">
        <v>68</v>
      </c>
      <c r="Z2147" s="75" t="s">
        <v>58</v>
      </c>
      <c r="AJ2147" s="73"/>
      <c r="AL2147" s="16"/>
      <c r="AW2147" s="6">
        <f t="shared" ca="1" si="35"/>
        <v>10</v>
      </c>
    </row>
    <row r="2148" ht="45" hidden="1" customHeight="1" outlineLevel="1">
      <c r="A2148" s="69"/>
      <c r="B2148" s="3" t="s">
        <v>47</v>
      </c>
      <c r="C2148" s="4" t="s">
        <v>6337</v>
      </c>
      <c r="D2148" s="5" t="s">
        <v>6338</v>
      </c>
      <c r="E2148" s="2" t="s">
        <v>83</v>
      </c>
      <c r="F2148" s="6" t="s">
        <v>84</v>
      </c>
      <c r="G2148" s="5" t="s">
        <v>5023</v>
      </c>
      <c r="H2148" s="2" t="s">
        <v>57</v>
      </c>
      <c r="I2148" s="3" t="s">
        <v>6339</v>
      </c>
      <c r="J2148" s="7">
        <v>1</v>
      </c>
      <c r="L2148" s="9">
        <v>1</v>
      </c>
      <c r="M2148" s="3">
        <v>1736</v>
      </c>
      <c r="N2148" s="6">
        <v>2015</v>
      </c>
      <c r="O2148" s="10">
        <v>40472</v>
      </c>
      <c r="P2148" s="71" t="s">
        <v>6340</v>
      </c>
      <c r="Q2148" s="10">
        <v>42150</v>
      </c>
      <c r="R2148" s="6">
        <v>2010</v>
      </c>
      <c r="S2148" s="3" t="s">
        <v>236</v>
      </c>
      <c r="T2148" s="72"/>
      <c r="U2148" s="73">
        <v>43489</v>
      </c>
      <c r="W2148" s="2" t="s">
        <v>62</v>
      </c>
      <c r="X2148" s="10" t="s">
        <v>56</v>
      </c>
      <c r="Y2148" s="10" t="s">
        <v>57</v>
      </c>
      <c r="Z2148" s="75"/>
      <c r="AJ2148" s="10">
        <v>43488</v>
      </c>
      <c r="AK2148" s="6">
        <v>2010</v>
      </c>
      <c r="AL2148" s="16"/>
      <c r="AW2148" s="6">
        <f t="shared" ca="1" si="35"/>
        <v>10</v>
      </c>
    </row>
    <row r="2149" ht="45" hidden="1" customHeight="1" outlineLevel="1">
      <c r="A2149" s="69">
        <v>44489</v>
      </c>
      <c r="B2149" s="3" t="s">
        <v>47</v>
      </c>
      <c r="C2149" s="4" t="s">
        <v>6341</v>
      </c>
      <c r="D2149" s="5" t="s">
        <v>6342</v>
      </c>
      <c r="E2149" s="2" t="s">
        <v>83</v>
      </c>
      <c r="F2149" s="6" t="s">
        <v>84</v>
      </c>
      <c r="G2149" s="5" t="s">
        <v>1938</v>
      </c>
      <c r="H2149" s="2" t="s">
        <v>57</v>
      </c>
      <c r="I2149" s="3" t="s">
        <v>6343</v>
      </c>
      <c r="J2149" s="7">
        <v>1</v>
      </c>
      <c r="L2149" s="9">
        <v>1</v>
      </c>
      <c r="M2149" s="3">
        <v>1737</v>
      </c>
      <c r="N2149" s="6">
        <v>2015</v>
      </c>
      <c r="O2149" s="10">
        <v>41843</v>
      </c>
      <c r="P2149" s="71" t="s">
        <v>6344</v>
      </c>
      <c r="Q2149" s="10">
        <v>42150</v>
      </c>
      <c r="R2149" s="6">
        <v>2010</v>
      </c>
      <c r="S2149" s="3" t="s">
        <v>236</v>
      </c>
      <c r="T2149" s="72" t="s">
        <v>1136</v>
      </c>
      <c r="W2149" s="2" t="s">
        <v>62</v>
      </c>
      <c r="X2149" s="10" t="s">
        <v>56</v>
      </c>
      <c r="Y2149" s="10" t="s">
        <v>57</v>
      </c>
      <c r="Z2149" s="75" t="s">
        <v>2228</v>
      </c>
      <c r="AJ2149" s="10">
        <v>44748</v>
      </c>
      <c r="AK2149" s="6">
        <v>2020</v>
      </c>
      <c r="AL2149" s="16"/>
      <c r="AW2149" s="6">
        <f t="shared" ca="1" si="35"/>
        <v>10</v>
      </c>
    </row>
    <row r="2150" ht="45" hidden="1" customHeight="1" outlineLevel="1">
      <c r="A2150" s="69"/>
      <c r="B2150" s="3" t="s">
        <v>190</v>
      </c>
      <c r="C2150" s="4" t="s">
        <v>6345</v>
      </c>
      <c r="D2150" s="5" t="s">
        <v>6346</v>
      </c>
      <c r="E2150" s="2" t="s">
        <v>1074</v>
      </c>
      <c r="F2150" s="6" t="s">
        <v>1075</v>
      </c>
      <c r="G2150" s="5" t="s">
        <v>6291</v>
      </c>
      <c r="H2150" s="2" t="s">
        <v>57</v>
      </c>
      <c r="I2150" s="3" t="s">
        <v>6347</v>
      </c>
      <c r="J2150" s="7">
        <v>1</v>
      </c>
      <c r="L2150" s="9">
        <v>1</v>
      </c>
      <c r="M2150" s="3">
        <v>1738</v>
      </c>
      <c r="N2150" s="6">
        <v>2015</v>
      </c>
      <c r="P2150" s="71"/>
      <c r="Q2150" s="10">
        <v>42167</v>
      </c>
      <c r="R2150" s="6">
        <v>2010</v>
      </c>
      <c r="S2150" s="3" t="s">
        <v>283</v>
      </c>
      <c r="T2150" s="72"/>
      <c r="U2150" s="73"/>
      <c r="W2150" s="74" t="s">
        <v>62</v>
      </c>
      <c r="X2150" s="10" t="s">
        <v>56</v>
      </c>
      <c r="Y2150" s="10" t="s">
        <v>57</v>
      </c>
      <c r="Z2150" s="75"/>
      <c r="AJ2150" s="73"/>
      <c r="AL2150" s="16"/>
      <c r="AW2150" s="6">
        <f t="shared" ca="1" si="35"/>
        <v>10</v>
      </c>
    </row>
    <row r="2151" ht="45" hidden="1" customHeight="1" outlineLevel="1">
      <c r="A2151" s="69"/>
      <c r="B2151" s="3" t="s">
        <v>47</v>
      </c>
      <c r="D2151" s="5" t="s">
        <v>6348</v>
      </c>
      <c r="E2151" s="2" t="s">
        <v>83</v>
      </c>
      <c r="F2151" s="6" t="s">
        <v>84</v>
      </c>
      <c r="G2151" s="5" t="s">
        <v>868</v>
      </c>
      <c r="H2151" s="2" t="s">
        <v>57</v>
      </c>
      <c r="I2151" s="3" t="s">
        <v>6349</v>
      </c>
      <c r="J2151" s="7">
        <v>1</v>
      </c>
      <c r="L2151" s="9">
        <v>1</v>
      </c>
      <c r="M2151" s="3">
        <v>1739</v>
      </c>
      <c r="N2151" s="6">
        <v>2015</v>
      </c>
      <c r="O2151" s="10">
        <v>39546</v>
      </c>
      <c r="P2151" s="71" t="s">
        <v>6350</v>
      </c>
      <c r="Q2151" s="10">
        <v>42168</v>
      </c>
      <c r="R2151" s="6">
        <v>2010</v>
      </c>
      <c r="S2151" s="3" t="s">
        <v>236</v>
      </c>
      <c r="T2151" s="72"/>
      <c r="U2151" s="73"/>
      <c r="W2151" s="2" t="s">
        <v>62</v>
      </c>
      <c r="X2151" s="10" t="s">
        <v>56</v>
      </c>
      <c r="Y2151" s="10" t="s">
        <v>57</v>
      </c>
      <c r="Z2151" s="75"/>
      <c r="AL2151" s="16"/>
      <c r="AW2151" s="6">
        <f t="shared" ref="AW2151:AW2214" ca="1" si="36">IF(N2151&lt;&gt;0,(YEAR(TODAY())-N2151),(""))</f>
        <v>10</v>
      </c>
    </row>
    <row r="2152" ht="45" hidden="1" customHeight="1" outlineLevel="1">
      <c r="A2152" s="69"/>
      <c r="B2152" s="3" t="s">
        <v>47</v>
      </c>
      <c r="C2152" s="4" t="s">
        <v>6351</v>
      </c>
      <c r="D2152" s="5" t="s">
        <v>6352</v>
      </c>
      <c r="E2152" s="2" t="s">
        <v>83</v>
      </c>
      <c r="F2152" s="6" t="s">
        <v>84</v>
      </c>
      <c r="G2152" s="5" t="s">
        <v>868</v>
      </c>
      <c r="H2152" s="2" t="s">
        <v>57</v>
      </c>
      <c r="I2152" s="3" t="s">
        <v>6353</v>
      </c>
      <c r="J2152" s="7">
        <v>1</v>
      </c>
      <c r="L2152" s="9">
        <v>1</v>
      </c>
      <c r="M2152" s="3">
        <v>1740</v>
      </c>
      <c r="N2152" s="6">
        <v>2015</v>
      </c>
      <c r="O2152" s="10">
        <v>41864</v>
      </c>
      <c r="P2152" s="71" t="s">
        <v>6354</v>
      </c>
      <c r="Q2152" s="10">
        <v>42169</v>
      </c>
      <c r="R2152" s="6">
        <v>2010</v>
      </c>
      <c r="S2152" s="3" t="s">
        <v>236</v>
      </c>
      <c r="T2152" s="72"/>
      <c r="U2152" s="10">
        <v>44018</v>
      </c>
      <c r="W2152" s="2" t="s">
        <v>62</v>
      </c>
      <c r="X2152" s="10" t="s">
        <v>56</v>
      </c>
      <c r="Y2152" s="10" t="s">
        <v>57</v>
      </c>
      <c r="Z2152" s="75"/>
      <c r="AJ2152" s="10">
        <v>44018</v>
      </c>
      <c r="AK2152" s="6">
        <v>2020</v>
      </c>
      <c r="AL2152" s="16"/>
      <c r="AW2152" s="6">
        <f t="shared" ca="1" si="36"/>
        <v>10</v>
      </c>
    </row>
    <row r="2153" ht="45" hidden="1" customHeight="1" outlineLevel="1">
      <c r="A2153" s="69">
        <v>45349</v>
      </c>
      <c r="B2153" s="3" t="s">
        <v>1926</v>
      </c>
      <c r="C2153" s="4" t="s">
        <v>6355</v>
      </c>
      <c r="D2153" s="5" t="s">
        <v>6356</v>
      </c>
      <c r="E2153" s="2" t="s">
        <v>83</v>
      </c>
      <c r="F2153" s="6" t="s">
        <v>704</v>
      </c>
      <c r="G2153" s="5" t="s">
        <v>705</v>
      </c>
      <c r="H2153" s="2" t="s">
        <v>51</v>
      </c>
      <c r="I2153" s="3" t="s">
        <v>6357</v>
      </c>
      <c r="J2153" s="7">
        <v>1</v>
      </c>
      <c r="L2153" s="9">
        <v>1</v>
      </c>
      <c r="M2153" s="3">
        <v>1741</v>
      </c>
      <c r="N2153" s="6">
        <v>2015</v>
      </c>
      <c r="O2153" s="10">
        <v>42171</v>
      </c>
      <c r="P2153" s="71" t="s">
        <v>6358</v>
      </c>
      <c r="Q2153" s="10">
        <v>42200</v>
      </c>
      <c r="R2153" s="6">
        <v>2010</v>
      </c>
      <c r="S2153" s="3" t="s">
        <v>283</v>
      </c>
      <c r="T2153" s="72" t="s">
        <v>998</v>
      </c>
      <c r="U2153" s="73"/>
      <c r="W2153" s="74" t="s">
        <v>62</v>
      </c>
      <c r="X2153" s="10" t="s">
        <v>56</v>
      </c>
      <c r="Y2153" s="10" t="s">
        <v>57</v>
      </c>
      <c r="Z2153" s="75" t="s">
        <v>4498</v>
      </c>
      <c r="AJ2153" s="73"/>
      <c r="AL2153" s="16"/>
      <c r="AW2153" s="6">
        <f t="shared" ca="1" si="36"/>
        <v>10</v>
      </c>
    </row>
    <row r="2154" ht="45" hidden="1" customHeight="1" outlineLevel="1">
      <c r="A2154" s="69">
        <v>44244</v>
      </c>
      <c r="B2154" s="3" t="s">
        <v>190</v>
      </c>
      <c r="D2154" s="5" t="s">
        <v>6359</v>
      </c>
      <c r="E2154" s="2" t="s">
        <v>83</v>
      </c>
      <c r="F2154" s="6" t="s">
        <v>84</v>
      </c>
      <c r="G2154" s="5" t="s">
        <v>85</v>
      </c>
      <c r="H2154" s="2" t="s">
        <v>382</v>
      </c>
      <c r="I2154" s="3" t="s">
        <v>6360</v>
      </c>
      <c r="J2154" s="7">
        <v>1</v>
      </c>
      <c r="L2154" s="9">
        <v>1</v>
      </c>
      <c r="M2154" s="3">
        <v>1742</v>
      </c>
      <c r="N2154" s="6">
        <v>2015</v>
      </c>
      <c r="P2154" s="71"/>
      <c r="Q2154" s="10">
        <v>42207</v>
      </c>
      <c r="R2154" s="6">
        <v>2010</v>
      </c>
      <c r="S2154" s="3" t="s">
        <v>283</v>
      </c>
      <c r="T2154" s="72" t="s">
        <v>998</v>
      </c>
      <c r="U2154" s="73"/>
      <c r="W2154" s="74" t="s">
        <v>62</v>
      </c>
      <c r="X2154" s="10" t="s">
        <v>91</v>
      </c>
      <c r="Y2154" s="10" t="s">
        <v>92</v>
      </c>
      <c r="Z2154" s="75"/>
      <c r="AJ2154" s="73"/>
      <c r="AL2154" s="16"/>
      <c r="AW2154" s="6">
        <f t="shared" ca="1" si="36"/>
        <v>10</v>
      </c>
    </row>
    <row r="2155" ht="45" hidden="1" customHeight="1" outlineLevel="1">
      <c r="A2155" s="69"/>
      <c r="B2155" s="3" t="s">
        <v>190</v>
      </c>
      <c r="C2155" s="4" t="s">
        <v>6361</v>
      </c>
      <c r="D2155" s="5" t="s">
        <v>6362</v>
      </c>
      <c r="E2155" s="2" t="s">
        <v>63</v>
      </c>
      <c r="F2155" s="6" t="s">
        <v>172</v>
      </c>
      <c r="G2155" s="5" t="s">
        <v>794</v>
      </c>
      <c r="H2155" s="2" t="s">
        <v>3735</v>
      </c>
      <c r="I2155" s="3" t="s">
        <v>6363</v>
      </c>
      <c r="J2155" s="7">
        <v>1</v>
      </c>
      <c r="L2155" s="9">
        <v>1</v>
      </c>
      <c r="M2155" s="3">
        <v>1743</v>
      </c>
      <c r="N2155" s="6">
        <v>2015</v>
      </c>
      <c r="P2155" s="71"/>
      <c r="R2155" s="6">
        <v>2010</v>
      </c>
      <c r="S2155" s="3" t="s">
        <v>283</v>
      </c>
      <c r="T2155" s="72"/>
      <c r="U2155" s="73"/>
      <c r="W2155" s="74" t="s">
        <v>62</v>
      </c>
      <c r="X2155" s="10" t="s">
        <v>56</v>
      </c>
      <c r="Y2155" s="10" t="s">
        <v>68</v>
      </c>
      <c r="Z2155" s="75" t="s">
        <v>58</v>
      </c>
      <c r="AJ2155" s="73"/>
      <c r="AL2155" s="16"/>
      <c r="AW2155" s="6">
        <f t="shared" ca="1" si="36"/>
        <v>10</v>
      </c>
    </row>
    <row r="2156" ht="45" hidden="1" customHeight="1" outlineLevel="1">
      <c r="A2156" s="69"/>
      <c r="B2156" s="3" t="s">
        <v>190</v>
      </c>
      <c r="C2156" s="4" t="s">
        <v>6364</v>
      </c>
      <c r="D2156" s="5" t="s">
        <v>6365</v>
      </c>
      <c r="E2156" s="2" t="s">
        <v>63</v>
      </c>
      <c r="F2156" s="6" t="s">
        <v>172</v>
      </c>
      <c r="G2156" s="5" t="s">
        <v>6366</v>
      </c>
      <c r="H2156" s="2" t="s">
        <v>3735</v>
      </c>
      <c r="I2156" s="3" t="s">
        <v>6367</v>
      </c>
      <c r="J2156" s="7">
        <v>1</v>
      </c>
      <c r="L2156" s="9">
        <v>1</v>
      </c>
      <c r="M2156" s="3">
        <v>1744</v>
      </c>
      <c r="N2156" s="6">
        <v>2015</v>
      </c>
      <c r="P2156" s="71"/>
      <c r="R2156" s="6">
        <v>2010</v>
      </c>
      <c r="S2156" s="3" t="s">
        <v>283</v>
      </c>
      <c r="T2156" s="72"/>
      <c r="U2156" s="73"/>
      <c r="W2156" s="74" t="s">
        <v>62</v>
      </c>
      <c r="X2156" s="10" t="s">
        <v>56</v>
      </c>
      <c r="Y2156" s="10" t="s">
        <v>68</v>
      </c>
      <c r="Z2156" s="75" t="s">
        <v>58</v>
      </c>
      <c r="AJ2156" s="73"/>
      <c r="AL2156" s="16"/>
      <c r="AW2156" s="6">
        <f t="shared" ca="1" si="36"/>
        <v>10</v>
      </c>
    </row>
    <row r="2157" ht="45" hidden="1" customHeight="1" outlineLevel="1">
      <c r="A2157" s="69"/>
      <c r="B2157" s="3" t="s">
        <v>47</v>
      </c>
      <c r="C2157" s="4" t="s">
        <v>6368</v>
      </c>
      <c r="D2157" s="5" t="s">
        <v>6369</v>
      </c>
      <c r="E2157" s="2" t="s">
        <v>1074</v>
      </c>
      <c r="F2157" s="6" t="s">
        <v>2154</v>
      </c>
      <c r="G2157" s="5" t="s">
        <v>2155</v>
      </c>
      <c r="H2157" s="2" t="s">
        <v>68</v>
      </c>
      <c r="I2157" s="3" t="s">
        <v>6370</v>
      </c>
      <c r="J2157" s="7">
        <v>1</v>
      </c>
      <c r="L2157" s="9">
        <v>1</v>
      </c>
      <c r="M2157" s="3">
        <v>1745</v>
      </c>
      <c r="N2157" s="6">
        <v>2015</v>
      </c>
      <c r="O2157" s="10">
        <v>42171</v>
      </c>
      <c r="P2157" s="71" t="s">
        <v>6371</v>
      </c>
      <c r="Q2157" s="10">
        <v>41478</v>
      </c>
      <c r="R2157" s="6">
        <v>2010</v>
      </c>
      <c r="S2157" s="3" t="s">
        <v>236</v>
      </c>
      <c r="T2157" s="72"/>
      <c r="U2157" s="73"/>
      <c r="W2157" s="2" t="s">
        <v>62</v>
      </c>
      <c r="X2157" s="10" t="s">
        <v>56</v>
      </c>
      <c r="Y2157" s="10" t="s">
        <v>68</v>
      </c>
      <c r="Z2157" s="75" t="s">
        <v>4498</v>
      </c>
      <c r="AJ2157" s="10">
        <v>42496</v>
      </c>
      <c r="AK2157" s="7">
        <v>2010</v>
      </c>
      <c r="AL2157" s="99" t="s">
        <v>5347</v>
      </c>
      <c r="AW2157" s="6">
        <f t="shared" ca="1" si="36"/>
        <v>10</v>
      </c>
    </row>
    <row r="2158" ht="45" hidden="1" customHeight="1" outlineLevel="1">
      <c r="A2158" s="69"/>
      <c r="B2158" s="3" t="s">
        <v>47</v>
      </c>
      <c r="C2158" s="4" t="s">
        <v>6372</v>
      </c>
      <c r="D2158" s="5" t="s">
        <v>6373</v>
      </c>
      <c r="E2158" s="2" t="s">
        <v>83</v>
      </c>
      <c r="F2158" s="6" t="s">
        <v>704</v>
      </c>
      <c r="G2158" s="5" t="s">
        <v>6374</v>
      </c>
      <c r="H2158" s="2" t="s">
        <v>88</v>
      </c>
      <c r="I2158" s="3" t="s">
        <v>6375</v>
      </c>
      <c r="J2158" s="7">
        <v>1</v>
      </c>
      <c r="L2158" s="9">
        <v>1</v>
      </c>
      <c r="M2158" s="3">
        <v>1746</v>
      </c>
      <c r="N2158" s="6">
        <v>2015</v>
      </c>
      <c r="P2158" s="71"/>
      <c r="R2158" s="6">
        <v>2010</v>
      </c>
      <c r="S2158" s="3" t="s">
        <v>236</v>
      </c>
      <c r="T2158" s="72"/>
      <c r="U2158" s="73"/>
      <c r="W2158" s="2" t="s">
        <v>62</v>
      </c>
      <c r="X2158" s="10"/>
      <c r="Y2158" s="10"/>
      <c r="Z2158" s="75"/>
      <c r="AJ2158" s="10">
        <v>42438</v>
      </c>
      <c r="AK2158" s="7">
        <v>2010</v>
      </c>
      <c r="AW2158" s="6">
        <f t="shared" ca="1" si="36"/>
        <v>10</v>
      </c>
    </row>
    <row r="2159" ht="45" hidden="1" customHeight="1" outlineLevel="1">
      <c r="A2159" s="69"/>
      <c r="B2159" s="3" t="s">
        <v>47</v>
      </c>
      <c r="C2159" s="4" t="s">
        <v>6376</v>
      </c>
      <c r="D2159" s="5" t="s">
        <v>6377</v>
      </c>
      <c r="E2159" s="2" t="s">
        <v>83</v>
      </c>
      <c r="F2159" s="6" t="s">
        <v>704</v>
      </c>
      <c r="G2159" s="5" t="s">
        <v>6378</v>
      </c>
      <c r="H2159" s="2" t="s">
        <v>57</v>
      </c>
      <c r="I2159" s="3" t="s">
        <v>6379</v>
      </c>
      <c r="J2159" s="7">
        <v>1</v>
      </c>
      <c r="L2159" s="9">
        <v>1</v>
      </c>
      <c r="M2159" s="3">
        <v>1747</v>
      </c>
      <c r="N2159" s="6">
        <v>2015</v>
      </c>
      <c r="P2159" s="71"/>
      <c r="R2159" s="6">
        <v>2010</v>
      </c>
      <c r="S2159" s="3" t="s">
        <v>236</v>
      </c>
      <c r="T2159" s="72"/>
      <c r="U2159" s="73"/>
      <c r="W2159" s="2" t="s">
        <v>62</v>
      </c>
      <c r="X2159" s="10"/>
      <c r="Y2159" s="10"/>
      <c r="Z2159" s="75"/>
      <c r="AJ2159" s="10">
        <v>42209</v>
      </c>
      <c r="AK2159" s="7">
        <v>2010</v>
      </c>
      <c r="AL2159" s="16"/>
      <c r="AW2159" s="6">
        <f t="shared" ca="1" si="36"/>
        <v>10</v>
      </c>
    </row>
    <row r="2160" ht="45" hidden="1" customHeight="1" outlineLevel="1">
      <c r="A2160" s="69"/>
      <c r="B2160" s="3" t="s">
        <v>47</v>
      </c>
      <c r="C2160" s="4" t="s">
        <v>6380</v>
      </c>
      <c r="D2160" s="5" t="s">
        <v>6381</v>
      </c>
      <c r="E2160" s="2" t="s">
        <v>83</v>
      </c>
      <c r="F2160" s="6" t="s">
        <v>84</v>
      </c>
      <c r="G2160" s="5" t="s">
        <v>4802</v>
      </c>
      <c r="H2160" s="2" t="s">
        <v>57</v>
      </c>
      <c r="I2160" s="3" t="s">
        <v>6382</v>
      </c>
      <c r="J2160" s="7">
        <v>1</v>
      </c>
      <c r="L2160" s="9">
        <v>1</v>
      </c>
      <c r="M2160" s="3">
        <v>1748</v>
      </c>
      <c r="N2160" s="6">
        <v>2015</v>
      </c>
      <c r="P2160" s="71"/>
      <c r="R2160" s="6">
        <v>2010</v>
      </c>
      <c r="S2160" s="3" t="s">
        <v>236</v>
      </c>
      <c r="T2160" s="72"/>
      <c r="U2160" s="73"/>
      <c r="W2160" s="2" t="s">
        <v>62</v>
      </c>
      <c r="X2160" s="10"/>
      <c r="Y2160" s="10"/>
      <c r="Z2160" s="75"/>
      <c r="AJ2160" s="10">
        <v>43052</v>
      </c>
      <c r="AK2160" s="6">
        <v>2010</v>
      </c>
      <c r="AL2160" s="16"/>
      <c r="AW2160" s="6">
        <f t="shared" ca="1" si="36"/>
        <v>10</v>
      </c>
    </row>
    <row r="2161" ht="45" hidden="1" customHeight="1" outlineLevel="1">
      <c r="A2161" s="69"/>
      <c r="B2161" s="3" t="s">
        <v>190</v>
      </c>
      <c r="C2161" s="4" t="s">
        <v>6383</v>
      </c>
      <c r="D2161" s="5" t="s">
        <v>6384</v>
      </c>
      <c r="E2161" s="2" t="s">
        <v>63</v>
      </c>
      <c r="F2161" s="6" t="s">
        <v>898</v>
      </c>
      <c r="G2161" s="5" t="s">
        <v>6385</v>
      </c>
      <c r="H2161" s="2" t="s">
        <v>51</v>
      </c>
      <c r="I2161" s="3" t="s">
        <v>6386</v>
      </c>
      <c r="J2161" s="7">
        <v>1</v>
      </c>
      <c r="L2161" s="9">
        <v>1</v>
      </c>
      <c r="M2161" s="3">
        <v>1749</v>
      </c>
      <c r="N2161" s="6">
        <v>2015</v>
      </c>
      <c r="P2161" s="71"/>
      <c r="R2161" s="6">
        <v>2010</v>
      </c>
      <c r="S2161" s="3" t="s">
        <v>283</v>
      </c>
      <c r="T2161" s="72"/>
      <c r="U2161" s="73"/>
      <c r="W2161" s="74" t="s">
        <v>62</v>
      </c>
      <c r="X2161" s="10"/>
      <c r="Y2161" s="10"/>
      <c r="Z2161" s="75"/>
      <c r="AJ2161" s="73"/>
      <c r="AL2161" s="16"/>
      <c r="AW2161" s="6">
        <f t="shared" ca="1" si="36"/>
        <v>10</v>
      </c>
    </row>
    <row r="2162" ht="45" hidden="1" customHeight="1" outlineLevel="1">
      <c r="A2162" s="69">
        <v>42887</v>
      </c>
      <c r="B2162" s="3" t="s">
        <v>190</v>
      </c>
      <c r="C2162" s="4" t="s">
        <v>6387</v>
      </c>
      <c r="D2162" s="5" t="s">
        <v>6388</v>
      </c>
      <c r="E2162" s="2" t="s">
        <v>63</v>
      </c>
      <c r="F2162" s="6" t="s">
        <v>428</v>
      </c>
      <c r="G2162" s="5" t="s">
        <v>429</v>
      </c>
      <c r="H2162" s="2" t="s">
        <v>88</v>
      </c>
      <c r="I2162" s="3" t="s">
        <v>6389</v>
      </c>
      <c r="J2162" s="7">
        <v>1</v>
      </c>
      <c r="L2162" s="9">
        <v>1</v>
      </c>
      <c r="M2162" s="3">
        <v>1750</v>
      </c>
      <c r="N2162" s="6">
        <v>2015</v>
      </c>
      <c r="P2162" s="71"/>
      <c r="R2162" s="6">
        <v>2010</v>
      </c>
      <c r="S2162" s="3" t="s">
        <v>283</v>
      </c>
      <c r="T2162" s="72" t="s">
        <v>998</v>
      </c>
      <c r="U2162" s="73"/>
      <c r="W2162" s="74" t="s">
        <v>62</v>
      </c>
      <c r="X2162" s="10"/>
      <c r="Y2162" s="10"/>
      <c r="Z2162" s="75"/>
      <c r="AJ2162" s="73"/>
      <c r="AW2162" s="6">
        <f t="shared" ca="1" si="36"/>
        <v>10</v>
      </c>
    </row>
    <row r="2163" ht="45" hidden="1" customHeight="1" outlineLevel="1">
      <c r="A2163" s="69"/>
      <c r="B2163" s="3" t="s">
        <v>47</v>
      </c>
      <c r="C2163" s="4" t="s">
        <v>6390</v>
      </c>
      <c r="D2163" s="5" t="s">
        <v>6391</v>
      </c>
      <c r="E2163" s="2" t="s">
        <v>63</v>
      </c>
      <c r="F2163" s="6" t="s">
        <v>172</v>
      </c>
      <c r="G2163" s="5" t="s">
        <v>791</v>
      </c>
      <c r="H2163" s="2" t="s">
        <v>57</v>
      </c>
      <c r="I2163" s="3" t="s">
        <v>6392</v>
      </c>
      <c r="J2163" s="7">
        <v>1</v>
      </c>
      <c r="L2163" s="9">
        <v>1</v>
      </c>
      <c r="M2163" s="3">
        <v>1751</v>
      </c>
      <c r="N2163" s="6">
        <v>2015</v>
      </c>
      <c r="P2163" s="71"/>
      <c r="R2163" s="6">
        <v>2010</v>
      </c>
      <c r="S2163" s="3" t="s">
        <v>236</v>
      </c>
      <c r="T2163" s="72"/>
      <c r="U2163" s="73"/>
      <c r="W2163" s="2" t="s">
        <v>62</v>
      </c>
      <c r="X2163" s="10"/>
      <c r="Y2163" s="10"/>
      <c r="Z2163" s="75"/>
      <c r="AJ2163" s="10">
        <v>42247</v>
      </c>
      <c r="AK2163" s="7">
        <v>2010</v>
      </c>
      <c r="AL2163" s="16"/>
      <c r="AW2163" s="6">
        <f t="shared" ca="1" si="36"/>
        <v>10</v>
      </c>
    </row>
    <row r="2164" ht="45" hidden="1" customHeight="1" outlineLevel="1">
      <c r="A2164" s="69"/>
      <c r="B2164" s="3" t="s">
        <v>47</v>
      </c>
      <c r="C2164" s="4" t="s">
        <v>3220</v>
      </c>
      <c r="D2164" s="5" t="s">
        <v>6393</v>
      </c>
      <c r="E2164" s="2" t="s">
        <v>83</v>
      </c>
      <c r="F2164" s="6" t="s">
        <v>704</v>
      </c>
      <c r="G2164" s="5" t="s">
        <v>6394</v>
      </c>
      <c r="H2164" s="2" t="s">
        <v>57</v>
      </c>
      <c r="I2164" s="3" t="s">
        <v>6395</v>
      </c>
      <c r="J2164" s="7">
        <v>1</v>
      </c>
      <c r="L2164" s="9">
        <v>1</v>
      </c>
      <c r="M2164" s="3">
        <v>1752</v>
      </c>
      <c r="N2164" s="6">
        <v>2015</v>
      </c>
      <c r="P2164" s="71"/>
      <c r="R2164" s="6">
        <v>2010</v>
      </c>
      <c r="S2164" s="3" t="s">
        <v>236</v>
      </c>
      <c r="T2164" s="72"/>
      <c r="U2164" s="73"/>
      <c r="W2164" s="2" t="s">
        <v>62</v>
      </c>
      <c r="X2164" s="10"/>
      <c r="Y2164" s="10"/>
      <c r="Z2164" s="75"/>
      <c r="AJ2164" s="10">
        <v>42265</v>
      </c>
      <c r="AK2164" s="7">
        <v>2010</v>
      </c>
      <c r="AL2164" s="16"/>
      <c r="AW2164" s="6">
        <f t="shared" ca="1" si="36"/>
        <v>10</v>
      </c>
    </row>
    <row r="2165" ht="45" hidden="1" customHeight="1" outlineLevel="1">
      <c r="A2165" s="69"/>
      <c r="B2165" s="3" t="s">
        <v>190</v>
      </c>
      <c r="C2165" s="4" t="s">
        <v>6396</v>
      </c>
      <c r="D2165" s="5" t="s">
        <v>6397</v>
      </c>
      <c r="E2165" s="2" t="s">
        <v>48</v>
      </c>
      <c r="F2165" s="6" t="s">
        <v>564</v>
      </c>
      <c r="G2165" s="5" t="s">
        <v>6398</v>
      </c>
      <c r="H2165" s="2" t="s">
        <v>68</v>
      </c>
      <c r="I2165" s="3" t="s">
        <v>6399</v>
      </c>
      <c r="J2165" s="7">
        <v>1</v>
      </c>
      <c r="L2165" s="9">
        <v>1</v>
      </c>
      <c r="M2165" s="3">
        <v>1753</v>
      </c>
      <c r="N2165" s="6">
        <v>2015</v>
      </c>
      <c r="P2165" s="71"/>
      <c r="R2165" s="6">
        <v>2010</v>
      </c>
      <c r="S2165" s="3" t="s">
        <v>283</v>
      </c>
      <c r="T2165" s="72"/>
      <c r="U2165" s="73"/>
      <c r="W2165" s="74" t="s">
        <v>62</v>
      </c>
      <c r="X2165" s="10"/>
      <c r="Y2165" s="10"/>
      <c r="Z2165" s="75"/>
      <c r="AJ2165" s="73"/>
      <c r="AL2165" s="16" t="s">
        <v>6400</v>
      </c>
      <c r="AW2165" s="6">
        <f t="shared" ca="1" si="36"/>
        <v>10</v>
      </c>
    </row>
    <row r="2166" ht="45" hidden="1" customHeight="1" outlineLevel="1">
      <c r="A2166" s="69"/>
      <c r="B2166" s="3" t="s">
        <v>190</v>
      </c>
      <c r="C2166" s="4" t="s">
        <v>6401</v>
      </c>
      <c r="D2166" s="5" t="s">
        <v>6402</v>
      </c>
      <c r="E2166" s="2" t="s">
        <v>48</v>
      </c>
      <c r="F2166" s="6" t="s">
        <v>564</v>
      </c>
      <c r="G2166" s="5" t="s">
        <v>3818</v>
      </c>
      <c r="H2166" s="2" t="s">
        <v>68</v>
      </c>
      <c r="I2166" s="3" t="s">
        <v>6403</v>
      </c>
      <c r="J2166" s="7">
        <v>1</v>
      </c>
      <c r="L2166" s="9">
        <v>1</v>
      </c>
      <c r="M2166" s="3">
        <v>1754</v>
      </c>
      <c r="N2166" s="6">
        <v>2015</v>
      </c>
      <c r="P2166" s="71"/>
      <c r="R2166" s="6">
        <v>2010</v>
      </c>
      <c r="S2166" s="3" t="s">
        <v>283</v>
      </c>
      <c r="T2166" s="72"/>
      <c r="U2166" s="73"/>
      <c r="W2166" s="74" t="s">
        <v>62</v>
      </c>
      <c r="X2166" s="10"/>
      <c r="Y2166" s="10"/>
      <c r="Z2166" s="75"/>
      <c r="AJ2166" s="73"/>
      <c r="AL2166" s="16" t="s">
        <v>6404</v>
      </c>
      <c r="AW2166" s="6">
        <f t="shared" ca="1" si="36"/>
        <v>10</v>
      </c>
    </row>
    <row r="2167" ht="45" hidden="1" customHeight="1">
      <c r="A2167" s="69"/>
      <c r="B2167" s="3" t="s">
        <v>47</v>
      </c>
      <c r="C2167" s="4" t="s">
        <v>6405</v>
      </c>
      <c r="D2167" s="5" t="s">
        <v>6406</v>
      </c>
      <c r="E2167" s="2" t="s">
        <v>83</v>
      </c>
      <c r="F2167" s="6" t="s">
        <v>84</v>
      </c>
      <c r="G2167" s="5" t="s">
        <v>85</v>
      </c>
      <c r="H2167" s="2" t="s">
        <v>491</v>
      </c>
      <c r="I2167" s="3" t="s">
        <v>6407</v>
      </c>
      <c r="J2167" s="7">
        <v>1</v>
      </c>
      <c r="L2167" s="9">
        <v>1</v>
      </c>
      <c r="M2167" s="3">
        <v>1755</v>
      </c>
      <c r="N2167" s="6">
        <v>2015</v>
      </c>
      <c r="P2167" s="71"/>
      <c r="R2167" s="6">
        <v>2010</v>
      </c>
      <c r="S2167" s="3" t="s">
        <v>939</v>
      </c>
      <c r="T2167" s="72"/>
      <c r="U2167" s="73"/>
      <c r="W2167" s="2" t="s">
        <v>62</v>
      </c>
      <c r="X2167" s="10"/>
      <c r="Y2167" s="10"/>
      <c r="Z2167" s="75"/>
      <c r="AJ2167" s="73"/>
      <c r="AL2167" s="16"/>
      <c r="AW2167" s="6">
        <f t="shared" ca="1" si="36"/>
        <v>10</v>
      </c>
    </row>
    <row r="2168" ht="45" hidden="1" customHeight="1">
      <c r="A2168" s="69"/>
      <c r="B2168" s="3" t="s">
        <v>47</v>
      </c>
      <c r="C2168" s="4" t="s">
        <v>3220</v>
      </c>
      <c r="D2168" s="5" t="s">
        <v>6408</v>
      </c>
      <c r="E2168" s="2" t="s">
        <v>83</v>
      </c>
      <c r="F2168" s="6" t="s">
        <v>84</v>
      </c>
      <c r="G2168" s="5" t="s">
        <v>3322</v>
      </c>
      <c r="H2168" s="2" t="s">
        <v>68</v>
      </c>
      <c r="I2168" s="3" t="s">
        <v>6409</v>
      </c>
      <c r="J2168" s="7">
        <v>1</v>
      </c>
      <c r="L2168" s="9">
        <v>1</v>
      </c>
      <c r="M2168" s="3">
        <v>1756</v>
      </c>
      <c r="N2168" s="6">
        <v>2015</v>
      </c>
      <c r="P2168" s="71"/>
      <c r="R2168" s="6">
        <v>2010</v>
      </c>
      <c r="S2168" s="3" t="s">
        <v>236</v>
      </c>
      <c r="T2168" s="72"/>
      <c r="U2168" s="73"/>
      <c r="W2168" s="2" t="s">
        <v>62</v>
      </c>
      <c r="X2168" s="10"/>
      <c r="Y2168" s="10"/>
      <c r="Z2168" s="75"/>
      <c r="AJ2168" s="10">
        <v>42265</v>
      </c>
      <c r="AK2168" s="6">
        <v>2010</v>
      </c>
      <c r="AL2168" s="16"/>
      <c r="AW2168" s="6">
        <f t="shared" ca="1" si="36"/>
        <v>10</v>
      </c>
    </row>
    <row r="2169" ht="45" hidden="1" customHeight="1" outlineLevel="1">
      <c r="A2169" s="69"/>
      <c r="B2169" s="3" t="s">
        <v>47</v>
      </c>
      <c r="C2169" s="4" t="s">
        <v>6410</v>
      </c>
      <c r="D2169" s="5" t="s">
        <v>6411</v>
      </c>
      <c r="E2169" s="2" t="s">
        <v>48</v>
      </c>
      <c r="F2169" s="6" t="s">
        <v>564</v>
      </c>
      <c r="G2169" s="5" t="s">
        <v>565</v>
      </c>
      <c r="H2169" s="2" t="s">
        <v>508</v>
      </c>
      <c r="I2169" s="3" t="s">
        <v>6412</v>
      </c>
      <c r="J2169" s="7">
        <v>1</v>
      </c>
      <c r="L2169" s="9">
        <v>1</v>
      </c>
      <c r="M2169" s="3">
        <v>1757</v>
      </c>
      <c r="N2169" s="6">
        <v>2015</v>
      </c>
      <c r="P2169" s="71"/>
      <c r="R2169" s="6">
        <v>2010</v>
      </c>
      <c r="S2169" s="3" t="s">
        <v>236</v>
      </c>
      <c r="T2169" s="72"/>
      <c r="U2169" s="73"/>
      <c r="W2169" s="2" t="s">
        <v>62</v>
      </c>
      <c r="X2169" s="10"/>
      <c r="Y2169" s="10"/>
      <c r="Z2169" s="75"/>
      <c r="AJ2169" s="10">
        <v>42261</v>
      </c>
      <c r="AK2169" s="7">
        <v>2010</v>
      </c>
      <c r="AL2169" s="16"/>
      <c r="AW2169" s="6">
        <f t="shared" ca="1" si="36"/>
        <v>10</v>
      </c>
    </row>
    <row r="2170" ht="45" hidden="1" customHeight="1">
      <c r="A2170" s="69"/>
      <c r="B2170" s="3" t="s">
        <v>190</v>
      </c>
      <c r="C2170" s="4" t="s">
        <v>6413</v>
      </c>
      <c r="D2170" s="5" t="s">
        <v>6414</v>
      </c>
      <c r="E2170" s="2" t="s">
        <v>83</v>
      </c>
      <c r="F2170" s="6" t="s">
        <v>704</v>
      </c>
      <c r="G2170" s="5" t="s">
        <v>705</v>
      </c>
      <c r="H2170" s="2" t="s">
        <v>68</v>
      </c>
      <c r="I2170" s="3" t="s">
        <v>6415</v>
      </c>
      <c r="J2170" s="7">
        <v>1</v>
      </c>
      <c r="L2170" s="9">
        <v>1</v>
      </c>
      <c r="M2170" s="3">
        <v>1758</v>
      </c>
      <c r="N2170" s="6">
        <v>2015</v>
      </c>
      <c r="P2170" s="71"/>
      <c r="R2170" s="6">
        <v>2010</v>
      </c>
      <c r="S2170" s="3" t="s">
        <v>283</v>
      </c>
      <c r="T2170" s="72"/>
      <c r="U2170" s="73"/>
      <c r="W2170" s="74" t="s">
        <v>62</v>
      </c>
      <c r="X2170" s="10"/>
      <c r="Y2170" s="10"/>
      <c r="Z2170" s="75"/>
      <c r="AJ2170" s="73"/>
      <c r="AL2170" s="16"/>
      <c r="AW2170" s="6">
        <f t="shared" ca="1" si="36"/>
        <v>10</v>
      </c>
    </row>
    <row r="2171" ht="45" hidden="1" customHeight="1">
      <c r="A2171" s="69"/>
      <c r="B2171" s="3" t="s">
        <v>47</v>
      </c>
      <c r="C2171" s="4" t="s">
        <v>6416</v>
      </c>
      <c r="D2171" s="5" t="s">
        <v>6417</v>
      </c>
      <c r="E2171" s="2" t="s">
        <v>83</v>
      </c>
      <c r="F2171" s="6" t="s">
        <v>704</v>
      </c>
      <c r="G2171" s="5" t="s">
        <v>6378</v>
      </c>
      <c r="H2171" s="2" t="s">
        <v>288</v>
      </c>
      <c r="I2171" s="3" t="s">
        <v>6418</v>
      </c>
      <c r="J2171" s="7">
        <v>1</v>
      </c>
      <c r="L2171" s="9">
        <v>1</v>
      </c>
      <c r="M2171" s="3">
        <v>1759</v>
      </c>
      <c r="N2171" s="6">
        <v>2015</v>
      </c>
      <c r="P2171" s="71"/>
      <c r="R2171" s="6">
        <v>2010</v>
      </c>
      <c r="S2171" s="3" t="s">
        <v>236</v>
      </c>
      <c r="T2171" s="72"/>
      <c r="U2171" s="73"/>
      <c r="W2171" s="2" t="s">
        <v>62</v>
      </c>
      <c r="X2171" s="10"/>
      <c r="Y2171" s="10"/>
      <c r="Z2171" s="75"/>
      <c r="AJ2171" s="10">
        <v>42291</v>
      </c>
      <c r="AK2171" s="7">
        <v>2010</v>
      </c>
      <c r="AL2171" s="16"/>
      <c r="AW2171" s="6">
        <f t="shared" ca="1" si="36"/>
        <v>10</v>
      </c>
    </row>
    <row r="2172" ht="45" hidden="1" customHeight="1" outlineLevel="1">
      <c r="A2172" s="69"/>
      <c r="B2172" s="3" t="s">
        <v>47</v>
      </c>
      <c r="C2172" s="4" t="s">
        <v>6419</v>
      </c>
      <c r="D2172" s="5" t="s">
        <v>6420</v>
      </c>
      <c r="E2172" s="2" t="s">
        <v>48</v>
      </c>
      <c r="F2172" s="6" t="s">
        <v>564</v>
      </c>
      <c r="G2172" s="5" t="s">
        <v>6421</v>
      </c>
      <c r="H2172" s="2" t="s">
        <v>51</v>
      </c>
      <c r="I2172" s="3" t="s">
        <v>6422</v>
      </c>
      <c r="J2172" s="7">
        <v>1</v>
      </c>
      <c r="L2172" s="9">
        <v>1</v>
      </c>
      <c r="M2172" s="3">
        <v>1760</v>
      </c>
      <c r="N2172" s="6">
        <v>2015</v>
      </c>
      <c r="P2172" s="71"/>
      <c r="R2172" s="6">
        <v>2010</v>
      </c>
      <c r="S2172" s="3" t="s">
        <v>236</v>
      </c>
      <c r="T2172" s="72" t="s">
        <v>1136</v>
      </c>
      <c r="W2172" s="2" t="s">
        <v>62</v>
      </c>
      <c r="X2172" s="10"/>
      <c r="Y2172" s="10"/>
      <c r="Z2172" s="75"/>
      <c r="AJ2172" s="10">
        <v>44487</v>
      </c>
      <c r="AK2172" s="6">
        <v>2020</v>
      </c>
      <c r="AL2172" s="16" t="s">
        <v>6423</v>
      </c>
      <c r="AW2172" s="6">
        <f t="shared" ca="1" si="36"/>
        <v>10</v>
      </c>
    </row>
    <row r="2173" ht="45" hidden="1" customHeight="1">
      <c r="A2173" s="69"/>
      <c r="B2173" s="3" t="s">
        <v>190</v>
      </c>
      <c r="C2173" s="4" t="s">
        <v>6424</v>
      </c>
      <c r="D2173" s="5" t="s">
        <v>6425</v>
      </c>
      <c r="E2173" s="2" t="s">
        <v>83</v>
      </c>
      <c r="F2173" s="6" t="s">
        <v>931</v>
      </c>
      <c r="G2173" s="5" t="s">
        <v>6426</v>
      </c>
      <c r="H2173" s="2" t="s">
        <v>977</v>
      </c>
      <c r="I2173" s="3" t="s">
        <v>6427</v>
      </c>
      <c r="J2173" s="7">
        <v>1</v>
      </c>
      <c r="L2173" s="9">
        <v>1</v>
      </c>
      <c r="M2173" s="3">
        <v>1761</v>
      </c>
      <c r="N2173" s="6">
        <v>2015</v>
      </c>
      <c r="P2173" s="71"/>
      <c r="R2173" s="6">
        <v>2010</v>
      </c>
      <c r="S2173" s="3" t="s">
        <v>283</v>
      </c>
      <c r="T2173" s="72"/>
      <c r="U2173" s="73"/>
      <c r="W2173" s="74" t="s">
        <v>62</v>
      </c>
      <c r="X2173" s="10"/>
      <c r="Y2173" s="10"/>
      <c r="Z2173" s="75"/>
      <c r="AJ2173" s="73"/>
      <c r="AL2173" s="16"/>
      <c r="AW2173" s="6">
        <f t="shared" ca="1" si="36"/>
        <v>10</v>
      </c>
    </row>
    <row r="2174" ht="45" hidden="1" customHeight="1">
      <c r="A2174" s="69">
        <v>44910</v>
      </c>
      <c r="B2174" s="3" t="s">
        <v>190</v>
      </c>
      <c r="C2174" s="4" t="s">
        <v>6428</v>
      </c>
      <c r="D2174" s="5" t="s">
        <v>6429</v>
      </c>
      <c r="E2174" s="2" t="s">
        <v>48</v>
      </c>
      <c r="F2174" s="6" t="s">
        <v>49</v>
      </c>
      <c r="G2174" s="5" t="s">
        <v>1350</v>
      </c>
      <c r="H2174" s="2" t="s">
        <v>4501</v>
      </c>
      <c r="I2174" s="3" t="s">
        <v>6430</v>
      </c>
      <c r="J2174" s="7">
        <v>1</v>
      </c>
      <c r="L2174" s="9">
        <v>1</v>
      </c>
      <c r="M2174" s="3">
        <v>1762</v>
      </c>
      <c r="N2174" s="6">
        <v>2015</v>
      </c>
      <c r="O2174" s="10">
        <v>42220</v>
      </c>
      <c r="P2174" s="71" t="s">
        <v>6320</v>
      </c>
      <c r="Q2174" s="10">
        <v>42269</v>
      </c>
      <c r="R2174" s="6">
        <v>2010</v>
      </c>
      <c r="S2174" s="3" t="s">
        <v>283</v>
      </c>
      <c r="T2174" s="72"/>
      <c r="U2174" s="73"/>
      <c r="W2174" s="74" t="s">
        <v>62</v>
      </c>
      <c r="X2174" s="10"/>
      <c r="Y2174" s="10"/>
      <c r="Z2174" s="75"/>
      <c r="AJ2174" s="73"/>
      <c r="AL2174" s="16"/>
      <c r="AW2174" s="6">
        <f t="shared" ca="1" si="36"/>
        <v>10</v>
      </c>
    </row>
    <row r="2175" ht="45" hidden="1" customHeight="1">
      <c r="A2175" s="69">
        <v>45426</v>
      </c>
      <c r="B2175" s="3" t="s">
        <v>47</v>
      </c>
      <c r="C2175" s="4" t="s">
        <v>6431</v>
      </c>
      <c r="D2175" s="5" t="s">
        <v>6432</v>
      </c>
      <c r="E2175" s="2" t="s">
        <v>83</v>
      </c>
      <c r="F2175" s="6" t="s">
        <v>84</v>
      </c>
      <c r="G2175" s="5" t="s">
        <v>4408</v>
      </c>
      <c r="H2175" s="2" t="s">
        <v>57</v>
      </c>
      <c r="I2175" s="3" t="s">
        <v>6433</v>
      </c>
      <c r="J2175" s="7">
        <v>1</v>
      </c>
      <c r="L2175" s="9">
        <v>1</v>
      </c>
      <c r="M2175" s="3">
        <v>1763</v>
      </c>
      <c r="N2175" s="6">
        <v>2015</v>
      </c>
      <c r="O2175" s="10">
        <v>42220</v>
      </c>
      <c r="P2175" s="71" t="s">
        <v>6434</v>
      </c>
      <c r="Q2175" s="10">
        <v>42243</v>
      </c>
      <c r="R2175" s="6">
        <v>2010</v>
      </c>
      <c r="S2175" s="3" t="s">
        <v>236</v>
      </c>
      <c r="T2175" s="72" t="s">
        <v>1136</v>
      </c>
      <c r="W2175" s="74" t="s">
        <v>62</v>
      </c>
      <c r="X2175" s="10"/>
      <c r="Y2175" s="10"/>
      <c r="Z2175" s="75"/>
      <c r="AJ2175" s="10">
        <v>45462</v>
      </c>
      <c r="AK2175" s="6">
        <v>2020</v>
      </c>
      <c r="AL2175" s="16" t="s">
        <v>6435</v>
      </c>
      <c r="AW2175" s="6">
        <f t="shared" ca="1" si="36"/>
        <v>10</v>
      </c>
    </row>
    <row r="2176" ht="45" hidden="1" customHeight="1" outlineLevel="1">
      <c r="A2176" s="69"/>
      <c r="B2176" s="3" t="s">
        <v>190</v>
      </c>
      <c r="C2176" s="4" t="s">
        <v>6436</v>
      </c>
      <c r="D2176" s="5" t="s">
        <v>6437</v>
      </c>
      <c r="E2176" s="2" t="s">
        <v>48</v>
      </c>
      <c r="F2176" s="6" t="s">
        <v>564</v>
      </c>
      <c r="G2176" s="5" t="s">
        <v>565</v>
      </c>
      <c r="H2176" s="2" t="s">
        <v>68</v>
      </c>
      <c r="I2176" s="3" t="s">
        <v>6438</v>
      </c>
      <c r="J2176" s="7">
        <v>1</v>
      </c>
      <c r="L2176" s="9">
        <v>1</v>
      </c>
      <c r="M2176" s="3">
        <v>1764</v>
      </c>
      <c r="N2176" s="6">
        <v>2015</v>
      </c>
      <c r="O2176" s="10">
        <v>42201</v>
      </c>
      <c r="P2176" s="71" t="s">
        <v>6439</v>
      </c>
      <c r="Q2176" s="10">
        <v>42272</v>
      </c>
      <c r="R2176" s="6">
        <v>2010</v>
      </c>
      <c r="S2176" s="3" t="s">
        <v>283</v>
      </c>
      <c r="T2176" s="72"/>
      <c r="U2176" s="73"/>
      <c r="W2176" s="74" t="s">
        <v>62</v>
      </c>
      <c r="X2176" s="10"/>
      <c r="Y2176" s="10"/>
      <c r="Z2176" s="75"/>
      <c r="AJ2176" s="73"/>
      <c r="AL2176" s="16" t="s">
        <v>6440</v>
      </c>
      <c r="AW2176" s="6">
        <f t="shared" ca="1" si="36"/>
        <v>10</v>
      </c>
    </row>
    <row r="2177" ht="45" hidden="1" customHeight="1">
      <c r="A2177" s="69"/>
      <c r="B2177" s="3" t="s">
        <v>47</v>
      </c>
      <c r="C2177" s="4" t="s">
        <v>4554</v>
      </c>
      <c r="D2177" s="5" t="s">
        <v>6441</v>
      </c>
      <c r="E2177" s="2" t="s">
        <v>63</v>
      </c>
      <c r="F2177" s="6" t="s">
        <v>1230</v>
      </c>
      <c r="G2177" s="5" t="s">
        <v>3078</v>
      </c>
      <c r="H2177" s="2" t="s">
        <v>57</v>
      </c>
      <c r="I2177" s="3" t="s">
        <v>6442</v>
      </c>
      <c r="J2177" s="7">
        <v>1</v>
      </c>
      <c r="L2177" s="9">
        <v>1</v>
      </c>
      <c r="M2177" s="3">
        <v>1765</v>
      </c>
      <c r="N2177" s="6">
        <v>2015</v>
      </c>
      <c r="P2177" s="71"/>
      <c r="R2177" s="6">
        <v>2010</v>
      </c>
      <c r="S2177" s="3" t="s">
        <v>236</v>
      </c>
      <c r="T2177" s="72"/>
      <c r="U2177" s="73"/>
      <c r="W2177" s="2" t="s">
        <v>62</v>
      </c>
      <c r="X2177" s="10"/>
      <c r="Y2177" s="10"/>
      <c r="Z2177" s="75"/>
      <c r="AJ2177" s="10">
        <v>40905</v>
      </c>
      <c r="AK2177" s="7">
        <v>2010</v>
      </c>
      <c r="AL2177" s="16"/>
      <c r="AW2177" s="6">
        <f t="shared" ca="1" si="36"/>
        <v>10</v>
      </c>
    </row>
    <row r="2178" ht="45" hidden="1" customHeight="1">
      <c r="A2178" s="69"/>
      <c r="B2178" s="3" t="s">
        <v>190</v>
      </c>
      <c r="C2178" s="4" t="s">
        <v>6443</v>
      </c>
      <c r="D2178" s="5" t="s">
        <v>6444</v>
      </c>
      <c r="E2178" s="2" t="s">
        <v>48</v>
      </c>
      <c r="F2178" s="6" t="s">
        <v>140</v>
      </c>
      <c r="G2178" s="5" t="s">
        <v>6445</v>
      </c>
      <c r="H2178" s="2" t="s">
        <v>51</v>
      </c>
      <c r="I2178" s="3" t="s">
        <v>6446</v>
      </c>
      <c r="J2178" s="7">
        <v>1</v>
      </c>
      <c r="L2178" s="9">
        <v>1</v>
      </c>
      <c r="M2178" s="3">
        <v>1766</v>
      </c>
      <c r="N2178" s="6">
        <v>2015</v>
      </c>
      <c r="P2178" s="71"/>
      <c r="R2178" s="6">
        <v>2010</v>
      </c>
      <c r="S2178" s="3" t="s">
        <v>283</v>
      </c>
      <c r="T2178" s="72"/>
      <c r="U2178" s="73"/>
      <c r="W2178" s="74" t="s">
        <v>62</v>
      </c>
      <c r="X2178" s="10"/>
      <c r="Y2178" s="10"/>
      <c r="Z2178" s="75"/>
      <c r="AJ2178" s="73"/>
      <c r="AL2178" s="16"/>
      <c r="AW2178" s="6">
        <f t="shared" ca="1" si="36"/>
        <v>10</v>
      </c>
    </row>
    <row r="2179" ht="45" hidden="1" customHeight="1">
      <c r="A2179" s="69"/>
      <c r="B2179" s="3" t="s">
        <v>47</v>
      </c>
      <c r="C2179" s="4" t="s">
        <v>6447</v>
      </c>
      <c r="D2179" s="5" t="s">
        <v>6448</v>
      </c>
      <c r="E2179" s="2" t="s">
        <v>83</v>
      </c>
      <c r="F2179" s="6" t="s">
        <v>84</v>
      </c>
      <c r="G2179" s="5" t="s">
        <v>85</v>
      </c>
      <c r="H2179" s="2" t="s">
        <v>181</v>
      </c>
      <c r="I2179" s="3" t="s">
        <v>6449</v>
      </c>
      <c r="J2179" s="7">
        <v>1</v>
      </c>
      <c r="L2179" s="9">
        <v>1</v>
      </c>
      <c r="M2179" s="3">
        <v>1767</v>
      </c>
      <c r="N2179" s="6">
        <v>2015</v>
      </c>
      <c r="P2179" s="71"/>
      <c r="R2179" s="6">
        <v>2010</v>
      </c>
      <c r="S2179" s="3" t="s">
        <v>236</v>
      </c>
      <c r="T2179" s="72" t="s">
        <v>1136</v>
      </c>
      <c r="W2179" s="2" t="s">
        <v>62</v>
      </c>
      <c r="X2179" s="10"/>
      <c r="Y2179" s="10"/>
      <c r="Z2179" s="75"/>
      <c r="AJ2179" s="10">
        <v>44720</v>
      </c>
      <c r="AK2179" s="6">
        <v>2020</v>
      </c>
      <c r="AL2179" s="16"/>
      <c r="AW2179" s="6">
        <f t="shared" ca="1" si="36"/>
        <v>10</v>
      </c>
    </row>
    <row r="2180" ht="45" hidden="1" customHeight="1">
      <c r="A2180" s="69"/>
      <c r="B2180" s="3" t="s">
        <v>190</v>
      </c>
      <c r="C2180" s="4" t="s">
        <v>6450</v>
      </c>
      <c r="D2180" s="5" t="s">
        <v>6451</v>
      </c>
      <c r="E2180" s="2" t="s">
        <v>63</v>
      </c>
      <c r="F2180" s="6" t="s">
        <v>172</v>
      </c>
      <c r="G2180" s="5" t="s">
        <v>1268</v>
      </c>
      <c r="H2180" s="2" t="s">
        <v>3735</v>
      </c>
      <c r="I2180" s="3" t="s">
        <v>6452</v>
      </c>
      <c r="J2180" s="7">
        <v>1</v>
      </c>
      <c r="L2180" s="9">
        <v>1</v>
      </c>
      <c r="M2180" s="3">
        <v>1768</v>
      </c>
      <c r="N2180" s="6">
        <v>2015</v>
      </c>
      <c r="P2180" s="71"/>
      <c r="R2180" s="6">
        <v>2010</v>
      </c>
      <c r="S2180" s="3" t="s">
        <v>283</v>
      </c>
      <c r="T2180" s="72"/>
      <c r="U2180" s="73"/>
      <c r="W2180" s="74" t="s">
        <v>62</v>
      </c>
      <c r="X2180" s="10"/>
      <c r="Y2180" s="10"/>
      <c r="Z2180" s="75"/>
      <c r="AJ2180" s="73"/>
      <c r="AL2180" s="16"/>
      <c r="AW2180" s="6">
        <f t="shared" ca="1" si="36"/>
        <v>10</v>
      </c>
    </row>
    <row r="2181" ht="45" hidden="1" customHeight="1">
      <c r="A2181" s="69"/>
      <c r="B2181" s="3" t="s">
        <v>47</v>
      </c>
      <c r="C2181" s="4" t="s">
        <v>6453</v>
      </c>
      <c r="D2181" s="5" t="s">
        <v>6454</v>
      </c>
      <c r="E2181" s="2" t="s">
        <v>83</v>
      </c>
      <c r="F2181" s="6" t="s">
        <v>84</v>
      </c>
      <c r="G2181" s="5" t="s">
        <v>85</v>
      </c>
      <c r="H2181" s="2" t="s">
        <v>57</v>
      </c>
      <c r="I2181" s="3" t="s">
        <v>6455</v>
      </c>
      <c r="J2181" s="7">
        <v>1</v>
      </c>
      <c r="L2181" s="9">
        <v>1</v>
      </c>
      <c r="M2181" s="3">
        <v>1769</v>
      </c>
      <c r="N2181" s="6">
        <v>2015</v>
      </c>
      <c r="P2181" s="71"/>
      <c r="R2181" s="6">
        <v>2010</v>
      </c>
      <c r="S2181" s="3" t="s">
        <v>236</v>
      </c>
      <c r="T2181" s="72"/>
      <c r="U2181" s="10">
        <v>44001</v>
      </c>
      <c r="W2181" s="2" t="s">
        <v>62</v>
      </c>
      <c r="X2181" s="10"/>
      <c r="Y2181" s="10"/>
      <c r="Z2181" s="75"/>
      <c r="AJ2181" s="10">
        <v>44001</v>
      </c>
      <c r="AK2181" s="6">
        <v>2020</v>
      </c>
      <c r="AL2181" s="16"/>
      <c r="AW2181" s="6">
        <f t="shared" ca="1" si="36"/>
        <v>10</v>
      </c>
    </row>
    <row r="2182" ht="45" hidden="1" customHeight="1">
      <c r="A2182" s="69"/>
      <c r="B2182" s="3" t="s">
        <v>190</v>
      </c>
      <c r="C2182" s="4" t="s">
        <v>6456</v>
      </c>
      <c r="D2182" s="5" t="s">
        <v>6457</v>
      </c>
      <c r="E2182" s="2" t="s">
        <v>63</v>
      </c>
      <c r="F2182" s="6" t="s">
        <v>83</v>
      </c>
      <c r="G2182" s="5" t="s">
        <v>6458</v>
      </c>
      <c r="H2182" s="2" t="s">
        <v>51</v>
      </c>
      <c r="I2182" s="3" t="s">
        <v>326</v>
      </c>
      <c r="J2182" s="7">
        <v>1</v>
      </c>
      <c r="L2182" s="9">
        <v>1</v>
      </c>
      <c r="M2182" s="3">
        <v>1770</v>
      </c>
      <c r="N2182" s="6">
        <v>2015</v>
      </c>
      <c r="P2182" s="71"/>
      <c r="R2182" s="6">
        <v>2010</v>
      </c>
      <c r="S2182" s="3" t="s">
        <v>283</v>
      </c>
      <c r="T2182" s="72"/>
      <c r="U2182" s="73"/>
      <c r="W2182" s="74" t="s">
        <v>62</v>
      </c>
      <c r="X2182" s="10"/>
      <c r="Y2182" s="10"/>
      <c r="Z2182" s="75"/>
      <c r="AJ2182" s="73"/>
      <c r="AL2182" s="16"/>
      <c r="AW2182" s="6">
        <f t="shared" ca="1" si="36"/>
        <v>10</v>
      </c>
    </row>
    <row r="2183" ht="45" hidden="1" customHeight="1">
      <c r="A2183" s="69"/>
      <c r="B2183" s="3" t="s">
        <v>1926</v>
      </c>
      <c r="C2183" s="4" t="s">
        <v>6459</v>
      </c>
      <c r="D2183" s="5" t="s">
        <v>6460</v>
      </c>
      <c r="E2183" s="2" t="s">
        <v>1074</v>
      </c>
      <c r="F2183" s="6" t="s">
        <v>2154</v>
      </c>
      <c r="G2183" s="5" t="s">
        <v>2155</v>
      </c>
      <c r="H2183" s="2" t="s">
        <v>57</v>
      </c>
      <c r="I2183" s="3" t="s">
        <v>6461</v>
      </c>
      <c r="J2183" s="7">
        <v>1</v>
      </c>
      <c r="L2183" s="9">
        <v>1</v>
      </c>
      <c r="M2183" s="3">
        <v>1771</v>
      </c>
      <c r="N2183" s="6">
        <v>2015</v>
      </c>
      <c r="P2183" s="71"/>
      <c r="R2183" s="6">
        <v>2010</v>
      </c>
      <c r="S2183" s="3" t="s">
        <v>283</v>
      </c>
      <c r="T2183" s="72"/>
      <c r="U2183" s="73"/>
      <c r="W2183" s="74" t="s">
        <v>62</v>
      </c>
      <c r="X2183" s="10"/>
      <c r="Y2183" s="10"/>
      <c r="Z2183" s="75"/>
      <c r="AJ2183" s="73"/>
      <c r="AL2183" s="16"/>
      <c r="AW2183" s="6">
        <f t="shared" ca="1" si="36"/>
        <v>10</v>
      </c>
    </row>
    <row r="2184" ht="45" hidden="1" customHeight="1">
      <c r="A2184" s="69"/>
      <c r="B2184" s="3" t="s">
        <v>190</v>
      </c>
      <c r="C2184" s="4" t="s">
        <v>6462</v>
      </c>
      <c r="D2184" s="5" t="s">
        <v>6463</v>
      </c>
      <c r="E2184" s="2" t="s">
        <v>63</v>
      </c>
      <c r="F2184" s="6" t="s">
        <v>1230</v>
      </c>
      <c r="G2184" s="5" t="s">
        <v>6464</v>
      </c>
      <c r="H2184" s="2" t="s">
        <v>51</v>
      </c>
      <c r="I2184" s="3" t="s">
        <v>76</v>
      </c>
      <c r="J2184" s="7">
        <v>1</v>
      </c>
      <c r="L2184" s="9">
        <v>1</v>
      </c>
      <c r="M2184" s="3">
        <v>1772</v>
      </c>
      <c r="N2184" s="6">
        <v>2015</v>
      </c>
      <c r="P2184" s="71"/>
      <c r="R2184" s="6">
        <v>2010</v>
      </c>
      <c r="S2184" s="3" t="s">
        <v>283</v>
      </c>
      <c r="T2184" s="72"/>
      <c r="U2184" s="73"/>
      <c r="W2184" s="74" t="s">
        <v>62</v>
      </c>
      <c r="X2184" s="10"/>
      <c r="Y2184" s="10"/>
      <c r="Z2184" s="75"/>
      <c r="AJ2184" s="73"/>
      <c r="AL2184" s="16"/>
      <c r="AW2184" s="6">
        <f t="shared" ca="1" si="36"/>
        <v>10</v>
      </c>
    </row>
    <row r="2185" ht="45" hidden="1" customHeight="1">
      <c r="A2185" s="69">
        <v>43847</v>
      </c>
      <c r="B2185" s="3" t="s">
        <v>47</v>
      </c>
      <c r="C2185" s="4" t="s">
        <v>6465</v>
      </c>
      <c r="D2185" s="5" t="s">
        <v>6466</v>
      </c>
      <c r="E2185" s="2" t="s">
        <v>63</v>
      </c>
      <c r="F2185" s="6" t="s">
        <v>172</v>
      </c>
      <c r="G2185" s="5" t="s">
        <v>173</v>
      </c>
      <c r="H2185" s="2" t="s">
        <v>57</v>
      </c>
      <c r="I2185" s="3" t="s">
        <v>6467</v>
      </c>
      <c r="J2185" s="7">
        <v>1</v>
      </c>
      <c r="L2185" s="9">
        <v>1</v>
      </c>
      <c r="M2185" s="3">
        <v>1773</v>
      </c>
      <c r="N2185" s="6">
        <v>2015</v>
      </c>
      <c r="P2185" s="71"/>
      <c r="R2185" s="6">
        <v>2010</v>
      </c>
      <c r="S2185" s="3" t="s">
        <v>236</v>
      </c>
      <c r="T2185" s="72"/>
      <c r="W2185" s="175"/>
      <c r="X2185" s="10" t="s">
        <v>504</v>
      </c>
      <c r="Y2185" s="10" t="s">
        <v>501</v>
      </c>
      <c r="Z2185" s="75"/>
      <c r="AA2185" s="76"/>
      <c r="AB2185" s="77"/>
      <c r="AC2185" s="77"/>
      <c r="AD2185" s="10"/>
      <c r="AI2185" s="7"/>
      <c r="AJ2185" s="10">
        <v>44406</v>
      </c>
      <c r="AK2185" s="7">
        <v>2020</v>
      </c>
      <c r="AL2185" s="16"/>
      <c r="AW2185" s="6">
        <f t="shared" ca="1" si="36"/>
        <v>10</v>
      </c>
    </row>
    <row r="2186" ht="45" hidden="1" customHeight="1" outlineLevel="1">
      <c r="A2186" s="69"/>
      <c r="B2186" s="3" t="s">
        <v>47</v>
      </c>
      <c r="C2186" s="4" t="s">
        <v>6372</v>
      </c>
      <c r="D2186" s="5" t="s">
        <v>6468</v>
      </c>
      <c r="E2186" s="2" t="s">
        <v>83</v>
      </c>
      <c r="F2186" s="6" t="s">
        <v>704</v>
      </c>
      <c r="G2186" s="5" t="s">
        <v>6469</v>
      </c>
      <c r="H2186" s="2" t="s">
        <v>977</v>
      </c>
      <c r="I2186" s="3" t="s">
        <v>6470</v>
      </c>
      <c r="J2186" s="7">
        <v>1</v>
      </c>
      <c r="L2186" s="9">
        <v>1</v>
      </c>
      <c r="M2186" s="3">
        <v>1774</v>
      </c>
      <c r="N2186" s="6">
        <v>2016</v>
      </c>
      <c r="P2186" s="71"/>
      <c r="R2186" s="6">
        <v>2010</v>
      </c>
      <c r="S2186" s="3" t="s">
        <v>236</v>
      </c>
      <c r="T2186" s="72"/>
      <c r="U2186" s="73"/>
      <c r="W2186" s="2" t="s">
        <v>62</v>
      </c>
      <c r="X2186" s="10"/>
      <c r="Y2186" s="10"/>
      <c r="Z2186" s="75"/>
      <c r="AJ2186" s="10">
        <v>42438</v>
      </c>
      <c r="AK2186" s="7">
        <v>2010</v>
      </c>
      <c r="AL2186" s="16"/>
      <c r="AW2186" s="6">
        <f t="shared" ca="1" si="36"/>
        <v>9</v>
      </c>
    </row>
    <row r="2187" ht="45" hidden="1" customHeight="1" outlineLevel="1">
      <c r="A2187" s="69"/>
      <c r="B2187" s="3" t="s">
        <v>190</v>
      </c>
      <c r="C2187" s="4" t="s">
        <v>6471</v>
      </c>
      <c r="D2187" s="5" t="s">
        <v>6472</v>
      </c>
      <c r="E2187" s="2" t="s">
        <v>83</v>
      </c>
      <c r="F2187" s="6" t="s">
        <v>704</v>
      </c>
      <c r="G2187" s="5" t="s">
        <v>4727</v>
      </c>
      <c r="H2187" s="2" t="s">
        <v>57</v>
      </c>
      <c r="I2187" s="3" t="s">
        <v>6473</v>
      </c>
      <c r="J2187" s="7">
        <v>1</v>
      </c>
      <c r="L2187" s="9">
        <v>1</v>
      </c>
      <c r="M2187" s="3">
        <v>1775</v>
      </c>
      <c r="N2187" s="6">
        <v>2016</v>
      </c>
      <c r="P2187" s="71"/>
      <c r="R2187" s="6">
        <v>2010</v>
      </c>
      <c r="S2187" s="3" t="s">
        <v>283</v>
      </c>
      <c r="T2187" s="72"/>
      <c r="U2187" s="73"/>
      <c r="W2187" s="74" t="s">
        <v>62</v>
      </c>
      <c r="X2187" s="10"/>
      <c r="Y2187" s="10"/>
      <c r="Z2187" s="75"/>
      <c r="AJ2187" s="73"/>
      <c r="AL2187" s="16"/>
      <c r="AW2187" s="6">
        <f t="shared" ca="1" si="36"/>
        <v>9</v>
      </c>
    </row>
    <row r="2188" ht="45" hidden="1" customHeight="1" outlineLevel="1">
      <c r="A2188" s="69"/>
      <c r="B2188" s="3" t="s">
        <v>47</v>
      </c>
      <c r="C2188" s="4" t="s">
        <v>6474</v>
      </c>
      <c r="D2188" s="5" t="s">
        <v>6475</v>
      </c>
      <c r="E2188" s="2" t="s">
        <v>83</v>
      </c>
      <c r="F2188" s="6" t="s">
        <v>704</v>
      </c>
      <c r="G2188" s="5" t="s">
        <v>6476</v>
      </c>
      <c r="H2188" s="2" t="s">
        <v>57</v>
      </c>
      <c r="I2188" s="3" t="s">
        <v>6477</v>
      </c>
      <c r="J2188" s="7">
        <v>1</v>
      </c>
      <c r="L2188" s="9">
        <v>1</v>
      </c>
      <c r="M2188" s="3">
        <v>1776</v>
      </c>
      <c r="N2188" s="6">
        <v>2016</v>
      </c>
      <c r="P2188" s="71"/>
      <c r="R2188" s="6">
        <v>2010</v>
      </c>
      <c r="S2188" s="3" t="s">
        <v>236</v>
      </c>
      <c r="T2188" s="72"/>
      <c r="U2188" s="73"/>
      <c r="W2188" s="2" t="s">
        <v>62</v>
      </c>
      <c r="X2188" s="10"/>
      <c r="Y2188" s="10"/>
      <c r="Z2188" s="75"/>
      <c r="AJ2188" s="10">
        <v>42438</v>
      </c>
      <c r="AK2188" s="7">
        <v>2010</v>
      </c>
      <c r="AL2188" s="16"/>
      <c r="AW2188" s="6">
        <f t="shared" ca="1" si="36"/>
        <v>9</v>
      </c>
    </row>
    <row r="2189" ht="45" hidden="1" customHeight="1" outlineLevel="1">
      <c r="A2189" s="69"/>
      <c r="B2189" s="3" t="s">
        <v>47</v>
      </c>
      <c r="C2189" s="4" t="s">
        <v>6478</v>
      </c>
      <c r="D2189" s="5" t="s">
        <v>6479</v>
      </c>
      <c r="E2189" s="2" t="s">
        <v>83</v>
      </c>
      <c r="F2189" s="6" t="s">
        <v>704</v>
      </c>
      <c r="G2189" s="5" t="s">
        <v>705</v>
      </c>
      <c r="H2189" s="2" t="s">
        <v>501</v>
      </c>
      <c r="I2189" s="3" t="s">
        <v>6480</v>
      </c>
      <c r="J2189" s="7">
        <v>1</v>
      </c>
      <c r="L2189" s="9">
        <v>1</v>
      </c>
      <c r="M2189" s="3">
        <v>1777</v>
      </c>
      <c r="N2189" s="6">
        <v>2016</v>
      </c>
      <c r="P2189" s="71"/>
      <c r="R2189" s="6">
        <v>2010</v>
      </c>
      <c r="S2189" s="3" t="s">
        <v>236</v>
      </c>
      <c r="T2189" s="72"/>
      <c r="U2189" s="73"/>
      <c r="W2189" s="2" t="s">
        <v>62</v>
      </c>
      <c r="X2189" s="10"/>
      <c r="Y2189" s="10"/>
      <c r="Z2189" s="75"/>
      <c r="AJ2189" s="10">
        <v>42571</v>
      </c>
      <c r="AK2189" s="6">
        <v>2010</v>
      </c>
      <c r="AL2189" s="16"/>
      <c r="AW2189" s="6">
        <f t="shared" ca="1" si="36"/>
        <v>9</v>
      </c>
    </row>
    <row r="2190" ht="45" hidden="1" customHeight="1" outlineLevel="1">
      <c r="A2190" s="69"/>
      <c r="B2190" s="3" t="s">
        <v>190</v>
      </c>
      <c r="C2190" s="4" t="s">
        <v>6481</v>
      </c>
      <c r="D2190" s="5" t="s">
        <v>6482</v>
      </c>
      <c r="E2190" s="2" t="s">
        <v>63</v>
      </c>
      <c r="F2190" s="6" t="s">
        <v>898</v>
      </c>
      <c r="G2190" s="5" t="s">
        <v>899</v>
      </c>
      <c r="H2190" s="2" t="s">
        <v>57</v>
      </c>
      <c r="I2190" s="3" t="s">
        <v>6483</v>
      </c>
      <c r="J2190" s="7">
        <v>1</v>
      </c>
      <c r="L2190" s="9">
        <v>1</v>
      </c>
      <c r="M2190" s="3">
        <v>1778</v>
      </c>
      <c r="N2190" s="6">
        <v>2016</v>
      </c>
      <c r="P2190" s="71"/>
      <c r="R2190" s="6">
        <v>2010</v>
      </c>
      <c r="S2190" s="3" t="s">
        <v>283</v>
      </c>
      <c r="T2190" s="72"/>
      <c r="U2190" s="73"/>
      <c r="W2190" s="74" t="s">
        <v>62</v>
      </c>
      <c r="X2190" s="10"/>
      <c r="Y2190" s="10"/>
      <c r="Z2190" s="75"/>
      <c r="AJ2190" s="73"/>
      <c r="AL2190" s="16"/>
      <c r="AW2190" s="6">
        <f t="shared" ca="1" si="36"/>
        <v>9</v>
      </c>
    </row>
    <row r="2191" ht="45" hidden="1" customHeight="1" outlineLevel="1">
      <c r="A2191" s="69"/>
      <c r="B2191" s="3" t="s">
        <v>190</v>
      </c>
      <c r="C2191" s="4" t="s">
        <v>6484</v>
      </c>
      <c r="D2191" s="5" t="s">
        <v>6485</v>
      </c>
      <c r="E2191" s="2" t="s">
        <v>1074</v>
      </c>
      <c r="F2191" s="6" t="s">
        <v>2026</v>
      </c>
      <c r="G2191" s="5" t="s">
        <v>5882</v>
      </c>
      <c r="H2191" s="2" t="s">
        <v>57</v>
      </c>
      <c r="I2191" s="3" t="s">
        <v>6486</v>
      </c>
      <c r="J2191" s="7">
        <v>1</v>
      </c>
      <c r="L2191" s="9">
        <v>1</v>
      </c>
      <c r="M2191" s="3">
        <v>1779</v>
      </c>
      <c r="N2191" s="6">
        <v>2016</v>
      </c>
      <c r="P2191" s="71"/>
      <c r="R2191" s="6">
        <v>2010</v>
      </c>
      <c r="S2191" s="3" t="s">
        <v>283</v>
      </c>
      <c r="T2191" s="72"/>
      <c r="U2191" s="73"/>
      <c r="W2191" s="74" t="s">
        <v>62</v>
      </c>
      <c r="X2191" s="10"/>
      <c r="Y2191" s="10"/>
      <c r="Z2191" s="75"/>
      <c r="AJ2191" s="73"/>
      <c r="AL2191" s="16"/>
      <c r="AW2191" s="6">
        <f t="shared" ca="1" si="36"/>
        <v>9</v>
      </c>
    </row>
    <row r="2192" ht="45" hidden="1" customHeight="1" outlineLevel="1">
      <c r="A2192" s="69"/>
      <c r="B2192" s="3" t="s">
        <v>47</v>
      </c>
      <c r="C2192" s="4" t="s">
        <v>4265</v>
      </c>
      <c r="D2192" s="5" t="s">
        <v>6487</v>
      </c>
      <c r="E2192" s="2" t="s">
        <v>63</v>
      </c>
      <c r="F2192" s="6" t="s">
        <v>172</v>
      </c>
      <c r="G2192" s="5" t="s">
        <v>173</v>
      </c>
      <c r="H2192" s="2" t="s">
        <v>68</v>
      </c>
      <c r="I2192" s="3" t="s">
        <v>6488</v>
      </c>
      <c r="J2192" s="7">
        <v>1</v>
      </c>
      <c r="L2192" s="9">
        <v>1</v>
      </c>
      <c r="M2192" s="3">
        <v>1780</v>
      </c>
      <c r="N2192" s="6">
        <v>2016</v>
      </c>
      <c r="P2192" s="71"/>
      <c r="R2192" s="6">
        <v>2010</v>
      </c>
      <c r="S2192" s="3" t="s">
        <v>236</v>
      </c>
      <c r="T2192" s="72"/>
      <c r="U2192" s="73"/>
      <c r="W2192" s="2" t="s">
        <v>62</v>
      </c>
      <c r="X2192" s="10"/>
      <c r="Y2192" s="10"/>
      <c r="Z2192" s="75"/>
      <c r="AJ2192" s="10">
        <v>42437</v>
      </c>
      <c r="AK2192" s="7">
        <v>2010</v>
      </c>
      <c r="AL2192" s="16"/>
      <c r="AW2192" s="6">
        <f t="shared" ca="1" si="36"/>
        <v>9</v>
      </c>
    </row>
    <row r="2193" ht="45" hidden="1" customHeight="1">
      <c r="A2193" s="69"/>
      <c r="B2193" s="3" t="s">
        <v>47</v>
      </c>
      <c r="C2193" s="4" t="s">
        <v>6489</v>
      </c>
      <c r="D2193" s="5" t="s">
        <v>6490</v>
      </c>
      <c r="E2193" s="2" t="s">
        <v>63</v>
      </c>
      <c r="F2193" s="6" t="s">
        <v>428</v>
      </c>
      <c r="G2193" s="5" t="s">
        <v>6491</v>
      </c>
      <c r="H2193" s="2" t="s">
        <v>57</v>
      </c>
      <c r="I2193" s="3" t="s">
        <v>582</v>
      </c>
      <c r="J2193" s="7">
        <v>1</v>
      </c>
      <c r="L2193" s="9">
        <v>1</v>
      </c>
      <c r="M2193" s="3">
        <v>1781</v>
      </c>
      <c r="N2193" s="6">
        <v>2016</v>
      </c>
      <c r="O2193" s="10">
        <v>37134</v>
      </c>
      <c r="P2193" s="71"/>
      <c r="Q2193" s="10">
        <v>42436</v>
      </c>
      <c r="R2193" s="6">
        <v>2010</v>
      </c>
      <c r="S2193" s="3" t="s">
        <v>236</v>
      </c>
      <c r="T2193" s="178"/>
      <c r="W2193" s="2" t="s">
        <v>62</v>
      </c>
      <c r="X2193" s="10"/>
      <c r="Y2193" s="10"/>
      <c r="Z2193" s="75"/>
      <c r="AJ2193" s="10">
        <v>44410</v>
      </c>
      <c r="AK2193" s="6">
        <v>2020</v>
      </c>
      <c r="AL2193" s="16"/>
      <c r="AW2193" s="6">
        <f t="shared" ca="1" si="36"/>
        <v>9</v>
      </c>
    </row>
    <row r="2194" ht="45" hidden="1" customHeight="1">
      <c r="A2194" s="69">
        <v>45013</v>
      </c>
      <c r="B2194" s="3" t="s">
        <v>1926</v>
      </c>
      <c r="C2194" s="4" t="s">
        <v>6492</v>
      </c>
      <c r="D2194" s="5" t="s">
        <v>6493</v>
      </c>
      <c r="E2194" s="2" t="s">
        <v>83</v>
      </c>
      <c r="F2194" s="6" t="s">
        <v>84</v>
      </c>
      <c r="G2194" s="5" t="s">
        <v>6249</v>
      </c>
      <c r="H2194" s="2" t="s">
        <v>181</v>
      </c>
      <c r="I2194" s="3" t="s">
        <v>6494</v>
      </c>
      <c r="J2194" s="7">
        <v>1</v>
      </c>
      <c r="L2194" s="9">
        <v>1</v>
      </c>
      <c r="M2194" s="3">
        <v>1782</v>
      </c>
      <c r="N2194" s="6">
        <v>2016</v>
      </c>
      <c r="P2194" s="71"/>
      <c r="R2194" s="6">
        <v>2010</v>
      </c>
      <c r="S2194" s="3" t="s">
        <v>283</v>
      </c>
      <c r="T2194" s="72" t="s">
        <v>1136</v>
      </c>
      <c r="U2194" s="73"/>
      <c r="W2194" s="74" t="s">
        <v>62</v>
      </c>
      <c r="X2194" s="10"/>
      <c r="Y2194" s="10"/>
      <c r="Z2194" s="75"/>
      <c r="AJ2194" s="73"/>
      <c r="AL2194" s="16"/>
      <c r="AW2194" s="6">
        <f t="shared" ca="1" si="36"/>
        <v>9</v>
      </c>
    </row>
    <row r="2195" ht="45" hidden="1" customHeight="1">
      <c r="A2195" s="69"/>
      <c r="B2195" s="3" t="s">
        <v>190</v>
      </c>
      <c r="C2195" s="4" t="s">
        <v>6495</v>
      </c>
      <c r="D2195" s="5" t="s">
        <v>6496</v>
      </c>
      <c r="E2195" s="2" t="s">
        <v>83</v>
      </c>
      <c r="F2195" s="6" t="s">
        <v>84</v>
      </c>
      <c r="G2195" s="5" t="s">
        <v>5732</v>
      </c>
      <c r="H2195" s="2" t="s">
        <v>57</v>
      </c>
      <c r="I2195" s="3" t="s">
        <v>6497</v>
      </c>
      <c r="J2195" s="7">
        <v>1</v>
      </c>
      <c r="L2195" s="9">
        <v>1</v>
      </c>
      <c r="M2195" s="3">
        <v>1783</v>
      </c>
      <c r="N2195" s="6">
        <v>2016</v>
      </c>
      <c r="P2195" s="71"/>
      <c r="R2195" s="6">
        <v>2010</v>
      </c>
      <c r="S2195" s="3" t="s">
        <v>283</v>
      </c>
      <c r="T2195" s="72"/>
      <c r="U2195" s="73"/>
      <c r="W2195" s="74" t="s">
        <v>62</v>
      </c>
      <c r="X2195" s="10"/>
      <c r="Y2195" s="10"/>
      <c r="Z2195" s="75"/>
      <c r="AJ2195" s="73"/>
      <c r="AL2195" s="16"/>
      <c r="AW2195" s="6">
        <f t="shared" ca="1" si="36"/>
        <v>9</v>
      </c>
    </row>
    <row r="2196" ht="45" hidden="1" customHeight="1">
      <c r="A2196" s="69"/>
      <c r="B2196" s="3" t="s">
        <v>47</v>
      </c>
      <c r="C2196" s="4" t="s">
        <v>6498</v>
      </c>
      <c r="D2196" s="5" t="s">
        <v>6499</v>
      </c>
      <c r="E2196" s="2" t="s">
        <v>48</v>
      </c>
      <c r="F2196" s="6" t="s">
        <v>49</v>
      </c>
      <c r="G2196" s="5" t="s">
        <v>6500</v>
      </c>
      <c r="H2196" s="2" t="s">
        <v>57</v>
      </c>
      <c r="I2196" s="3" t="s">
        <v>6501</v>
      </c>
      <c r="J2196" s="7">
        <v>1</v>
      </c>
      <c r="L2196" s="9">
        <v>1</v>
      </c>
      <c r="M2196" s="3">
        <v>1784</v>
      </c>
      <c r="N2196" s="6">
        <v>2016</v>
      </c>
      <c r="P2196" s="71"/>
      <c r="R2196" s="6">
        <v>2010</v>
      </c>
      <c r="S2196" s="3" t="s">
        <v>236</v>
      </c>
      <c r="T2196" s="72"/>
      <c r="U2196" s="73"/>
      <c r="W2196" s="2" t="s">
        <v>62</v>
      </c>
      <c r="X2196" s="10"/>
      <c r="Y2196" s="10"/>
      <c r="Z2196" s="75"/>
      <c r="AJ2196" s="10">
        <v>42545</v>
      </c>
      <c r="AK2196" s="6">
        <v>2010</v>
      </c>
      <c r="AL2196" s="16"/>
      <c r="AW2196" s="6">
        <f t="shared" ca="1" si="36"/>
        <v>9</v>
      </c>
    </row>
    <row r="2197" ht="45" hidden="1" customHeight="1">
      <c r="A2197" s="69"/>
      <c r="B2197" s="3" t="s">
        <v>47</v>
      </c>
      <c r="C2197" s="4" t="s">
        <v>6502</v>
      </c>
      <c r="D2197" s="5" t="s">
        <v>6503</v>
      </c>
      <c r="E2197" s="2" t="s">
        <v>63</v>
      </c>
      <c r="F2197" s="6" t="s">
        <v>64</v>
      </c>
      <c r="G2197" s="5" t="s">
        <v>6504</v>
      </c>
      <c r="H2197" s="2" t="s">
        <v>288</v>
      </c>
      <c r="I2197" s="3" t="s">
        <v>6505</v>
      </c>
      <c r="J2197" s="7">
        <v>1</v>
      </c>
      <c r="L2197" s="9">
        <v>1</v>
      </c>
      <c r="M2197" s="3">
        <v>1785</v>
      </c>
      <c r="N2197" s="6">
        <v>2016</v>
      </c>
      <c r="P2197" s="71"/>
      <c r="R2197" s="6">
        <v>2010</v>
      </c>
      <c r="S2197" s="3" t="s">
        <v>236</v>
      </c>
      <c r="T2197" s="72" t="s">
        <v>1136</v>
      </c>
      <c r="W2197" s="2" t="s">
        <v>62</v>
      </c>
      <c r="X2197" s="10"/>
      <c r="Y2197" s="10"/>
      <c r="Z2197" s="75"/>
      <c r="AJ2197" s="10">
        <v>44566</v>
      </c>
      <c r="AK2197" s="6">
        <v>2020</v>
      </c>
      <c r="AL2197" s="16"/>
      <c r="AW2197" s="6">
        <f t="shared" ca="1" si="36"/>
        <v>9</v>
      </c>
    </row>
    <row r="2198" ht="45" hidden="1" customHeight="1">
      <c r="A2198" s="69">
        <v>43005</v>
      </c>
      <c r="B2198" s="3" t="s">
        <v>1926</v>
      </c>
      <c r="C2198" s="4" t="s">
        <v>6506</v>
      </c>
      <c r="D2198" s="5" t="s">
        <v>6507</v>
      </c>
      <c r="E2198" s="2" t="s">
        <v>63</v>
      </c>
      <c r="F2198" s="6" t="s">
        <v>898</v>
      </c>
      <c r="G2198" s="5" t="s">
        <v>899</v>
      </c>
      <c r="H2198" s="2" t="s">
        <v>257</v>
      </c>
      <c r="I2198" s="3" t="s">
        <v>6508</v>
      </c>
      <c r="J2198" s="7">
        <v>1</v>
      </c>
      <c r="L2198" s="9">
        <v>1</v>
      </c>
      <c r="M2198" s="3">
        <v>1786</v>
      </c>
      <c r="N2198" s="6">
        <v>2016</v>
      </c>
      <c r="P2198" s="71"/>
      <c r="R2198" s="6">
        <v>2010</v>
      </c>
      <c r="S2198" s="3" t="s">
        <v>283</v>
      </c>
      <c r="T2198" s="72" t="s">
        <v>998</v>
      </c>
      <c r="U2198" s="73"/>
      <c r="W2198" s="74" t="s">
        <v>62</v>
      </c>
      <c r="X2198" s="10"/>
      <c r="Y2198" s="10"/>
      <c r="Z2198" s="75"/>
      <c r="AJ2198" s="73"/>
      <c r="AL2198" s="16"/>
      <c r="AW2198" s="6">
        <f t="shared" ca="1" si="36"/>
        <v>9</v>
      </c>
    </row>
    <row r="2199" ht="45" hidden="1" customHeight="1">
      <c r="A2199" s="69"/>
      <c r="B2199" s="3" t="s">
        <v>47</v>
      </c>
      <c r="C2199" s="4" t="s">
        <v>2731</v>
      </c>
      <c r="D2199" s="5" t="s">
        <v>6509</v>
      </c>
      <c r="E2199" s="2" t="s">
        <v>83</v>
      </c>
      <c r="F2199" s="6" t="s">
        <v>704</v>
      </c>
      <c r="G2199" s="5" t="s">
        <v>3818</v>
      </c>
      <c r="H2199" s="2" t="s">
        <v>508</v>
      </c>
      <c r="I2199" s="3" t="s">
        <v>6510</v>
      </c>
      <c r="J2199" s="7">
        <v>1</v>
      </c>
      <c r="L2199" s="9">
        <v>1</v>
      </c>
      <c r="M2199" s="3">
        <v>1787</v>
      </c>
      <c r="N2199" s="6">
        <v>2016</v>
      </c>
      <c r="P2199" s="71"/>
      <c r="R2199" s="6">
        <v>2010</v>
      </c>
      <c r="S2199" s="3" t="s">
        <v>236</v>
      </c>
      <c r="T2199" s="72"/>
      <c r="U2199" s="73"/>
      <c r="W2199" s="2" t="s">
        <v>62</v>
      </c>
      <c r="X2199" s="10"/>
      <c r="Y2199" s="10"/>
      <c r="Z2199" s="75"/>
      <c r="AJ2199" s="10">
        <v>42508</v>
      </c>
      <c r="AK2199" s="6">
        <v>2010</v>
      </c>
      <c r="AL2199" s="16"/>
      <c r="AW2199" s="6">
        <f t="shared" ca="1" si="36"/>
        <v>9</v>
      </c>
    </row>
    <row r="2200" ht="45" hidden="1" customHeight="1">
      <c r="A2200" s="69"/>
      <c r="B2200" s="3" t="s">
        <v>47</v>
      </c>
      <c r="C2200" s="4" t="s">
        <v>6511</v>
      </c>
      <c r="D2200" s="5" t="s">
        <v>6512</v>
      </c>
      <c r="E2200" s="2" t="s">
        <v>48</v>
      </c>
      <c r="F2200" s="6" t="s">
        <v>564</v>
      </c>
      <c r="G2200" s="5" t="s">
        <v>4035</v>
      </c>
      <c r="H2200" s="2" t="s">
        <v>508</v>
      </c>
      <c r="I2200" s="3" t="s">
        <v>6513</v>
      </c>
      <c r="J2200" s="7">
        <v>1</v>
      </c>
      <c r="L2200" s="9">
        <v>1</v>
      </c>
      <c r="M2200" s="3">
        <v>1788</v>
      </c>
      <c r="N2200" s="6">
        <v>2016</v>
      </c>
      <c r="P2200" s="71"/>
      <c r="R2200" s="6">
        <v>2010</v>
      </c>
      <c r="S2200" s="3" t="s">
        <v>236</v>
      </c>
      <c r="T2200" s="72"/>
      <c r="U2200" s="73"/>
      <c r="W2200" s="2" t="s">
        <v>62</v>
      </c>
      <c r="X2200" s="10"/>
      <c r="Y2200" s="10"/>
      <c r="Z2200" s="75"/>
      <c r="AJ2200" s="10">
        <v>42604</v>
      </c>
      <c r="AK2200" s="6">
        <v>2010</v>
      </c>
      <c r="AL2200" s="16"/>
      <c r="AW2200" s="6">
        <f t="shared" ca="1" si="36"/>
        <v>9</v>
      </c>
    </row>
    <row r="2201" ht="45" hidden="1" customHeight="1">
      <c r="A2201" s="69"/>
      <c r="B2201" s="3" t="s">
        <v>47</v>
      </c>
      <c r="C2201" s="4" t="s">
        <v>6514</v>
      </c>
      <c r="D2201" s="5" t="s">
        <v>6515</v>
      </c>
      <c r="E2201" s="2" t="s">
        <v>48</v>
      </c>
      <c r="F2201" s="6" t="s">
        <v>564</v>
      </c>
      <c r="G2201" s="5" t="s">
        <v>6421</v>
      </c>
      <c r="H2201" s="2" t="s">
        <v>57</v>
      </c>
      <c r="I2201" s="3" t="s">
        <v>6516</v>
      </c>
      <c r="J2201" s="7">
        <v>1</v>
      </c>
      <c r="L2201" s="9">
        <v>1</v>
      </c>
      <c r="M2201" s="3">
        <v>1789</v>
      </c>
      <c r="N2201" s="6">
        <v>2016</v>
      </c>
      <c r="P2201" s="71"/>
      <c r="R2201" s="6">
        <v>2010</v>
      </c>
      <c r="S2201" s="3" t="s">
        <v>236</v>
      </c>
      <c r="T2201" s="72"/>
      <c r="U2201" s="73"/>
      <c r="W2201" s="2" t="s">
        <v>62</v>
      </c>
      <c r="X2201" s="10"/>
      <c r="Y2201" s="10"/>
      <c r="Z2201" s="75"/>
      <c r="AJ2201" s="10">
        <v>42508</v>
      </c>
      <c r="AK2201" s="6">
        <v>2010</v>
      </c>
      <c r="AL2201" s="16"/>
      <c r="AW2201" s="6">
        <f t="shared" ca="1" si="36"/>
        <v>9</v>
      </c>
    </row>
    <row r="2202" ht="45" hidden="1" customHeight="1">
      <c r="A2202" s="69"/>
      <c r="B2202" s="3" t="s">
        <v>47</v>
      </c>
      <c r="C2202" s="4" t="s">
        <v>6517</v>
      </c>
      <c r="D2202" s="5" t="s">
        <v>6518</v>
      </c>
      <c r="E2202" s="2" t="s">
        <v>83</v>
      </c>
      <c r="F2202" s="6" t="s">
        <v>704</v>
      </c>
      <c r="G2202" s="5" t="s">
        <v>6519</v>
      </c>
      <c r="H2202" s="2" t="s">
        <v>57</v>
      </c>
      <c r="I2202" s="3" t="s">
        <v>6520</v>
      </c>
      <c r="J2202" s="7">
        <v>1</v>
      </c>
      <c r="L2202" s="9">
        <v>1</v>
      </c>
      <c r="M2202" s="3">
        <v>1790</v>
      </c>
      <c r="N2202" s="6">
        <v>2016</v>
      </c>
      <c r="P2202" s="71"/>
      <c r="R2202" s="6">
        <v>2010</v>
      </c>
      <c r="S2202" s="3" t="s">
        <v>236</v>
      </c>
      <c r="T2202" s="72"/>
      <c r="U2202" s="73"/>
      <c r="W2202" s="2" t="s">
        <v>62</v>
      </c>
      <c r="X2202" s="10"/>
      <c r="Y2202" s="10"/>
      <c r="Z2202" s="75"/>
      <c r="AJ2202" s="10">
        <v>42534</v>
      </c>
      <c r="AK2202" s="7">
        <v>2010</v>
      </c>
      <c r="AL2202" s="16"/>
      <c r="AW2202" s="6">
        <f t="shared" ca="1" si="36"/>
        <v>9</v>
      </c>
    </row>
    <row r="2203" ht="45" hidden="1" customHeight="1">
      <c r="A2203" s="69">
        <v>42528</v>
      </c>
      <c r="B2203" s="3" t="s">
        <v>190</v>
      </c>
      <c r="C2203" s="4" t="s">
        <v>6364</v>
      </c>
      <c r="D2203" s="5" t="s">
        <v>6521</v>
      </c>
      <c r="E2203" s="2" t="s">
        <v>83</v>
      </c>
      <c r="F2203" s="6" t="s">
        <v>704</v>
      </c>
      <c r="G2203" s="5" t="s">
        <v>705</v>
      </c>
      <c r="H2203" s="2" t="s">
        <v>3735</v>
      </c>
      <c r="I2203" s="3" t="s">
        <v>6522</v>
      </c>
      <c r="J2203" s="7">
        <v>1</v>
      </c>
      <c r="L2203" s="9">
        <v>1</v>
      </c>
      <c r="M2203" s="3">
        <v>1791</v>
      </c>
      <c r="N2203" s="6">
        <v>2016</v>
      </c>
      <c r="P2203" s="71"/>
      <c r="R2203" s="6">
        <v>2010</v>
      </c>
      <c r="S2203" s="3" t="s">
        <v>283</v>
      </c>
      <c r="T2203" s="72" t="s">
        <v>1136</v>
      </c>
      <c r="U2203" s="73"/>
      <c r="W2203" s="74" t="s">
        <v>62</v>
      </c>
      <c r="X2203" s="10"/>
      <c r="Y2203" s="10"/>
      <c r="Z2203" s="75"/>
      <c r="AJ2203" s="73"/>
      <c r="AK2203" s="7"/>
      <c r="AL2203" s="16"/>
      <c r="AW2203" s="6">
        <f t="shared" ca="1" si="36"/>
        <v>9</v>
      </c>
    </row>
    <row r="2204" ht="45" hidden="1" customHeight="1">
      <c r="A2204" s="69">
        <v>42577</v>
      </c>
      <c r="B2204" s="3" t="s">
        <v>190</v>
      </c>
      <c r="C2204" s="4" t="s">
        <v>6523</v>
      </c>
      <c r="D2204" s="5" t="s">
        <v>6524</v>
      </c>
      <c r="E2204" s="2" t="s">
        <v>63</v>
      </c>
      <c r="F2204" s="6" t="s">
        <v>172</v>
      </c>
      <c r="G2204" s="5" t="s">
        <v>618</v>
      </c>
      <c r="H2204" s="2" t="s">
        <v>3735</v>
      </c>
      <c r="I2204" s="3" t="s">
        <v>6525</v>
      </c>
      <c r="J2204" s="7">
        <v>1</v>
      </c>
      <c r="L2204" s="9">
        <v>1</v>
      </c>
      <c r="M2204" s="3">
        <v>1792</v>
      </c>
      <c r="N2204" s="6">
        <v>2016</v>
      </c>
      <c r="P2204" s="71"/>
      <c r="R2204" s="6">
        <v>2010</v>
      </c>
      <c r="S2204" s="3" t="s">
        <v>283</v>
      </c>
      <c r="T2204" s="72"/>
      <c r="U2204" s="73"/>
      <c r="W2204" s="74" t="s">
        <v>62</v>
      </c>
      <c r="X2204" s="10"/>
      <c r="Y2204" s="10"/>
      <c r="Z2204" s="75"/>
      <c r="AJ2204" s="73"/>
      <c r="AK2204" s="7"/>
      <c r="AL2204" s="16"/>
      <c r="AW2204" s="6">
        <f t="shared" ca="1" si="36"/>
        <v>9</v>
      </c>
    </row>
    <row r="2205" ht="45" customHeight="1">
      <c r="A2205" s="69">
        <v>45352</v>
      </c>
      <c r="B2205" s="3" t="s">
        <v>47</v>
      </c>
      <c r="C2205" s="4" t="s">
        <v>6526</v>
      </c>
      <c r="D2205" s="5" t="s">
        <v>6527</v>
      </c>
      <c r="E2205" s="2" t="s">
        <v>63</v>
      </c>
      <c r="F2205" s="6" t="s">
        <v>172</v>
      </c>
      <c r="G2205" s="5" t="s">
        <v>618</v>
      </c>
      <c r="H2205" s="2" t="s">
        <v>3735</v>
      </c>
      <c r="I2205" s="3" t="s">
        <v>6528</v>
      </c>
      <c r="J2205" s="7">
        <v>1</v>
      </c>
      <c r="K2205" s="8" t="s">
        <v>1748</v>
      </c>
      <c r="L2205" s="9">
        <v>1</v>
      </c>
      <c r="M2205" s="3">
        <v>1793</v>
      </c>
      <c r="N2205" s="6">
        <v>2016</v>
      </c>
      <c r="O2205" s="10">
        <v>41136</v>
      </c>
      <c r="P2205" s="71" t="s">
        <v>6529</v>
      </c>
      <c r="Q2205" s="10">
        <v>42551</v>
      </c>
      <c r="R2205" s="6">
        <v>2010</v>
      </c>
      <c r="S2205" s="3" t="s">
        <v>2102</v>
      </c>
      <c r="T2205" s="72" t="s">
        <v>998</v>
      </c>
      <c r="U2205" s="73"/>
      <c r="V2205" s="12">
        <v>45344</v>
      </c>
      <c r="W2205" s="74" t="s">
        <v>6530</v>
      </c>
      <c r="X2205" s="10"/>
      <c r="Y2205" s="10"/>
      <c r="Z2205" s="75"/>
      <c r="AJ2205" s="73"/>
      <c r="AK2205" s="7"/>
      <c r="AL2205" s="16"/>
      <c r="AW2205" s="6">
        <f t="shared" ca="1" si="36"/>
        <v>9</v>
      </c>
    </row>
    <row r="2206" ht="45" hidden="1" customHeight="1">
      <c r="A2206" s="69"/>
      <c r="B2206" s="3" t="s">
        <v>190</v>
      </c>
      <c r="C2206" s="4" t="s">
        <v>6531</v>
      </c>
      <c r="D2206" s="5" t="s">
        <v>6532</v>
      </c>
      <c r="E2206" s="2" t="s">
        <v>48</v>
      </c>
      <c r="F2206" s="6" t="s">
        <v>49</v>
      </c>
      <c r="G2206" s="5" t="s">
        <v>6533</v>
      </c>
      <c r="H2206" s="2" t="s">
        <v>3735</v>
      </c>
      <c r="I2206" s="3" t="s">
        <v>6534</v>
      </c>
      <c r="J2206" s="7">
        <v>1</v>
      </c>
      <c r="L2206" s="9">
        <v>1</v>
      </c>
      <c r="M2206" s="3">
        <v>1794</v>
      </c>
      <c r="N2206" s="6">
        <v>2016</v>
      </c>
      <c r="P2206" s="71"/>
      <c r="R2206" s="6">
        <v>2010</v>
      </c>
      <c r="S2206" s="3" t="s">
        <v>283</v>
      </c>
      <c r="T2206" s="72"/>
      <c r="U2206" s="73"/>
      <c r="W2206" s="74" t="s">
        <v>62</v>
      </c>
      <c r="X2206" s="10"/>
      <c r="Y2206" s="10"/>
      <c r="Z2206" s="75"/>
      <c r="AJ2206" s="73"/>
      <c r="AK2206" s="7"/>
      <c r="AL2206" s="16"/>
      <c r="AW2206" s="6">
        <f t="shared" ca="1" si="36"/>
        <v>9</v>
      </c>
    </row>
    <row r="2207" ht="45" hidden="1" customHeight="1">
      <c r="A2207" s="69"/>
      <c r="B2207" s="3" t="s">
        <v>47</v>
      </c>
      <c r="C2207" s="4" t="s">
        <v>6478</v>
      </c>
      <c r="D2207" s="5" t="s">
        <v>6535</v>
      </c>
      <c r="E2207" s="2" t="s">
        <v>48</v>
      </c>
      <c r="F2207" s="6" t="s">
        <v>564</v>
      </c>
      <c r="G2207" s="5" t="s">
        <v>4035</v>
      </c>
      <c r="H2207" s="2" t="s">
        <v>88</v>
      </c>
      <c r="I2207" s="3" t="s">
        <v>6536</v>
      </c>
      <c r="J2207" s="7">
        <v>1</v>
      </c>
      <c r="L2207" s="9">
        <v>1</v>
      </c>
      <c r="M2207" s="3">
        <v>1795</v>
      </c>
      <c r="N2207" s="6">
        <v>2016</v>
      </c>
      <c r="P2207" s="71"/>
      <c r="R2207" s="6">
        <v>2010</v>
      </c>
      <c r="S2207" s="3" t="s">
        <v>236</v>
      </c>
      <c r="T2207" s="72"/>
      <c r="U2207" s="73"/>
      <c r="W2207" s="2" t="s">
        <v>62</v>
      </c>
      <c r="X2207" s="10"/>
      <c r="Y2207" s="10"/>
      <c r="Z2207" s="75"/>
      <c r="AJ2207" s="10">
        <v>42571</v>
      </c>
      <c r="AK2207" s="7">
        <v>2010</v>
      </c>
      <c r="AW2207" s="6">
        <f t="shared" ca="1" si="36"/>
        <v>9</v>
      </c>
    </row>
    <row r="2208" ht="45" hidden="1" customHeight="1">
      <c r="A2208" s="69"/>
      <c r="B2208" s="3" t="s">
        <v>190</v>
      </c>
      <c r="C2208" s="4" t="s">
        <v>6537</v>
      </c>
      <c r="D2208" s="5" t="s">
        <v>6538</v>
      </c>
      <c r="E2208" s="2" t="s">
        <v>83</v>
      </c>
      <c r="F2208" s="6" t="s">
        <v>84</v>
      </c>
      <c r="G2208" s="5" t="s">
        <v>850</v>
      </c>
      <c r="H2208" s="2" t="s">
        <v>88</v>
      </c>
      <c r="I2208" s="3" t="s">
        <v>6539</v>
      </c>
      <c r="J2208" s="7">
        <v>1</v>
      </c>
      <c r="L2208" s="9">
        <v>1</v>
      </c>
      <c r="M2208" s="3">
        <v>1796</v>
      </c>
      <c r="N2208" s="6">
        <v>2016</v>
      </c>
      <c r="P2208" s="71"/>
      <c r="R2208" s="6">
        <v>2010</v>
      </c>
      <c r="S2208" s="3" t="s">
        <v>283</v>
      </c>
      <c r="T2208" s="72"/>
      <c r="U2208" s="73"/>
      <c r="W2208" s="74" t="s">
        <v>929</v>
      </c>
      <c r="X2208" s="10"/>
      <c r="Y2208" s="10"/>
      <c r="Z2208" s="75"/>
      <c r="AJ2208" s="73"/>
      <c r="AK2208" s="7"/>
      <c r="AW2208" s="6">
        <f t="shared" ca="1" si="36"/>
        <v>9</v>
      </c>
    </row>
    <row r="2209" ht="45" hidden="1" customHeight="1">
      <c r="A2209" s="69"/>
      <c r="B2209" s="3" t="s">
        <v>190</v>
      </c>
      <c r="C2209" s="4" t="s">
        <v>6540</v>
      </c>
      <c r="D2209" s="5" t="s">
        <v>6541</v>
      </c>
      <c r="E2209" s="2" t="s">
        <v>1074</v>
      </c>
      <c r="F2209" s="6" t="s">
        <v>2154</v>
      </c>
      <c r="G2209" s="5" t="s">
        <v>2155</v>
      </c>
      <c r="H2209" s="2" t="s">
        <v>57</v>
      </c>
      <c r="I2209" s="3" t="s">
        <v>6542</v>
      </c>
      <c r="J2209" s="7">
        <v>1</v>
      </c>
      <c r="L2209" s="9">
        <v>1</v>
      </c>
      <c r="M2209" s="3">
        <v>1797</v>
      </c>
      <c r="N2209" s="6">
        <v>2016</v>
      </c>
      <c r="P2209" s="71"/>
      <c r="R2209" s="6">
        <v>2010</v>
      </c>
      <c r="S2209" s="3" t="s">
        <v>283</v>
      </c>
      <c r="T2209" s="72"/>
      <c r="U2209" s="73"/>
      <c r="W2209" s="74" t="s">
        <v>62</v>
      </c>
      <c r="X2209" s="10"/>
      <c r="Y2209" s="10"/>
      <c r="Z2209" s="75"/>
      <c r="AJ2209" s="73"/>
      <c r="AK2209" s="7"/>
      <c r="AL2209" s="16"/>
      <c r="AW2209" s="6">
        <f t="shared" ca="1" si="36"/>
        <v>9</v>
      </c>
    </row>
    <row r="2210" ht="45" hidden="1" customHeight="1">
      <c r="A2210" s="69"/>
      <c r="B2210" s="3" t="s">
        <v>47</v>
      </c>
      <c r="C2210" s="4" t="s">
        <v>6543</v>
      </c>
      <c r="D2210" s="5" t="s">
        <v>6544</v>
      </c>
      <c r="E2210" s="2" t="s">
        <v>1074</v>
      </c>
      <c r="F2210" s="6" t="s">
        <v>2154</v>
      </c>
      <c r="G2210" s="5" t="s">
        <v>2155</v>
      </c>
      <c r="H2210" s="2" t="s">
        <v>57</v>
      </c>
      <c r="I2210" s="3" t="s">
        <v>6545</v>
      </c>
      <c r="J2210" s="7">
        <v>1</v>
      </c>
      <c r="L2210" s="9">
        <v>1</v>
      </c>
      <c r="M2210" s="3">
        <v>1798</v>
      </c>
      <c r="N2210" s="6">
        <v>2016</v>
      </c>
      <c r="P2210" s="71"/>
      <c r="R2210" s="6">
        <v>2010</v>
      </c>
      <c r="S2210" s="3" t="s">
        <v>236</v>
      </c>
      <c r="T2210" s="72"/>
      <c r="U2210" s="73"/>
      <c r="W2210" s="2" t="s">
        <v>62</v>
      </c>
      <c r="X2210" s="10"/>
      <c r="Y2210" s="10"/>
      <c r="Z2210" s="75"/>
      <c r="AJ2210" s="10">
        <v>43696</v>
      </c>
      <c r="AK2210" s="7">
        <v>2010</v>
      </c>
      <c r="AL2210" s="16"/>
      <c r="AW2210" s="6">
        <f t="shared" ca="1" si="36"/>
        <v>9</v>
      </c>
    </row>
    <row r="2211" ht="45" hidden="1" customHeight="1">
      <c r="A2211" s="69">
        <v>42604</v>
      </c>
      <c r="B2211" s="3" t="s">
        <v>47</v>
      </c>
      <c r="C2211" s="4" t="s">
        <v>6546</v>
      </c>
      <c r="D2211" s="5" t="s">
        <v>6547</v>
      </c>
      <c r="E2211" s="2" t="s">
        <v>694</v>
      </c>
      <c r="F2211" s="6" t="s">
        <v>2495</v>
      </c>
      <c r="G2211" s="5" t="s">
        <v>6548</v>
      </c>
      <c r="H2211" s="2" t="s">
        <v>68</v>
      </c>
      <c r="I2211" s="3" t="s">
        <v>6549</v>
      </c>
      <c r="J2211" s="7">
        <v>1</v>
      </c>
      <c r="L2211" s="9">
        <v>1</v>
      </c>
      <c r="M2211" s="3">
        <v>1799</v>
      </c>
      <c r="N2211" s="6">
        <v>2016</v>
      </c>
      <c r="P2211" s="71"/>
      <c r="R2211" s="6">
        <v>2010</v>
      </c>
      <c r="S2211" s="3" t="s">
        <v>236</v>
      </c>
      <c r="T2211" s="72" t="s">
        <v>1136</v>
      </c>
      <c r="W2211" s="230" t="s">
        <v>6550</v>
      </c>
      <c r="X2211" s="10"/>
      <c r="Y2211" s="10"/>
      <c r="Z2211" s="75"/>
      <c r="AJ2211" s="10">
        <v>44855</v>
      </c>
      <c r="AK2211" s="7">
        <v>2020</v>
      </c>
      <c r="AL2211" s="16"/>
      <c r="AW2211" s="6">
        <f t="shared" ca="1" si="36"/>
        <v>9</v>
      </c>
    </row>
    <row r="2212" ht="45" customHeight="1">
      <c r="A2212" s="69">
        <v>42601</v>
      </c>
      <c r="B2212" s="3" t="s">
        <v>1926</v>
      </c>
      <c r="C2212" s="4" t="s">
        <v>6551</v>
      </c>
      <c r="D2212" s="5" t="s">
        <v>6552</v>
      </c>
      <c r="E2212" s="2" t="s">
        <v>48</v>
      </c>
      <c r="F2212" s="6" t="s">
        <v>49</v>
      </c>
      <c r="G2212" s="5" t="s">
        <v>3871</v>
      </c>
      <c r="H2212" s="2" t="s">
        <v>88</v>
      </c>
      <c r="I2212" s="3" t="s">
        <v>6553</v>
      </c>
      <c r="J2212" s="7">
        <v>1</v>
      </c>
      <c r="K2212" s="8" t="s">
        <v>1978</v>
      </c>
      <c r="L2212" s="9">
        <v>1</v>
      </c>
      <c r="M2212" s="3">
        <v>1800</v>
      </c>
      <c r="N2212" s="6">
        <v>2016</v>
      </c>
      <c r="P2212" s="71"/>
      <c r="R2212" s="6">
        <v>2010</v>
      </c>
      <c r="S2212" s="3" t="s">
        <v>5758</v>
      </c>
      <c r="T2212" s="72" t="s">
        <v>1136</v>
      </c>
      <c r="U2212" s="73"/>
      <c r="V2212" s="12">
        <v>42146</v>
      </c>
      <c r="W2212" s="74" t="s">
        <v>6554</v>
      </c>
      <c r="X2212" s="10"/>
      <c r="Y2212" s="10"/>
      <c r="Z2212" s="75"/>
      <c r="AJ2212" s="73"/>
      <c r="AK2212" s="7"/>
      <c r="AL2212" s="15" t="s">
        <v>6555</v>
      </c>
      <c r="AW2212" s="6">
        <f t="shared" ca="1" si="36"/>
        <v>9</v>
      </c>
    </row>
    <row r="2213" ht="45" hidden="1" customHeight="1">
      <c r="A2213" s="69">
        <v>42611</v>
      </c>
      <c r="B2213" s="3" t="s">
        <v>47</v>
      </c>
      <c r="C2213" s="4" t="s">
        <v>6556</v>
      </c>
      <c r="D2213" s="5" t="s">
        <v>6557</v>
      </c>
      <c r="E2213" s="2" t="s">
        <v>694</v>
      </c>
      <c r="F2213" s="6" t="s">
        <v>3727</v>
      </c>
      <c r="G2213" s="5" t="s">
        <v>6558</v>
      </c>
      <c r="H2213" s="2" t="s">
        <v>288</v>
      </c>
      <c r="I2213" s="3" t="s">
        <v>6559</v>
      </c>
      <c r="J2213" s="7">
        <v>1</v>
      </c>
      <c r="L2213" s="9">
        <v>1</v>
      </c>
      <c r="M2213" s="3">
        <v>1801</v>
      </c>
      <c r="N2213" s="6">
        <v>2016</v>
      </c>
      <c r="P2213" s="71"/>
      <c r="R2213" s="6">
        <v>2010</v>
      </c>
      <c r="S2213" s="3" t="s">
        <v>236</v>
      </c>
      <c r="T2213" s="72"/>
      <c r="U2213" s="10">
        <v>45027</v>
      </c>
      <c r="W2213" s="2" t="s">
        <v>62</v>
      </c>
      <c r="X2213" s="10" t="s">
        <v>56</v>
      </c>
      <c r="Y2213" s="10" t="s">
        <v>288</v>
      </c>
      <c r="Z2213" s="75"/>
      <c r="AI2213" s="7"/>
      <c r="AJ2213" s="10">
        <v>45027</v>
      </c>
      <c r="AK2213" s="7">
        <v>2020</v>
      </c>
      <c r="AL2213" s="16" t="s">
        <v>6560</v>
      </c>
      <c r="AT2213" s="6">
        <v>2011</v>
      </c>
      <c r="AU2213" s="16" t="s">
        <v>6561</v>
      </c>
      <c r="AW2213" s="6">
        <f t="shared" ca="1" si="36"/>
        <v>9</v>
      </c>
    </row>
    <row r="2214" ht="45" hidden="1" customHeight="1" outlineLevel="1">
      <c r="A2214" s="69">
        <v>42621</v>
      </c>
      <c r="B2214" s="3" t="s">
        <v>1926</v>
      </c>
      <c r="C2214" s="4" t="s">
        <v>6562</v>
      </c>
      <c r="D2214" s="5" t="s">
        <v>6563</v>
      </c>
      <c r="E2214" s="2" t="s">
        <v>83</v>
      </c>
      <c r="F2214" s="6" t="s">
        <v>84</v>
      </c>
      <c r="G2214" s="5" t="s">
        <v>85</v>
      </c>
      <c r="H2214" s="2" t="s">
        <v>57</v>
      </c>
      <c r="I2214" s="3" t="s">
        <v>6564</v>
      </c>
      <c r="J2214" s="7">
        <v>1</v>
      </c>
      <c r="L2214" s="9">
        <v>1</v>
      </c>
      <c r="M2214" s="3">
        <v>1802</v>
      </c>
      <c r="N2214" s="6">
        <v>2016</v>
      </c>
      <c r="P2214" s="71"/>
      <c r="R2214" s="6">
        <v>2010</v>
      </c>
      <c r="S2214" s="3" t="s">
        <v>283</v>
      </c>
      <c r="T2214" s="72" t="s">
        <v>998</v>
      </c>
      <c r="U2214" s="73"/>
      <c r="W2214" s="74" t="s">
        <v>62</v>
      </c>
      <c r="X2214" s="10"/>
      <c r="Y2214" s="10"/>
      <c r="Z2214" s="75"/>
      <c r="AI2214" s="7"/>
      <c r="AJ2214" s="73"/>
      <c r="AK2214" s="7"/>
      <c r="AL2214" s="16"/>
      <c r="AW2214" s="6">
        <f t="shared" ca="1" si="36"/>
        <v>9</v>
      </c>
    </row>
    <row r="2215" ht="45" hidden="1" customHeight="1" outlineLevel="1">
      <c r="A2215" s="69">
        <v>42703</v>
      </c>
      <c r="B2215" s="3" t="s">
        <v>190</v>
      </c>
      <c r="C2215" s="4" t="s">
        <v>6565</v>
      </c>
      <c r="D2215" s="5" t="s">
        <v>6566</v>
      </c>
      <c r="E2215" s="2" t="s">
        <v>83</v>
      </c>
      <c r="F2215" s="6" t="s">
        <v>84</v>
      </c>
      <c r="G2215" s="5" t="s">
        <v>85</v>
      </c>
      <c r="H2215" s="2" t="s">
        <v>68</v>
      </c>
      <c r="I2215" s="3" t="s">
        <v>6567</v>
      </c>
      <c r="J2215" s="7">
        <v>1</v>
      </c>
      <c r="L2215" s="9">
        <v>1</v>
      </c>
      <c r="M2215" s="3">
        <v>1805</v>
      </c>
      <c r="N2215" s="6">
        <v>2016</v>
      </c>
      <c r="O2215" s="10">
        <v>36269</v>
      </c>
      <c r="P2215" s="71" t="s">
        <v>6568</v>
      </c>
      <c r="Q2215" s="10">
        <v>42697</v>
      </c>
      <c r="R2215" s="6">
        <v>2010</v>
      </c>
      <c r="S2215" s="3" t="s">
        <v>283</v>
      </c>
      <c r="T2215" s="72" t="s">
        <v>998</v>
      </c>
      <c r="U2215" s="73"/>
      <c r="W2215" s="74" t="s">
        <v>62</v>
      </c>
      <c r="X2215" s="10" t="s">
        <v>56</v>
      </c>
      <c r="Y2215" s="10" t="s">
        <v>68</v>
      </c>
      <c r="Z2215" s="75" t="s">
        <v>4498</v>
      </c>
      <c r="AI2215" s="7"/>
      <c r="AJ2215" s="73"/>
      <c r="AK2215" s="7"/>
      <c r="AL2215" s="16"/>
      <c r="AW2215" s="6">
        <f t="shared" ref="AW2215:AW2278" ca="1" si="37">IF(N2215&lt;&gt;0,(YEAR(TODAY())-N2215),(""))</f>
        <v>9</v>
      </c>
    </row>
    <row r="2216" ht="45" hidden="1" customHeight="1" outlineLevel="1">
      <c r="A2216" s="69"/>
      <c r="B2216" s="3" t="s">
        <v>47</v>
      </c>
      <c r="D2216" s="5" t="s">
        <v>6569</v>
      </c>
      <c r="E2216" s="2" t="s">
        <v>83</v>
      </c>
      <c r="F2216" s="6" t="s">
        <v>931</v>
      </c>
      <c r="G2216" s="5" t="s">
        <v>6570</v>
      </c>
      <c r="H2216" s="2" t="s">
        <v>57</v>
      </c>
      <c r="I2216" s="3" t="s">
        <v>6571</v>
      </c>
      <c r="J2216" s="7">
        <v>1</v>
      </c>
      <c r="L2216" s="9">
        <v>1</v>
      </c>
      <c r="M2216" s="3">
        <v>1806</v>
      </c>
      <c r="N2216" s="6">
        <v>2016</v>
      </c>
      <c r="O2216" s="10">
        <v>40095</v>
      </c>
      <c r="P2216" s="71" t="s">
        <v>6572</v>
      </c>
      <c r="Q2216" s="10">
        <v>42697</v>
      </c>
      <c r="R2216" s="6">
        <v>2010</v>
      </c>
      <c r="S2216" s="3" t="s">
        <v>236</v>
      </c>
      <c r="T2216" s="72" t="s">
        <v>1136</v>
      </c>
      <c r="U2216" s="73">
        <v>44056</v>
      </c>
      <c r="W2216" s="2" t="s">
        <v>62</v>
      </c>
      <c r="X2216" s="10"/>
      <c r="Y2216" s="10"/>
      <c r="Z2216" s="75"/>
      <c r="AL2216" s="16"/>
      <c r="AW2216" s="6">
        <f t="shared" ca="1" si="37"/>
        <v>9</v>
      </c>
    </row>
    <row r="2217" ht="45" hidden="1" customHeight="1">
      <c r="A2217" s="69"/>
      <c r="B2217" s="3" t="s">
        <v>47</v>
      </c>
      <c r="C2217" s="4" t="s">
        <v>6573</v>
      </c>
      <c r="D2217" s="5" t="s">
        <v>6574</v>
      </c>
      <c r="E2217" s="2" t="s">
        <v>83</v>
      </c>
      <c r="F2217" s="6" t="s">
        <v>931</v>
      </c>
      <c r="G2217" s="5" t="s">
        <v>6570</v>
      </c>
      <c r="H2217" s="2" t="s">
        <v>57</v>
      </c>
      <c r="I2217" s="3" t="s">
        <v>6575</v>
      </c>
      <c r="J2217" s="7">
        <v>1</v>
      </c>
      <c r="L2217" s="9">
        <v>1</v>
      </c>
      <c r="M2217" s="3">
        <v>1807</v>
      </c>
      <c r="N2217" s="6">
        <v>2016</v>
      </c>
      <c r="O2217" s="10">
        <v>39847</v>
      </c>
      <c r="P2217" s="71" t="s">
        <v>6572</v>
      </c>
      <c r="Q2217" s="10">
        <v>42697</v>
      </c>
      <c r="R2217" s="6">
        <v>2010</v>
      </c>
      <c r="S2217" s="3" t="s">
        <v>236</v>
      </c>
      <c r="T2217" s="72" t="s">
        <v>1136</v>
      </c>
      <c r="U2217" s="73">
        <v>44168</v>
      </c>
      <c r="W2217" s="2" t="s">
        <v>62</v>
      </c>
      <c r="X2217" s="10"/>
      <c r="Y2217" s="10"/>
      <c r="Z2217" s="75"/>
      <c r="AL2217" s="16"/>
      <c r="AW2217" s="6">
        <f t="shared" ca="1" si="37"/>
        <v>9</v>
      </c>
    </row>
    <row r="2218" ht="45" hidden="1" customHeight="1" outlineLevel="1">
      <c r="A2218" s="69"/>
      <c r="B2218" s="3" t="s">
        <v>47</v>
      </c>
      <c r="C2218" s="4" t="s">
        <v>6576</v>
      </c>
      <c r="D2218" s="5" t="s">
        <v>6015</v>
      </c>
      <c r="E2218" s="2" t="s">
        <v>48</v>
      </c>
      <c r="F2218" s="6" t="s">
        <v>564</v>
      </c>
      <c r="G2218" s="5" t="s">
        <v>565</v>
      </c>
      <c r="H2218" s="2" t="s">
        <v>382</v>
      </c>
      <c r="I2218" s="3" t="s">
        <v>6577</v>
      </c>
      <c r="J2218" s="7">
        <v>1</v>
      </c>
      <c r="L2218" s="9">
        <v>1</v>
      </c>
      <c r="M2218" s="3">
        <v>1808</v>
      </c>
      <c r="N2218" s="6">
        <v>2016</v>
      </c>
      <c r="O2218" s="10">
        <v>40688</v>
      </c>
      <c r="P2218" s="71" t="s">
        <v>6578</v>
      </c>
      <c r="Q2218" s="10">
        <v>42697</v>
      </c>
      <c r="R2218" s="6">
        <v>2010</v>
      </c>
      <c r="S2218" s="3" t="s">
        <v>236</v>
      </c>
      <c r="T2218" s="72"/>
      <c r="U2218" s="73"/>
      <c r="W2218" s="2" t="s">
        <v>62</v>
      </c>
      <c r="X2218" s="10" t="s">
        <v>91</v>
      </c>
      <c r="Y2218" s="10" t="s">
        <v>385</v>
      </c>
      <c r="Z2218" s="75"/>
      <c r="AL2218" s="16"/>
      <c r="AW2218" s="6">
        <f t="shared" ca="1" si="37"/>
        <v>9</v>
      </c>
    </row>
    <row r="2219" ht="45" hidden="1" customHeight="1" outlineLevel="1">
      <c r="A2219" s="69">
        <v>42920</v>
      </c>
      <c r="B2219" s="3" t="s">
        <v>47</v>
      </c>
      <c r="C2219" s="4" t="s">
        <v>6074</v>
      </c>
      <c r="D2219" s="5" t="s">
        <v>6579</v>
      </c>
      <c r="E2219" s="2" t="s">
        <v>83</v>
      </c>
      <c r="F2219" s="6" t="s">
        <v>931</v>
      </c>
      <c r="G2219" s="5" t="s">
        <v>932</v>
      </c>
      <c r="H2219" s="2" t="s">
        <v>68</v>
      </c>
      <c r="I2219" s="3" t="s">
        <v>6580</v>
      </c>
      <c r="J2219" s="7">
        <v>1</v>
      </c>
      <c r="K2219" s="70"/>
      <c r="L2219" s="9">
        <v>1</v>
      </c>
      <c r="M2219" s="3">
        <v>1809</v>
      </c>
      <c r="N2219" s="6">
        <v>2016</v>
      </c>
      <c r="O2219" s="10">
        <v>40720</v>
      </c>
      <c r="P2219" s="71" t="s">
        <v>6572</v>
      </c>
      <c r="Q2219" s="10">
        <v>42697</v>
      </c>
      <c r="R2219" s="6">
        <v>2010</v>
      </c>
      <c r="S2219" s="3" t="s">
        <v>236</v>
      </c>
      <c r="T2219" s="72" t="s">
        <v>1136</v>
      </c>
      <c r="W2219" s="2" t="s">
        <v>62</v>
      </c>
      <c r="X2219" s="10" t="s">
        <v>56</v>
      </c>
      <c r="Y2219" s="10" t="s">
        <v>68</v>
      </c>
      <c r="Z2219" s="75" t="s">
        <v>4870</v>
      </c>
      <c r="AA2219" s="76"/>
      <c r="AB2219" s="77"/>
      <c r="AC2219" s="77"/>
      <c r="AD2219" s="10"/>
      <c r="AI2219" s="7"/>
      <c r="AJ2219" s="10">
        <v>44417</v>
      </c>
      <c r="AK2219" s="7">
        <v>2020</v>
      </c>
      <c r="AL2219" s="16"/>
      <c r="AW2219" s="6">
        <f t="shared" ca="1" si="37"/>
        <v>9</v>
      </c>
    </row>
    <row r="2220" ht="45" hidden="1" customHeight="1" outlineLevel="1">
      <c r="A2220" s="69">
        <v>43168</v>
      </c>
      <c r="B2220" s="3" t="s">
        <v>47</v>
      </c>
      <c r="C2220" s="4" t="s">
        <v>4378</v>
      </c>
      <c r="D2220" s="5" t="s">
        <v>6581</v>
      </c>
      <c r="E2220" s="2" t="s">
        <v>83</v>
      </c>
      <c r="F2220" s="6" t="s">
        <v>931</v>
      </c>
      <c r="G2220" s="5" t="s">
        <v>932</v>
      </c>
      <c r="H2220" s="2" t="s">
        <v>382</v>
      </c>
      <c r="I2220" s="3" t="s">
        <v>6582</v>
      </c>
      <c r="J2220" s="7">
        <v>1</v>
      </c>
      <c r="K2220" s="70"/>
      <c r="L2220" s="9">
        <v>1</v>
      </c>
      <c r="M2220" s="3">
        <v>1810</v>
      </c>
      <c r="N2220" s="6">
        <v>2016</v>
      </c>
      <c r="P2220" s="71"/>
      <c r="R2220" s="6">
        <v>2010</v>
      </c>
      <c r="S2220" s="3" t="s">
        <v>236</v>
      </c>
      <c r="T2220" s="72" t="s">
        <v>1136</v>
      </c>
      <c r="W2220" s="2" t="s">
        <v>62</v>
      </c>
      <c r="X2220" s="10" t="s">
        <v>91</v>
      </c>
      <c r="Y2220" s="10" t="s">
        <v>385</v>
      </c>
      <c r="Z2220" s="75" t="s">
        <v>6583</v>
      </c>
      <c r="AA2220" s="76"/>
      <c r="AB2220" s="77"/>
      <c r="AC2220" s="77"/>
      <c r="AD2220" s="10"/>
      <c r="AI2220" s="7"/>
      <c r="AJ2220" s="10">
        <v>44460</v>
      </c>
      <c r="AK2220" s="7">
        <v>2020</v>
      </c>
      <c r="AL2220" s="16"/>
      <c r="AW2220" s="6">
        <f t="shared" ca="1" si="37"/>
        <v>9</v>
      </c>
    </row>
    <row r="2221" ht="45" hidden="1" customHeight="1" outlineLevel="1">
      <c r="A2221" s="69"/>
      <c r="B2221" s="3" t="s">
        <v>47</v>
      </c>
      <c r="C2221" s="4" t="s">
        <v>5102</v>
      </c>
      <c r="D2221" s="5" t="s">
        <v>6584</v>
      </c>
      <c r="E2221" s="2" t="s">
        <v>83</v>
      </c>
      <c r="F2221" s="6" t="s">
        <v>179</v>
      </c>
      <c r="G2221" s="5" t="s">
        <v>1851</v>
      </c>
      <c r="H2221" s="2" t="s">
        <v>57</v>
      </c>
      <c r="I2221" s="3" t="s">
        <v>6585</v>
      </c>
      <c r="J2221" s="7">
        <v>1</v>
      </c>
      <c r="K2221" s="70"/>
      <c r="L2221" s="9">
        <v>1</v>
      </c>
      <c r="M2221" s="3">
        <v>1811</v>
      </c>
      <c r="N2221" s="6">
        <v>2016</v>
      </c>
      <c r="P2221" s="71"/>
      <c r="R2221" s="6">
        <v>2010</v>
      </c>
      <c r="S2221" s="3" t="s">
        <v>236</v>
      </c>
      <c r="T2221" s="72"/>
      <c r="U2221" s="10">
        <v>44025</v>
      </c>
      <c r="W2221" s="2" t="s">
        <v>62</v>
      </c>
      <c r="X2221" s="10" t="s">
        <v>56</v>
      </c>
      <c r="Y2221" s="10" t="s">
        <v>57</v>
      </c>
      <c r="Z2221" s="75"/>
      <c r="AA2221" s="76"/>
      <c r="AB2221" s="77"/>
      <c r="AC2221" s="77"/>
      <c r="AD2221" s="10"/>
      <c r="AI2221" s="7"/>
      <c r="AJ2221" s="10">
        <v>44025</v>
      </c>
      <c r="AK2221" s="7">
        <v>2020</v>
      </c>
      <c r="AL2221" s="16"/>
      <c r="AW2221" s="6">
        <f t="shared" ca="1" si="37"/>
        <v>9</v>
      </c>
    </row>
    <row r="2222" ht="45" hidden="1" customHeight="1" outlineLevel="1">
      <c r="A2222" s="69"/>
      <c r="B2222" s="3" t="s">
        <v>47</v>
      </c>
      <c r="C2222" s="4" t="s">
        <v>6586</v>
      </c>
      <c r="D2222" s="5" t="s">
        <v>6587</v>
      </c>
      <c r="E2222" s="2" t="s">
        <v>63</v>
      </c>
      <c r="F2222" s="6" t="s">
        <v>172</v>
      </c>
      <c r="G2222" s="5" t="s">
        <v>6588</v>
      </c>
      <c r="H2222" s="2" t="s">
        <v>491</v>
      </c>
      <c r="I2222" s="3" t="s">
        <v>6589</v>
      </c>
      <c r="J2222" s="7">
        <v>1</v>
      </c>
      <c r="K2222" s="70"/>
      <c r="L2222" s="9">
        <v>1</v>
      </c>
      <c r="M2222" s="3">
        <v>1812</v>
      </c>
      <c r="N2222" s="6">
        <v>2016</v>
      </c>
      <c r="O2222" s="10">
        <v>42711</v>
      </c>
      <c r="P2222" s="71"/>
      <c r="R2222" s="6">
        <v>2010</v>
      </c>
      <c r="S2222" s="3" t="s">
        <v>236</v>
      </c>
      <c r="T2222" s="72"/>
      <c r="U2222" s="73"/>
      <c r="W2222" s="2" t="s">
        <v>6590</v>
      </c>
      <c r="X2222" s="10"/>
      <c r="Y2222" s="10"/>
      <c r="Z2222" s="75"/>
      <c r="AA2222" s="76"/>
      <c r="AB2222" s="77"/>
      <c r="AC2222" s="77"/>
      <c r="AD2222" s="10"/>
      <c r="AI2222" s="7"/>
      <c r="AK2222" s="7"/>
      <c r="AL2222" s="16"/>
      <c r="AW2222" s="6">
        <f t="shared" ca="1" si="37"/>
        <v>9</v>
      </c>
    </row>
    <row r="2223" ht="45" hidden="1" customHeight="1" outlineLevel="1">
      <c r="A2223" s="69"/>
      <c r="B2223" s="3" t="s">
        <v>47</v>
      </c>
      <c r="C2223" s="4" t="s">
        <v>6591</v>
      </c>
      <c r="D2223" s="5" t="s">
        <v>6592</v>
      </c>
      <c r="E2223" s="2" t="s">
        <v>1074</v>
      </c>
      <c r="F2223" s="6" t="s">
        <v>2092</v>
      </c>
      <c r="G2223" s="5" t="s">
        <v>6593</v>
      </c>
      <c r="H2223" s="2" t="s">
        <v>288</v>
      </c>
      <c r="I2223" s="3" t="s">
        <v>6594</v>
      </c>
      <c r="J2223" s="7">
        <v>1</v>
      </c>
      <c r="K2223" s="70"/>
      <c r="L2223" s="9">
        <v>1</v>
      </c>
      <c r="M2223" s="3">
        <v>1813</v>
      </c>
      <c r="N2223" s="6">
        <v>2016</v>
      </c>
      <c r="P2223" s="71"/>
      <c r="R2223" s="6">
        <v>2010</v>
      </c>
      <c r="S2223" s="3" t="s">
        <v>236</v>
      </c>
      <c r="T2223" s="72"/>
      <c r="W2223" s="2" t="s">
        <v>62</v>
      </c>
      <c r="X2223" s="10" t="s">
        <v>56</v>
      </c>
      <c r="Y2223" s="10" t="s">
        <v>288</v>
      </c>
      <c r="Z2223" s="75"/>
      <c r="AA2223" s="76"/>
      <c r="AB2223" s="77"/>
      <c r="AC2223" s="77"/>
      <c r="AD2223" s="10"/>
      <c r="AI2223" s="7"/>
      <c r="AJ2223" s="10">
        <v>44788</v>
      </c>
      <c r="AK2223" s="7">
        <v>2020</v>
      </c>
      <c r="AL2223" s="16"/>
      <c r="AW2223" s="6">
        <f t="shared" ca="1" si="37"/>
        <v>9</v>
      </c>
    </row>
    <row r="2224" ht="45" hidden="1" customHeight="1">
      <c r="A2224" s="69">
        <v>43014</v>
      </c>
      <c r="B2224" s="3" t="s">
        <v>47</v>
      </c>
      <c r="C2224" s="4" t="s">
        <v>6595</v>
      </c>
      <c r="D2224" s="5" t="s">
        <v>6596</v>
      </c>
      <c r="E2224" s="2" t="s">
        <v>83</v>
      </c>
      <c r="F2224" s="6" t="s">
        <v>931</v>
      </c>
      <c r="G2224" s="5" t="s">
        <v>1038</v>
      </c>
      <c r="H2224" s="2" t="s">
        <v>508</v>
      </c>
      <c r="I2224" s="3" t="s">
        <v>6597</v>
      </c>
      <c r="J2224" s="7">
        <v>1</v>
      </c>
      <c r="K2224" s="70"/>
      <c r="L2224" s="9">
        <v>1</v>
      </c>
      <c r="M2224" s="3">
        <v>1814</v>
      </c>
      <c r="N2224" s="6">
        <v>2017</v>
      </c>
      <c r="P2224" s="71"/>
      <c r="R2224" s="6">
        <v>2010</v>
      </c>
      <c r="S2224" s="3" t="s">
        <v>236</v>
      </c>
      <c r="T2224" s="72" t="s">
        <v>1136</v>
      </c>
      <c r="U2224" s="73"/>
      <c r="W2224" s="2" t="s">
        <v>6598</v>
      </c>
      <c r="X2224" s="10"/>
      <c r="Y2224" s="10"/>
      <c r="Z2224" s="75"/>
      <c r="AA2224" s="76"/>
      <c r="AB2224" s="77"/>
      <c r="AC2224" s="77"/>
      <c r="AD2224" s="10"/>
      <c r="AI2224" s="7"/>
      <c r="AK2224" s="7"/>
      <c r="AL2224" s="16"/>
      <c r="AW2224" s="6">
        <f t="shared" ca="1" si="37"/>
        <v>8</v>
      </c>
    </row>
    <row r="2225" ht="45" hidden="1" customHeight="1">
      <c r="A2225" s="69"/>
      <c r="B2225" s="3" t="s">
        <v>190</v>
      </c>
      <c r="C2225" s="4" t="s">
        <v>6599</v>
      </c>
      <c r="D2225" s="5" t="s">
        <v>6600</v>
      </c>
      <c r="E2225" s="2" t="s">
        <v>83</v>
      </c>
      <c r="F2225" s="6" t="s">
        <v>931</v>
      </c>
      <c r="G2225" s="5" t="s">
        <v>932</v>
      </c>
      <c r="H2225" s="2" t="s">
        <v>288</v>
      </c>
      <c r="I2225" s="3" t="s">
        <v>6601</v>
      </c>
      <c r="J2225" s="7">
        <v>1</v>
      </c>
      <c r="K2225" s="70"/>
      <c r="L2225" s="9">
        <v>1</v>
      </c>
      <c r="M2225" s="3">
        <v>1815</v>
      </c>
      <c r="N2225" s="6">
        <v>2017</v>
      </c>
      <c r="O2225" s="10">
        <v>42788</v>
      </c>
      <c r="P2225" s="71" t="s">
        <v>6602</v>
      </c>
      <c r="R2225" s="6">
        <v>2010</v>
      </c>
      <c r="S2225" s="3" t="s">
        <v>283</v>
      </c>
      <c r="T2225" s="72"/>
      <c r="U2225" s="73"/>
      <c r="W2225" s="74" t="s">
        <v>62</v>
      </c>
      <c r="X2225" s="10" t="s">
        <v>56</v>
      </c>
      <c r="Y2225" s="10" t="s">
        <v>288</v>
      </c>
      <c r="Z2225" s="75"/>
      <c r="AA2225" s="76"/>
      <c r="AB2225" s="77"/>
      <c r="AC2225" s="77"/>
      <c r="AD2225" s="10"/>
      <c r="AI2225" s="7"/>
      <c r="AJ2225" s="73"/>
      <c r="AK2225" s="7"/>
      <c r="AL2225" s="16"/>
      <c r="AW2225" s="6">
        <f t="shared" ca="1" si="37"/>
        <v>8</v>
      </c>
    </row>
    <row r="2226" ht="45" hidden="1" customHeight="1">
      <c r="A2226" s="69"/>
      <c r="B2226" s="3" t="s">
        <v>190</v>
      </c>
      <c r="C2226" s="4" t="s">
        <v>6603</v>
      </c>
      <c r="D2226" s="5" t="s">
        <v>6604</v>
      </c>
      <c r="E2226" s="2" t="s">
        <v>83</v>
      </c>
      <c r="F2226" s="6" t="s">
        <v>704</v>
      </c>
      <c r="G2226" s="5" t="s">
        <v>5068</v>
      </c>
      <c r="H2226" s="2" t="s">
        <v>51</v>
      </c>
      <c r="I2226" s="3" t="s">
        <v>6605</v>
      </c>
      <c r="J2226" s="7">
        <v>1</v>
      </c>
      <c r="K2226" s="70"/>
      <c r="L2226" s="9">
        <v>1</v>
      </c>
      <c r="M2226" s="3">
        <v>1816</v>
      </c>
      <c r="N2226" s="6">
        <v>2017</v>
      </c>
      <c r="P2226" s="71"/>
      <c r="R2226" s="6">
        <v>2010</v>
      </c>
      <c r="S2226" s="3" t="s">
        <v>283</v>
      </c>
      <c r="T2226" s="72"/>
      <c r="U2226" s="73"/>
      <c r="W2226" s="74" t="s">
        <v>62</v>
      </c>
      <c r="X2226" s="10"/>
      <c r="Y2226" s="10"/>
      <c r="Z2226" s="75"/>
      <c r="AA2226" s="76"/>
      <c r="AB2226" s="77"/>
      <c r="AC2226" s="77"/>
      <c r="AD2226" s="10"/>
      <c r="AI2226" s="7"/>
      <c r="AJ2226" s="73"/>
      <c r="AK2226" s="7"/>
      <c r="AL2226" s="16"/>
      <c r="AW2226" s="6">
        <f t="shared" ca="1" si="37"/>
        <v>8</v>
      </c>
    </row>
    <row r="2227" ht="45" hidden="1" customHeight="1">
      <c r="A2227" s="69">
        <v>42918</v>
      </c>
      <c r="B2227" s="3" t="s">
        <v>47</v>
      </c>
      <c r="C2227" s="4" t="s">
        <v>6606</v>
      </c>
      <c r="D2227" s="5" t="s">
        <v>6607</v>
      </c>
      <c r="E2227" s="2" t="s">
        <v>48</v>
      </c>
      <c r="F2227" s="6" t="s">
        <v>564</v>
      </c>
      <c r="G2227" s="5" t="s">
        <v>5422</v>
      </c>
      <c r="H2227" s="2" t="s">
        <v>57</v>
      </c>
      <c r="I2227" s="3" t="s">
        <v>6608</v>
      </c>
      <c r="J2227" s="7">
        <v>1</v>
      </c>
      <c r="K2227" s="70"/>
      <c r="L2227" s="9">
        <v>1</v>
      </c>
      <c r="M2227" s="3">
        <v>1817</v>
      </c>
      <c r="N2227" s="6">
        <v>2017</v>
      </c>
      <c r="P2227" s="71"/>
      <c r="R2227" s="6">
        <v>2010</v>
      </c>
      <c r="S2227" s="3" t="s">
        <v>236</v>
      </c>
      <c r="T2227" s="72" t="s">
        <v>1136</v>
      </c>
      <c r="U2227" s="10">
        <v>44119</v>
      </c>
      <c r="W2227" s="2" t="s">
        <v>62</v>
      </c>
      <c r="X2227" s="10"/>
      <c r="Y2227" s="10"/>
      <c r="Z2227" s="75"/>
      <c r="AA2227" s="76"/>
      <c r="AB2227" s="77"/>
      <c r="AC2227" s="77"/>
      <c r="AD2227" s="10"/>
      <c r="AI2227" s="7"/>
      <c r="AJ2227" s="10">
        <v>44118</v>
      </c>
      <c r="AK2227" s="7">
        <v>2020</v>
      </c>
      <c r="AL2227" s="16"/>
      <c r="AW2227" s="6">
        <f t="shared" ca="1" si="37"/>
        <v>8</v>
      </c>
    </row>
    <row r="2228" ht="45" hidden="1" customHeight="1">
      <c r="A2228" s="69">
        <v>43306</v>
      </c>
      <c r="B2228" s="3" t="s">
        <v>47</v>
      </c>
      <c r="C2228" s="4" t="s">
        <v>2694</v>
      </c>
      <c r="D2228" s="5" t="s">
        <v>6609</v>
      </c>
      <c r="E2228" s="2" t="s">
        <v>83</v>
      </c>
      <c r="F2228" s="6" t="s">
        <v>3867</v>
      </c>
      <c r="G2228" s="5" t="s">
        <v>339</v>
      </c>
      <c r="H2228" s="2" t="s">
        <v>501</v>
      </c>
      <c r="I2228" s="3" t="s">
        <v>6610</v>
      </c>
      <c r="J2228" s="7">
        <v>1</v>
      </c>
      <c r="K2228" s="70"/>
      <c r="L2228" s="9">
        <v>1</v>
      </c>
      <c r="M2228" s="3">
        <v>1818</v>
      </c>
      <c r="N2228" s="6">
        <v>2017</v>
      </c>
      <c r="P2228" s="71"/>
      <c r="R2228" s="6">
        <v>2010</v>
      </c>
      <c r="S2228" s="3" t="s">
        <v>236</v>
      </c>
      <c r="T2228" s="72" t="s">
        <v>1136</v>
      </c>
      <c r="U2228" s="10">
        <v>44118</v>
      </c>
      <c r="W2228" s="2" t="s">
        <v>6611</v>
      </c>
      <c r="X2228" s="10" t="s">
        <v>504</v>
      </c>
      <c r="Y2228" s="10"/>
      <c r="Z2228" s="75"/>
      <c r="AA2228" s="76"/>
      <c r="AB2228" s="77"/>
      <c r="AC2228" s="77"/>
      <c r="AD2228" s="10"/>
      <c r="AI2228" s="7"/>
      <c r="AJ2228" s="10">
        <v>43991</v>
      </c>
      <c r="AK2228" s="7">
        <v>2020</v>
      </c>
      <c r="AL2228" s="16"/>
      <c r="AW2228" s="6">
        <f t="shared" ca="1" si="37"/>
        <v>8</v>
      </c>
    </row>
    <row r="2229" ht="45" hidden="1" customHeight="1">
      <c r="A2229" s="69"/>
      <c r="B2229" s="3" t="s">
        <v>190</v>
      </c>
      <c r="C2229" s="4" t="s">
        <v>6612</v>
      </c>
      <c r="D2229" s="5" t="s">
        <v>6613</v>
      </c>
      <c r="E2229" s="2" t="s">
        <v>694</v>
      </c>
      <c r="F2229" s="6" t="s">
        <v>1487</v>
      </c>
      <c r="H2229" s="2" t="s">
        <v>491</v>
      </c>
      <c r="I2229" s="3" t="s">
        <v>6614</v>
      </c>
      <c r="J2229" s="7">
        <v>1</v>
      </c>
      <c r="K2229" s="70"/>
      <c r="L2229" s="9">
        <v>1</v>
      </c>
      <c r="M2229" s="3">
        <v>1819</v>
      </c>
      <c r="N2229" s="6">
        <v>2017</v>
      </c>
      <c r="O2229" s="10">
        <v>42824</v>
      </c>
      <c r="P2229" s="71" t="s">
        <v>6615</v>
      </c>
      <c r="Q2229" s="10">
        <v>42938</v>
      </c>
      <c r="R2229" s="6">
        <v>2010</v>
      </c>
      <c r="S2229" s="3" t="s">
        <v>283</v>
      </c>
      <c r="T2229" s="72"/>
      <c r="U2229" s="73"/>
      <c r="W2229" s="74" t="s">
        <v>62</v>
      </c>
      <c r="X2229" s="10"/>
      <c r="Y2229" s="10"/>
      <c r="Z2229" s="75"/>
      <c r="AA2229" s="76"/>
      <c r="AB2229" s="77"/>
      <c r="AC2229" s="77"/>
      <c r="AD2229" s="10"/>
      <c r="AI2229" s="7"/>
      <c r="AJ2229" s="73"/>
      <c r="AK2229" s="7"/>
      <c r="AL2229" s="16"/>
      <c r="AW2229" s="6">
        <f t="shared" ca="1" si="37"/>
        <v>8</v>
      </c>
    </row>
    <row r="2230" ht="45" hidden="1" customHeight="1">
      <c r="A2230" s="69">
        <v>43584</v>
      </c>
      <c r="B2230" s="3" t="s">
        <v>190</v>
      </c>
      <c r="C2230" s="4" t="s">
        <v>6616</v>
      </c>
      <c r="D2230" s="5" t="s">
        <v>6617</v>
      </c>
      <c r="E2230" s="2" t="s">
        <v>48</v>
      </c>
      <c r="F2230" s="6" t="s">
        <v>49</v>
      </c>
      <c r="G2230" s="5" t="s">
        <v>474</v>
      </c>
      <c r="H2230" s="2" t="s">
        <v>501</v>
      </c>
      <c r="I2230" s="3" t="s">
        <v>6618</v>
      </c>
      <c r="J2230" s="7">
        <v>1</v>
      </c>
      <c r="K2230" s="70"/>
      <c r="L2230" s="9">
        <v>1</v>
      </c>
      <c r="M2230" s="3">
        <v>1820</v>
      </c>
      <c r="N2230" s="6">
        <v>2017</v>
      </c>
      <c r="P2230" s="71" t="s">
        <v>6619</v>
      </c>
      <c r="Q2230" s="10">
        <v>42957</v>
      </c>
      <c r="R2230" s="6">
        <v>2010</v>
      </c>
      <c r="S2230" s="3" t="s">
        <v>283</v>
      </c>
      <c r="T2230" s="72"/>
      <c r="W2230" s="74" t="s">
        <v>62</v>
      </c>
      <c r="X2230" s="10"/>
      <c r="Y2230" s="10"/>
      <c r="Z2230" s="75"/>
      <c r="AA2230" s="76"/>
      <c r="AB2230" s="77"/>
      <c r="AC2230" s="77"/>
      <c r="AD2230" s="10"/>
      <c r="AI2230" s="7"/>
      <c r="AJ2230" s="73">
        <v>44448</v>
      </c>
      <c r="AK2230" s="7">
        <v>2020</v>
      </c>
      <c r="AL2230" s="16"/>
      <c r="AW2230" s="6">
        <f t="shared" ca="1" si="37"/>
        <v>8</v>
      </c>
    </row>
    <row r="2231" ht="45" hidden="1" customHeight="1">
      <c r="A2231" s="69">
        <v>43628</v>
      </c>
      <c r="B2231" s="3" t="s">
        <v>190</v>
      </c>
      <c r="C2231" s="4" t="s">
        <v>6620</v>
      </c>
      <c r="D2231" s="5" t="s">
        <v>6621</v>
      </c>
      <c r="E2231" s="2" t="s">
        <v>83</v>
      </c>
      <c r="F2231" s="6" t="s">
        <v>704</v>
      </c>
      <c r="G2231" s="5" t="s">
        <v>705</v>
      </c>
      <c r="H2231" s="2" t="s">
        <v>51</v>
      </c>
      <c r="I2231" s="3" t="s">
        <v>6622</v>
      </c>
      <c r="J2231" s="7">
        <v>1</v>
      </c>
      <c r="K2231" s="70"/>
      <c r="L2231" s="9">
        <v>1</v>
      </c>
      <c r="M2231" s="3">
        <v>1821</v>
      </c>
      <c r="N2231" s="6">
        <v>2017</v>
      </c>
      <c r="O2231" s="10">
        <v>42790</v>
      </c>
      <c r="P2231" s="71" t="s">
        <v>6623</v>
      </c>
      <c r="Q2231" s="10">
        <v>43004</v>
      </c>
      <c r="R2231" s="6">
        <v>2010</v>
      </c>
      <c r="S2231" s="3" t="s">
        <v>283</v>
      </c>
      <c r="T2231" s="72" t="s">
        <v>998</v>
      </c>
      <c r="U2231" s="73"/>
      <c r="W2231" s="74" t="s">
        <v>62</v>
      </c>
      <c r="X2231" s="10"/>
      <c r="Y2231" s="10"/>
      <c r="Z2231" s="75"/>
      <c r="AA2231" s="76"/>
      <c r="AB2231" s="77"/>
      <c r="AC2231" s="77"/>
      <c r="AD2231" s="10"/>
      <c r="AI2231" s="7"/>
      <c r="AJ2231" s="73"/>
      <c r="AK2231" s="7"/>
      <c r="AL2231" s="16"/>
      <c r="AW2231" s="6">
        <f t="shared" ca="1" si="37"/>
        <v>8</v>
      </c>
    </row>
    <row r="2232" ht="45" hidden="1" customHeight="1">
      <c r="A2232" s="69"/>
      <c r="B2232" s="3" t="s">
        <v>47</v>
      </c>
      <c r="C2232" s="4" t="s">
        <v>6624</v>
      </c>
      <c r="D2232" s="5" t="s">
        <v>6625</v>
      </c>
      <c r="E2232" s="2" t="s">
        <v>83</v>
      </c>
      <c r="F2232" s="6" t="s">
        <v>704</v>
      </c>
      <c r="G2232" s="5" t="s">
        <v>6626</v>
      </c>
      <c r="H2232" s="2" t="s">
        <v>57</v>
      </c>
      <c r="I2232" s="3" t="s">
        <v>6627</v>
      </c>
      <c r="J2232" s="7">
        <v>1</v>
      </c>
      <c r="K2232" s="70"/>
      <c r="L2232" s="9">
        <v>1</v>
      </c>
      <c r="M2232" s="3">
        <v>1822</v>
      </c>
      <c r="N2232" s="6">
        <v>2017</v>
      </c>
      <c r="P2232" s="71"/>
      <c r="R2232" s="6">
        <v>2010</v>
      </c>
      <c r="S2232" s="3" t="s">
        <v>236</v>
      </c>
      <c r="T2232" s="72"/>
      <c r="U2232" s="73"/>
      <c r="W2232" s="2" t="s">
        <v>62</v>
      </c>
      <c r="X2232" s="10"/>
      <c r="Y2232" s="10"/>
      <c r="Z2232" s="75"/>
      <c r="AA2232" s="76"/>
      <c r="AB2232" s="77"/>
      <c r="AC2232" s="77"/>
      <c r="AD2232" s="10"/>
      <c r="AI2232" s="7"/>
      <c r="AJ2232" s="10">
        <v>42990</v>
      </c>
      <c r="AK2232" s="7">
        <v>2010</v>
      </c>
      <c r="AL2232" s="16"/>
      <c r="AW2232" s="6">
        <f t="shared" ca="1" si="37"/>
        <v>8</v>
      </c>
    </row>
    <row r="2233" ht="45" hidden="1" customHeight="1">
      <c r="A2233" s="69"/>
      <c r="B2233" s="3" t="s">
        <v>190</v>
      </c>
      <c r="C2233" s="4" t="s">
        <v>6628</v>
      </c>
      <c r="D2233" s="5" t="s">
        <v>6629</v>
      </c>
      <c r="E2233" s="2" t="s">
        <v>83</v>
      </c>
      <c r="F2233" s="6" t="s">
        <v>704</v>
      </c>
      <c r="G2233" s="5" t="s">
        <v>5060</v>
      </c>
      <c r="H2233" s="2" t="s">
        <v>68</v>
      </c>
      <c r="I2233" s="3" t="s">
        <v>6630</v>
      </c>
      <c r="J2233" s="7">
        <v>1</v>
      </c>
      <c r="K2233" s="70"/>
      <c r="L2233" s="9">
        <v>1</v>
      </c>
      <c r="M2233" s="3">
        <v>1823</v>
      </c>
      <c r="N2233" s="6">
        <v>2017</v>
      </c>
      <c r="O2233" s="10">
        <v>42493</v>
      </c>
      <c r="P2233" s="71" t="s">
        <v>6631</v>
      </c>
      <c r="Q2233" s="10">
        <v>43033</v>
      </c>
      <c r="R2233" s="6">
        <v>2010</v>
      </c>
      <c r="S2233" s="3" t="s">
        <v>283</v>
      </c>
      <c r="T2233" s="72"/>
      <c r="U2233" s="73"/>
      <c r="W2233" s="74" t="s">
        <v>62</v>
      </c>
      <c r="X2233" s="10" t="s">
        <v>56</v>
      </c>
      <c r="Y2233" s="10" t="s">
        <v>68</v>
      </c>
      <c r="AA2233" s="76"/>
      <c r="AB2233" s="77"/>
      <c r="AC2233" s="77"/>
      <c r="AD2233" s="10"/>
      <c r="AI2233" s="7"/>
      <c r="AJ2233" s="73"/>
      <c r="AK2233" s="7"/>
      <c r="AL2233" s="16"/>
      <c r="AW2233" s="6">
        <f t="shared" ca="1" si="37"/>
        <v>8</v>
      </c>
    </row>
    <row r="2234" ht="45" hidden="1" customHeight="1">
      <c r="A2234" s="69"/>
      <c r="B2234" s="3" t="s">
        <v>190</v>
      </c>
      <c r="C2234" s="4" t="s">
        <v>6632</v>
      </c>
      <c r="D2234" s="5" t="s">
        <v>6633</v>
      </c>
      <c r="E2234" s="2" t="s">
        <v>83</v>
      </c>
      <c r="F2234" s="6" t="s">
        <v>179</v>
      </c>
      <c r="G2234" s="5" t="s">
        <v>6634</v>
      </c>
      <c r="H2234" s="2" t="s">
        <v>257</v>
      </c>
      <c r="I2234" s="3" t="s">
        <v>6635</v>
      </c>
      <c r="J2234" s="7">
        <v>1</v>
      </c>
      <c r="K2234" s="70"/>
      <c r="L2234" s="9">
        <v>1</v>
      </c>
      <c r="M2234" s="3">
        <v>1824</v>
      </c>
      <c r="N2234" s="6">
        <v>2017</v>
      </c>
      <c r="O2234" s="10">
        <v>42860</v>
      </c>
      <c r="P2234" s="71" t="s">
        <v>6636</v>
      </c>
      <c r="Q2234" s="201">
        <v>43033</v>
      </c>
      <c r="R2234" s="6">
        <v>2010</v>
      </c>
      <c r="S2234" s="3" t="s">
        <v>283</v>
      </c>
      <c r="T2234" s="72"/>
      <c r="U2234" s="73"/>
      <c r="W2234" s="74" t="s">
        <v>62</v>
      </c>
      <c r="X2234" s="10" t="s">
        <v>56</v>
      </c>
      <c r="Y2234" s="10" t="s">
        <v>68</v>
      </c>
      <c r="Z2234" s="75" t="s">
        <v>237</v>
      </c>
      <c r="AA2234" s="76"/>
      <c r="AB2234" s="77"/>
      <c r="AC2234" s="77"/>
      <c r="AD2234" s="10"/>
      <c r="AI2234" s="7"/>
      <c r="AJ2234" s="73"/>
      <c r="AK2234" s="7"/>
      <c r="AL2234" s="16"/>
      <c r="AW2234" s="6">
        <f t="shared" ca="1" si="37"/>
        <v>8</v>
      </c>
    </row>
    <row r="2235" ht="45" hidden="1" customHeight="1">
      <c r="A2235" s="69"/>
      <c r="B2235" s="3" t="s">
        <v>190</v>
      </c>
      <c r="C2235" s="4" t="s">
        <v>6628</v>
      </c>
      <c r="D2235" s="5" t="s">
        <v>6637</v>
      </c>
      <c r="E2235" s="2" t="s">
        <v>83</v>
      </c>
      <c r="F2235" s="6" t="s">
        <v>704</v>
      </c>
      <c r="G2235" s="5" t="s">
        <v>996</v>
      </c>
      <c r="H2235" s="2" t="s">
        <v>57</v>
      </c>
      <c r="I2235" s="3" t="s">
        <v>6638</v>
      </c>
      <c r="J2235" s="7">
        <v>1</v>
      </c>
      <c r="K2235" s="70"/>
      <c r="L2235" s="9">
        <v>1</v>
      </c>
      <c r="M2235" s="3">
        <v>1825</v>
      </c>
      <c r="N2235" s="6">
        <v>2017</v>
      </c>
      <c r="O2235" s="10">
        <v>40317</v>
      </c>
      <c r="P2235" s="71" t="s">
        <v>6639</v>
      </c>
      <c r="Q2235" s="10">
        <v>43033</v>
      </c>
      <c r="R2235" s="6">
        <v>2010</v>
      </c>
      <c r="S2235" s="3" t="s">
        <v>283</v>
      </c>
      <c r="T2235" s="72"/>
      <c r="U2235" s="73"/>
      <c r="W2235" s="74" t="s">
        <v>62</v>
      </c>
      <c r="X2235" s="10" t="s">
        <v>56</v>
      </c>
      <c r="Y2235" s="10"/>
      <c r="Z2235" s="75"/>
      <c r="AA2235" s="76"/>
      <c r="AB2235" s="77"/>
      <c r="AC2235" s="77"/>
      <c r="AD2235" s="10"/>
      <c r="AI2235" s="7"/>
      <c r="AJ2235" s="73"/>
      <c r="AK2235" s="7"/>
      <c r="AL2235" s="16"/>
      <c r="AW2235" s="6">
        <f t="shared" ca="1" si="37"/>
        <v>8</v>
      </c>
    </row>
    <row r="2236" ht="45" hidden="1" customHeight="1">
      <c r="A2236" s="69">
        <v>45496</v>
      </c>
      <c r="B2236" s="3" t="s">
        <v>1926</v>
      </c>
      <c r="D2236" s="5" t="s">
        <v>6640</v>
      </c>
      <c r="E2236" s="2" t="s">
        <v>83</v>
      </c>
      <c r="F2236" s="6" t="s">
        <v>704</v>
      </c>
      <c r="G2236" s="5" t="s">
        <v>1697</v>
      </c>
      <c r="H2236" s="2" t="s">
        <v>57</v>
      </c>
      <c r="I2236" s="3" t="s">
        <v>6641</v>
      </c>
      <c r="J2236" s="7">
        <v>1</v>
      </c>
      <c r="K2236" s="70"/>
      <c r="L2236" s="9">
        <v>1</v>
      </c>
      <c r="M2236" s="3">
        <v>1826</v>
      </c>
      <c r="N2236" s="6">
        <v>2017</v>
      </c>
      <c r="O2236" s="10">
        <v>42552</v>
      </c>
      <c r="P2236" s="71" t="s">
        <v>6642</v>
      </c>
      <c r="Q2236" s="10">
        <v>43033</v>
      </c>
      <c r="R2236" s="6">
        <v>2010</v>
      </c>
      <c r="S2236" s="3" t="s">
        <v>283</v>
      </c>
      <c r="T2236" s="72" t="s">
        <v>1136</v>
      </c>
      <c r="U2236" s="73"/>
      <c r="W2236" s="74" t="s">
        <v>62</v>
      </c>
      <c r="X2236" s="10"/>
      <c r="Y2236" s="10"/>
      <c r="Z2236" s="75"/>
      <c r="AA2236" s="76"/>
      <c r="AB2236" s="77"/>
      <c r="AC2236" s="77"/>
      <c r="AD2236" s="10"/>
      <c r="AI2236" s="7"/>
      <c r="AJ2236" s="73"/>
      <c r="AK2236" s="7"/>
      <c r="AL2236" s="16"/>
      <c r="AW2236" s="6">
        <f t="shared" ca="1" si="37"/>
        <v>8</v>
      </c>
    </row>
    <row r="2237" ht="45" hidden="1" customHeight="1">
      <c r="A2237" s="69">
        <v>44056</v>
      </c>
      <c r="B2237" s="3" t="s">
        <v>47</v>
      </c>
      <c r="C2237" s="4" t="s">
        <v>6643</v>
      </c>
      <c r="D2237" s="5" t="s">
        <v>6644</v>
      </c>
      <c r="E2237" s="2" t="s">
        <v>83</v>
      </c>
      <c r="F2237" s="6" t="s">
        <v>704</v>
      </c>
      <c r="G2237" s="5" t="s">
        <v>705</v>
      </c>
      <c r="H2237" s="2" t="s">
        <v>57</v>
      </c>
      <c r="I2237" s="3" t="s">
        <v>6645</v>
      </c>
      <c r="J2237" s="7">
        <v>1</v>
      </c>
      <c r="K2237" s="70"/>
      <c r="L2237" s="9">
        <v>1</v>
      </c>
      <c r="M2237" s="3">
        <v>1827</v>
      </c>
      <c r="N2237" s="6">
        <v>2017</v>
      </c>
      <c r="O2237" s="10">
        <v>42376</v>
      </c>
      <c r="P2237" s="71" t="s">
        <v>6646</v>
      </c>
      <c r="Q2237" s="10">
        <v>43034</v>
      </c>
      <c r="R2237" s="6">
        <v>2010</v>
      </c>
      <c r="S2237" s="3" t="s">
        <v>236</v>
      </c>
      <c r="T2237" s="72" t="s">
        <v>1136</v>
      </c>
      <c r="W2237" s="2" t="s">
        <v>62</v>
      </c>
      <c r="X2237" s="10"/>
      <c r="Y2237" s="10"/>
      <c r="Z2237" s="75"/>
      <c r="AA2237" s="76"/>
      <c r="AB2237" s="77"/>
      <c r="AC2237" s="77"/>
      <c r="AD2237" s="10"/>
      <c r="AI2237" s="7"/>
      <c r="AJ2237" s="10">
        <v>44521</v>
      </c>
      <c r="AK2237" s="7">
        <v>2020</v>
      </c>
      <c r="AL2237" s="16"/>
      <c r="AW2237" s="6">
        <f t="shared" ca="1" si="37"/>
        <v>8</v>
      </c>
    </row>
    <row r="2238" ht="45" hidden="1" customHeight="1">
      <c r="A2238" s="69">
        <v>44651</v>
      </c>
      <c r="B2238" s="3" t="s">
        <v>190</v>
      </c>
      <c r="C2238" s="4" t="s">
        <v>6647</v>
      </c>
      <c r="D2238" s="5" t="s">
        <v>6648</v>
      </c>
      <c r="E2238" s="2" t="s">
        <v>83</v>
      </c>
      <c r="F2238" s="6" t="s">
        <v>179</v>
      </c>
      <c r="G2238" s="5" t="s">
        <v>6649</v>
      </c>
      <c r="H2238" s="2" t="s">
        <v>257</v>
      </c>
      <c r="I2238" s="3" t="s">
        <v>6650</v>
      </c>
      <c r="J2238" s="7">
        <v>1</v>
      </c>
      <c r="K2238" s="70"/>
      <c r="L2238" s="9">
        <v>1</v>
      </c>
      <c r="M2238" s="3">
        <v>1828</v>
      </c>
      <c r="N2238" s="6">
        <v>2017</v>
      </c>
      <c r="O2238" s="10">
        <v>42391</v>
      </c>
      <c r="P2238" s="71" t="s">
        <v>6651</v>
      </c>
      <c r="R2238" s="6">
        <v>2010</v>
      </c>
      <c r="S2238" s="3" t="s">
        <v>283</v>
      </c>
      <c r="T2238" s="72"/>
      <c r="W2238" s="74" t="s">
        <v>62</v>
      </c>
      <c r="X2238" s="10" t="s">
        <v>56</v>
      </c>
      <c r="Y2238" s="10" t="s">
        <v>68</v>
      </c>
      <c r="Z2238" s="75" t="s">
        <v>237</v>
      </c>
      <c r="AA2238" s="76"/>
      <c r="AB2238" s="77"/>
      <c r="AC2238" s="77"/>
      <c r="AD2238" s="10"/>
      <c r="AI2238" s="7"/>
      <c r="AJ2238" s="73">
        <v>44791</v>
      </c>
      <c r="AK2238" s="7">
        <v>2020</v>
      </c>
      <c r="AL2238" s="16"/>
      <c r="AW2238" s="6">
        <f t="shared" ca="1" si="37"/>
        <v>8</v>
      </c>
    </row>
    <row r="2239" ht="45" hidden="1" customHeight="1">
      <c r="A2239" s="69"/>
      <c r="B2239" s="3" t="s">
        <v>190</v>
      </c>
      <c r="C2239" s="4" t="s">
        <v>6628</v>
      </c>
      <c r="D2239" s="5" t="s">
        <v>6652</v>
      </c>
      <c r="E2239" s="2" t="s">
        <v>83</v>
      </c>
      <c r="F2239" s="6" t="s">
        <v>704</v>
      </c>
      <c r="G2239" s="5" t="s">
        <v>996</v>
      </c>
      <c r="H2239" s="2" t="s">
        <v>57</v>
      </c>
      <c r="I2239" s="3" t="s">
        <v>6653</v>
      </c>
      <c r="J2239" s="7">
        <v>1</v>
      </c>
      <c r="K2239" s="70"/>
      <c r="L2239" s="9">
        <v>1</v>
      </c>
      <c r="M2239" s="3">
        <v>1829</v>
      </c>
      <c r="N2239" s="6">
        <v>2017</v>
      </c>
      <c r="O2239" s="10">
        <v>38805</v>
      </c>
      <c r="P2239" s="71" t="s">
        <v>6654</v>
      </c>
      <c r="Q2239" s="10">
        <v>43033</v>
      </c>
      <c r="R2239" s="6">
        <v>2010</v>
      </c>
      <c r="S2239" s="3" t="s">
        <v>283</v>
      </c>
      <c r="T2239" s="72"/>
      <c r="U2239" s="73"/>
      <c r="W2239" s="74" t="s">
        <v>62</v>
      </c>
      <c r="X2239" s="10" t="s">
        <v>56</v>
      </c>
      <c r="Y2239" s="10" t="s">
        <v>57</v>
      </c>
      <c r="Z2239" s="75" t="s">
        <v>58</v>
      </c>
      <c r="AA2239" s="76"/>
      <c r="AB2239" s="77"/>
      <c r="AC2239" s="77"/>
      <c r="AD2239" s="10"/>
      <c r="AI2239" s="7"/>
      <c r="AJ2239" s="73"/>
      <c r="AK2239" s="7"/>
      <c r="AL2239" s="16"/>
      <c r="AW2239" s="6">
        <f t="shared" ca="1" si="37"/>
        <v>8</v>
      </c>
    </row>
    <row r="2240" ht="45" hidden="1" customHeight="1">
      <c r="A2240" s="69">
        <v>44152</v>
      </c>
      <c r="B2240" s="3" t="s">
        <v>190</v>
      </c>
      <c r="C2240" s="4" t="s">
        <v>6655</v>
      </c>
      <c r="D2240" s="5" t="s">
        <v>6656</v>
      </c>
      <c r="E2240" s="2" t="s">
        <v>48</v>
      </c>
      <c r="F2240" s="6" t="s">
        <v>49</v>
      </c>
      <c r="G2240" s="5" t="s">
        <v>468</v>
      </c>
      <c r="H2240" s="2" t="s">
        <v>57</v>
      </c>
      <c r="I2240" s="3" t="s">
        <v>6657</v>
      </c>
      <c r="J2240" s="7">
        <v>1</v>
      </c>
      <c r="K2240" s="70"/>
      <c r="L2240" s="9">
        <v>1</v>
      </c>
      <c r="M2240" s="3">
        <v>1830</v>
      </c>
      <c r="N2240" s="6">
        <v>2017</v>
      </c>
      <c r="O2240" s="10">
        <v>42991</v>
      </c>
      <c r="P2240" s="71" t="s">
        <v>6658</v>
      </c>
      <c r="Q2240" s="10">
        <v>43034</v>
      </c>
      <c r="R2240" s="6">
        <v>2010</v>
      </c>
      <c r="S2240" s="3" t="s">
        <v>283</v>
      </c>
      <c r="T2240" s="72" t="s">
        <v>998</v>
      </c>
      <c r="U2240" s="73"/>
      <c r="W2240" s="74" t="s">
        <v>62</v>
      </c>
      <c r="X2240" s="10" t="s">
        <v>56</v>
      </c>
      <c r="Y2240" s="10" t="s">
        <v>57</v>
      </c>
      <c r="Z2240" s="75" t="s">
        <v>4498</v>
      </c>
      <c r="AA2240" s="76"/>
      <c r="AB2240" s="77"/>
      <c r="AC2240" s="77"/>
      <c r="AD2240" s="10"/>
      <c r="AI2240" s="7"/>
      <c r="AJ2240" s="73"/>
      <c r="AK2240" s="7"/>
      <c r="AL2240" s="16"/>
      <c r="AW2240" s="6">
        <f t="shared" ca="1" si="37"/>
        <v>8</v>
      </c>
    </row>
    <row r="2241" ht="45" hidden="1" customHeight="1">
      <c r="A2241" s="69"/>
      <c r="B2241" s="3" t="s">
        <v>190</v>
      </c>
      <c r="C2241" s="4" t="s">
        <v>6659</v>
      </c>
      <c r="D2241" s="5" t="s">
        <v>6660</v>
      </c>
      <c r="E2241" s="2" t="s">
        <v>1074</v>
      </c>
      <c r="F2241" s="6" t="s">
        <v>2154</v>
      </c>
      <c r="G2241" s="5" t="s">
        <v>2155</v>
      </c>
      <c r="H2241" s="2" t="s">
        <v>88</v>
      </c>
      <c r="I2241" s="3" t="s">
        <v>6661</v>
      </c>
      <c r="J2241" s="7">
        <v>1</v>
      </c>
      <c r="K2241" s="70"/>
      <c r="L2241" s="9">
        <v>1</v>
      </c>
      <c r="M2241" s="3">
        <v>1831</v>
      </c>
      <c r="N2241" s="6">
        <v>2017</v>
      </c>
      <c r="O2241" s="10">
        <v>42683</v>
      </c>
      <c r="P2241" s="71" t="s">
        <v>6662</v>
      </c>
      <c r="Q2241" s="10">
        <v>43053</v>
      </c>
      <c r="R2241" s="6">
        <v>2010</v>
      </c>
      <c r="S2241" s="3" t="s">
        <v>283</v>
      </c>
      <c r="T2241" s="72"/>
      <c r="U2241" s="73"/>
      <c r="W2241" s="74" t="s">
        <v>62</v>
      </c>
      <c r="X2241" s="10" t="s">
        <v>56</v>
      </c>
      <c r="Y2241" s="10" t="s">
        <v>214</v>
      </c>
      <c r="Z2241" s="75"/>
      <c r="AA2241" s="76"/>
      <c r="AB2241" s="77"/>
      <c r="AC2241" s="77"/>
      <c r="AD2241" s="10"/>
      <c r="AI2241" s="7"/>
      <c r="AJ2241" s="73"/>
      <c r="AK2241" s="7"/>
      <c r="AW2241" s="6">
        <f t="shared" ca="1" si="37"/>
        <v>8</v>
      </c>
    </row>
    <row r="2242" ht="45" hidden="1" customHeight="1">
      <c r="A2242" s="69"/>
      <c r="B2242" s="3" t="s">
        <v>47</v>
      </c>
      <c r="C2242" s="4" t="s">
        <v>6663</v>
      </c>
      <c r="D2242" s="5" t="s">
        <v>6664</v>
      </c>
      <c r="E2242" s="2" t="s">
        <v>83</v>
      </c>
      <c r="F2242" s="6" t="s">
        <v>84</v>
      </c>
      <c r="G2242" s="5" t="s">
        <v>85</v>
      </c>
      <c r="H2242" s="2" t="s">
        <v>68</v>
      </c>
      <c r="I2242" s="3" t="s">
        <v>6665</v>
      </c>
      <c r="J2242" s="7">
        <v>1</v>
      </c>
      <c r="K2242" s="70"/>
      <c r="L2242" s="9">
        <v>1</v>
      </c>
      <c r="M2242" s="3">
        <v>1832</v>
      </c>
      <c r="N2242" s="6">
        <v>2017</v>
      </c>
      <c r="P2242" s="71"/>
      <c r="R2242" s="6">
        <v>2010</v>
      </c>
      <c r="S2242" s="3" t="s">
        <v>236</v>
      </c>
      <c r="T2242" s="72"/>
      <c r="U2242" s="73"/>
      <c r="W2242" s="2" t="s">
        <v>62</v>
      </c>
      <c r="X2242" s="10" t="s">
        <v>56</v>
      </c>
      <c r="Y2242" s="10" t="s">
        <v>68</v>
      </c>
      <c r="Z2242" s="75"/>
      <c r="AA2242" s="76"/>
      <c r="AB2242" s="77"/>
      <c r="AC2242" s="77"/>
      <c r="AD2242" s="10"/>
      <c r="AI2242" s="7"/>
      <c r="AJ2242" s="10">
        <v>43066</v>
      </c>
      <c r="AK2242" s="7">
        <v>2010</v>
      </c>
      <c r="AL2242" s="16"/>
      <c r="AW2242" s="6">
        <f t="shared" ca="1" si="37"/>
        <v>8</v>
      </c>
    </row>
    <row r="2243" ht="45" hidden="1" customHeight="1">
      <c r="A2243" s="69"/>
      <c r="B2243" s="3" t="s">
        <v>190</v>
      </c>
      <c r="C2243" s="4" t="s">
        <v>6666</v>
      </c>
      <c r="D2243" s="5" t="s">
        <v>6667</v>
      </c>
      <c r="E2243" s="2" t="s">
        <v>63</v>
      </c>
      <c r="F2243" s="6" t="s">
        <v>64</v>
      </c>
      <c r="G2243" s="5" t="s">
        <v>69</v>
      </c>
      <c r="H2243" s="2" t="s">
        <v>57</v>
      </c>
      <c r="I2243" s="3" t="s">
        <v>6668</v>
      </c>
      <c r="J2243" s="7">
        <v>1</v>
      </c>
      <c r="K2243" s="70"/>
      <c r="L2243" s="9">
        <v>1</v>
      </c>
      <c r="M2243" s="3">
        <v>1833</v>
      </c>
      <c r="N2243" s="6">
        <v>2017</v>
      </c>
      <c r="P2243" s="71"/>
      <c r="S2243" s="3" t="s">
        <v>283</v>
      </c>
      <c r="T2243" s="72"/>
      <c r="U2243" s="73"/>
      <c r="W2243" s="74" t="s">
        <v>62</v>
      </c>
      <c r="X2243" s="10" t="s">
        <v>56</v>
      </c>
      <c r="Y2243" s="10" t="s">
        <v>57</v>
      </c>
      <c r="Z2243" s="75" t="s">
        <v>4498</v>
      </c>
      <c r="AA2243" s="76"/>
      <c r="AB2243" s="77"/>
      <c r="AC2243" s="77"/>
      <c r="AD2243" s="10"/>
      <c r="AI2243" s="7"/>
      <c r="AJ2243" s="73"/>
      <c r="AK2243" s="7"/>
      <c r="AL2243" s="16"/>
      <c r="AW2243" s="6">
        <f t="shared" ca="1" si="37"/>
        <v>8</v>
      </c>
    </row>
    <row r="2244" ht="45" hidden="1" customHeight="1">
      <c r="A2244" s="69">
        <v>43102</v>
      </c>
      <c r="B2244" s="3" t="s">
        <v>47</v>
      </c>
      <c r="C2244" s="4" t="s">
        <v>5178</v>
      </c>
      <c r="D2244" s="5" t="s">
        <v>6669</v>
      </c>
      <c r="E2244" s="2" t="s">
        <v>63</v>
      </c>
      <c r="F2244" s="6" t="s">
        <v>428</v>
      </c>
      <c r="G2244" s="5" t="s">
        <v>4602</v>
      </c>
      <c r="H2244" s="2" t="s">
        <v>57</v>
      </c>
      <c r="I2244" s="3" t="s">
        <v>6670</v>
      </c>
      <c r="J2244" s="7">
        <v>1</v>
      </c>
      <c r="K2244" s="70"/>
      <c r="L2244" s="9">
        <v>1</v>
      </c>
      <c r="M2244" s="3">
        <v>1834</v>
      </c>
      <c r="N2244" s="6">
        <v>2017</v>
      </c>
      <c r="P2244" s="71"/>
      <c r="S2244" s="3" t="s">
        <v>236</v>
      </c>
      <c r="T2244" s="72"/>
      <c r="W2244" s="2" t="s">
        <v>62</v>
      </c>
      <c r="X2244" s="10" t="s">
        <v>504</v>
      </c>
      <c r="Y2244" s="10" t="s">
        <v>511</v>
      </c>
      <c r="Z2244" s="75"/>
      <c r="AA2244" s="76"/>
      <c r="AB2244" s="77"/>
      <c r="AC2244" s="77"/>
      <c r="AD2244" s="10"/>
      <c r="AI2244" s="7"/>
      <c r="AJ2244" s="10">
        <v>44411</v>
      </c>
      <c r="AK2244" s="7">
        <v>2020</v>
      </c>
      <c r="AL2244" s="16"/>
      <c r="AW2244" s="6">
        <f t="shared" ca="1" si="37"/>
        <v>8</v>
      </c>
    </row>
    <row r="2245" ht="45" hidden="1" customHeight="1">
      <c r="A2245" s="69">
        <v>43102</v>
      </c>
      <c r="B2245" s="3" t="s">
        <v>190</v>
      </c>
      <c r="C2245" s="4" t="s">
        <v>6671</v>
      </c>
      <c r="D2245" s="5" t="s">
        <v>6672</v>
      </c>
      <c r="E2245" s="2" t="s">
        <v>63</v>
      </c>
      <c r="F2245" s="6" t="s">
        <v>64</v>
      </c>
      <c r="G2245" s="5" t="s">
        <v>69</v>
      </c>
      <c r="H2245" s="2" t="s">
        <v>57</v>
      </c>
      <c r="I2245" s="3" t="s">
        <v>6673</v>
      </c>
      <c r="J2245" s="7">
        <v>1</v>
      </c>
      <c r="K2245" s="70"/>
      <c r="L2245" s="9">
        <v>1</v>
      </c>
      <c r="M2245" s="3">
        <v>1835</v>
      </c>
      <c r="N2245" s="6">
        <v>2017</v>
      </c>
      <c r="P2245" s="71"/>
      <c r="S2245" s="3" t="s">
        <v>283</v>
      </c>
      <c r="T2245" s="72" t="s">
        <v>998</v>
      </c>
      <c r="U2245" s="73"/>
      <c r="W2245" s="74" t="s">
        <v>62</v>
      </c>
      <c r="X2245" s="10"/>
      <c r="Y2245" s="10"/>
      <c r="Z2245" s="75"/>
      <c r="AA2245" s="76"/>
      <c r="AB2245" s="77"/>
      <c r="AC2245" s="77"/>
      <c r="AD2245" s="10"/>
      <c r="AI2245" s="7"/>
      <c r="AJ2245" s="73"/>
      <c r="AK2245" s="7"/>
      <c r="AL2245" s="16"/>
      <c r="AW2245" s="6">
        <f t="shared" ca="1" si="37"/>
        <v>8</v>
      </c>
    </row>
    <row r="2246" ht="45" hidden="1" customHeight="1">
      <c r="A2246" s="69">
        <v>45342</v>
      </c>
      <c r="B2246" s="3" t="s">
        <v>190</v>
      </c>
      <c r="C2246" s="4" t="s">
        <v>6674</v>
      </c>
      <c r="D2246" s="5" t="s">
        <v>6675</v>
      </c>
      <c r="E2246" s="2" t="s">
        <v>1074</v>
      </c>
      <c r="F2246" s="6" t="s">
        <v>2026</v>
      </c>
      <c r="G2246" s="5" t="s">
        <v>6676</v>
      </c>
      <c r="H2246" s="2" t="s">
        <v>57</v>
      </c>
      <c r="I2246" s="3" t="s">
        <v>1722</v>
      </c>
      <c r="J2246" s="7">
        <v>1</v>
      </c>
      <c r="K2246" s="70"/>
      <c r="L2246" s="9">
        <v>1</v>
      </c>
      <c r="M2246" s="3">
        <v>1836</v>
      </c>
      <c r="N2246" s="6">
        <v>2018</v>
      </c>
      <c r="O2246" s="10">
        <v>42996</v>
      </c>
      <c r="P2246" s="71" t="s">
        <v>6677</v>
      </c>
      <c r="Q2246" s="10">
        <v>42999</v>
      </c>
      <c r="R2246" s="6">
        <v>2010</v>
      </c>
      <c r="S2246" s="3" t="s">
        <v>283</v>
      </c>
      <c r="T2246" s="72"/>
      <c r="U2246" s="73"/>
      <c r="W2246" s="74" t="s">
        <v>62</v>
      </c>
      <c r="X2246" s="10" t="s">
        <v>56</v>
      </c>
      <c r="Y2246" s="10" t="s">
        <v>57</v>
      </c>
      <c r="Z2246" s="75" t="s">
        <v>58</v>
      </c>
      <c r="AA2246" s="76"/>
      <c r="AB2246" s="77"/>
      <c r="AC2246" s="77"/>
      <c r="AD2246" s="10"/>
      <c r="AI2246" s="7"/>
      <c r="AJ2246" s="73"/>
      <c r="AK2246" s="7"/>
      <c r="AL2246" s="16"/>
      <c r="AW2246" s="6">
        <f t="shared" ca="1" si="37"/>
        <v>7</v>
      </c>
    </row>
    <row r="2247" ht="45" hidden="1" customHeight="1">
      <c r="A2247" s="69"/>
      <c r="B2247" s="3" t="s">
        <v>190</v>
      </c>
      <c r="C2247" s="4" t="s">
        <v>6628</v>
      </c>
      <c r="D2247" s="5" t="s">
        <v>6678</v>
      </c>
      <c r="E2247" s="2" t="s">
        <v>83</v>
      </c>
      <c r="F2247" s="6" t="s">
        <v>704</v>
      </c>
      <c r="G2247" s="5" t="s">
        <v>1339</v>
      </c>
      <c r="H2247" s="2" t="s">
        <v>57</v>
      </c>
      <c r="I2247" s="3" t="s">
        <v>6679</v>
      </c>
      <c r="J2247" s="7">
        <v>1</v>
      </c>
      <c r="K2247" s="70"/>
      <c r="L2247" s="9">
        <v>1</v>
      </c>
      <c r="M2247" s="3">
        <v>1837</v>
      </c>
      <c r="N2247" s="6">
        <v>2018</v>
      </c>
      <c r="O2247" s="10">
        <v>42737</v>
      </c>
      <c r="P2247" s="71" t="s">
        <v>6680</v>
      </c>
      <c r="Q2247" s="10">
        <v>43174</v>
      </c>
      <c r="R2247" s="6">
        <v>2010</v>
      </c>
      <c r="S2247" s="3" t="s">
        <v>283</v>
      </c>
      <c r="T2247" s="72"/>
      <c r="U2247" s="73"/>
      <c r="W2247" s="74" t="s">
        <v>62</v>
      </c>
      <c r="X2247" s="10" t="s">
        <v>56</v>
      </c>
      <c r="Y2247" s="10" t="s">
        <v>57</v>
      </c>
      <c r="Z2247" s="75"/>
      <c r="AA2247" s="76"/>
      <c r="AB2247" s="77"/>
      <c r="AC2247" s="77"/>
      <c r="AD2247" s="10"/>
      <c r="AI2247" s="7"/>
      <c r="AJ2247" s="73"/>
      <c r="AK2247" s="7"/>
      <c r="AL2247" s="16"/>
      <c r="AW2247" s="6">
        <f t="shared" ca="1" si="37"/>
        <v>7</v>
      </c>
    </row>
    <row r="2248" ht="45" hidden="1" customHeight="1">
      <c r="A2248" s="69"/>
      <c r="B2248" s="3" t="s">
        <v>190</v>
      </c>
      <c r="C2248" s="4" t="s">
        <v>6681</v>
      </c>
      <c r="D2248" s="5" t="s">
        <v>6682</v>
      </c>
      <c r="E2248" s="2" t="s">
        <v>83</v>
      </c>
      <c r="F2248" s="6" t="s">
        <v>704</v>
      </c>
      <c r="G2248" s="5" t="s">
        <v>6683</v>
      </c>
      <c r="H2248" s="2" t="s">
        <v>57</v>
      </c>
      <c r="I2248" s="3" t="s">
        <v>6684</v>
      </c>
      <c r="J2248" s="7">
        <v>1</v>
      </c>
      <c r="K2248" s="70"/>
      <c r="L2248" s="9">
        <v>1</v>
      </c>
      <c r="M2248" s="3">
        <v>1838</v>
      </c>
      <c r="N2248" s="6">
        <v>2018</v>
      </c>
      <c r="P2248" s="71"/>
      <c r="S2248" s="3" t="s">
        <v>283</v>
      </c>
      <c r="T2248" s="72"/>
      <c r="U2248" s="73"/>
      <c r="W2248" s="74" t="s">
        <v>62</v>
      </c>
      <c r="X2248" s="10" t="s">
        <v>56</v>
      </c>
      <c r="Y2248" s="10" t="s">
        <v>57</v>
      </c>
      <c r="Z2248" s="75" t="s">
        <v>2228</v>
      </c>
      <c r="AA2248" s="76"/>
      <c r="AB2248" s="77"/>
      <c r="AC2248" s="77"/>
      <c r="AD2248" s="10"/>
      <c r="AI2248" s="7"/>
      <c r="AJ2248" s="73"/>
      <c r="AK2248" s="7"/>
      <c r="AL2248" s="16"/>
      <c r="AW2248" s="6">
        <f t="shared" ca="1" si="37"/>
        <v>7</v>
      </c>
    </row>
    <row r="2249" ht="45" hidden="1" customHeight="1">
      <c r="A2249" s="69">
        <v>43448</v>
      </c>
      <c r="B2249" s="3" t="s">
        <v>47</v>
      </c>
      <c r="C2249" s="4" t="s">
        <v>6685</v>
      </c>
      <c r="D2249" s="5" t="s">
        <v>6686</v>
      </c>
      <c r="E2249" s="2" t="s">
        <v>63</v>
      </c>
      <c r="F2249" s="6" t="s">
        <v>428</v>
      </c>
      <c r="G2249" s="5" t="s">
        <v>4618</v>
      </c>
      <c r="H2249" s="2" t="s">
        <v>57</v>
      </c>
      <c r="I2249" s="3" t="s">
        <v>6687</v>
      </c>
      <c r="J2249" s="7">
        <v>1</v>
      </c>
      <c r="K2249" s="70"/>
      <c r="L2249" s="9">
        <v>1</v>
      </c>
      <c r="M2249" s="3">
        <v>1839</v>
      </c>
      <c r="N2249" s="6">
        <v>2018</v>
      </c>
      <c r="P2249" s="71"/>
      <c r="S2249" s="3" t="s">
        <v>236</v>
      </c>
      <c r="T2249" s="72" t="s">
        <v>1136</v>
      </c>
      <c r="W2249" s="2" t="s">
        <v>62</v>
      </c>
      <c r="X2249" s="10"/>
      <c r="Y2249" s="10"/>
      <c r="Z2249" s="75"/>
      <c r="AA2249" s="76"/>
      <c r="AB2249" s="77"/>
      <c r="AC2249" s="77"/>
      <c r="AD2249" s="10"/>
      <c r="AI2249" s="7"/>
      <c r="AJ2249" s="10">
        <v>44483</v>
      </c>
      <c r="AK2249" s="7">
        <v>2020</v>
      </c>
      <c r="AL2249" s="16"/>
      <c r="AW2249" s="6">
        <f t="shared" ca="1" si="37"/>
        <v>7</v>
      </c>
    </row>
    <row r="2250" ht="45" hidden="1" customHeight="1">
      <c r="A2250" s="69"/>
      <c r="B2250" s="3" t="s">
        <v>47</v>
      </c>
      <c r="C2250" s="4" t="s">
        <v>6688</v>
      </c>
      <c r="D2250" s="5" t="s">
        <v>6689</v>
      </c>
      <c r="E2250" s="2" t="s">
        <v>83</v>
      </c>
      <c r="F2250" s="6" t="s">
        <v>84</v>
      </c>
      <c r="G2250" s="5" t="s">
        <v>85</v>
      </c>
      <c r="H2250" s="2" t="s">
        <v>57</v>
      </c>
      <c r="I2250" s="3" t="s">
        <v>6690</v>
      </c>
      <c r="J2250" s="7">
        <v>1</v>
      </c>
      <c r="K2250" s="70"/>
      <c r="L2250" s="9">
        <v>1</v>
      </c>
      <c r="M2250" s="3">
        <v>1840</v>
      </c>
      <c r="N2250" s="6">
        <v>2018</v>
      </c>
      <c r="P2250" s="71"/>
      <c r="Q2250" s="10">
        <v>43181</v>
      </c>
      <c r="R2250" s="6">
        <v>2010</v>
      </c>
      <c r="S2250" s="3" t="s">
        <v>236</v>
      </c>
      <c r="T2250" s="72"/>
      <c r="U2250" s="73">
        <v>43181</v>
      </c>
      <c r="W2250" s="2" t="s">
        <v>62</v>
      </c>
      <c r="X2250" s="10"/>
      <c r="Y2250" s="10"/>
      <c r="Z2250" s="75"/>
      <c r="AA2250" s="76"/>
      <c r="AB2250" s="77"/>
      <c r="AC2250" s="77"/>
      <c r="AD2250" s="10"/>
      <c r="AI2250" s="7"/>
      <c r="AJ2250" s="10">
        <v>43181</v>
      </c>
      <c r="AK2250" s="7">
        <v>2010</v>
      </c>
      <c r="AL2250" s="16"/>
      <c r="AW2250" s="6">
        <f t="shared" ca="1" si="37"/>
        <v>7</v>
      </c>
    </row>
    <row r="2251" ht="45" hidden="1" customHeight="1">
      <c r="A2251" s="69"/>
      <c r="B2251" s="3" t="s">
        <v>190</v>
      </c>
      <c r="D2251" s="5" t="s">
        <v>6691</v>
      </c>
      <c r="E2251" s="2" t="s">
        <v>83</v>
      </c>
      <c r="F2251" s="6" t="s">
        <v>179</v>
      </c>
      <c r="G2251" s="5" t="s">
        <v>339</v>
      </c>
      <c r="H2251" s="2" t="s">
        <v>57</v>
      </c>
      <c r="I2251" s="3" t="s">
        <v>6692</v>
      </c>
      <c r="J2251" s="7">
        <v>1</v>
      </c>
      <c r="K2251" s="70"/>
      <c r="L2251" s="9">
        <v>1</v>
      </c>
      <c r="M2251" s="3">
        <v>1841</v>
      </c>
      <c r="N2251" s="6">
        <v>2018</v>
      </c>
      <c r="O2251" s="10">
        <v>43056</v>
      </c>
      <c r="P2251" s="71" t="s">
        <v>4250</v>
      </c>
      <c r="Q2251" s="10">
        <v>43209</v>
      </c>
      <c r="R2251" s="6">
        <v>2010</v>
      </c>
      <c r="S2251" s="3" t="s">
        <v>283</v>
      </c>
      <c r="T2251" s="72"/>
      <c r="U2251" s="73"/>
      <c r="W2251" s="74" t="s">
        <v>62</v>
      </c>
      <c r="X2251" s="10"/>
      <c r="Y2251" s="10"/>
      <c r="Z2251" s="75"/>
      <c r="AA2251" s="76"/>
      <c r="AB2251" s="77"/>
      <c r="AC2251" s="77"/>
      <c r="AD2251" s="10"/>
      <c r="AI2251" s="7"/>
      <c r="AJ2251" s="73"/>
      <c r="AK2251" s="7"/>
      <c r="AL2251" s="16"/>
      <c r="AW2251" s="6">
        <f t="shared" ca="1" si="37"/>
        <v>7</v>
      </c>
    </row>
    <row r="2252" ht="45" customHeight="1">
      <c r="A2252" s="69"/>
      <c r="B2252" s="3" t="s">
        <v>47</v>
      </c>
      <c r="C2252" s="4" t="s">
        <v>6693</v>
      </c>
      <c r="D2252" s="5" t="s">
        <v>6694</v>
      </c>
      <c r="E2252" s="2" t="s">
        <v>83</v>
      </c>
      <c r="F2252" s="6" t="s">
        <v>84</v>
      </c>
      <c r="G2252" s="5" t="s">
        <v>85</v>
      </c>
      <c r="H2252" s="2" t="s">
        <v>88</v>
      </c>
      <c r="I2252" s="3" t="s">
        <v>6695</v>
      </c>
      <c r="J2252" s="7">
        <v>1</v>
      </c>
      <c r="K2252" s="70" t="s">
        <v>53</v>
      </c>
      <c r="L2252" s="9">
        <v>1</v>
      </c>
      <c r="M2252" s="3">
        <v>1842</v>
      </c>
      <c r="N2252" s="6">
        <v>2018</v>
      </c>
      <c r="O2252" s="10">
        <v>43187</v>
      </c>
      <c r="P2252" s="71" t="s">
        <v>6696</v>
      </c>
      <c r="Q2252" s="10">
        <v>43242</v>
      </c>
      <c r="R2252" s="6">
        <v>2010</v>
      </c>
      <c r="S2252" s="3" t="s">
        <v>54</v>
      </c>
      <c r="T2252" s="72"/>
      <c r="U2252" s="73"/>
      <c r="W2252" s="2" t="s">
        <v>6697</v>
      </c>
      <c r="X2252" s="10" t="s">
        <v>91</v>
      </c>
      <c r="Y2252" s="10" t="s">
        <v>92</v>
      </c>
      <c r="Z2252" s="75"/>
      <c r="AA2252" s="76"/>
      <c r="AB2252" s="77"/>
      <c r="AC2252" s="77" t="s">
        <v>208</v>
      </c>
      <c r="AD2252" s="10"/>
      <c r="AE2252" s="7">
        <v>2018</v>
      </c>
      <c r="AF2252" s="7" t="s">
        <v>6698</v>
      </c>
      <c r="AG2252" s="7">
        <v>2022</v>
      </c>
      <c r="AH2252" s="7">
        <v>20</v>
      </c>
      <c r="AI2252" s="7"/>
      <c r="AJ2252" s="73"/>
      <c r="AK2252" s="7"/>
      <c r="AW2252" s="6">
        <f t="shared" ca="1" si="37"/>
        <v>7</v>
      </c>
    </row>
    <row r="2253" ht="45" hidden="1" customHeight="1">
      <c r="A2253" s="69">
        <v>43242</v>
      </c>
      <c r="B2253" s="3" t="s">
        <v>47</v>
      </c>
      <c r="C2253" s="4" t="s">
        <v>6699</v>
      </c>
      <c r="D2253" s="5" t="s">
        <v>6700</v>
      </c>
      <c r="E2253" s="2" t="s">
        <v>694</v>
      </c>
      <c r="F2253" s="6" t="s">
        <v>2495</v>
      </c>
      <c r="G2253" s="5" t="s">
        <v>6701</v>
      </c>
      <c r="H2253" s="2" t="s">
        <v>57</v>
      </c>
      <c r="I2253" s="3" t="s">
        <v>6702</v>
      </c>
      <c r="J2253" s="7">
        <v>1</v>
      </c>
      <c r="K2253" s="70"/>
      <c r="L2253" s="9">
        <v>1</v>
      </c>
      <c r="M2253" s="3">
        <v>1843</v>
      </c>
      <c r="N2253" s="6">
        <v>2018</v>
      </c>
      <c r="P2253" s="71"/>
      <c r="R2253" s="6">
        <v>2010</v>
      </c>
      <c r="S2253" s="3" t="s">
        <v>236</v>
      </c>
      <c r="T2253" s="72"/>
      <c r="U2253" s="73"/>
      <c r="W2253" s="2" t="s">
        <v>62</v>
      </c>
      <c r="X2253" s="10"/>
      <c r="Y2253" s="10"/>
      <c r="Z2253" s="75"/>
      <c r="AA2253" s="76"/>
      <c r="AB2253" s="77"/>
      <c r="AC2253" s="77"/>
      <c r="AD2253" s="10"/>
      <c r="AI2253" s="7"/>
      <c r="AK2253" s="7"/>
      <c r="AL2253" s="16"/>
      <c r="AW2253" s="6">
        <f t="shared" ca="1" si="37"/>
        <v>7</v>
      </c>
    </row>
    <row r="2254" ht="45" hidden="1" customHeight="1">
      <c r="A2254" s="69"/>
      <c r="B2254" s="3" t="s">
        <v>47</v>
      </c>
      <c r="C2254" s="4" t="s">
        <v>6703</v>
      </c>
      <c r="D2254" s="5" t="s">
        <v>6704</v>
      </c>
      <c r="E2254" s="2" t="s">
        <v>83</v>
      </c>
      <c r="F2254" s="6" t="s">
        <v>84</v>
      </c>
      <c r="G2254" s="5" t="s">
        <v>797</v>
      </c>
      <c r="H2254" s="2" t="s">
        <v>501</v>
      </c>
      <c r="I2254" s="3" t="s">
        <v>6705</v>
      </c>
      <c r="J2254" s="7">
        <v>1</v>
      </c>
      <c r="K2254" s="70"/>
      <c r="L2254" s="9">
        <v>1</v>
      </c>
      <c r="M2254" s="3">
        <v>1844</v>
      </c>
      <c r="N2254" s="6">
        <v>2018</v>
      </c>
      <c r="P2254" s="71"/>
      <c r="R2254" s="6">
        <v>2010</v>
      </c>
      <c r="S2254" s="3" t="s">
        <v>236</v>
      </c>
      <c r="T2254" s="72"/>
      <c r="U2254" s="73"/>
      <c r="W2254" s="2" t="s">
        <v>62</v>
      </c>
      <c r="X2254" s="10"/>
      <c r="Y2254" s="10"/>
      <c r="Z2254" s="75"/>
      <c r="AA2254" s="76"/>
      <c r="AB2254" s="77"/>
      <c r="AC2254" s="77"/>
      <c r="AD2254" s="10"/>
      <c r="AI2254" s="7"/>
      <c r="AJ2254" s="10">
        <v>43754</v>
      </c>
      <c r="AK2254" s="7">
        <v>2010</v>
      </c>
      <c r="AL2254" s="16"/>
      <c r="AW2254" s="6">
        <f t="shared" ca="1" si="37"/>
        <v>7</v>
      </c>
    </row>
    <row r="2255" ht="45" hidden="1" customHeight="1">
      <c r="A2255" s="69"/>
      <c r="B2255" s="3" t="s">
        <v>190</v>
      </c>
      <c r="C2255" s="4" t="s">
        <v>6706</v>
      </c>
      <c r="D2255" s="5" t="s">
        <v>6707</v>
      </c>
      <c r="E2255" s="2" t="s">
        <v>83</v>
      </c>
      <c r="F2255" s="6" t="s">
        <v>931</v>
      </c>
      <c r="G2255" s="5" t="s">
        <v>5264</v>
      </c>
      <c r="H2255" s="2" t="s">
        <v>288</v>
      </c>
      <c r="I2255" s="3" t="s">
        <v>6708</v>
      </c>
      <c r="J2255" s="7">
        <v>1</v>
      </c>
      <c r="K2255" s="70"/>
      <c r="L2255" s="9">
        <v>1</v>
      </c>
      <c r="M2255" s="3">
        <v>1845</v>
      </c>
      <c r="N2255" s="6">
        <v>2018</v>
      </c>
      <c r="P2255" s="71"/>
      <c r="S2255" s="3" t="s">
        <v>283</v>
      </c>
      <c r="T2255" s="72"/>
      <c r="U2255" s="73"/>
      <c r="W2255" s="74" t="s">
        <v>62</v>
      </c>
      <c r="X2255" s="10"/>
      <c r="Y2255" s="10"/>
      <c r="Z2255" s="75"/>
      <c r="AA2255" s="76"/>
      <c r="AB2255" s="77"/>
      <c r="AC2255" s="77"/>
      <c r="AD2255" s="10"/>
      <c r="AI2255" s="7"/>
      <c r="AJ2255" s="73"/>
      <c r="AK2255" s="7"/>
      <c r="AL2255" s="16"/>
      <c r="AW2255" s="6">
        <f t="shared" ca="1" si="37"/>
        <v>7</v>
      </c>
    </row>
    <row r="2256" ht="45" hidden="1" customHeight="1">
      <c r="A2256" s="69"/>
      <c r="B2256" s="3" t="s">
        <v>47</v>
      </c>
      <c r="C2256" s="4" t="s">
        <v>6709</v>
      </c>
      <c r="D2256" s="5" t="s">
        <v>6710</v>
      </c>
      <c r="E2256" s="2" t="s">
        <v>1074</v>
      </c>
      <c r="F2256" s="6" t="s">
        <v>1075</v>
      </c>
      <c r="G2256" s="5" t="s">
        <v>3368</v>
      </c>
      <c r="H2256" s="2" t="s">
        <v>57</v>
      </c>
      <c r="I2256" s="3" t="s">
        <v>6711</v>
      </c>
      <c r="J2256" s="7">
        <v>1</v>
      </c>
      <c r="K2256" s="70"/>
      <c r="L2256" s="9">
        <v>1</v>
      </c>
      <c r="M2256" s="3">
        <v>1846</v>
      </c>
      <c r="N2256" s="6">
        <v>2018</v>
      </c>
      <c r="O2256" s="10">
        <v>43084</v>
      </c>
      <c r="P2256" s="71" t="s">
        <v>6712</v>
      </c>
      <c r="Q2256" s="10">
        <v>43284</v>
      </c>
      <c r="R2256" s="6">
        <v>2010</v>
      </c>
      <c r="S2256" s="3" t="s">
        <v>236</v>
      </c>
      <c r="T2256" s="72"/>
      <c r="U2256" s="73"/>
      <c r="W2256" s="2" t="s">
        <v>62</v>
      </c>
      <c r="X2256" s="10" t="s">
        <v>56</v>
      </c>
      <c r="Y2256" s="10" t="s">
        <v>57</v>
      </c>
      <c r="Z2256" s="75" t="s">
        <v>2228</v>
      </c>
      <c r="AA2256" s="76"/>
      <c r="AB2256" s="77"/>
      <c r="AC2256" s="77"/>
      <c r="AD2256" s="10"/>
      <c r="AI2256" s="7"/>
      <c r="AK2256" s="7"/>
      <c r="AL2256" s="16"/>
      <c r="AW2256" s="6">
        <f t="shared" ca="1" si="37"/>
        <v>7</v>
      </c>
    </row>
    <row r="2257" ht="45" hidden="1" customHeight="1">
      <c r="A2257" s="69"/>
      <c r="B2257" s="3" t="s">
        <v>190</v>
      </c>
      <c r="C2257" s="4" t="s">
        <v>6713</v>
      </c>
      <c r="D2257" s="5" t="s">
        <v>6714</v>
      </c>
      <c r="E2257" s="2" t="s">
        <v>83</v>
      </c>
      <c r="F2257" s="6" t="s">
        <v>704</v>
      </c>
      <c r="G2257" s="5" t="s">
        <v>5068</v>
      </c>
      <c r="H2257" s="2" t="s">
        <v>51</v>
      </c>
      <c r="I2257" s="3" t="s">
        <v>6715</v>
      </c>
      <c r="J2257" s="7">
        <v>1</v>
      </c>
      <c r="K2257" s="70"/>
      <c r="L2257" s="9">
        <v>1</v>
      </c>
      <c r="M2257" s="3">
        <v>1847</v>
      </c>
      <c r="N2257" s="6">
        <v>2018</v>
      </c>
      <c r="P2257" s="71"/>
      <c r="S2257" s="3" t="s">
        <v>283</v>
      </c>
      <c r="T2257" s="72"/>
      <c r="U2257" s="73"/>
      <c r="W2257" s="74" t="s">
        <v>62</v>
      </c>
      <c r="X2257" s="10"/>
      <c r="Y2257" s="10"/>
      <c r="Z2257" s="75"/>
      <c r="AA2257" s="76"/>
      <c r="AB2257" s="77"/>
      <c r="AC2257" s="77"/>
      <c r="AD2257" s="10"/>
      <c r="AI2257" s="7"/>
      <c r="AJ2257" s="73"/>
      <c r="AK2257" s="7"/>
      <c r="AL2257" s="16"/>
      <c r="AW2257" s="6">
        <f t="shared" ca="1" si="37"/>
        <v>7</v>
      </c>
    </row>
    <row r="2258" ht="45" hidden="1" customHeight="1">
      <c r="A2258" s="69">
        <v>43287</v>
      </c>
      <c r="B2258" s="3" t="s">
        <v>190</v>
      </c>
      <c r="C2258" s="4" t="s">
        <v>6716</v>
      </c>
      <c r="D2258" s="5" t="s">
        <v>6717</v>
      </c>
      <c r="E2258" s="2" t="s">
        <v>63</v>
      </c>
      <c r="F2258" s="6" t="s">
        <v>428</v>
      </c>
      <c r="G2258" s="5" t="s">
        <v>429</v>
      </c>
      <c r="H2258" s="2" t="s">
        <v>57</v>
      </c>
      <c r="I2258" s="3" t="s">
        <v>6718</v>
      </c>
      <c r="J2258" s="7">
        <v>1</v>
      </c>
      <c r="K2258" s="70"/>
      <c r="L2258" s="9">
        <v>1</v>
      </c>
      <c r="M2258" s="3">
        <v>1848</v>
      </c>
      <c r="N2258" s="6">
        <v>2018</v>
      </c>
      <c r="P2258" s="71"/>
      <c r="S2258" s="3" t="s">
        <v>283</v>
      </c>
      <c r="T2258" s="72"/>
      <c r="U2258" s="73"/>
      <c r="W2258" s="74" t="s">
        <v>62</v>
      </c>
      <c r="X2258" s="10"/>
      <c r="Y2258" s="10"/>
      <c r="Z2258" s="75"/>
      <c r="AA2258" s="76"/>
      <c r="AB2258" s="77"/>
      <c r="AC2258" s="77"/>
      <c r="AD2258" s="10"/>
      <c r="AI2258" s="7"/>
      <c r="AJ2258" s="73"/>
      <c r="AK2258" s="7"/>
      <c r="AL2258" s="16"/>
      <c r="AW2258" s="6">
        <f t="shared" ca="1" si="37"/>
        <v>7</v>
      </c>
    </row>
    <row r="2259" ht="45" hidden="1" customHeight="1">
      <c r="A2259" s="69"/>
      <c r="B2259" s="3" t="s">
        <v>190</v>
      </c>
      <c r="C2259" s="4" t="s">
        <v>6719</v>
      </c>
      <c r="D2259" s="5" t="s">
        <v>6720</v>
      </c>
      <c r="E2259" s="2" t="s">
        <v>63</v>
      </c>
      <c r="F2259" s="6" t="s">
        <v>428</v>
      </c>
      <c r="G2259" s="5" t="s">
        <v>6721</v>
      </c>
      <c r="H2259" s="2" t="s">
        <v>51</v>
      </c>
      <c r="I2259" s="3" t="s">
        <v>6722</v>
      </c>
      <c r="J2259" s="7">
        <v>1</v>
      </c>
      <c r="K2259" s="70"/>
      <c r="L2259" s="9">
        <v>1</v>
      </c>
      <c r="M2259" s="3">
        <v>1849</v>
      </c>
      <c r="N2259" s="6">
        <v>2018</v>
      </c>
      <c r="O2259" s="10">
        <v>42548</v>
      </c>
      <c r="P2259" s="71" t="s">
        <v>6723</v>
      </c>
      <c r="Q2259" s="10">
        <v>43287</v>
      </c>
      <c r="R2259" s="6">
        <v>2010</v>
      </c>
      <c r="S2259" s="3" t="s">
        <v>283</v>
      </c>
      <c r="T2259" s="72"/>
      <c r="U2259" s="73"/>
      <c r="W2259" s="74" t="s">
        <v>62</v>
      </c>
      <c r="X2259" s="10" t="s">
        <v>56</v>
      </c>
      <c r="Y2259" s="10" t="s">
        <v>57</v>
      </c>
      <c r="Z2259" s="75" t="s">
        <v>58</v>
      </c>
      <c r="AA2259" s="76"/>
      <c r="AB2259" s="77"/>
      <c r="AC2259" s="77"/>
      <c r="AD2259" s="10"/>
      <c r="AI2259" s="7"/>
      <c r="AJ2259" s="73"/>
      <c r="AK2259" s="7"/>
      <c r="AL2259" s="16"/>
      <c r="AW2259" s="6">
        <f t="shared" ca="1" si="37"/>
        <v>7</v>
      </c>
    </row>
    <row r="2260" ht="45" hidden="1" customHeight="1">
      <c r="A2260" s="69">
        <v>44078</v>
      </c>
      <c r="B2260" s="3" t="s">
        <v>190</v>
      </c>
      <c r="C2260" s="4" t="s">
        <v>6724</v>
      </c>
      <c r="D2260" s="5" t="s">
        <v>6725</v>
      </c>
      <c r="E2260" s="2" t="s">
        <v>83</v>
      </c>
      <c r="F2260" s="6" t="s">
        <v>84</v>
      </c>
      <c r="G2260" s="5" t="s">
        <v>85</v>
      </c>
      <c r="H2260" s="2" t="s">
        <v>57</v>
      </c>
      <c r="I2260" s="3" t="s">
        <v>6726</v>
      </c>
      <c r="J2260" s="7">
        <v>1</v>
      </c>
      <c r="K2260" s="70"/>
      <c r="L2260" s="9">
        <v>1</v>
      </c>
      <c r="M2260" s="3">
        <v>1850</v>
      </c>
      <c r="N2260" s="6">
        <v>2018</v>
      </c>
      <c r="O2260" s="10">
        <v>42748</v>
      </c>
      <c r="P2260" s="71" t="s">
        <v>6727</v>
      </c>
      <c r="Q2260" s="10">
        <v>43287</v>
      </c>
      <c r="R2260" s="6">
        <v>2010</v>
      </c>
      <c r="S2260" s="3" t="s">
        <v>283</v>
      </c>
      <c r="T2260" s="72" t="s">
        <v>998</v>
      </c>
      <c r="U2260" s="73"/>
      <c r="W2260" s="74" t="s">
        <v>62</v>
      </c>
      <c r="X2260" s="10" t="s">
        <v>56</v>
      </c>
      <c r="Y2260" s="10" t="s">
        <v>57</v>
      </c>
      <c r="Z2260" s="75" t="s">
        <v>237</v>
      </c>
      <c r="AA2260" s="76"/>
      <c r="AB2260" s="77"/>
      <c r="AC2260" s="77"/>
      <c r="AD2260" s="10"/>
      <c r="AI2260" s="7"/>
      <c r="AJ2260" s="73"/>
      <c r="AK2260" s="7"/>
      <c r="AL2260" s="16"/>
      <c r="AW2260" s="6">
        <f t="shared" ca="1" si="37"/>
        <v>7</v>
      </c>
    </row>
    <row r="2261" ht="45" hidden="1" customHeight="1">
      <c r="A2261" s="69"/>
      <c r="B2261" s="3" t="s">
        <v>190</v>
      </c>
      <c r="D2261" s="5" t="s">
        <v>6728</v>
      </c>
      <c r="E2261" s="2" t="s">
        <v>83</v>
      </c>
      <c r="F2261" s="6" t="s">
        <v>84</v>
      </c>
      <c r="G2261" s="5" t="s">
        <v>85</v>
      </c>
      <c r="H2261" s="2" t="s">
        <v>88</v>
      </c>
      <c r="I2261" s="3" t="s">
        <v>6729</v>
      </c>
      <c r="J2261" s="7">
        <v>1</v>
      </c>
      <c r="K2261" s="70"/>
      <c r="L2261" s="9">
        <v>1</v>
      </c>
      <c r="M2261" s="3">
        <v>1851</v>
      </c>
      <c r="N2261" s="6">
        <v>2018</v>
      </c>
      <c r="O2261" s="10">
        <v>40418</v>
      </c>
      <c r="P2261" s="71" t="s">
        <v>6730</v>
      </c>
      <c r="Q2261" s="10">
        <v>43304</v>
      </c>
      <c r="R2261" s="6">
        <v>2010</v>
      </c>
      <c r="S2261" s="3" t="s">
        <v>283</v>
      </c>
      <c r="T2261" s="72"/>
      <c r="U2261" s="73"/>
      <c r="W2261" s="74" t="s">
        <v>62</v>
      </c>
      <c r="X2261" s="10" t="s">
        <v>91</v>
      </c>
      <c r="Y2261" s="10" t="s">
        <v>92</v>
      </c>
      <c r="Z2261" s="75"/>
      <c r="AA2261" s="76"/>
      <c r="AB2261" s="77"/>
      <c r="AC2261" s="77"/>
      <c r="AD2261" s="10"/>
      <c r="AI2261" s="7"/>
      <c r="AJ2261" s="73"/>
      <c r="AK2261" s="7"/>
      <c r="AW2261" s="6">
        <f t="shared" ca="1" si="37"/>
        <v>7</v>
      </c>
    </row>
    <row r="2262" ht="45" hidden="1" customHeight="1">
      <c r="A2262" s="69">
        <v>43319</v>
      </c>
      <c r="B2262" s="3" t="s">
        <v>47</v>
      </c>
      <c r="C2262" s="4" t="s">
        <v>6731</v>
      </c>
      <c r="D2262" s="5" t="s">
        <v>6732</v>
      </c>
      <c r="E2262" s="2" t="s">
        <v>83</v>
      </c>
      <c r="F2262" s="6" t="s">
        <v>704</v>
      </c>
      <c r="G2262" s="5" t="s">
        <v>6733</v>
      </c>
      <c r="H2262" s="2" t="s">
        <v>68</v>
      </c>
      <c r="I2262" s="3" t="s">
        <v>6734</v>
      </c>
      <c r="J2262" s="7">
        <v>10</v>
      </c>
      <c r="K2262" s="70"/>
      <c r="L2262" s="9">
        <v>1</v>
      </c>
      <c r="M2262" s="3">
        <v>1852</v>
      </c>
      <c r="N2262" s="6">
        <v>2018</v>
      </c>
      <c r="O2262" s="10">
        <v>40051</v>
      </c>
      <c r="P2262" s="71" t="s">
        <v>6572</v>
      </c>
      <c r="Q2262" s="10">
        <v>43319</v>
      </c>
      <c r="R2262" s="6">
        <v>2010</v>
      </c>
      <c r="S2262" s="3" t="s">
        <v>236</v>
      </c>
      <c r="T2262" s="72" t="s">
        <v>1136</v>
      </c>
      <c r="W2262" s="175"/>
      <c r="X2262" s="10" t="s">
        <v>56</v>
      </c>
      <c r="Y2262" s="10" t="s">
        <v>57</v>
      </c>
      <c r="Z2262" s="75"/>
      <c r="AA2262" s="76"/>
      <c r="AB2262" s="77"/>
      <c r="AC2262" s="77"/>
      <c r="AD2262" s="10"/>
      <c r="AI2262" s="7"/>
      <c r="AJ2262" s="10">
        <v>44525</v>
      </c>
      <c r="AK2262" s="7">
        <v>2020</v>
      </c>
      <c r="AL2262" s="16"/>
      <c r="AW2262" s="6">
        <f t="shared" ca="1" si="37"/>
        <v>7</v>
      </c>
    </row>
    <row r="2263" ht="45" hidden="1" customHeight="1">
      <c r="A2263" s="69">
        <v>43319</v>
      </c>
      <c r="B2263" s="3" t="s">
        <v>47</v>
      </c>
      <c r="C2263" s="4" t="s">
        <v>6735</v>
      </c>
      <c r="D2263" s="5" t="s">
        <v>6736</v>
      </c>
      <c r="E2263" s="2" t="s">
        <v>83</v>
      </c>
      <c r="F2263" s="6" t="s">
        <v>704</v>
      </c>
      <c r="G2263" s="5" t="s">
        <v>705</v>
      </c>
      <c r="H2263" s="2" t="s">
        <v>382</v>
      </c>
      <c r="I2263" s="3" t="s">
        <v>6737</v>
      </c>
      <c r="J2263" s="7">
        <v>1</v>
      </c>
      <c r="K2263" s="70"/>
      <c r="L2263" s="9">
        <v>1</v>
      </c>
      <c r="M2263" s="3">
        <v>1853</v>
      </c>
      <c r="N2263" s="6">
        <v>2018</v>
      </c>
      <c r="O2263" s="10">
        <v>42710</v>
      </c>
      <c r="P2263" s="71" t="s">
        <v>6738</v>
      </c>
      <c r="Q2263" s="10">
        <v>43319</v>
      </c>
      <c r="R2263" s="6">
        <v>2010</v>
      </c>
      <c r="S2263" s="3" t="s">
        <v>236</v>
      </c>
      <c r="T2263" s="72" t="s">
        <v>1136</v>
      </c>
      <c r="W2263" s="175"/>
      <c r="X2263" s="10" t="s">
        <v>91</v>
      </c>
      <c r="Y2263" s="10" t="s">
        <v>385</v>
      </c>
      <c r="Z2263" s="75"/>
      <c r="AA2263" s="76"/>
      <c r="AB2263" s="77"/>
      <c r="AC2263" s="77"/>
      <c r="AD2263" s="10"/>
      <c r="AI2263" s="7"/>
      <c r="AJ2263" s="10">
        <v>44438</v>
      </c>
      <c r="AK2263" s="7">
        <v>2020</v>
      </c>
      <c r="AL2263" s="16"/>
      <c r="AW2263" s="6">
        <f t="shared" ca="1" si="37"/>
        <v>7</v>
      </c>
    </row>
    <row r="2264" ht="45" hidden="1" customHeight="1">
      <c r="A2264" s="69"/>
      <c r="B2264" s="3" t="s">
        <v>47</v>
      </c>
      <c r="D2264" s="5" t="s">
        <v>6739</v>
      </c>
      <c r="E2264" s="2" t="s">
        <v>48</v>
      </c>
      <c r="F2264" s="6" t="s">
        <v>564</v>
      </c>
      <c r="G2264" s="5" t="s">
        <v>6740</v>
      </c>
      <c r="H2264" s="2" t="s">
        <v>57</v>
      </c>
      <c r="I2264" s="3" t="s">
        <v>6741</v>
      </c>
      <c r="J2264" s="7">
        <v>1</v>
      </c>
      <c r="K2264" s="70"/>
      <c r="L2264" s="9">
        <v>1</v>
      </c>
      <c r="M2264" s="3">
        <v>1854</v>
      </c>
      <c r="N2264" s="6">
        <v>2018</v>
      </c>
      <c r="O2264" s="10">
        <v>43215</v>
      </c>
      <c r="P2264" s="71" t="s">
        <v>6742</v>
      </c>
      <c r="Q2264" s="10">
        <v>43339</v>
      </c>
      <c r="R2264" s="6">
        <v>2010</v>
      </c>
      <c r="S2264" s="3" t="s">
        <v>236</v>
      </c>
      <c r="T2264" s="72"/>
      <c r="U2264" s="73"/>
      <c r="W2264" s="175"/>
      <c r="X2264" s="10" t="s">
        <v>56</v>
      </c>
      <c r="Y2264" s="10" t="s">
        <v>57</v>
      </c>
      <c r="Z2264" s="75"/>
      <c r="AA2264" s="76"/>
      <c r="AB2264" s="77"/>
      <c r="AC2264" s="77"/>
      <c r="AD2264" s="10"/>
      <c r="AI2264" s="7"/>
      <c r="AK2264" s="7"/>
      <c r="AL2264" s="16"/>
      <c r="AW2264" s="6">
        <f t="shared" ca="1" si="37"/>
        <v>7</v>
      </c>
    </row>
    <row r="2265" ht="45" hidden="1" customHeight="1">
      <c r="A2265" s="69"/>
      <c r="B2265" s="3" t="s">
        <v>190</v>
      </c>
      <c r="C2265" s="4" t="s">
        <v>6743</v>
      </c>
      <c r="D2265" s="5" t="s">
        <v>6744</v>
      </c>
      <c r="E2265" s="2" t="s">
        <v>83</v>
      </c>
      <c r="F2265" s="6" t="s">
        <v>704</v>
      </c>
      <c r="G2265" s="5" t="s">
        <v>705</v>
      </c>
      <c r="H2265" s="2" t="s">
        <v>57</v>
      </c>
      <c r="I2265" s="3" t="s">
        <v>6745</v>
      </c>
      <c r="J2265" s="7">
        <v>1</v>
      </c>
      <c r="K2265" s="70"/>
      <c r="L2265" s="9">
        <v>1</v>
      </c>
      <c r="M2265" s="3">
        <v>1855</v>
      </c>
      <c r="N2265" s="6">
        <v>2018</v>
      </c>
      <c r="O2265" s="10">
        <v>43256</v>
      </c>
      <c r="P2265" s="71" t="s">
        <v>6746</v>
      </c>
      <c r="Q2265" s="10">
        <v>43340</v>
      </c>
      <c r="R2265" s="6">
        <v>2010</v>
      </c>
      <c r="S2265" s="3" t="s">
        <v>283</v>
      </c>
      <c r="T2265" s="72"/>
      <c r="U2265" s="73"/>
      <c r="W2265" s="175"/>
      <c r="X2265" s="10" t="s">
        <v>56</v>
      </c>
      <c r="Y2265" s="10" t="s">
        <v>57</v>
      </c>
      <c r="Z2265" s="75" t="s">
        <v>4498</v>
      </c>
      <c r="AA2265" s="76"/>
      <c r="AB2265" s="77"/>
      <c r="AC2265" s="77"/>
      <c r="AD2265" s="10"/>
      <c r="AI2265" s="7"/>
      <c r="AJ2265" s="73"/>
      <c r="AK2265" s="7"/>
      <c r="AL2265" s="16"/>
      <c r="AW2265" s="6">
        <f t="shared" ca="1" si="37"/>
        <v>7</v>
      </c>
    </row>
    <row r="2266" ht="45" hidden="1" customHeight="1">
      <c r="A2266" s="69"/>
      <c r="B2266" s="3" t="s">
        <v>190</v>
      </c>
      <c r="C2266" s="4" t="s">
        <v>6747</v>
      </c>
      <c r="D2266" s="5" t="s">
        <v>6748</v>
      </c>
      <c r="E2266" s="2" t="s">
        <v>48</v>
      </c>
      <c r="F2266" s="6" t="s">
        <v>140</v>
      </c>
      <c r="G2266" s="5" t="s">
        <v>6749</v>
      </c>
      <c r="H2266" s="2" t="s">
        <v>57</v>
      </c>
      <c r="I2266" s="3" t="s">
        <v>6750</v>
      </c>
      <c r="J2266" s="7">
        <v>1</v>
      </c>
      <c r="K2266" s="70"/>
      <c r="L2266" s="9">
        <v>1</v>
      </c>
      <c r="M2266" s="3">
        <v>1856</v>
      </c>
      <c r="N2266" s="6">
        <v>2018</v>
      </c>
      <c r="O2266" s="10">
        <v>43312</v>
      </c>
      <c r="P2266" s="71" t="s">
        <v>6751</v>
      </c>
      <c r="Q2266" s="10">
        <v>43320</v>
      </c>
      <c r="R2266" s="6">
        <v>2010</v>
      </c>
      <c r="S2266" s="3" t="s">
        <v>283</v>
      </c>
      <c r="T2266" s="72"/>
      <c r="U2266" s="73"/>
      <c r="W2266" s="175"/>
      <c r="X2266" s="10" t="s">
        <v>56</v>
      </c>
      <c r="Y2266" s="10" t="s">
        <v>57</v>
      </c>
      <c r="Z2266" s="75"/>
      <c r="AA2266" s="76"/>
      <c r="AB2266" s="77"/>
      <c r="AC2266" s="77"/>
      <c r="AD2266" s="10"/>
      <c r="AI2266" s="7"/>
      <c r="AJ2266" s="73"/>
      <c r="AK2266" s="7"/>
      <c r="AL2266" s="16"/>
      <c r="AW2266" s="6">
        <f t="shared" ca="1" si="37"/>
        <v>7</v>
      </c>
    </row>
    <row r="2267" ht="45" hidden="1" customHeight="1">
      <c r="A2267" s="69"/>
      <c r="B2267" s="3" t="s">
        <v>190</v>
      </c>
      <c r="C2267" s="4" t="s">
        <v>6743</v>
      </c>
      <c r="D2267" s="5" t="s">
        <v>6752</v>
      </c>
      <c r="E2267" s="2" t="s">
        <v>83</v>
      </c>
      <c r="F2267" s="6" t="s">
        <v>704</v>
      </c>
      <c r="G2267" s="5" t="s">
        <v>705</v>
      </c>
      <c r="H2267" s="2" t="s">
        <v>68</v>
      </c>
      <c r="I2267" s="3" t="s">
        <v>6753</v>
      </c>
      <c r="J2267" s="7">
        <v>1</v>
      </c>
      <c r="K2267" s="70"/>
      <c r="L2267" s="9">
        <v>1</v>
      </c>
      <c r="M2267" s="3">
        <v>1857</v>
      </c>
      <c r="N2267" s="6">
        <v>2018</v>
      </c>
      <c r="O2267" s="10">
        <v>43031</v>
      </c>
      <c r="P2267" s="71" t="s">
        <v>6754</v>
      </c>
      <c r="Q2267" s="10">
        <v>43340</v>
      </c>
      <c r="R2267" s="6">
        <v>2010</v>
      </c>
      <c r="S2267" s="3" t="s">
        <v>283</v>
      </c>
      <c r="T2267" s="72"/>
      <c r="U2267" s="73"/>
      <c r="W2267" s="175"/>
      <c r="X2267" s="10" t="s">
        <v>56</v>
      </c>
      <c r="Y2267" s="10" t="s">
        <v>68</v>
      </c>
      <c r="Z2267" s="75" t="s">
        <v>2228</v>
      </c>
      <c r="AA2267" s="76"/>
      <c r="AB2267" s="77"/>
      <c r="AC2267" s="77"/>
      <c r="AD2267" s="10"/>
      <c r="AI2267" s="7"/>
      <c r="AJ2267" s="73"/>
      <c r="AK2267" s="7"/>
      <c r="AL2267" s="16"/>
      <c r="AW2267" s="6">
        <f t="shared" ca="1" si="37"/>
        <v>7</v>
      </c>
    </row>
    <row r="2268" ht="45" hidden="1" customHeight="1">
      <c r="A2268" s="69"/>
      <c r="B2268" s="3" t="s">
        <v>47</v>
      </c>
      <c r="D2268" s="5" t="s">
        <v>6755</v>
      </c>
      <c r="E2268" s="2" t="s">
        <v>48</v>
      </c>
      <c r="F2268" s="6" t="s">
        <v>564</v>
      </c>
      <c r="G2268" s="5" t="s">
        <v>5422</v>
      </c>
      <c r="H2268" s="2" t="s">
        <v>57</v>
      </c>
      <c r="I2268" s="3" t="s">
        <v>6756</v>
      </c>
      <c r="J2268" s="7">
        <v>1</v>
      </c>
      <c r="K2268" s="70"/>
      <c r="L2268" s="9">
        <v>1</v>
      </c>
      <c r="M2268" s="3">
        <v>1858</v>
      </c>
      <c r="N2268" s="6">
        <v>2018</v>
      </c>
      <c r="O2268" s="10">
        <v>42782</v>
      </c>
      <c r="P2268" s="71" t="s">
        <v>6757</v>
      </c>
      <c r="Q2268" s="10">
        <v>43340</v>
      </c>
      <c r="R2268" s="6">
        <v>2010</v>
      </c>
      <c r="S2268" s="3" t="s">
        <v>236</v>
      </c>
      <c r="T2268" s="72"/>
      <c r="U2268" s="73">
        <v>43621</v>
      </c>
      <c r="W2268" s="175"/>
      <c r="X2268" s="10" t="s">
        <v>56</v>
      </c>
      <c r="Y2268" s="10" t="s">
        <v>57</v>
      </c>
      <c r="Z2268" s="75"/>
      <c r="AA2268" s="76"/>
      <c r="AB2268" s="77"/>
      <c r="AC2268" s="77"/>
      <c r="AD2268" s="10"/>
      <c r="AI2268" s="7"/>
      <c r="AK2268" s="7"/>
      <c r="AL2268" s="16"/>
      <c r="AW2268" s="6">
        <f t="shared" ca="1" si="37"/>
        <v>7</v>
      </c>
    </row>
    <row r="2269" ht="45" hidden="1" customHeight="1">
      <c r="A2269" s="69"/>
      <c r="B2269" s="3" t="s">
        <v>47</v>
      </c>
      <c r="D2269" s="5" t="s">
        <v>6758</v>
      </c>
      <c r="E2269" s="2" t="s">
        <v>83</v>
      </c>
      <c r="F2269" s="6" t="s">
        <v>704</v>
      </c>
      <c r="G2269" s="5" t="s">
        <v>705</v>
      </c>
      <c r="H2269" s="2" t="s">
        <v>491</v>
      </c>
      <c r="I2269" s="3" t="s">
        <v>6759</v>
      </c>
      <c r="J2269" s="7">
        <v>1</v>
      </c>
      <c r="K2269" s="70"/>
      <c r="L2269" s="9">
        <v>1</v>
      </c>
      <c r="M2269" s="3">
        <v>1859</v>
      </c>
      <c r="N2269" s="6">
        <v>2018</v>
      </c>
      <c r="O2269" s="10">
        <v>43108</v>
      </c>
      <c r="P2269" s="71" t="s">
        <v>6760</v>
      </c>
      <c r="Q2269" s="10">
        <v>43367</v>
      </c>
      <c r="R2269" s="6">
        <v>2010</v>
      </c>
      <c r="S2269" s="3" t="s">
        <v>236</v>
      </c>
      <c r="T2269" s="72"/>
      <c r="U2269" s="73">
        <v>43367</v>
      </c>
      <c r="W2269" s="175"/>
      <c r="X2269" s="10" t="s">
        <v>56</v>
      </c>
      <c r="Y2269" s="10" t="s">
        <v>494</v>
      </c>
      <c r="Z2269" s="75"/>
      <c r="AA2269" s="76"/>
      <c r="AB2269" s="77"/>
      <c r="AC2269" s="77"/>
      <c r="AD2269" s="10"/>
      <c r="AI2269" s="7"/>
      <c r="AK2269" s="7"/>
      <c r="AL2269" s="16"/>
      <c r="AW2269" s="6">
        <f t="shared" ca="1" si="37"/>
        <v>7</v>
      </c>
    </row>
    <row r="2270" ht="45" hidden="1" customHeight="1">
      <c r="A2270" s="69">
        <v>43664</v>
      </c>
      <c r="B2270" s="3" t="s">
        <v>47</v>
      </c>
      <c r="C2270" s="4" t="s">
        <v>6761</v>
      </c>
      <c r="D2270" s="5" t="s">
        <v>6762</v>
      </c>
      <c r="E2270" s="2" t="s">
        <v>63</v>
      </c>
      <c r="F2270" s="6" t="s">
        <v>428</v>
      </c>
      <c r="G2270" s="5" t="s">
        <v>4618</v>
      </c>
      <c r="H2270" s="2" t="s">
        <v>51</v>
      </c>
      <c r="I2270" s="3" t="s">
        <v>6763</v>
      </c>
      <c r="J2270" s="7">
        <v>1</v>
      </c>
      <c r="K2270" s="70"/>
      <c r="L2270" s="9">
        <v>1</v>
      </c>
      <c r="M2270" s="3">
        <v>1860</v>
      </c>
      <c r="N2270" s="6">
        <v>2018</v>
      </c>
      <c r="O2270" s="10">
        <v>42986</v>
      </c>
      <c r="P2270" s="71" t="s">
        <v>6764</v>
      </c>
      <c r="Q2270" s="10">
        <v>43367</v>
      </c>
      <c r="R2270" s="6">
        <v>2010</v>
      </c>
      <c r="S2270" s="3" t="s">
        <v>236</v>
      </c>
      <c r="T2270" s="72" t="s">
        <v>1136</v>
      </c>
      <c r="W2270" s="175"/>
      <c r="X2270" s="10" t="s">
        <v>56</v>
      </c>
      <c r="Y2270" s="10" t="s">
        <v>57</v>
      </c>
      <c r="Z2270" s="75"/>
      <c r="AA2270" s="76"/>
      <c r="AB2270" s="77"/>
      <c r="AC2270" s="77"/>
      <c r="AD2270" s="10"/>
      <c r="AI2270" s="7"/>
      <c r="AJ2270" s="10">
        <v>44453</v>
      </c>
      <c r="AK2270" s="7">
        <v>2020</v>
      </c>
      <c r="AL2270" s="16"/>
      <c r="AW2270" s="6">
        <f t="shared" ca="1" si="37"/>
        <v>7</v>
      </c>
    </row>
    <row r="2271" ht="45" hidden="1" customHeight="1">
      <c r="A2271" s="69"/>
      <c r="B2271" s="3" t="s">
        <v>190</v>
      </c>
      <c r="D2271" s="5" t="s">
        <v>6765</v>
      </c>
      <c r="E2271" s="2" t="s">
        <v>694</v>
      </c>
      <c r="F2271" s="6" t="s">
        <v>3842</v>
      </c>
      <c r="G2271" s="5" t="s">
        <v>6766</v>
      </c>
      <c r="H2271" s="2" t="s">
        <v>57</v>
      </c>
      <c r="I2271" s="3" t="s">
        <v>6767</v>
      </c>
      <c r="J2271" s="7">
        <v>1</v>
      </c>
      <c r="K2271" s="70"/>
      <c r="L2271" s="9">
        <v>1</v>
      </c>
      <c r="M2271" s="3">
        <v>1861</v>
      </c>
      <c r="N2271" s="6">
        <v>2018</v>
      </c>
      <c r="O2271" s="10">
        <v>43227</v>
      </c>
      <c r="P2271" s="71" t="s">
        <v>6768</v>
      </c>
      <c r="Q2271" s="10">
        <v>43381</v>
      </c>
      <c r="R2271" s="6">
        <v>2010</v>
      </c>
      <c r="S2271" s="3" t="s">
        <v>283</v>
      </c>
      <c r="T2271" s="72"/>
      <c r="U2271" s="73"/>
      <c r="W2271" s="175"/>
      <c r="X2271" s="10" t="s">
        <v>56</v>
      </c>
      <c r="Y2271" s="10" t="s">
        <v>68</v>
      </c>
      <c r="Z2271" s="75"/>
      <c r="AA2271" s="76"/>
      <c r="AB2271" s="77"/>
      <c r="AC2271" s="77"/>
      <c r="AD2271" s="10"/>
      <c r="AI2271" s="7"/>
      <c r="AJ2271" s="73"/>
      <c r="AK2271" s="7"/>
      <c r="AL2271" s="16"/>
      <c r="AW2271" s="6">
        <f t="shared" ca="1" si="37"/>
        <v>7</v>
      </c>
    </row>
    <row r="2272" ht="45" hidden="1" customHeight="1">
      <c r="A2272" s="69">
        <v>43949</v>
      </c>
      <c r="B2272" s="3" t="s">
        <v>47</v>
      </c>
      <c r="C2272" s="4" t="s">
        <v>5178</v>
      </c>
      <c r="D2272" s="5" t="s">
        <v>6769</v>
      </c>
      <c r="E2272" s="2" t="s">
        <v>83</v>
      </c>
      <c r="F2272" s="6" t="s">
        <v>704</v>
      </c>
      <c r="G2272" s="5" t="s">
        <v>705</v>
      </c>
      <c r="H2272" s="2" t="s">
        <v>501</v>
      </c>
      <c r="I2272" s="3" t="s">
        <v>6770</v>
      </c>
      <c r="J2272" s="7">
        <v>1</v>
      </c>
      <c r="K2272" s="70"/>
      <c r="L2272" s="9">
        <v>1</v>
      </c>
      <c r="M2272" s="3">
        <v>1862</v>
      </c>
      <c r="N2272" s="6">
        <v>2018</v>
      </c>
      <c r="O2272" s="10">
        <v>41592</v>
      </c>
      <c r="P2272" s="71" t="s">
        <v>6771</v>
      </c>
      <c r="Q2272" s="10">
        <v>43381</v>
      </c>
      <c r="R2272" s="6">
        <v>2010</v>
      </c>
      <c r="S2272" s="3" t="s">
        <v>236</v>
      </c>
      <c r="T2272" s="72"/>
      <c r="W2272" s="2" t="s">
        <v>62</v>
      </c>
      <c r="X2272" s="10" t="s">
        <v>56</v>
      </c>
      <c r="Y2272" s="10" t="s">
        <v>57</v>
      </c>
      <c r="Z2272" s="75"/>
      <c r="AA2272" s="76"/>
      <c r="AB2272" s="77"/>
      <c r="AC2272" s="77"/>
      <c r="AD2272" s="10"/>
      <c r="AI2272" s="7"/>
      <c r="AJ2272" s="10">
        <v>44433</v>
      </c>
      <c r="AK2272" s="7">
        <v>2020</v>
      </c>
      <c r="AL2272" s="16"/>
      <c r="AW2272" s="6">
        <f t="shared" ca="1" si="37"/>
        <v>7</v>
      </c>
    </row>
    <row r="2273" ht="45" hidden="1" customHeight="1">
      <c r="A2273" s="69">
        <v>43871</v>
      </c>
      <c r="B2273" s="3" t="s">
        <v>47</v>
      </c>
      <c r="C2273" s="4" t="s">
        <v>6772</v>
      </c>
      <c r="D2273" s="5" t="s">
        <v>6773</v>
      </c>
      <c r="E2273" s="2" t="s">
        <v>83</v>
      </c>
      <c r="F2273" s="6" t="s">
        <v>704</v>
      </c>
      <c r="G2273" s="5" t="s">
        <v>6774</v>
      </c>
      <c r="H2273" s="2" t="s">
        <v>501</v>
      </c>
      <c r="I2273" s="3" t="s">
        <v>6775</v>
      </c>
      <c r="J2273" s="7">
        <v>1</v>
      </c>
      <c r="K2273" s="70"/>
      <c r="L2273" s="9">
        <v>1</v>
      </c>
      <c r="M2273" s="3">
        <v>1863</v>
      </c>
      <c r="N2273" s="6">
        <v>2018</v>
      </c>
      <c r="O2273" s="10">
        <v>39295</v>
      </c>
      <c r="P2273" s="71" t="s">
        <v>6776</v>
      </c>
      <c r="Q2273" s="10">
        <v>43396</v>
      </c>
      <c r="R2273" s="6">
        <v>2010</v>
      </c>
      <c r="S2273" s="3" t="s">
        <v>236</v>
      </c>
      <c r="T2273" s="72"/>
      <c r="U2273" s="10">
        <v>44421</v>
      </c>
      <c r="V2273" s="231"/>
      <c r="W2273" s="232"/>
      <c r="X2273" s="3"/>
      <c r="Y2273" s="3"/>
      <c r="Z2273" s="104"/>
      <c r="AA2273" s="233"/>
      <c r="AB2273" s="191"/>
      <c r="AC2273" s="191"/>
      <c r="AD2273" s="191"/>
      <c r="AE2273" s="234"/>
      <c r="AF2273" s="234"/>
      <c r="AG2273" s="234"/>
      <c r="AH2273" s="234"/>
      <c r="AI2273" s="3"/>
      <c r="AJ2273" s="10">
        <v>44433</v>
      </c>
      <c r="AK2273" s="6">
        <v>2020</v>
      </c>
      <c r="AL2273" s="104"/>
      <c r="AM2273" s="232"/>
      <c r="AN2273" s="3"/>
      <c r="AO2273" s="3"/>
      <c r="AP2273" s="3"/>
      <c r="AQ2273" s="104"/>
      <c r="AR2273" s="232"/>
      <c r="AS2273" s="3"/>
      <c r="AT2273" s="3"/>
      <c r="AU2273" s="104" t="s">
        <v>6777</v>
      </c>
      <c r="AV2273" s="235"/>
      <c r="AW2273" s="6">
        <f t="shared" ca="1" si="37"/>
        <v>7</v>
      </c>
    </row>
    <row r="2274" ht="45" hidden="1" customHeight="1">
      <c r="A2274" s="69" t="s">
        <v>4840</v>
      </c>
      <c r="B2274" s="3" t="s">
        <v>190</v>
      </c>
      <c r="C2274" s="4" t="s">
        <v>6778</v>
      </c>
      <c r="D2274" s="5" t="s">
        <v>6779</v>
      </c>
      <c r="E2274" s="2" t="s">
        <v>83</v>
      </c>
      <c r="F2274" s="6" t="s">
        <v>931</v>
      </c>
      <c r="G2274" s="5" t="s">
        <v>6780</v>
      </c>
      <c r="H2274" s="2" t="s">
        <v>51</v>
      </c>
      <c r="I2274" s="3" t="s">
        <v>6781</v>
      </c>
      <c r="J2274" s="7">
        <v>1</v>
      </c>
      <c r="K2274" s="70"/>
      <c r="L2274" s="9">
        <v>1</v>
      </c>
      <c r="M2274" s="3">
        <v>1864</v>
      </c>
      <c r="N2274" s="6">
        <v>2018</v>
      </c>
      <c r="O2274" s="10">
        <v>43234</v>
      </c>
      <c r="P2274" s="71" t="s">
        <v>6782</v>
      </c>
      <c r="Q2274" s="10">
        <v>43396</v>
      </c>
      <c r="R2274" s="6">
        <v>2010</v>
      </c>
      <c r="S2274" s="3" t="s">
        <v>283</v>
      </c>
      <c r="T2274" s="72"/>
      <c r="U2274" s="73"/>
      <c r="W2274" s="175"/>
      <c r="X2274" s="10" t="s">
        <v>56</v>
      </c>
      <c r="Y2274" s="10" t="s">
        <v>57</v>
      </c>
      <c r="Z2274" s="75" t="s">
        <v>58</v>
      </c>
      <c r="AA2274" s="76"/>
      <c r="AB2274" s="77"/>
      <c r="AC2274" s="77"/>
      <c r="AD2274" s="10"/>
      <c r="AI2274" s="7"/>
      <c r="AJ2274" s="73"/>
      <c r="AK2274" s="7"/>
      <c r="AL2274" s="16"/>
      <c r="AW2274" s="6">
        <f t="shared" ca="1" si="37"/>
        <v>7</v>
      </c>
    </row>
    <row r="2275" ht="45" hidden="1" customHeight="1">
      <c r="A2275" s="69"/>
      <c r="B2275" s="3" t="s">
        <v>47</v>
      </c>
      <c r="C2275" s="4" t="s">
        <v>6783</v>
      </c>
      <c r="D2275" s="5" t="s">
        <v>6784</v>
      </c>
      <c r="E2275" s="2" t="s">
        <v>694</v>
      </c>
      <c r="F2275" s="6" t="s">
        <v>3842</v>
      </c>
      <c r="G2275" s="5" t="s">
        <v>3818</v>
      </c>
      <c r="H2275" s="2" t="s">
        <v>977</v>
      </c>
      <c r="I2275" s="3" t="s">
        <v>6785</v>
      </c>
      <c r="J2275" s="7">
        <v>3</v>
      </c>
      <c r="K2275" s="70"/>
      <c r="L2275" s="9">
        <v>1</v>
      </c>
      <c r="M2275" s="3">
        <v>1865</v>
      </c>
      <c r="N2275" s="6">
        <v>2018</v>
      </c>
      <c r="O2275" s="10">
        <v>40318</v>
      </c>
      <c r="P2275" s="71" t="s">
        <v>6786</v>
      </c>
      <c r="Q2275" s="10">
        <v>43413</v>
      </c>
      <c r="R2275" s="6">
        <v>2010</v>
      </c>
      <c r="S2275" s="3" t="s">
        <v>236</v>
      </c>
      <c r="T2275" s="72"/>
      <c r="W2275" s="175"/>
      <c r="X2275" s="10" t="s">
        <v>213</v>
      </c>
      <c r="Y2275" s="10" t="s">
        <v>980</v>
      </c>
      <c r="Z2275" s="75"/>
      <c r="AA2275" s="76"/>
      <c r="AB2275" s="77"/>
      <c r="AC2275" s="77"/>
      <c r="AD2275" s="10"/>
      <c r="AI2275" s="7"/>
      <c r="AJ2275" s="10">
        <v>43398</v>
      </c>
      <c r="AK2275" s="7">
        <v>2020</v>
      </c>
      <c r="AL2275" s="16"/>
      <c r="AW2275" s="6">
        <f t="shared" ca="1" si="37"/>
        <v>7</v>
      </c>
    </row>
    <row r="2276" ht="45" hidden="1" customHeight="1">
      <c r="A2276" s="69">
        <v>43445</v>
      </c>
      <c r="B2276" s="3" t="s">
        <v>47</v>
      </c>
      <c r="C2276" s="4" t="s">
        <v>2767</v>
      </c>
      <c r="D2276" s="5" t="s">
        <v>6787</v>
      </c>
      <c r="E2276" s="2" t="s">
        <v>694</v>
      </c>
      <c r="F2276" s="6" t="s">
        <v>2495</v>
      </c>
      <c r="G2276" s="5" t="s">
        <v>2496</v>
      </c>
      <c r="H2276" s="2" t="s">
        <v>68</v>
      </c>
      <c r="I2276" s="3" t="s">
        <v>6788</v>
      </c>
      <c r="J2276" s="7">
        <v>1</v>
      </c>
      <c r="K2276" s="70"/>
      <c r="L2276" s="9">
        <v>1</v>
      </c>
      <c r="M2276" s="3">
        <v>1866</v>
      </c>
      <c r="N2276" s="6">
        <v>2018</v>
      </c>
      <c r="O2276" s="10">
        <v>41187</v>
      </c>
      <c r="P2276" s="71" t="s">
        <v>6320</v>
      </c>
      <c r="Q2276" s="10">
        <v>43445</v>
      </c>
      <c r="R2276" s="6">
        <v>2010</v>
      </c>
      <c r="S2276" s="3" t="s">
        <v>236</v>
      </c>
      <c r="T2276" s="72" t="s">
        <v>1136</v>
      </c>
      <c r="U2276" s="10">
        <v>43846</v>
      </c>
      <c r="W2276" s="175"/>
      <c r="X2276" s="10" t="s">
        <v>56</v>
      </c>
      <c r="Y2276" s="10" t="s">
        <v>68</v>
      </c>
      <c r="Z2276" s="75"/>
      <c r="AA2276" s="76"/>
      <c r="AB2276" s="77"/>
      <c r="AC2276" s="77"/>
      <c r="AD2276" s="10"/>
      <c r="AI2276" s="7"/>
      <c r="AJ2276" s="10">
        <v>43846</v>
      </c>
      <c r="AK2276" s="7">
        <v>2020</v>
      </c>
      <c r="AL2276" s="16"/>
      <c r="AW2276" s="6">
        <f t="shared" ca="1" si="37"/>
        <v>7</v>
      </c>
    </row>
    <row r="2277" ht="45" hidden="1" customHeight="1">
      <c r="A2277" s="69"/>
      <c r="B2277" s="3" t="s">
        <v>47</v>
      </c>
      <c r="C2277" s="4" t="s">
        <v>6789</v>
      </c>
      <c r="D2277" s="5" t="s">
        <v>6790</v>
      </c>
      <c r="E2277" s="2" t="s">
        <v>694</v>
      </c>
      <c r="F2277" s="6" t="s">
        <v>1487</v>
      </c>
      <c r="G2277" s="5" t="s">
        <v>4206</v>
      </c>
      <c r="H2277" s="2" t="s">
        <v>57</v>
      </c>
      <c r="I2277" s="3" t="s">
        <v>6791</v>
      </c>
      <c r="J2277" s="7">
        <v>1</v>
      </c>
      <c r="K2277" s="70"/>
      <c r="L2277" s="9">
        <v>1</v>
      </c>
      <c r="M2277" s="3">
        <v>1867</v>
      </c>
      <c r="N2277" s="6">
        <v>2019</v>
      </c>
      <c r="O2277" s="10">
        <v>43056</v>
      </c>
      <c r="P2277" s="71" t="s">
        <v>6792</v>
      </c>
      <c r="Q2277" s="10">
        <v>43517</v>
      </c>
      <c r="R2277" s="6">
        <v>2010</v>
      </c>
      <c r="S2277" s="3" t="s">
        <v>236</v>
      </c>
      <c r="T2277" s="72"/>
      <c r="U2277" s="73"/>
      <c r="W2277" s="175"/>
      <c r="X2277" s="10" t="s">
        <v>56</v>
      </c>
      <c r="Y2277" s="10" t="s">
        <v>57</v>
      </c>
      <c r="Z2277" s="75"/>
      <c r="AA2277" s="76"/>
      <c r="AB2277" s="77"/>
      <c r="AC2277" s="77"/>
      <c r="AD2277" s="10"/>
      <c r="AI2277" s="7"/>
      <c r="AJ2277" s="10">
        <v>43777</v>
      </c>
      <c r="AK2277" s="7">
        <v>2010</v>
      </c>
      <c r="AL2277" s="16"/>
      <c r="AW2277" s="6">
        <f t="shared" ca="1" si="37"/>
        <v>6</v>
      </c>
    </row>
    <row r="2278" ht="45" hidden="1" customHeight="1">
      <c r="A2278" s="69">
        <v>43749</v>
      </c>
      <c r="B2278" s="3" t="s">
        <v>47</v>
      </c>
      <c r="C2278" s="4" t="s">
        <v>6793</v>
      </c>
      <c r="D2278" s="5" t="s">
        <v>6794</v>
      </c>
      <c r="E2278" s="2" t="s">
        <v>83</v>
      </c>
      <c r="F2278" s="6" t="s">
        <v>704</v>
      </c>
      <c r="G2278" s="5" t="s">
        <v>2643</v>
      </c>
      <c r="H2278" s="2" t="s">
        <v>57</v>
      </c>
      <c r="I2278" s="3" t="s">
        <v>6795</v>
      </c>
      <c r="J2278" s="7">
        <v>1</v>
      </c>
      <c r="K2278" s="70"/>
      <c r="L2278" s="9">
        <v>1</v>
      </c>
      <c r="M2278" s="3">
        <v>1868</v>
      </c>
      <c r="N2278" s="6">
        <v>2019</v>
      </c>
      <c r="O2278" s="10">
        <v>43402</v>
      </c>
      <c r="P2278" s="71" t="s">
        <v>6796</v>
      </c>
      <c r="Q2278" s="10">
        <v>43581</v>
      </c>
      <c r="R2278" s="6">
        <v>2010</v>
      </c>
      <c r="S2278" s="3" t="s">
        <v>236</v>
      </c>
      <c r="T2278" s="72" t="s">
        <v>1136</v>
      </c>
      <c r="W2278" s="175"/>
      <c r="X2278" s="10" t="s">
        <v>56</v>
      </c>
      <c r="Y2278" s="10" t="s">
        <v>57</v>
      </c>
      <c r="Z2278" s="75" t="s">
        <v>4870</v>
      </c>
      <c r="AA2278" s="76"/>
      <c r="AB2278" s="77"/>
      <c r="AC2278" s="77"/>
      <c r="AD2278" s="10"/>
      <c r="AI2278" s="7"/>
      <c r="AJ2278" s="10">
        <v>44459</v>
      </c>
      <c r="AK2278" s="7">
        <v>2020</v>
      </c>
      <c r="AL2278" s="16"/>
      <c r="AW2278" s="6">
        <f t="shared" ca="1" si="37"/>
        <v>6</v>
      </c>
    </row>
    <row r="2279" ht="45" hidden="1" customHeight="1">
      <c r="A2279" s="69"/>
      <c r="B2279" s="3" t="s">
        <v>190</v>
      </c>
      <c r="C2279" s="4" t="s">
        <v>6797</v>
      </c>
      <c r="D2279" s="5" t="s">
        <v>6798</v>
      </c>
      <c r="E2279" s="2" t="s">
        <v>63</v>
      </c>
      <c r="F2279" s="6" t="s">
        <v>217</v>
      </c>
      <c r="G2279" s="5" t="s">
        <v>6799</v>
      </c>
      <c r="H2279" s="2" t="s">
        <v>57</v>
      </c>
      <c r="I2279" s="3" t="s">
        <v>6800</v>
      </c>
      <c r="J2279" s="7">
        <v>1</v>
      </c>
      <c r="K2279" s="70"/>
      <c r="L2279" s="9">
        <v>1</v>
      </c>
      <c r="M2279" s="3">
        <v>1869</v>
      </c>
      <c r="N2279" s="6">
        <v>2019</v>
      </c>
      <c r="O2279" s="10">
        <v>43549</v>
      </c>
      <c r="P2279" s="71"/>
      <c r="Q2279" s="10">
        <v>43581</v>
      </c>
      <c r="R2279" s="6">
        <v>2010</v>
      </c>
      <c r="S2279" s="3" t="s">
        <v>283</v>
      </c>
      <c r="T2279" s="72"/>
      <c r="U2279" s="73"/>
      <c r="W2279" s="175"/>
      <c r="X2279" s="10" t="s">
        <v>56</v>
      </c>
      <c r="Y2279" s="10" t="s">
        <v>57</v>
      </c>
      <c r="Z2279" s="75" t="s">
        <v>58</v>
      </c>
      <c r="AA2279" s="76"/>
      <c r="AB2279" s="77"/>
      <c r="AC2279" s="77"/>
      <c r="AD2279" s="10"/>
      <c r="AI2279" s="7"/>
      <c r="AJ2279" s="73"/>
      <c r="AK2279" s="7"/>
      <c r="AL2279" s="16"/>
      <c r="AW2279" s="6">
        <f t="shared" ref="AW2279:AW2342" ca="1" si="38">IF(N2279&lt;&gt;0,(YEAR(TODAY())-N2279),(""))</f>
        <v>6</v>
      </c>
    </row>
    <row r="2280" ht="45" hidden="1" customHeight="1">
      <c r="A2280" s="69"/>
      <c r="B2280" s="3" t="s">
        <v>190</v>
      </c>
      <c r="C2280" s="4" t="s">
        <v>6801</v>
      </c>
      <c r="D2280" s="5" t="s">
        <v>6802</v>
      </c>
      <c r="E2280" s="2" t="s">
        <v>83</v>
      </c>
      <c r="F2280" s="6" t="s">
        <v>179</v>
      </c>
      <c r="G2280" s="5" t="s">
        <v>6803</v>
      </c>
      <c r="H2280" s="2" t="s">
        <v>57</v>
      </c>
      <c r="I2280" s="3" t="s">
        <v>6804</v>
      </c>
      <c r="J2280" s="7">
        <v>1</v>
      </c>
      <c r="K2280" s="70"/>
      <c r="L2280" s="9">
        <v>1</v>
      </c>
      <c r="M2280" s="3">
        <v>1870</v>
      </c>
      <c r="N2280" s="6">
        <v>2019</v>
      </c>
      <c r="O2280" s="10">
        <v>43133</v>
      </c>
      <c r="P2280" s="71" t="s">
        <v>6805</v>
      </c>
      <c r="Q2280" s="10">
        <v>43579</v>
      </c>
      <c r="R2280" s="6">
        <v>2010</v>
      </c>
      <c r="S2280" s="3" t="s">
        <v>283</v>
      </c>
      <c r="T2280" s="72"/>
      <c r="U2280" s="73"/>
      <c r="W2280" s="175"/>
      <c r="X2280" s="10" t="s">
        <v>56</v>
      </c>
      <c r="Y2280" s="10" t="s">
        <v>57</v>
      </c>
      <c r="Z2280" s="75" t="s">
        <v>58</v>
      </c>
      <c r="AA2280" s="76"/>
      <c r="AB2280" s="77"/>
      <c r="AC2280" s="77"/>
      <c r="AD2280" s="10"/>
      <c r="AI2280" s="7"/>
      <c r="AJ2280" s="73"/>
      <c r="AK2280" s="7"/>
      <c r="AL2280" s="16"/>
      <c r="AW2280" s="6">
        <f t="shared" ca="1" si="38"/>
        <v>6</v>
      </c>
    </row>
    <row r="2281" ht="45" hidden="1" customHeight="1">
      <c r="A2281" s="69">
        <v>45286</v>
      </c>
      <c r="B2281" s="3" t="s">
        <v>190</v>
      </c>
      <c r="C2281" s="4" t="s">
        <v>6806</v>
      </c>
      <c r="D2281" s="5" t="s">
        <v>6807</v>
      </c>
      <c r="E2281" s="2" t="s">
        <v>63</v>
      </c>
      <c r="F2281" s="6" t="s">
        <v>83</v>
      </c>
      <c r="G2281" s="5" t="s">
        <v>4163</v>
      </c>
      <c r="H2281" s="2" t="s">
        <v>288</v>
      </c>
      <c r="I2281" s="3" t="s">
        <v>6808</v>
      </c>
      <c r="J2281" s="7">
        <v>1</v>
      </c>
      <c r="K2281" s="70"/>
      <c r="L2281" s="9">
        <v>1</v>
      </c>
      <c r="M2281" s="3">
        <v>1871</v>
      </c>
      <c r="N2281" s="6">
        <v>2019</v>
      </c>
      <c r="O2281" s="10" t="s">
        <v>6809</v>
      </c>
      <c r="P2281" s="71" t="s">
        <v>6810</v>
      </c>
      <c r="Q2281" s="10">
        <v>43581</v>
      </c>
      <c r="R2281" s="6">
        <v>2010</v>
      </c>
      <c r="S2281" s="3" t="s">
        <v>283</v>
      </c>
      <c r="T2281" s="72"/>
      <c r="U2281" s="73"/>
      <c r="W2281" s="175"/>
      <c r="X2281" s="10" t="s">
        <v>56</v>
      </c>
      <c r="Y2281" s="10" t="s">
        <v>288</v>
      </c>
      <c r="Z2281" s="75" t="s">
        <v>260</v>
      </c>
      <c r="AA2281" s="76"/>
      <c r="AB2281" s="77"/>
      <c r="AC2281" s="77"/>
      <c r="AD2281" s="6"/>
      <c r="AI2281" s="7"/>
      <c r="AJ2281" s="73"/>
      <c r="AK2281" s="7"/>
      <c r="AL2281" s="16"/>
      <c r="AW2281" s="6">
        <f t="shared" ca="1" si="38"/>
        <v>6</v>
      </c>
    </row>
    <row r="2282" ht="45" hidden="1" customHeight="1">
      <c r="A2282" s="69"/>
      <c r="B2282" s="3" t="s">
        <v>190</v>
      </c>
      <c r="C2282" s="4" t="s">
        <v>6713</v>
      </c>
      <c r="D2282" s="5" t="s">
        <v>6811</v>
      </c>
      <c r="E2282" s="2" t="s">
        <v>83</v>
      </c>
      <c r="F2282" s="6" t="s">
        <v>704</v>
      </c>
      <c r="G2282" s="5" t="s">
        <v>705</v>
      </c>
      <c r="H2282" s="2" t="s">
        <v>57</v>
      </c>
      <c r="I2282" s="3" t="s">
        <v>6812</v>
      </c>
      <c r="J2282" s="7">
        <v>1</v>
      </c>
      <c r="K2282" s="70"/>
      <c r="L2282" s="9">
        <v>1</v>
      </c>
      <c r="M2282" s="3">
        <v>1872</v>
      </c>
      <c r="N2282" s="6">
        <v>2019</v>
      </c>
      <c r="O2282" s="10">
        <v>38873</v>
      </c>
      <c r="P2282" s="71" t="s">
        <v>6813</v>
      </c>
      <c r="Q2282" s="10">
        <v>43608</v>
      </c>
      <c r="R2282" s="6">
        <v>2010</v>
      </c>
      <c r="S2282" s="3" t="s">
        <v>283</v>
      </c>
      <c r="T2282" s="72"/>
      <c r="U2282" s="73"/>
      <c r="W2282" s="175"/>
      <c r="X2282" s="10" t="s">
        <v>56</v>
      </c>
      <c r="Y2282" s="10" t="s">
        <v>57</v>
      </c>
      <c r="Z2282" s="75" t="s">
        <v>4498</v>
      </c>
      <c r="AA2282" s="76"/>
      <c r="AB2282" s="77"/>
      <c r="AC2282" s="77"/>
      <c r="AD2282" s="10"/>
      <c r="AI2282" s="7"/>
      <c r="AJ2282" s="73"/>
      <c r="AK2282" s="7"/>
      <c r="AL2282" s="16"/>
      <c r="AW2282" s="6">
        <f t="shared" ca="1" si="38"/>
        <v>6</v>
      </c>
    </row>
    <row r="2283" ht="45" hidden="1" customHeight="1">
      <c r="A2283" s="69"/>
      <c r="B2283" s="94" t="s">
        <v>190</v>
      </c>
      <c r="C2283" s="236" t="s">
        <v>6814</v>
      </c>
      <c r="D2283" s="120" t="s">
        <v>6815</v>
      </c>
      <c r="E2283" s="110" t="s">
        <v>83</v>
      </c>
      <c r="F2283" s="121" t="s">
        <v>6816</v>
      </c>
      <c r="G2283" s="120" t="s">
        <v>6817</v>
      </c>
      <c r="H2283" s="110" t="s">
        <v>4501</v>
      </c>
      <c r="I2283" s="94" t="s">
        <v>6818</v>
      </c>
      <c r="J2283" s="122">
        <v>1</v>
      </c>
      <c r="K2283" s="123"/>
      <c r="L2283" s="124">
        <v>1</v>
      </c>
      <c r="M2283" s="94">
        <v>1873</v>
      </c>
      <c r="N2283" s="121">
        <v>2019</v>
      </c>
      <c r="O2283" s="112"/>
      <c r="P2283" s="125"/>
      <c r="Q2283" s="112"/>
      <c r="R2283" s="121">
        <v>2010</v>
      </c>
      <c r="S2283" s="94" t="s">
        <v>283</v>
      </c>
      <c r="T2283" s="72"/>
      <c r="U2283" s="73"/>
      <c r="W2283" s="237"/>
      <c r="X2283" s="10"/>
      <c r="Y2283" s="10"/>
      <c r="Z2283" s="75"/>
      <c r="AA2283" s="76"/>
      <c r="AB2283" s="77"/>
      <c r="AC2283" s="77"/>
      <c r="AD2283" s="10"/>
      <c r="AI2283" s="7"/>
      <c r="AJ2283" s="73"/>
      <c r="AK2283" s="7"/>
      <c r="AL2283" s="16"/>
      <c r="AW2283" s="6">
        <f t="shared" ca="1" si="38"/>
        <v>6</v>
      </c>
    </row>
    <row r="2284" ht="45" hidden="1" customHeight="1">
      <c r="A2284" s="69"/>
      <c r="B2284" s="3" t="s">
        <v>47</v>
      </c>
      <c r="C2284" s="4" t="s">
        <v>6819</v>
      </c>
      <c r="D2284" s="5" t="s">
        <v>6820</v>
      </c>
      <c r="E2284" s="2" t="s">
        <v>83</v>
      </c>
      <c r="F2284" s="6" t="s">
        <v>704</v>
      </c>
      <c r="G2284" s="5" t="s">
        <v>6821</v>
      </c>
      <c r="H2284" s="2" t="s">
        <v>57</v>
      </c>
      <c r="I2284" s="3" t="s">
        <v>6822</v>
      </c>
      <c r="J2284" s="7">
        <v>1</v>
      </c>
      <c r="K2284" s="70"/>
      <c r="L2284" s="9">
        <v>1</v>
      </c>
      <c r="M2284" s="3">
        <v>1874</v>
      </c>
      <c r="N2284" s="6">
        <v>2019</v>
      </c>
      <c r="O2284" s="10">
        <v>43250</v>
      </c>
      <c r="P2284" s="71" t="s">
        <v>6823</v>
      </c>
      <c r="Q2284" s="10">
        <v>43634</v>
      </c>
      <c r="R2284" s="6">
        <v>2010</v>
      </c>
      <c r="S2284" s="3" t="s">
        <v>236</v>
      </c>
      <c r="T2284" s="72"/>
      <c r="W2284" s="175"/>
      <c r="X2284" s="10" t="s">
        <v>56</v>
      </c>
      <c r="Y2284" s="10" t="s">
        <v>57</v>
      </c>
      <c r="Z2284" s="75" t="s">
        <v>237</v>
      </c>
      <c r="AA2284" s="76"/>
      <c r="AB2284" s="77"/>
      <c r="AC2284" s="77"/>
      <c r="AD2284" s="10"/>
      <c r="AI2284" s="7"/>
      <c r="AJ2284" s="10">
        <v>44830</v>
      </c>
      <c r="AK2284" s="7">
        <v>2020</v>
      </c>
      <c r="AL2284" s="16"/>
      <c r="AW2284" s="6">
        <f t="shared" ca="1" si="38"/>
        <v>6</v>
      </c>
    </row>
    <row r="2285" ht="45" hidden="1" customHeight="1">
      <c r="A2285" s="69">
        <v>43641</v>
      </c>
      <c r="B2285" s="94" t="s">
        <v>190</v>
      </c>
      <c r="C2285" s="116"/>
      <c r="D2285" s="120" t="s">
        <v>6824</v>
      </c>
      <c r="E2285" s="110" t="s">
        <v>83</v>
      </c>
      <c r="F2285" s="121" t="s">
        <v>84</v>
      </c>
      <c r="G2285" s="120" t="s">
        <v>6825</v>
      </c>
      <c r="H2285" s="110" t="s">
        <v>57</v>
      </c>
      <c r="I2285" s="94" t="s">
        <v>6826</v>
      </c>
      <c r="J2285" s="122">
        <v>1</v>
      </c>
      <c r="K2285" s="123"/>
      <c r="L2285" s="124">
        <v>1</v>
      </c>
      <c r="M2285" s="94">
        <v>1875</v>
      </c>
      <c r="N2285" s="121">
        <v>2019</v>
      </c>
      <c r="O2285" s="112"/>
      <c r="P2285" s="125"/>
      <c r="Q2285" s="112"/>
      <c r="R2285" s="121">
        <v>2010</v>
      </c>
      <c r="S2285" s="94" t="s">
        <v>283</v>
      </c>
      <c r="T2285" s="72"/>
      <c r="U2285" s="73"/>
      <c r="W2285" s="237"/>
      <c r="X2285" s="10"/>
      <c r="Y2285" s="10"/>
      <c r="Z2285" s="75"/>
      <c r="AA2285" s="76"/>
      <c r="AB2285" s="77"/>
      <c r="AC2285" s="77"/>
      <c r="AD2285" s="10"/>
      <c r="AI2285" s="7"/>
      <c r="AJ2285" s="73"/>
      <c r="AK2285" s="7"/>
      <c r="AL2285" s="16"/>
      <c r="AW2285" s="6">
        <f t="shared" ca="1" si="38"/>
        <v>6</v>
      </c>
    </row>
    <row r="2286" ht="45" hidden="1" customHeight="1">
      <c r="A2286" s="69"/>
      <c r="B2286" s="3" t="s">
        <v>47</v>
      </c>
      <c r="C2286" s="4" t="s">
        <v>6827</v>
      </c>
      <c r="D2286" s="5" t="s">
        <v>6828</v>
      </c>
      <c r="E2286" s="2" t="s">
        <v>83</v>
      </c>
      <c r="F2286" s="6" t="s">
        <v>64</v>
      </c>
      <c r="G2286" s="5" t="s">
        <v>6829</v>
      </c>
      <c r="H2286" s="2" t="s">
        <v>257</v>
      </c>
      <c r="I2286" s="3" t="s">
        <v>6830</v>
      </c>
      <c r="J2286" s="7">
        <v>1</v>
      </c>
      <c r="K2286" s="70"/>
      <c r="L2286" s="9">
        <v>1</v>
      </c>
      <c r="M2286" s="3">
        <v>1876</v>
      </c>
      <c r="N2286" s="6">
        <v>2019</v>
      </c>
      <c r="O2286" s="10">
        <v>39157</v>
      </c>
      <c r="P2286" s="71" t="s">
        <v>6831</v>
      </c>
      <c r="Q2286" s="10">
        <v>43641</v>
      </c>
      <c r="R2286" s="6">
        <v>2010</v>
      </c>
      <c r="S2286" s="3" t="s">
        <v>236</v>
      </c>
      <c r="T2286" s="72"/>
      <c r="U2286" s="73"/>
      <c r="W2286" s="175"/>
      <c r="X2286" s="10" t="s">
        <v>56</v>
      </c>
      <c r="Y2286" s="10" t="s">
        <v>68</v>
      </c>
      <c r="Z2286" s="75" t="s">
        <v>237</v>
      </c>
      <c r="AA2286" s="76"/>
      <c r="AB2286" s="77"/>
      <c r="AC2286" s="77"/>
      <c r="AD2286" s="10"/>
      <c r="AI2286" s="7"/>
      <c r="AJ2286" s="10">
        <v>43648</v>
      </c>
      <c r="AK2286" s="7">
        <v>2010</v>
      </c>
      <c r="AL2286" s="16"/>
      <c r="AW2286" s="6">
        <f t="shared" ca="1" si="38"/>
        <v>6</v>
      </c>
    </row>
    <row r="2287" ht="45" hidden="1" customHeight="1">
      <c r="A2287" s="238">
        <v>45349</v>
      </c>
      <c r="B2287" s="94" t="s">
        <v>190</v>
      </c>
      <c r="C2287" s="116" t="s">
        <v>6832</v>
      </c>
      <c r="D2287" s="120" t="s">
        <v>6833</v>
      </c>
      <c r="E2287" s="110" t="s">
        <v>83</v>
      </c>
      <c r="F2287" s="121" t="s">
        <v>84</v>
      </c>
      <c r="G2287" s="120" t="s">
        <v>6834</v>
      </c>
      <c r="H2287" s="110" t="s">
        <v>68</v>
      </c>
      <c r="I2287" s="94" t="s">
        <v>6835</v>
      </c>
      <c r="J2287" s="122">
        <v>1</v>
      </c>
      <c r="K2287" s="123"/>
      <c r="L2287" s="124">
        <v>1</v>
      </c>
      <c r="M2287" s="94">
        <v>1877</v>
      </c>
      <c r="N2287" s="121">
        <v>2019</v>
      </c>
      <c r="O2287" s="112">
        <v>43634</v>
      </c>
      <c r="P2287" s="125" t="s">
        <v>6836</v>
      </c>
      <c r="Q2287" s="112">
        <v>43650</v>
      </c>
      <c r="R2287" s="121">
        <v>2010</v>
      </c>
      <c r="S2287" s="94" t="s">
        <v>283</v>
      </c>
      <c r="T2287" s="72"/>
      <c r="U2287" s="73"/>
      <c r="W2287" s="237"/>
      <c r="X2287" s="10"/>
      <c r="Y2287" s="10"/>
      <c r="Z2287" s="75"/>
      <c r="AA2287" s="76"/>
      <c r="AB2287" s="77"/>
      <c r="AC2287" s="77"/>
      <c r="AD2287" s="10"/>
      <c r="AI2287" s="7"/>
      <c r="AJ2287" s="73"/>
      <c r="AK2287" s="7"/>
      <c r="AL2287" s="16"/>
      <c r="AW2287" s="6">
        <f t="shared" ca="1" si="38"/>
        <v>6</v>
      </c>
    </row>
    <row r="2288" ht="45" hidden="1" customHeight="1">
      <c r="A2288" s="238"/>
      <c r="B2288" s="94" t="s">
        <v>47</v>
      </c>
      <c r="C2288" s="116" t="s">
        <v>6837</v>
      </c>
      <c r="D2288" s="120" t="s">
        <v>6838</v>
      </c>
      <c r="E2288" s="110" t="s">
        <v>48</v>
      </c>
      <c r="F2288" s="121" t="s">
        <v>564</v>
      </c>
      <c r="G2288" s="120"/>
      <c r="H2288" s="110" t="s">
        <v>491</v>
      </c>
      <c r="I2288" s="94" t="s">
        <v>6839</v>
      </c>
      <c r="J2288" s="122">
        <v>1</v>
      </c>
      <c r="K2288" s="123"/>
      <c r="L2288" s="124">
        <v>1</v>
      </c>
      <c r="M2288" s="94">
        <v>1878</v>
      </c>
      <c r="N2288" s="121">
        <v>2019</v>
      </c>
      <c r="O2288" s="112"/>
      <c r="P2288" s="125"/>
      <c r="Q2288" s="112"/>
      <c r="R2288" s="121">
        <v>2010</v>
      </c>
      <c r="S2288" s="94" t="s">
        <v>236</v>
      </c>
      <c r="T2288" s="72" t="s">
        <v>998</v>
      </c>
      <c r="W2288" s="237"/>
      <c r="X2288" s="10"/>
      <c r="Y2288" s="10"/>
      <c r="Z2288" s="75"/>
      <c r="AA2288" s="76"/>
      <c r="AB2288" s="77"/>
      <c r="AC2288" s="77"/>
      <c r="AD2288" s="10"/>
      <c r="AI2288" s="7"/>
      <c r="AJ2288" s="10">
        <v>44886</v>
      </c>
      <c r="AK2288" s="7">
        <v>2020</v>
      </c>
      <c r="AL2288" s="16"/>
      <c r="AW2288" s="6">
        <f t="shared" ca="1" si="38"/>
        <v>6</v>
      </c>
    </row>
    <row r="2289" ht="45" hidden="1" customHeight="1">
      <c r="A2289" s="69">
        <v>43654</v>
      </c>
      <c r="B2289" s="3" t="s">
        <v>190</v>
      </c>
      <c r="C2289" s="4" t="s">
        <v>6840</v>
      </c>
      <c r="D2289" s="5" t="s">
        <v>6841</v>
      </c>
      <c r="E2289" s="2" t="s">
        <v>63</v>
      </c>
      <c r="F2289" s="6" t="s">
        <v>172</v>
      </c>
      <c r="G2289" s="5" t="s">
        <v>173</v>
      </c>
      <c r="H2289" s="2" t="s">
        <v>3735</v>
      </c>
      <c r="I2289" s="3" t="s">
        <v>6842</v>
      </c>
      <c r="J2289" s="7">
        <v>1</v>
      </c>
      <c r="K2289" s="70"/>
      <c r="L2289" s="9">
        <v>1</v>
      </c>
      <c r="M2289" s="3">
        <v>1879</v>
      </c>
      <c r="N2289" s="6">
        <v>2019</v>
      </c>
      <c r="O2289" s="10">
        <v>38866</v>
      </c>
      <c r="P2289" s="71" t="s">
        <v>6843</v>
      </c>
      <c r="Q2289" s="10">
        <v>43654</v>
      </c>
      <c r="R2289" s="6">
        <v>2010</v>
      </c>
      <c r="S2289" s="3" t="s">
        <v>283</v>
      </c>
      <c r="T2289" s="72"/>
      <c r="U2289" s="73"/>
      <c r="W2289" s="175"/>
      <c r="X2289" s="10" t="s">
        <v>56</v>
      </c>
      <c r="Y2289" s="10" t="s">
        <v>68</v>
      </c>
      <c r="Z2289" s="75" t="s">
        <v>58</v>
      </c>
      <c r="AA2289" s="76"/>
      <c r="AB2289" s="77"/>
      <c r="AC2289" s="77"/>
      <c r="AD2289" s="10"/>
      <c r="AI2289" s="7"/>
      <c r="AJ2289" s="73"/>
      <c r="AK2289" s="7"/>
      <c r="AL2289" s="16"/>
      <c r="AW2289" s="6">
        <f t="shared" ca="1" si="38"/>
        <v>6</v>
      </c>
    </row>
    <row r="2290" ht="45" hidden="1" customHeight="1">
      <c r="A2290" s="69"/>
      <c r="B2290" s="3" t="s">
        <v>190</v>
      </c>
      <c r="C2290" s="4" t="s">
        <v>6844</v>
      </c>
      <c r="D2290" s="5" t="s">
        <v>6845</v>
      </c>
      <c r="E2290" s="2" t="s">
        <v>48</v>
      </c>
      <c r="F2290" s="6" t="s">
        <v>564</v>
      </c>
      <c r="G2290" s="5" t="s">
        <v>3818</v>
      </c>
      <c r="H2290" s="2" t="s">
        <v>491</v>
      </c>
      <c r="I2290" s="3" t="s">
        <v>6846</v>
      </c>
      <c r="J2290" s="7">
        <v>1</v>
      </c>
      <c r="K2290" s="70"/>
      <c r="L2290" s="9">
        <v>1</v>
      </c>
      <c r="M2290" s="3">
        <v>1880</v>
      </c>
      <c r="N2290" s="6">
        <v>2019</v>
      </c>
      <c r="O2290" s="10">
        <v>43649</v>
      </c>
      <c r="P2290" s="71" t="s">
        <v>6847</v>
      </c>
      <c r="Q2290" s="10">
        <v>43654</v>
      </c>
      <c r="R2290" s="6">
        <v>2010</v>
      </c>
      <c r="S2290" s="3" t="s">
        <v>283</v>
      </c>
      <c r="T2290" s="72"/>
      <c r="U2290" s="73"/>
      <c r="W2290" s="175"/>
      <c r="X2290" s="10" t="s">
        <v>56</v>
      </c>
      <c r="Y2290" s="10" t="s">
        <v>68</v>
      </c>
      <c r="Z2290" s="75" t="s">
        <v>260</v>
      </c>
      <c r="AA2290" s="76"/>
      <c r="AB2290" s="77"/>
      <c r="AC2290" s="77"/>
      <c r="AD2290" s="10"/>
      <c r="AI2290" s="7"/>
      <c r="AJ2290" s="73"/>
      <c r="AK2290" s="7"/>
      <c r="AL2290" s="16"/>
      <c r="AW2290" s="6">
        <f t="shared" ca="1" si="38"/>
        <v>6</v>
      </c>
    </row>
    <row r="2291" ht="45" hidden="1" customHeight="1">
      <c r="A2291" s="69"/>
      <c r="B2291" s="3" t="s">
        <v>190</v>
      </c>
      <c r="D2291" s="5" t="s">
        <v>6848</v>
      </c>
      <c r="E2291" s="2" t="s">
        <v>63</v>
      </c>
      <c r="F2291" s="6" t="s">
        <v>428</v>
      </c>
      <c r="G2291" s="5" t="s">
        <v>6849</v>
      </c>
      <c r="H2291" s="2" t="s">
        <v>288</v>
      </c>
      <c r="I2291" s="3" t="s">
        <v>6850</v>
      </c>
      <c r="J2291" s="7">
        <v>1</v>
      </c>
      <c r="K2291" s="70"/>
      <c r="L2291" s="9">
        <v>1</v>
      </c>
      <c r="M2291" s="3">
        <v>1881</v>
      </c>
      <c r="N2291" s="6">
        <v>2019</v>
      </c>
      <c r="O2291" s="10">
        <v>43685</v>
      </c>
      <c r="P2291" s="71" t="s">
        <v>6851</v>
      </c>
      <c r="Q2291" s="10">
        <v>40394</v>
      </c>
      <c r="R2291" s="6">
        <v>2010</v>
      </c>
      <c r="S2291" s="3" t="s">
        <v>283</v>
      </c>
      <c r="T2291" s="239"/>
      <c r="U2291" s="73"/>
      <c r="W2291" s="175"/>
      <c r="X2291" s="10" t="s">
        <v>56</v>
      </c>
      <c r="Y2291" s="10" t="s">
        <v>288</v>
      </c>
      <c r="Z2291" s="75"/>
      <c r="AA2291" s="76"/>
      <c r="AB2291" s="10"/>
      <c r="AC2291" s="7"/>
      <c r="AD2291" s="7"/>
      <c r="AI2291" s="7"/>
      <c r="AJ2291" s="226"/>
      <c r="AL2291" s="5"/>
      <c r="AS2291" s="84"/>
      <c r="AU2291" s="5"/>
      <c r="AV2291" s="111"/>
      <c r="AW2291" s="6">
        <f t="shared" ca="1" si="38"/>
        <v>6</v>
      </c>
    </row>
    <row r="2292" ht="45" hidden="1" customHeight="1">
      <c r="A2292" s="69"/>
      <c r="B2292" s="3" t="s">
        <v>47</v>
      </c>
      <c r="C2292" s="4" t="s">
        <v>6852</v>
      </c>
      <c r="D2292" s="5" t="s">
        <v>6853</v>
      </c>
      <c r="E2292" s="2" t="s">
        <v>63</v>
      </c>
      <c r="F2292" s="6" t="s">
        <v>428</v>
      </c>
      <c r="G2292" s="5" t="s">
        <v>6854</v>
      </c>
      <c r="H2292" s="2" t="s">
        <v>57</v>
      </c>
      <c r="I2292" s="3" t="s">
        <v>6855</v>
      </c>
      <c r="J2292" s="7">
        <v>1</v>
      </c>
      <c r="K2292" s="70"/>
      <c r="L2292" s="9">
        <v>1</v>
      </c>
      <c r="M2292" s="3">
        <v>1882</v>
      </c>
      <c r="N2292" s="6">
        <v>2019</v>
      </c>
      <c r="O2292" s="10">
        <v>43564</v>
      </c>
      <c r="P2292" s="71" t="s">
        <v>6856</v>
      </c>
      <c r="Q2292" s="10">
        <v>43700</v>
      </c>
      <c r="R2292" s="6">
        <v>2010</v>
      </c>
      <c r="S2292" s="3" t="s">
        <v>236</v>
      </c>
      <c r="T2292" s="239" t="s">
        <v>1136</v>
      </c>
      <c r="W2292" s="175"/>
      <c r="X2292" s="10" t="s">
        <v>56</v>
      </c>
      <c r="Y2292" s="10" t="s">
        <v>57</v>
      </c>
      <c r="Z2292" s="75" t="s">
        <v>58</v>
      </c>
      <c r="AA2292" s="76"/>
      <c r="AB2292" s="10"/>
      <c r="AC2292" s="7"/>
      <c r="AD2292" s="7"/>
      <c r="AI2292" s="7"/>
      <c r="AJ2292" s="10">
        <v>44762</v>
      </c>
      <c r="AK2292" s="7">
        <v>2020</v>
      </c>
      <c r="AL2292" s="5"/>
      <c r="AS2292" s="84"/>
      <c r="AU2292" s="5"/>
      <c r="AV2292" s="111"/>
      <c r="AW2292" s="6">
        <f t="shared" ca="1" si="38"/>
        <v>6</v>
      </c>
    </row>
    <row r="2293" ht="45" hidden="1" customHeight="1">
      <c r="A2293" s="69"/>
      <c r="B2293" s="3" t="s">
        <v>47</v>
      </c>
      <c r="D2293" s="5" t="s">
        <v>6857</v>
      </c>
      <c r="E2293" s="2" t="s">
        <v>63</v>
      </c>
      <c r="F2293" s="6" t="s">
        <v>172</v>
      </c>
      <c r="G2293" s="5" t="s">
        <v>6588</v>
      </c>
      <c r="H2293" s="2" t="s">
        <v>57</v>
      </c>
      <c r="I2293" s="3" t="s">
        <v>6858</v>
      </c>
      <c r="J2293" s="7">
        <v>1</v>
      </c>
      <c r="K2293" s="70"/>
      <c r="L2293" s="9">
        <v>1</v>
      </c>
      <c r="M2293" s="3">
        <v>1883</v>
      </c>
      <c r="N2293" s="6">
        <v>2019</v>
      </c>
      <c r="O2293" s="10">
        <v>37776</v>
      </c>
      <c r="P2293" s="71" t="s">
        <v>6859</v>
      </c>
      <c r="Q2293" s="10">
        <v>43700</v>
      </c>
      <c r="R2293" s="6">
        <v>2010</v>
      </c>
      <c r="S2293" s="3" t="s">
        <v>236</v>
      </c>
      <c r="T2293" s="239"/>
      <c r="U2293" s="73"/>
      <c r="W2293" s="175"/>
      <c r="X2293" s="10" t="s">
        <v>56</v>
      </c>
      <c r="Y2293" s="10" t="s">
        <v>57</v>
      </c>
      <c r="Z2293" s="75" t="s">
        <v>2228</v>
      </c>
      <c r="AA2293" s="76"/>
      <c r="AB2293" s="10"/>
      <c r="AC2293" s="7"/>
      <c r="AD2293" s="7"/>
      <c r="AI2293" s="7"/>
      <c r="AJ2293" s="10">
        <v>43703</v>
      </c>
      <c r="AK2293" s="6">
        <v>2010</v>
      </c>
      <c r="AL2293" s="5"/>
      <c r="AS2293" s="84"/>
      <c r="AU2293" s="5"/>
      <c r="AV2293" s="111"/>
      <c r="AW2293" s="6">
        <f t="shared" ca="1" si="38"/>
        <v>6</v>
      </c>
    </row>
    <row r="2294" ht="45" hidden="1" customHeight="1">
      <c r="A2294" s="69"/>
      <c r="B2294" s="3" t="s">
        <v>190</v>
      </c>
      <c r="C2294" s="4" t="s">
        <v>6860</v>
      </c>
      <c r="D2294" s="5" t="s">
        <v>6861</v>
      </c>
      <c r="E2294" s="2" t="s">
        <v>48</v>
      </c>
      <c r="F2294" s="6" t="s">
        <v>49</v>
      </c>
      <c r="G2294" s="5" t="s">
        <v>4030</v>
      </c>
      <c r="H2294" s="2" t="s">
        <v>501</v>
      </c>
      <c r="I2294" s="3" t="s">
        <v>6862</v>
      </c>
      <c r="J2294" s="7">
        <v>1</v>
      </c>
      <c r="K2294" s="70"/>
      <c r="L2294" s="9">
        <v>1</v>
      </c>
      <c r="M2294" s="3">
        <v>1884</v>
      </c>
      <c r="N2294" s="6">
        <v>2019</v>
      </c>
      <c r="O2294" s="10">
        <v>43650</v>
      </c>
      <c r="P2294" s="71" t="s">
        <v>6863</v>
      </c>
      <c r="Q2294" s="10">
        <v>43700</v>
      </c>
      <c r="R2294" s="6">
        <v>2010</v>
      </c>
      <c r="S2294" s="3" t="s">
        <v>283</v>
      </c>
      <c r="T2294" s="239"/>
      <c r="U2294" s="73"/>
      <c r="W2294" s="175"/>
      <c r="X2294" s="10" t="s">
        <v>56</v>
      </c>
      <c r="Y2294" s="10" t="s">
        <v>501</v>
      </c>
      <c r="Z2294" s="75" t="s">
        <v>2228</v>
      </c>
      <c r="AA2294" s="76"/>
      <c r="AB2294" s="10"/>
      <c r="AC2294" s="7"/>
      <c r="AD2294" s="7"/>
      <c r="AI2294" s="7"/>
      <c r="AJ2294" s="226"/>
      <c r="AL2294" s="5"/>
      <c r="AS2294" s="84"/>
      <c r="AU2294" s="5"/>
      <c r="AV2294" s="111"/>
      <c r="AW2294" s="6">
        <f t="shared" ca="1" si="38"/>
        <v>6</v>
      </c>
    </row>
    <row r="2295" ht="45" hidden="1" customHeight="1">
      <c r="A2295" s="69">
        <v>43739</v>
      </c>
      <c r="B2295" s="3" t="s">
        <v>47</v>
      </c>
      <c r="C2295" s="4" t="s">
        <v>2959</v>
      </c>
      <c r="D2295" s="5" t="s">
        <v>6864</v>
      </c>
      <c r="E2295" s="2" t="s">
        <v>694</v>
      </c>
      <c r="F2295" s="6" t="s">
        <v>2495</v>
      </c>
      <c r="G2295" s="5" t="s">
        <v>6548</v>
      </c>
      <c r="H2295" s="2" t="s">
        <v>491</v>
      </c>
      <c r="I2295" s="3" t="s">
        <v>6865</v>
      </c>
      <c r="J2295" s="7">
        <v>1</v>
      </c>
      <c r="K2295" s="70"/>
      <c r="L2295" s="9">
        <v>1</v>
      </c>
      <c r="M2295" s="3">
        <v>1885</v>
      </c>
      <c r="N2295" s="6">
        <v>2019</v>
      </c>
      <c r="P2295" s="71" t="s">
        <v>6680</v>
      </c>
      <c r="Q2295" s="10">
        <v>43738</v>
      </c>
      <c r="R2295" s="6">
        <v>2010</v>
      </c>
      <c r="S2295" s="3" t="s">
        <v>236</v>
      </c>
      <c r="T2295" s="239"/>
      <c r="U2295" s="10">
        <v>43839</v>
      </c>
      <c r="W2295" s="175"/>
      <c r="X2295" s="10" t="s">
        <v>56</v>
      </c>
      <c r="Y2295" s="10" t="s">
        <v>494</v>
      </c>
      <c r="Z2295" s="75" t="s">
        <v>905</v>
      </c>
      <c r="AA2295" s="76"/>
      <c r="AB2295" s="10"/>
      <c r="AC2295" s="7"/>
      <c r="AD2295" s="7"/>
      <c r="AI2295" s="7"/>
      <c r="AJ2295" s="10">
        <v>43839</v>
      </c>
      <c r="AK2295" s="7">
        <v>2020</v>
      </c>
      <c r="AL2295" s="5"/>
      <c r="AS2295" s="84"/>
      <c r="AU2295" s="5"/>
      <c r="AV2295" s="111"/>
      <c r="AW2295" s="6">
        <f t="shared" ca="1" si="38"/>
        <v>6</v>
      </c>
    </row>
    <row r="2296" ht="45" hidden="1" customHeight="1">
      <c r="A2296" s="69">
        <v>43747</v>
      </c>
      <c r="B2296" s="3" t="s">
        <v>190</v>
      </c>
      <c r="C2296" s="4" t="s">
        <v>6866</v>
      </c>
      <c r="D2296" s="5" t="s">
        <v>6867</v>
      </c>
      <c r="E2296" s="2" t="s">
        <v>63</v>
      </c>
      <c r="F2296" s="6" t="s">
        <v>64</v>
      </c>
      <c r="G2296" s="5" t="s">
        <v>6868</v>
      </c>
      <c r="H2296" s="2" t="s">
        <v>57</v>
      </c>
      <c r="I2296" s="3" t="s">
        <v>6869</v>
      </c>
      <c r="J2296" s="7">
        <v>1</v>
      </c>
      <c r="K2296" s="70"/>
      <c r="L2296" s="9">
        <v>1</v>
      </c>
      <c r="M2296" s="3">
        <v>1886</v>
      </c>
      <c r="N2296" s="6">
        <v>2019</v>
      </c>
      <c r="O2296" s="10">
        <v>43373</v>
      </c>
      <c r="P2296" s="71" t="s">
        <v>6870</v>
      </c>
      <c r="Q2296" s="10">
        <v>43747</v>
      </c>
      <c r="R2296" s="6">
        <v>2010</v>
      </c>
      <c r="S2296" s="3" t="s">
        <v>283</v>
      </c>
      <c r="T2296" s="239" t="s">
        <v>998</v>
      </c>
      <c r="U2296" s="73"/>
      <c r="W2296" s="175"/>
      <c r="X2296" s="10" t="s">
        <v>56</v>
      </c>
      <c r="Y2296" s="10" t="s">
        <v>57</v>
      </c>
      <c r="Z2296" s="75" t="s">
        <v>237</v>
      </c>
      <c r="AA2296" s="76"/>
      <c r="AB2296" s="10"/>
      <c r="AC2296" s="7"/>
      <c r="AD2296" s="7"/>
      <c r="AI2296" s="7"/>
      <c r="AJ2296" s="226"/>
      <c r="AL2296" s="5"/>
      <c r="AS2296" s="84"/>
      <c r="AU2296" s="5"/>
      <c r="AV2296" s="111"/>
      <c r="AW2296" s="6">
        <f t="shared" ca="1" si="38"/>
        <v>6</v>
      </c>
    </row>
    <row r="2297" ht="45" hidden="1" customHeight="1">
      <c r="A2297" s="69">
        <v>45096</v>
      </c>
      <c r="B2297" s="3" t="s">
        <v>190</v>
      </c>
      <c r="C2297" s="4" t="s">
        <v>6871</v>
      </c>
      <c r="D2297" s="5" t="s">
        <v>6872</v>
      </c>
      <c r="E2297" s="2" t="s">
        <v>83</v>
      </c>
      <c r="F2297" s="6" t="s">
        <v>179</v>
      </c>
      <c r="G2297" s="5" t="s">
        <v>6873</v>
      </c>
      <c r="H2297" s="2" t="s">
        <v>4501</v>
      </c>
      <c r="I2297" s="3" t="s">
        <v>6874</v>
      </c>
      <c r="J2297" s="7">
        <v>1</v>
      </c>
      <c r="K2297" s="70"/>
      <c r="L2297" s="9">
        <v>1</v>
      </c>
      <c r="M2297" s="3">
        <v>1887</v>
      </c>
      <c r="N2297" s="6">
        <v>2019</v>
      </c>
      <c r="O2297" s="10">
        <v>43640</v>
      </c>
      <c r="P2297" s="71" t="s">
        <v>4681</v>
      </c>
      <c r="Q2297" s="10">
        <v>43752</v>
      </c>
      <c r="R2297" s="6">
        <v>2010</v>
      </c>
      <c r="S2297" s="3" t="s">
        <v>283</v>
      </c>
      <c r="T2297" s="239"/>
      <c r="U2297" s="73"/>
      <c r="W2297" s="175"/>
      <c r="X2297" s="10" t="s">
        <v>56</v>
      </c>
      <c r="Y2297" s="10" t="s">
        <v>4501</v>
      </c>
      <c r="Z2297" s="75"/>
      <c r="AA2297" s="76"/>
      <c r="AB2297" s="10"/>
      <c r="AC2297" s="7"/>
      <c r="AD2297" s="7"/>
      <c r="AI2297" s="7"/>
      <c r="AJ2297" s="226"/>
      <c r="AL2297" s="5"/>
      <c r="AS2297" s="84"/>
      <c r="AU2297" s="5"/>
      <c r="AV2297" s="111"/>
      <c r="AW2297" s="6">
        <f t="shared" ca="1" si="38"/>
        <v>6</v>
      </c>
    </row>
    <row r="2298" ht="45" hidden="1" customHeight="1">
      <c r="A2298" s="69">
        <v>43802</v>
      </c>
      <c r="B2298" s="3" t="s">
        <v>190</v>
      </c>
      <c r="C2298" s="4" t="s">
        <v>6875</v>
      </c>
      <c r="D2298" s="5" t="s">
        <v>6876</v>
      </c>
      <c r="E2298" s="2" t="s">
        <v>48</v>
      </c>
      <c r="F2298" s="6" t="s">
        <v>140</v>
      </c>
      <c r="G2298" s="5" t="s">
        <v>6445</v>
      </c>
      <c r="H2298" s="2" t="s">
        <v>57</v>
      </c>
      <c r="I2298" s="3" t="s">
        <v>6877</v>
      </c>
      <c r="J2298" s="7">
        <v>1</v>
      </c>
      <c r="K2298" s="70"/>
      <c r="L2298" s="9">
        <v>1</v>
      </c>
      <c r="M2298" s="3">
        <v>1888</v>
      </c>
      <c r="N2298" s="6">
        <v>2019</v>
      </c>
      <c r="O2298" s="10">
        <v>43654</v>
      </c>
      <c r="P2298" s="71" t="s">
        <v>6878</v>
      </c>
      <c r="Q2298" s="10">
        <v>43802</v>
      </c>
      <c r="R2298" s="6">
        <v>2010</v>
      </c>
      <c r="S2298" s="3" t="s">
        <v>283</v>
      </c>
      <c r="T2298" s="239"/>
      <c r="U2298" s="73"/>
      <c r="W2298" s="175"/>
      <c r="X2298" s="10" t="s">
        <v>56</v>
      </c>
      <c r="Y2298" s="10" t="s">
        <v>57</v>
      </c>
      <c r="Z2298" s="75" t="s">
        <v>2228</v>
      </c>
      <c r="AA2298" s="76"/>
      <c r="AB2298" s="10"/>
      <c r="AC2298" s="7"/>
      <c r="AD2298" s="7"/>
      <c r="AI2298" s="7"/>
      <c r="AJ2298" s="226"/>
      <c r="AL2298" s="5"/>
      <c r="AS2298" s="84"/>
      <c r="AU2298" s="5"/>
      <c r="AV2298" s="111"/>
      <c r="AW2298" s="6">
        <f t="shared" ca="1" si="38"/>
        <v>6</v>
      </c>
    </row>
    <row r="2299" ht="45" hidden="1" customHeight="1">
      <c r="A2299" s="69">
        <v>43811</v>
      </c>
      <c r="B2299" s="3" t="s">
        <v>47</v>
      </c>
      <c r="C2299" s="4" t="s">
        <v>6879</v>
      </c>
      <c r="D2299" s="5" t="s">
        <v>6880</v>
      </c>
      <c r="E2299" s="2" t="s">
        <v>63</v>
      </c>
      <c r="F2299" s="6" t="s">
        <v>428</v>
      </c>
      <c r="G2299" s="5" t="s">
        <v>6881</v>
      </c>
      <c r="H2299" s="2" t="s">
        <v>288</v>
      </c>
      <c r="I2299" s="3" t="s">
        <v>6882</v>
      </c>
      <c r="J2299" s="7">
        <v>1</v>
      </c>
      <c r="K2299" s="70"/>
      <c r="L2299" s="9">
        <v>1</v>
      </c>
      <c r="M2299" s="3">
        <v>1889</v>
      </c>
      <c r="N2299" s="6">
        <v>2019</v>
      </c>
      <c r="O2299" s="10">
        <v>43670</v>
      </c>
      <c r="P2299" s="71" t="s">
        <v>6883</v>
      </c>
      <c r="Q2299" s="10">
        <v>43811</v>
      </c>
      <c r="R2299" s="6">
        <v>2010</v>
      </c>
      <c r="S2299" s="3" t="s">
        <v>236</v>
      </c>
      <c r="T2299" s="239"/>
      <c r="W2299" s="175"/>
      <c r="X2299" s="10" t="s">
        <v>56</v>
      </c>
      <c r="Y2299" s="10" t="s">
        <v>288</v>
      </c>
      <c r="Z2299" s="75" t="s">
        <v>260</v>
      </c>
      <c r="AA2299" s="76"/>
      <c r="AB2299" s="10"/>
      <c r="AC2299" s="7"/>
      <c r="AD2299" s="7"/>
      <c r="AI2299" s="7"/>
      <c r="AJ2299" s="10">
        <v>45489</v>
      </c>
      <c r="AK2299" s="7">
        <v>2020</v>
      </c>
      <c r="AL2299" s="16" t="s">
        <v>6884</v>
      </c>
      <c r="AS2299" s="84"/>
      <c r="AU2299" s="5"/>
      <c r="AV2299" s="111"/>
      <c r="AW2299" s="6">
        <f t="shared" ca="1" si="38"/>
        <v>6</v>
      </c>
    </row>
    <row r="2300" ht="45" hidden="1" customHeight="1">
      <c r="A2300" s="69">
        <v>43817</v>
      </c>
      <c r="B2300" s="3" t="s">
        <v>190</v>
      </c>
      <c r="C2300" s="4" t="s">
        <v>6885</v>
      </c>
      <c r="D2300" s="5" t="s">
        <v>6886</v>
      </c>
      <c r="E2300" s="2" t="s">
        <v>48</v>
      </c>
      <c r="F2300" s="6" t="s">
        <v>564</v>
      </c>
      <c r="G2300" s="5" t="s">
        <v>4512</v>
      </c>
      <c r="H2300" s="2" t="s">
        <v>51</v>
      </c>
      <c r="I2300" s="3" t="s">
        <v>6887</v>
      </c>
      <c r="J2300" s="7">
        <v>1</v>
      </c>
      <c r="K2300" s="70"/>
      <c r="L2300" s="9">
        <v>1</v>
      </c>
      <c r="M2300" s="3">
        <v>1890</v>
      </c>
      <c r="N2300" s="6">
        <v>2019</v>
      </c>
      <c r="O2300" s="10">
        <v>43703</v>
      </c>
      <c r="P2300" s="71" t="s">
        <v>6888</v>
      </c>
      <c r="Q2300" s="10">
        <v>43817</v>
      </c>
      <c r="R2300" s="6">
        <v>2010</v>
      </c>
      <c r="S2300" s="3" t="s">
        <v>283</v>
      </c>
      <c r="T2300" s="239" t="s">
        <v>998</v>
      </c>
      <c r="U2300" s="73"/>
      <c r="W2300" s="175"/>
      <c r="X2300" s="10" t="s">
        <v>56</v>
      </c>
      <c r="Y2300" s="10" t="s">
        <v>57</v>
      </c>
      <c r="Z2300" s="75" t="s">
        <v>2228</v>
      </c>
      <c r="AA2300" s="76"/>
      <c r="AB2300" s="10"/>
      <c r="AC2300" s="7"/>
      <c r="AD2300" s="7"/>
      <c r="AI2300" s="7"/>
      <c r="AJ2300" s="226"/>
      <c r="AL2300" s="5"/>
      <c r="AS2300" s="84"/>
      <c r="AU2300" s="5"/>
      <c r="AV2300" s="111"/>
      <c r="AW2300" s="6">
        <f t="shared" ca="1" si="38"/>
        <v>6</v>
      </c>
    </row>
    <row r="2301" ht="45" hidden="1" customHeight="1">
      <c r="A2301" s="69"/>
      <c r="B2301" s="3" t="s">
        <v>190</v>
      </c>
      <c r="D2301" s="5" t="s">
        <v>6889</v>
      </c>
      <c r="E2301" s="2" t="s">
        <v>63</v>
      </c>
      <c r="F2301" s="6" t="s">
        <v>172</v>
      </c>
      <c r="G2301" s="5" t="s">
        <v>1160</v>
      </c>
      <c r="H2301" s="2" t="s">
        <v>3735</v>
      </c>
      <c r="I2301" s="3" t="s">
        <v>6890</v>
      </c>
      <c r="J2301" s="7">
        <v>1</v>
      </c>
      <c r="K2301" s="70"/>
      <c r="L2301" s="9">
        <v>1</v>
      </c>
      <c r="M2301" s="3">
        <v>1891</v>
      </c>
      <c r="N2301" s="6">
        <v>2019</v>
      </c>
      <c r="O2301" s="10">
        <v>43346</v>
      </c>
      <c r="P2301" s="71" t="s">
        <v>6891</v>
      </c>
      <c r="Q2301" s="10">
        <v>43826</v>
      </c>
      <c r="R2301" s="6">
        <v>2010</v>
      </c>
      <c r="S2301" s="3" t="s">
        <v>283</v>
      </c>
      <c r="T2301" s="239"/>
      <c r="U2301" s="73"/>
      <c r="W2301" s="175"/>
      <c r="X2301" s="10" t="s">
        <v>56</v>
      </c>
      <c r="Y2301" s="10" t="s">
        <v>68</v>
      </c>
      <c r="Z2301" s="75" t="s">
        <v>58</v>
      </c>
      <c r="AA2301" s="76"/>
      <c r="AB2301" s="10"/>
      <c r="AC2301" s="7"/>
      <c r="AD2301" s="7"/>
      <c r="AI2301" s="7"/>
      <c r="AJ2301" s="226"/>
      <c r="AL2301" s="5"/>
      <c r="AS2301" s="84"/>
      <c r="AU2301" s="5"/>
      <c r="AV2301" s="111"/>
      <c r="AW2301" s="6">
        <f t="shared" ca="1" si="38"/>
        <v>6</v>
      </c>
    </row>
    <row r="2302" ht="45" hidden="1" customHeight="1">
      <c r="A2302" s="69"/>
      <c r="B2302" s="3" t="s">
        <v>190</v>
      </c>
      <c r="D2302" s="5" t="s">
        <v>6892</v>
      </c>
      <c r="E2302" s="2" t="s">
        <v>1074</v>
      </c>
      <c r="F2302" s="6" t="s">
        <v>2154</v>
      </c>
      <c r="G2302" s="5" t="s">
        <v>2155</v>
      </c>
      <c r="H2302" s="2" t="s">
        <v>88</v>
      </c>
      <c r="I2302" s="3" t="s">
        <v>6893</v>
      </c>
      <c r="J2302" s="7">
        <v>1</v>
      </c>
      <c r="K2302" s="70"/>
      <c r="L2302" s="9">
        <v>1</v>
      </c>
      <c r="M2302" s="3">
        <v>1892</v>
      </c>
      <c r="N2302" s="6">
        <v>2019</v>
      </c>
      <c r="O2302" s="10">
        <v>43683</v>
      </c>
      <c r="P2302" s="71" t="s">
        <v>6894</v>
      </c>
      <c r="Q2302" s="10">
        <v>43826</v>
      </c>
      <c r="R2302" s="6">
        <v>2010</v>
      </c>
      <c r="S2302" s="3" t="s">
        <v>283</v>
      </c>
      <c r="T2302" s="239"/>
      <c r="U2302" s="73"/>
      <c r="W2302" s="175"/>
      <c r="X2302" s="10" t="s">
        <v>91</v>
      </c>
      <c r="Y2302" s="10" t="s">
        <v>92</v>
      </c>
      <c r="Z2302" s="75" t="s">
        <v>6895</v>
      </c>
      <c r="AA2302" s="76"/>
      <c r="AB2302" s="10"/>
      <c r="AC2302" s="7"/>
      <c r="AD2302" s="7"/>
      <c r="AI2302" s="7"/>
      <c r="AJ2302" s="226"/>
      <c r="AL2302" s="240"/>
      <c r="AS2302" s="84"/>
      <c r="AU2302" s="5"/>
      <c r="AV2302" s="111"/>
      <c r="AW2302" s="6"/>
    </row>
    <row r="2303" ht="45" hidden="1" customHeight="1">
      <c r="A2303" s="69"/>
      <c r="B2303" s="3" t="s">
        <v>190</v>
      </c>
      <c r="D2303" s="5" t="s">
        <v>6896</v>
      </c>
      <c r="E2303" s="2" t="s">
        <v>63</v>
      </c>
      <c r="F2303" s="6" t="s">
        <v>172</v>
      </c>
      <c r="G2303" s="5" t="s">
        <v>173</v>
      </c>
      <c r="H2303" s="2" t="s">
        <v>3735</v>
      </c>
      <c r="I2303" s="3" t="s">
        <v>6897</v>
      </c>
      <c r="J2303" s="7">
        <v>1</v>
      </c>
      <c r="K2303" s="70"/>
      <c r="L2303" s="9">
        <v>1</v>
      </c>
      <c r="M2303" s="3">
        <v>1893</v>
      </c>
      <c r="N2303" s="6">
        <v>2020</v>
      </c>
      <c r="O2303" s="10">
        <v>43347</v>
      </c>
      <c r="P2303" s="71" t="s">
        <v>6898</v>
      </c>
      <c r="Q2303" s="10">
        <v>43844</v>
      </c>
      <c r="R2303" s="6">
        <v>2020</v>
      </c>
      <c r="S2303" s="3" t="s">
        <v>283</v>
      </c>
      <c r="T2303" s="239"/>
      <c r="U2303" s="73"/>
      <c r="W2303" s="175"/>
      <c r="X2303" s="10" t="s">
        <v>56</v>
      </c>
      <c r="Y2303" s="10" t="s">
        <v>68</v>
      </c>
      <c r="Z2303" s="75" t="s">
        <v>58</v>
      </c>
      <c r="AA2303" s="76"/>
      <c r="AB2303" s="10"/>
      <c r="AC2303" s="7"/>
      <c r="AD2303" s="7"/>
      <c r="AI2303" s="7"/>
      <c r="AJ2303" s="226"/>
      <c r="AL2303" s="5"/>
      <c r="AS2303" s="84"/>
      <c r="AU2303" s="5"/>
      <c r="AV2303" s="111"/>
      <c r="AW2303" s="6">
        <f t="shared" ca="1" si="38"/>
        <v>5</v>
      </c>
    </row>
    <row r="2304" ht="45" hidden="1" customHeight="1">
      <c r="A2304" s="69"/>
      <c r="B2304" s="94" t="s">
        <v>190</v>
      </c>
      <c r="C2304" s="116" t="s">
        <v>6899</v>
      </c>
      <c r="D2304" s="120" t="s">
        <v>6900</v>
      </c>
      <c r="E2304" s="110" t="s">
        <v>48</v>
      </c>
      <c r="F2304" s="121" t="s">
        <v>49</v>
      </c>
      <c r="G2304" s="120" t="s">
        <v>4336</v>
      </c>
      <c r="H2304" s="110" t="s">
        <v>88</v>
      </c>
      <c r="I2304" s="94" t="s">
        <v>6901</v>
      </c>
      <c r="J2304" s="122">
        <v>1</v>
      </c>
      <c r="K2304" s="123"/>
      <c r="L2304" s="124">
        <v>1</v>
      </c>
      <c r="M2304" s="94">
        <v>1894</v>
      </c>
      <c r="N2304" s="121">
        <v>2020</v>
      </c>
      <c r="O2304" s="112"/>
      <c r="P2304" s="125"/>
      <c r="Q2304" s="112"/>
      <c r="R2304" s="121">
        <v>2020</v>
      </c>
      <c r="S2304" s="94" t="s">
        <v>283</v>
      </c>
      <c r="T2304" s="239"/>
      <c r="U2304" s="73"/>
      <c r="W2304" s="237"/>
      <c r="X2304" s="10"/>
      <c r="Y2304" s="10"/>
      <c r="Z2304" s="75"/>
      <c r="AA2304" s="76"/>
      <c r="AB2304" s="10"/>
      <c r="AC2304" s="7"/>
      <c r="AD2304" s="7"/>
      <c r="AI2304" s="7"/>
      <c r="AJ2304" s="226"/>
      <c r="AL2304" s="240"/>
      <c r="AS2304" s="84"/>
      <c r="AU2304" s="5"/>
      <c r="AV2304" s="111"/>
      <c r="AW2304" s="6">
        <f t="shared" ca="1" si="38"/>
        <v>5</v>
      </c>
    </row>
    <row r="2305" ht="45" hidden="1" customHeight="1">
      <c r="A2305" s="69"/>
      <c r="B2305" s="3" t="s">
        <v>190</v>
      </c>
      <c r="D2305" s="5" t="s">
        <v>6902</v>
      </c>
      <c r="E2305" s="2" t="s">
        <v>48</v>
      </c>
      <c r="F2305" s="6" t="s">
        <v>564</v>
      </c>
      <c r="G2305" s="5" t="s">
        <v>6903</v>
      </c>
      <c r="H2305" s="2" t="s">
        <v>57</v>
      </c>
      <c r="I2305" s="3" t="s">
        <v>6904</v>
      </c>
      <c r="J2305" s="7">
        <v>1</v>
      </c>
      <c r="K2305" s="70"/>
      <c r="L2305" s="9">
        <v>1</v>
      </c>
      <c r="M2305" s="3">
        <v>1895</v>
      </c>
      <c r="N2305" s="6">
        <v>2020</v>
      </c>
      <c r="P2305" s="71"/>
      <c r="R2305" s="6">
        <v>2020</v>
      </c>
      <c r="S2305" s="3" t="s">
        <v>283</v>
      </c>
      <c r="T2305" s="239"/>
      <c r="U2305" s="73"/>
      <c r="W2305" s="175"/>
      <c r="X2305" s="10" t="s">
        <v>56</v>
      </c>
      <c r="Y2305" s="10" t="s">
        <v>57</v>
      </c>
      <c r="Z2305" s="75" t="s">
        <v>2228</v>
      </c>
      <c r="AA2305" s="76"/>
      <c r="AB2305" s="10"/>
      <c r="AC2305" s="7"/>
      <c r="AD2305" s="7"/>
      <c r="AI2305" s="7"/>
      <c r="AJ2305" s="226"/>
      <c r="AL2305" s="5"/>
      <c r="AS2305" s="84"/>
      <c r="AU2305" s="5"/>
      <c r="AV2305" s="111"/>
      <c r="AW2305" s="6">
        <f t="shared" ca="1" si="38"/>
        <v>5</v>
      </c>
    </row>
    <row r="2306" ht="45" hidden="1" customHeight="1">
      <c r="A2306" s="119">
        <v>45348</v>
      </c>
      <c r="B2306" s="94" t="s">
        <v>1743</v>
      </c>
      <c r="C2306" s="116" t="s">
        <v>6905</v>
      </c>
      <c r="D2306" s="120" t="s">
        <v>6906</v>
      </c>
      <c r="E2306" s="110" t="s">
        <v>63</v>
      </c>
      <c r="F2306" s="121" t="s">
        <v>1230</v>
      </c>
      <c r="G2306" s="120" t="s">
        <v>2511</v>
      </c>
      <c r="H2306" s="110" t="s">
        <v>88</v>
      </c>
      <c r="I2306" s="94" t="s">
        <v>6907</v>
      </c>
      <c r="J2306" s="122">
        <v>1</v>
      </c>
      <c r="K2306" s="123"/>
      <c r="L2306" s="124">
        <v>1</v>
      </c>
      <c r="M2306" s="94">
        <v>1896</v>
      </c>
      <c r="N2306" s="121">
        <v>2020</v>
      </c>
      <c r="O2306" s="112">
        <v>40914</v>
      </c>
      <c r="P2306" s="125" t="s">
        <v>6908</v>
      </c>
      <c r="Q2306" s="112">
        <v>43881</v>
      </c>
      <c r="R2306" s="121">
        <v>2020</v>
      </c>
      <c r="S2306" s="94" t="s">
        <v>1980</v>
      </c>
      <c r="T2306" s="239" t="s">
        <v>998</v>
      </c>
      <c r="U2306" s="73"/>
      <c r="W2306" s="237"/>
      <c r="X2306" s="10"/>
      <c r="Y2306" s="10"/>
      <c r="Z2306" s="75"/>
      <c r="AA2306" s="76" t="s">
        <v>208</v>
      </c>
      <c r="AB2306" s="10" t="s">
        <v>208</v>
      </c>
      <c r="AC2306" s="7" t="s">
        <v>208</v>
      </c>
      <c r="AD2306" s="7"/>
      <c r="AI2306" s="7"/>
      <c r="AJ2306" s="226"/>
      <c r="AL2306" s="240"/>
      <c r="AS2306" s="84"/>
      <c r="AU2306" s="5"/>
      <c r="AV2306" s="111"/>
      <c r="AW2306" s="6">
        <f t="shared" ca="1" si="38"/>
        <v>5</v>
      </c>
    </row>
    <row r="2307" ht="45" hidden="1" customHeight="1">
      <c r="A2307" s="238"/>
      <c r="B2307" s="94" t="s">
        <v>190</v>
      </c>
      <c r="C2307" s="116"/>
      <c r="D2307" s="120" t="s">
        <v>6909</v>
      </c>
      <c r="E2307" s="110" t="s">
        <v>694</v>
      </c>
      <c r="F2307" s="121" t="s">
        <v>695</v>
      </c>
      <c r="G2307" s="120" t="s">
        <v>6910</v>
      </c>
      <c r="H2307" s="110" t="s">
        <v>181</v>
      </c>
      <c r="I2307" s="94" t="s">
        <v>6911</v>
      </c>
      <c r="J2307" s="122">
        <v>1</v>
      </c>
      <c r="K2307" s="123"/>
      <c r="L2307" s="124">
        <v>1</v>
      </c>
      <c r="M2307" s="94">
        <v>1897</v>
      </c>
      <c r="N2307" s="121">
        <v>2020</v>
      </c>
      <c r="O2307" s="112"/>
      <c r="P2307" s="125"/>
      <c r="Q2307" s="112"/>
      <c r="R2307" s="121">
        <v>2020</v>
      </c>
      <c r="S2307" s="94" t="s">
        <v>283</v>
      </c>
      <c r="T2307" s="239"/>
      <c r="U2307" s="73"/>
      <c r="W2307" s="237"/>
      <c r="X2307" s="10"/>
      <c r="Y2307" s="10"/>
      <c r="Z2307" s="75"/>
      <c r="AA2307" s="76"/>
      <c r="AB2307" s="10"/>
      <c r="AC2307" s="7"/>
      <c r="AD2307" s="7"/>
      <c r="AI2307" s="7"/>
      <c r="AJ2307" s="226"/>
      <c r="AL2307" s="5"/>
      <c r="AS2307" s="84"/>
      <c r="AU2307" s="5"/>
      <c r="AV2307" s="111"/>
      <c r="AW2307" s="6">
        <f t="shared" ca="1" si="38"/>
        <v>5</v>
      </c>
    </row>
    <row r="2308" ht="45" hidden="1" customHeight="1">
      <c r="A2308" s="69"/>
      <c r="B2308" s="3" t="s">
        <v>190</v>
      </c>
      <c r="D2308" s="5" t="s">
        <v>6912</v>
      </c>
      <c r="E2308" s="2" t="s">
        <v>694</v>
      </c>
      <c r="F2308" s="6" t="s">
        <v>695</v>
      </c>
      <c r="G2308" s="5" t="s">
        <v>696</v>
      </c>
      <c r="H2308" s="2" t="s">
        <v>57</v>
      </c>
      <c r="I2308" s="3" t="s">
        <v>6913</v>
      </c>
      <c r="J2308" s="7">
        <v>1</v>
      </c>
      <c r="K2308" s="70"/>
      <c r="L2308" s="9">
        <v>1</v>
      </c>
      <c r="M2308" s="3">
        <v>1898</v>
      </c>
      <c r="N2308" s="6">
        <v>2020</v>
      </c>
      <c r="P2308" s="71"/>
      <c r="R2308" s="6">
        <v>2020</v>
      </c>
      <c r="S2308" s="3" t="s">
        <v>283</v>
      </c>
      <c r="T2308" s="239"/>
      <c r="U2308" s="73"/>
      <c r="W2308" s="175"/>
      <c r="X2308" s="10" t="s">
        <v>56</v>
      </c>
      <c r="Y2308" s="10" t="s">
        <v>57</v>
      </c>
      <c r="Z2308" s="75" t="s">
        <v>4498</v>
      </c>
      <c r="AA2308" s="76"/>
      <c r="AB2308" s="10"/>
      <c r="AC2308" s="7"/>
      <c r="AD2308" s="7"/>
      <c r="AI2308" s="7"/>
      <c r="AJ2308" s="226"/>
      <c r="AL2308" s="5"/>
      <c r="AS2308" s="84"/>
      <c r="AU2308" s="5"/>
      <c r="AV2308" s="111"/>
      <c r="AW2308" s="6">
        <f t="shared" ca="1" si="38"/>
        <v>5</v>
      </c>
    </row>
    <row r="2309" ht="45" hidden="1" customHeight="1">
      <c r="A2309" s="69"/>
      <c r="B2309" s="3" t="s">
        <v>47</v>
      </c>
      <c r="C2309" s="4" t="s">
        <v>5730</v>
      </c>
      <c r="D2309" s="5" t="s">
        <v>6914</v>
      </c>
      <c r="E2309" s="2" t="s">
        <v>694</v>
      </c>
      <c r="F2309" s="6" t="s">
        <v>695</v>
      </c>
      <c r="G2309" s="5" t="s">
        <v>2528</v>
      </c>
      <c r="H2309" s="2" t="s">
        <v>57</v>
      </c>
      <c r="I2309" s="3" t="s">
        <v>6915</v>
      </c>
      <c r="J2309" s="7">
        <v>2</v>
      </c>
      <c r="K2309" s="70"/>
      <c r="L2309" s="9">
        <v>1</v>
      </c>
      <c r="M2309" s="3">
        <v>1899</v>
      </c>
      <c r="N2309" s="6">
        <v>2020</v>
      </c>
      <c r="P2309" s="71"/>
      <c r="R2309" s="6">
        <v>2020</v>
      </c>
      <c r="S2309" s="3" t="s">
        <v>236</v>
      </c>
      <c r="T2309" s="239"/>
      <c r="W2309" s="175"/>
      <c r="X2309" s="10" t="s">
        <v>56</v>
      </c>
      <c r="Y2309" s="10" t="s">
        <v>57</v>
      </c>
      <c r="Z2309" s="75" t="s">
        <v>58</v>
      </c>
      <c r="AA2309" s="76"/>
      <c r="AB2309" s="10"/>
      <c r="AC2309" s="7"/>
      <c r="AD2309" s="7"/>
      <c r="AI2309" s="7"/>
      <c r="AJ2309" s="10">
        <v>44748</v>
      </c>
      <c r="AK2309" s="7">
        <v>2020</v>
      </c>
      <c r="AL2309" s="5"/>
      <c r="AS2309" s="84"/>
      <c r="AU2309" s="5"/>
      <c r="AV2309" s="111"/>
      <c r="AW2309" s="6">
        <f t="shared" ca="1" si="38"/>
        <v>5</v>
      </c>
    </row>
    <row r="2310" ht="45" hidden="1" customHeight="1">
      <c r="A2310" s="119"/>
      <c r="B2310" s="94" t="s">
        <v>190</v>
      </c>
      <c r="C2310" s="116"/>
      <c r="D2310" s="120" t="s">
        <v>6916</v>
      </c>
      <c r="E2310" s="110" t="s">
        <v>694</v>
      </c>
      <c r="F2310" s="121" t="s">
        <v>695</v>
      </c>
      <c r="G2310" s="120" t="s">
        <v>696</v>
      </c>
      <c r="H2310" s="110" t="s">
        <v>88</v>
      </c>
      <c r="I2310" s="94" t="s">
        <v>6917</v>
      </c>
      <c r="J2310" s="122">
        <v>1</v>
      </c>
      <c r="K2310" s="123"/>
      <c r="L2310" s="124">
        <v>1</v>
      </c>
      <c r="M2310" s="94">
        <v>1900</v>
      </c>
      <c r="N2310" s="121">
        <v>2020</v>
      </c>
      <c r="O2310" s="112"/>
      <c r="P2310" s="125"/>
      <c r="Q2310" s="112"/>
      <c r="R2310" s="121">
        <v>2020</v>
      </c>
      <c r="S2310" s="94" t="s">
        <v>283</v>
      </c>
      <c r="T2310" s="239"/>
      <c r="U2310" s="73"/>
      <c r="W2310" s="237"/>
      <c r="X2310" s="10"/>
      <c r="Y2310" s="10"/>
      <c r="Z2310" s="75"/>
      <c r="AA2310" s="76"/>
      <c r="AB2310" s="10"/>
      <c r="AC2310" s="7"/>
      <c r="AD2310" s="7"/>
      <c r="AI2310" s="7"/>
      <c r="AJ2310" s="226"/>
      <c r="AL2310" s="240"/>
      <c r="AS2310" s="84"/>
      <c r="AU2310" s="5"/>
      <c r="AV2310" s="111"/>
      <c r="AW2310" s="6">
        <f t="shared" ca="1" si="38"/>
        <v>5</v>
      </c>
    </row>
    <row r="2311" ht="45" hidden="1" customHeight="1">
      <c r="A2311" s="69"/>
      <c r="B2311" s="3" t="s">
        <v>47</v>
      </c>
      <c r="C2311" s="4" t="s">
        <v>4364</v>
      </c>
      <c r="D2311" s="5" t="s">
        <v>6918</v>
      </c>
      <c r="E2311" s="2" t="s">
        <v>694</v>
      </c>
      <c r="F2311" s="6" t="s">
        <v>695</v>
      </c>
      <c r="G2311" s="5" t="s">
        <v>6919</v>
      </c>
      <c r="H2311" s="2" t="s">
        <v>57</v>
      </c>
      <c r="I2311" s="3" t="s">
        <v>6920</v>
      </c>
      <c r="J2311" s="7">
        <v>1</v>
      </c>
      <c r="K2311" s="70"/>
      <c r="L2311" s="9">
        <v>1</v>
      </c>
      <c r="M2311" s="3">
        <v>1901</v>
      </c>
      <c r="N2311" s="6">
        <v>2020</v>
      </c>
      <c r="P2311" s="71"/>
      <c r="R2311" s="6">
        <v>2020</v>
      </c>
      <c r="S2311" s="3" t="s">
        <v>236</v>
      </c>
      <c r="T2311" s="239"/>
      <c r="W2311" s="175"/>
      <c r="X2311" s="10" t="s">
        <v>56</v>
      </c>
      <c r="Y2311" s="10" t="s">
        <v>57</v>
      </c>
      <c r="Z2311" s="75" t="s">
        <v>2228</v>
      </c>
      <c r="AA2311" s="76"/>
      <c r="AB2311" s="10"/>
      <c r="AC2311" s="7"/>
      <c r="AD2311" s="7"/>
      <c r="AI2311" s="7"/>
      <c r="AJ2311" s="10">
        <v>44411</v>
      </c>
      <c r="AK2311" s="7">
        <v>2020</v>
      </c>
      <c r="AL2311" s="5"/>
      <c r="AS2311" s="84"/>
      <c r="AU2311" s="5"/>
      <c r="AV2311" s="111"/>
      <c r="AW2311" s="6">
        <f t="shared" ca="1" si="38"/>
        <v>5</v>
      </c>
    </row>
    <row r="2312" ht="45" hidden="1" customHeight="1">
      <c r="A2312" s="69"/>
      <c r="B2312" s="3" t="s">
        <v>47</v>
      </c>
      <c r="C2312" s="4" t="s">
        <v>6921</v>
      </c>
      <c r="D2312" s="5" t="s">
        <v>6922</v>
      </c>
      <c r="E2312" s="2" t="s">
        <v>694</v>
      </c>
      <c r="F2312" s="6" t="s">
        <v>695</v>
      </c>
      <c r="G2312" s="5" t="s">
        <v>696</v>
      </c>
      <c r="H2312" s="2" t="s">
        <v>288</v>
      </c>
      <c r="I2312" s="3" t="s">
        <v>6923</v>
      </c>
      <c r="J2312" s="7">
        <v>1</v>
      </c>
      <c r="K2312" s="70"/>
      <c r="L2312" s="9">
        <v>1</v>
      </c>
      <c r="M2312" s="3">
        <v>1902</v>
      </c>
      <c r="N2312" s="6">
        <v>2020</v>
      </c>
      <c r="P2312" s="71"/>
      <c r="R2312" s="6">
        <v>2020</v>
      </c>
      <c r="S2312" s="3" t="s">
        <v>236</v>
      </c>
      <c r="T2312" s="239"/>
      <c r="W2312" s="175"/>
      <c r="X2312" s="10" t="s">
        <v>56</v>
      </c>
      <c r="Y2312" s="10" t="s">
        <v>288</v>
      </c>
      <c r="Z2312" s="75"/>
      <c r="AA2312" s="76"/>
      <c r="AB2312" s="10"/>
      <c r="AC2312" s="7"/>
      <c r="AD2312" s="7"/>
      <c r="AI2312" s="7"/>
      <c r="AJ2312" s="10">
        <v>44857</v>
      </c>
      <c r="AK2312" s="7">
        <v>2020</v>
      </c>
      <c r="AL2312" s="5"/>
      <c r="AS2312" s="84"/>
      <c r="AU2312" s="5"/>
      <c r="AV2312" s="111"/>
      <c r="AW2312" s="6">
        <f t="shared" ca="1" si="38"/>
        <v>5</v>
      </c>
    </row>
    <row r="2313" ht="45" hidden="1" customHeight="1">
      <c r="A2313" s="119">
        <v>45093</v>
      </c>
      <c r="B2313" s="94" t="s">
        <v>47</v>
      </c>
      <c r="C2313" s="116" t="s">
        <v>6924</v>
      </c>
      <c r="D2313" s="120" t="s">
        <v>6925</v>
      </c>
      <c r="E2313" s="110" t="s">
        <v>694</v>
      </c>
      <c r="F2313" s="121" t="s">
        <v>695</v>
      </c>
      <c r="G2313" s="120" t="s">
        <v>696</v>
      </c>
      <c r="H2313" s="110" t="s">
        <v>68</v>
      </c>
      <c r="I2313" s="94" t="s">
        <v>6926</v>
      </c>
      <c r="J2313" s="122">
        <v>1</v>
      </c>
      <c r="K2313" s="123"/>
      <c r="L2313" s="124">
        <v>1</v>
      </c>
      <c r="M2313" s="94">
        <v>1903</v>
      </c>
      <c r="N2313" s="121">
        <v>2020</v>
      </c>
      <c r="O2313" s="112"/>
      <c r="P2313" s="125"/>
      <c r="Q2313" s="112"/>
      <c r="R2313" s="121">
        <v>2020</v>
      </c>
      <c r="S2313" s="94" t="s">
        <v>236</v>
      </c>
      <c r="T2313" s="239" t="s">
        <v>1136</v>
      </c>
      <c r="W2313" s="237"/>
      <c r="X2313" s="10" t="s">
        <v>56</v>
      </c>
      <c r="Y2313" s="10" t="s">
        <v>57</v>
      </c>
      <c r="Z2313" s="75" t="s">
        <v>2228</v>
      </c>
      <c r="AA2313" s="76"/>
      <c r="AB2313" s="10"/>
      <c r="AC2313" s="7"/>
      <c r="AD2313" s="7"/>
      <c r="AI2313" s="7"/>
      <c r="AJ2313" s="10">
        <v>45418</v>
      </c>
      <c r="AK2313" s="7">
        <v>2020</v>
      </c>
      <c r="AL2313" s="16" t="s">
        <v>6435</v>
      </c>
      <c r="AS2313" s="84"/>
      <c r="AU2313" s="5"/>
      <c r="AV2313" s="111"/>
      <c r="AW2313" s="6">
        <f t="shared" ca="1" si="38"/>
        <v>5</v>
      </c>
    </row>
    <row r="2314" ht="45" hidden="1" customHeight="1">
      <c r="A2314" s="69">
        <v>43880</v>
      </c>
      <c r="B2314" s="3" t="s">
        <v>1926</v>
      </c>
      <c r="C2314" s="4" t="s">
        <v>6927</v>
      </c>
      <c r="D2314" s="5" t="s">
        <v>6928</v>
      </c>
      <c r="E2314" s="2" t="s">
        <v>63</v>
      </c>
      <c r="F2314" s="6" t="s">
        <v>217</v>
      </c>
      <c r="G2314" s="5" t="s">
        <v>5528</v>
      </c>
      <c r="H2314" s="2" t="s">
        <v>57</v>
      </c>
      <c r="I2314" s="3" t="s">
        <v>6929</v>
      </c>
      <c r="J2314" s="7">
        <v>1</v>
      </c>
      <c r="K2314" s="70"/>
      <c r="L2314" s="9">
        <v>1</v>
      </c>
      <c r="M2314" s="3">
        <v>1904</v>
      </c>
      <c r="N2314" s="6">
        <v>2020</v>
      </c>
      <c r="P2314" s="71"/>
      <c r="R2314" s="6">
        <v>2020</v>
      </c>
      <c r="S2314" s="3" t="s">
        <v>283</v>
      </c>
      <c r="T2314" s="239"/>
      <c r="U2314" s="73"/>
      <c r="W2314" s="175"/>
      <c r="X2314" s="10" t="s">
        <v>56</v>
      </c>
      <c r="Y2314" s="10" t="s">
        <v>57</v>
      </c>
      <c r="Z2314" s="75" t="s">
        <v>58</v>
      </c>
      <c r="AA2314" s="76"/>
      <c r="AB2314" s="10"/>
      <c r="AC2314" s="7"/>
      <c r="AD2314" s="7"/>
      <c r="AI2314" s="7"/>
      <c r="AJ2314" s="226"/>
      <c r="AL2314" s="5"/>
      <c r="AS2314" s="84"/>
      <c r="AU2314" s="5"/>
      <c r="AV2314" s="111"/>
      <c r="AW2314" s="6">
        <f t="shared" ca="1" si="38"/>
        <v>5</v>
      </c>
    </row>
    <row r="2315" ht="45" hidden="1" customHeight="1">
      <c r="A2315" s="119"/>
      <c r="B2315" s="94" t="s">
        <v>190</v>
      </c>
      <c r="C2315" s="116"/>
      <c r="D2315" s="120" t="s">
        <v>6930</v>
      </c>
      <c r="E2315" s="110" t="s">
        <v>694</v>
      </c>
      <c r="F2315" s="121" t="s">
        <v>695</v>
      </c>
      <c r="G2315" s="120" t="s">
        <v>696</v>
      </c>
      <c r="H2315" s="110" t="s">
        <v>257</v>
      </c>
      <c r="I2315" s="94" t="s">
        <v>6931</v>
      </c>
      <c r="J2315" s="122">
        <v>1</v>
      </c>
      <c r="K2315" s="123"/>
      <c r="L2315" s="124">
        <v>1</v>
      </c>
      <c r="M2315" s="94">
        <v>1905</v>
      </c>
      <c r="N2315" s="121">
        <v>2020</v>
      </c>
      <c r="O2315" s="112"/>
      <c r="P2315" s="125"/>
      <c r="Q2315" s="112"/>
      <c r="R2315" s="121">
        <v>2020</v>
      </c>
      <c r="S2315" s="94" t="s">
        <v>283</v>
      </c>
      <c r="T2315" s="239"/>
      <c r="U2315" s="73"/>
      <c r="W2315" s="237"/>
      <c r="X2315" s="10"/>
      <c r="Y2315" s="10"/>
      <c r="Z2315" s="75"/>
      <c r="AA2315" s="76"/>
      <c r="AB2315" s="10"/>
      <c r="AC2315" s="7"/>
      <c r="AD2315" s="7"/>
      <c r="AI2315" s="7"/>
      <c r="AJ2315" s="226"/>
      <c r="AL2315" s="5"/>
      <c r="AS2315" s="84"/>
      <c r="AU2315" s="5"/>
      <c r="AV2315" s="111"/>
      <c r="AW2315" s="6">
        <f t="shared" ca="1" si="38"/>
        <v>5</v>
      </c>
    </row>
    <row r="2316" ht="45" hidden="1" customHeight="1">
      <c r="A2316" s="119"/>
      <c r="B2316" s="94" t="s">
        <v>47</v>
      </c>
      <c r="C2316" s="116" t="s">
        <v>6932</v>
      </c>
      <c r="D2316" s="120" t="s">
        <v>6933</v>
      </c>
      <c r="E2316" s="110" t="s">
        <v>694</v>
      </c>
      <c r="F2316" s="121" t="s">
        <v>695</v>
      </c>
      <c r="G2316" s="120" t="s">
        <v>696</v>
      </c>
      <c r="H2316" s="110" t="s">
        <v>57</v>
      </c>
      <c r="I2316" s="94" t="s">
        <v>6934</v>
      </c>
      <c r="J2316" s="122">
        <v>1</v>
      </c>
      <c r="K2316" s="123"/>
      <c r="L2316" s="124">
        <v>1</v>
      </c>
      <c r="M2316" s="94">
        <v>1906</v>
      </c>
      <c r="N2316" s="121">
        <v>2020</v>
      </c>
      <c r="O2316" s="112"/>
      <c r="P2316" s="125"/>
      <c r="Q2316" s="112"/>
      <c r="R2316" s="121">
        <v>2020</v>
      </c>
      <c r="S2316" s="94" t="s">
        <v>236</v>
      </c>
      <c r="T2316" s="239"/>
      <c r="U2316" s="10">
        <v>44412</v>
      </c>
      <c r="W2316" s="237"/>
      <c r="X2316" s="10"/>
      <c r="Y2316" s="10"/>
      <c r="Z2316" s="75"/>
      <c r="AA2316" s="76"/>
      <c r="AB2316" s="10"/>
      <c r="AC2316" s="7"/>
      <c r="AD2316" s="7"/>
      <c r="AI2316" s="7"/>
      <c r="AJ2316" s="10">
        <v>44410</v>
      </c>
      <c r="AK2316" s="7">
        <v>2020</v>
      </c>
      <c r="AL2316" s="16" t="s">
        <v>6435</v>
      </c>
      <c r="AS2316" s="84"/>
      <c r="AU2316" s="5"/>
      <c r="AV2316" s="111"/>
      <c r="AW2316" s="6">
        <f t="shared" ca="1" si="38"/>
        <v>5</v>
      </c>
    </row>
    <row r="2317" ht="45" hidden="1" customHeight="1">
      <c r="A2317" s="69"/>
      <c r="B2317" s="94" t="s">
        <v>47</v>
      </c>
      <c r="C2317" s="116" t="s">
        <v>6935</v>
      </c>
      <c r="D2317" s="120" t="s">
        <v>6936</v>
      </c>
      <c r="E2317" s="110" t="s">
        <v>63</v>
      </c>
      <c r="F2317" s="121" t="s">
        <v>428</v>
      </c>
      <c r="G2317" s="120" t="s">
        <v>5871</v>
      </c>
      <c r="H2317" s="110" t="s">
        <v>57</v>
      </c>
      <c r="I2317" s="94" t="s">
        <v>6937</v>
      </c>
      <c r="J2317" s="122">
        <v>1</v>
      </c>
      <c r="K2317" s="123"/>
      <c r="L2317" s="124">
        <v>1</v>
      </c>
      <c r="M2317" s="94">
        <v>1907</v>
      </c>
      <c r="N2317" s="121">
        <v>2020</v>
      </c>
      <c r="O2317" s="112"/>
      <c r="P2317" s="125"/>
      <c r="Q2317" s="112"/>
      <c r="R2317" s="121">
        <v>2020</v>
      </c>
      <c r="S2317" s="3" t="s">
        <v>236</v>
      </c>
      <c r="T2317" s="239" t="s">
        <v>1136</v>
      </c>
      <c r="W2317" s="237"/>
      <c r="X2317" s="10"/>
      <c r="Y2317" s="10"/>
      <c r="Z2317" s="75"/>
      <c r="AA2317" s="76"/>
      <c r="AB2317" s="10"/>
      <c r="AC2317" s="7"/>
      <c r="AD2317" s="7"/>
      <c r="AI2317" s="7"/>
      <c r="AJ2317" s="10">
        <v>44487</v>
      </c>
      <c r="AK2317" s="7">
        <v>2020</v>
      </c>
      <c r="AL2317" s="5"/>
      <c r="AS2317" s="84"/>
      <c r="AU2317" s="5"/>
      <c r="AV2317" s="111"/>
      <c r="AW2317" s="6">
        <f t="shared" ca="1" si="38"/>
        <v>5</v>
      </c>
    </row>
    <row r="2318" ht="45" hidden="1" customHeight="1">
      <c r="A2318" s="69"/>
      <c r="B2318" s="94" t="s">
        <v>47</v>
      </c>
      <c r="C2318" s="116" t="s">
        <v>6938</v>
      </c>
      <c r="D2318" s="120" t="s">
        <v>6939</v>
      </c>
      <c r="E2318" s="110" t="s">
        <v>694</v>
      </c>
      <c r="F2318" s="121" t="s">
        <v>695</v>
      </c>
      <c r="G2318" s="120" t="s">
        <v>6940</v>
      </c>
      <c r="H2318" s="110" t="s">
        <v>68</v>
      </c>
      <c r="I2318" s="94" t="s">
        <v>6941</v>
      </c>
      <c r="J2318" s="122">
        <v>2</v>
      </c>
      <c r="K2318" s="123"/>
      <c r="L2318" s="124">
        <v>1</v>
      </c>
      <c r="M2318" s="94">
        <v>1908</v>
      </c>
      <c r="N2318" s="121">
        <v>2020</v>
      </c>
      <c r="O2318" s="112"/>
      <c r="P2318" s="125"/>
      <c r="Q2318" s="112"/>
      <c r="R2318" s="121">
        <v>2020</v>
      </c>
      <c r="S2318" s="94" t="s">
        <v>236</v>
      </c>
      <c r="T2318" s="239"/>
      <c r="W2318" s="237"/>
      <c r="X2318" s="10"/>
      <c r="Y2318" s="10"/>
      <c r="Z2318" s="75"/>
      <c r="AA2318" s="76"/>
      <c r="AB2318" s="10"/>
      <c r="AC2318" s="7"/>
      <c r="AD2318" s="7"/>
      <c r="AI2318" s="7"/>
      <c r="AJ2318" s="10">
        <v>44845</v>
      </c>
      <c r="AK2318" s="7">
        <v>2020</v>
      </c>
      <c r="AL2318" s="5"/>
      <c r="AS2318" s="84"/>
      <c r="AU2318" s="5"/>
      <c r="AV2318" s="111"/>
      <c r="AW2318" s="6">
        <f t="shared" ca="1" si="38"/>
        <v>5</v>
      </c>
    </row>
    <row r="2319" ht="45" hidden="1" customHeight="1">
      <c r="A2319" s="69"/>
      <c r="B2319" s="3" t="s">
        <v>190</v>
      </c>
      <c r="D2319" s="5" t="s">
        <v>6942</v>
      </c>
      <c r="E2319" s="2" t="s">
        <v>48</v>
      </c>
      <c r="F2319" s="6" t="s">
        <v>564</v>
      </c>
      <c r="G2319" s="5" t="s">
        <v>6943</v>
      </c>
      <c r="H2319" s="2" t="s">
        <v>68</v>
      </c>
      <c r="I2319" s="3" t="s">
        <v>6944</v>
      </c>
      <c r="J2319" s="7">
        <v>1</v>
      </c>
      <c r="K2319" s="70"/>
      <c r="L2319" s="9">
        <v>1</v>
      </c>
      <c r="M2319" s="3">
        <v>1909</v>
      </c>
      <c r="N2319" s="6">
        <v>2020</v>
      </c>
      <c r="P2319" s="71"/>
      <c r="R2319" s="6">
        <v>2020</v>
      </c>
      <c r="S2319" s="3" t="s">
        <v>283</v>
      </c>
      <c r="T2319" s="239"/>
      <c r="U2319" s="73"/>
      <c r="W2319" s="175"/>
      <c r="X2319" s="10" t="s">
        <v>56</v>
      </c>
      <c r="Y2319" s="10" t="s">
        <v>68</v>
      </c>
      <c r="Z2319" s="75" t="s">
        <v>237</v>
      </c>
      <c r="AA2319" s="76"/>
      <c r="AB2319" s="10"/>
      <c r="AC2319" s="7"/>
      <c r="AD2319" s="7"/>
      <c r="AI2319" s="7"/>
      <c r="AJ2319" s="226"/>
      <c r="AL2319" s="5"/>
      <c r="AS2319" s="84"/>
      <c r="AU2319" s="5"/>
      <c r="AV2319" s="111"/>
      <c r="AW2319" s="6">
        <f t="shared" ca="1" si="38"/>
        <v>5</v>
      </c>
    </row>
    <row r="2320" ht="45" hidden="1" customHeight="1">
      <c r="A2320" s="69"/>
      <c r="B2320" s="3" t="s">
        <v>47</v>
      </c>
      <c r="C2320" s="4" t="s">
        <v>6945</v>
      </c>
      <c r="D2320" s="5" t="s">
        <v>6946</v>
      </c>
      <c r="E2320" s="2" t="s">
        <v>63</v>
      </c>
      <c r="F2320" s="6" t="s">
        <v>428</v>
      </c>
      <c r="G2320" s="5" t="s">
        <v>429</v>
      </c>
      <c r="H2320" s="2" t="s">
        <v>57</v>
      </c>
      <c r="I2320" s="3" t="s">
        <v>6947</v>
      </c>
      <c r="J2320" s="7">
        <v>1</v>
      </c>
      <c r="K2320" s="70"/>
      <c r="L2320" s="9">
        <v>1</v>
      </c>
      <c r="M2320" s="3">
        <v>1910</v>
      </c>
      <c r="N2320" s="6">
        <v>2020</v>
      </c>
      <c r="P2320" s="71"/>
      <c r="R2320" s="6">
        <v>2020</v>
      </c>
      <c r="S2320" s="3" t="s">
        <v>236</v>
      </c>
      <c r="T2320" s="239"/>
      <c r="W2320" s="175"/>
      <c r="X2320" s="10"/>
      <c r="Y2320" s="10"/>
      <c r="Z2320" s="75"/>
      <c r="AA2320" s="76"/>
      <c r="AB2320" s="10"/>
      <c r="AC2320" s="7"/>
      <c r="AD2320" s="7"/>
      <c r="AI2320" s="7"/>
      <c r="AJ2320" s="10">
        <v>44412</v>
      </c>
      <c r="AK2320" s="7">
        <v>2020</v>
      </c>
      <c r="AL2320" s="5"/>
      <c r="AS2320" s="84"/>
      <c r="AU2320" s="5"/>
      <c r="AV2320" s="111"/>
      <c r="AW2320" s="6">
        <f t="shared" ca="1" si="38"/>
        <v>5</v>
      </c>
    </row>
    <row r="2321" ht="45" hidden="1" customHeight="1">
      <c r="A2321" s="69"/>
      <c r="B2321" s="3" t="s">
        <v>47</v>
      </c>
      <c r="C2321" s="4" t="s">
        <v>2893</v>
      </c>
      <c r="D2321" s="5" t="s">
        <v>6948</v>
      </c>
      <c r="E2321" s="2" t="s">
        <v>694</v>
      </c>
      <c r="F2321" s="6" t="s">
        <v>695</v>
      </c>
      <c r="G2321" s="5" t="s">
        <v>696</v>
      </c>
      <c r="H2321" s="2" t="s">
        <v>57</v>
      </c>
      <c r="I2321" s="3" t="s">
        <v>6949</v>
      </c>
      <c r="J2321" s="7">
        <v>1</v>
      </c>
      <c r="K2321" s="70"/>
      <c r="L2321" s="9">
        <v>1</v>
      </c>
      <c r="M2321" s="3">
        <v>1911</v>
      </c>
      <c r="N2321" s="6">
        <v>2020</v>
      </c>
      <c r="P2321" s="71"/>
      <c r="R2321" s="6">
        <v>2020</v>
      </c>
      <c r="S2321" s="3" t="s">
        <v>236</v>
      </c>
      <c r="T2321" s="239"/>
      <c r="W2321" s="175"/>
      <c r="X2321" s="10" t="s">
        <v>56</v>
      </c>
      <c r="Y2321" s="10" t="s">
        <v>494</v>
      </c>
      <c r="Z2321" s="75" t="s">
        <v>905</v>
      </c>
      <c r="AA2321" s="76"/>
      <c r="AB2321" s="10"/>
      <c r="AC2321" s="7"/>
      <c r="AD2321" s="7"/>
      <c r="AI2321" s="7"/>
      <c r="AJ2321" s="10">
        <v>44405</v>
      </c>
      <c r="AK2321" s="7">
        <v>2020</v>
      </c>
      <c r="AL2321" s="5"/>
      <c r="AS2321" s="84"/>
      <c r="AU2321" s="5"/>
      <c r="AV2321" s="111"/>
      <c r="AW2321" s="6">
        <f t="shared" ca="1" si="38"/>
        <v>5</v>
      </c>
    </row>
    <row r="2322" ht="45" hidden="1" customHeight="1">
      <c r="A2322" s="69"/>
      <c r="B2322" s="94" t="s">
        <v>47</v>
      </c>
      <c r="C2322" s="116" t="s">
        <v>6950</v>
      </c>
      <c r="D2322" s="120" t="s">
        <v>6951</v>
      </c>
      <c r="E2322" s="110" t="s">
        <v>48</v>
      </c>
      <c r="F2322" s="121" t="s">
        <v>564</v>
      </c>
      <c r="G2322" s="120" t="s">
        <v>6903</v>
      </c>
      <c r="H2322" s="110" t="s">
        <v>57</v>
      </c>
      <c r="I2322" s="94" t="s">
        <v>6952</v>
      </c>
      <c r="J2322" s="122">
        <v>1</v>
      </c>
      <c r="K2322" s="123"/>
      <c r="L2322" s="124">
        <v>1</v>
      </c>
      <c r="M2322" s="94">
        <v>1912</v>
      </c>
      <c r="N2322" s="121">
        <v>2018</v>
      </c>
      <c r="O2322" s="112">
        <v>43865</v>
      </c>
      <c r="P2322" s="125" t="s">
        <v>6953</v>
      </c>
      <c r="Q2322" s="112">
        <v>44024</v>
      </c>
      <c r="R2322" s="121">
        <v>2020</v>
      </c>
      <c r="S2322" s="94" t="s">
        <v>236</v>
      </c>
      <c r="T2322" s="239"/>
      <c r="W2322" s="237"/>
      <c r="X2322" s="10"/>
      <c r="Y2322" s="10"/>
      <c r="Z2322" s="75"/>
      <c r="AA2322" s="76"/>
      <c r="AB2322" s="10"/>
      <c r="AC2322" s="7"/>
      <c r="AD2322" s="7"/>
      <c r="AI2322" s="7"/>
      <c r="AJ2322" s="10">
        <v>44366</v>
      </c>
      <c r="AK2322" s="7">
        <v>2020</v>
      </c>
      <c r="AL2322" s="5"/>
      <c r="AS2322" s="84"/>
      <c r="AU2322" s="5"/>
      <c r="AV2322" s="111"/>
      <c r="AW2322" s="6">
        <f t="shared" ca="1" si="38"/>
        <v>7</v>
      </c>
    </row>
    <row r="2323" ht="45" hidden="1" customHeight="1">
      <c r="A2323" s="69"/>
      <c r="B2323" s="3" t="s">
        <v>190</v>
      </c>
      <c r="D2323" s="5" t="s">
        <v>6954</v>
      </c>
      <c r="E2323" s="2" t="s">
        <v>694</v>
      </c>
      <c r="F2323" s="6" t="s">
        <v>695</v>
      </c>
      <c r="G2323" s="5" t="s">
        <v>3605</v>
      </c>
      <c r="H2323" s="2" t="s">
        <v>288</v>
      </c>
      <c r="I2323" s="3" t="s">
        <v>6955</v>
      </c>
      <c r="J2323" s="7">
        <v>1</v>
      </c>
      <c r="K2323" s="70"/>
      <c r="L2323" s="9">
        <v>1</v>
      </c>
      <c r="M2323" s="3">
        <v>1913</v>
      </c>
      <c r="N2323" s="6">
        <v>2020</v>
      </c>
      <c r="P2323" s="71"/>
      <c r="R2323" s="6">
        <v>2020</v>
      </c>
      <c r="S2323" s="3" t="s">
        <v>283</v>
      </c>
      <c r="T2323" s="239"/>
      <c r="U2323" s="73"/>
      <c r="W2323" s="175"/>
      <c r="X2323" s="10"/>
      <c r="Y2323" s="10"/>
      <c r="Z2323" s="75"/>
      <c r="AA2323" s="76"/>
      <c r="AB2323" s="10"/>
      <c r="AC2323" s="7"/>
      <c r="AD2323" s="7"/>
      <c r="AI2323" s="7"/>
      <c r="AJ2323" s="226"/>
      <c r="AL2323" s="5"/>
      <c r="AS2323" s="84"/>
      <c r="AU2323" s="5"/>
      <c r="AV2323" s="111"/>
      <c r="AW2323" s="6">
        <f t="shared" ca="1" si="38"/>
        <v>5</v>
      </c>
    </row>
    <row r="2324" ht="45" hidden="1" customHeight="1">
      <c r="A2324" s="69"/>
      <c r="B2324" s="3" t="s">
        <v>190</v>
      </c>
      <c r="D2324" s="5" t="s">
        <v>6956</v>
      </c>
      <c r="E2324" s="2" t="s">
        <v>63</v>
      </c>
      <c r="F2324" s="6" t="s">
        <v>6816</v>
      </c>
      <c r="G2324" s="5" t="s">
        <v>69</v>
      </c>
      <c r="H2324" s="2" t="s">
        <v>57</v>
      </c>
      <c r="I2324" s="3" t="s">
        <v>6957</v>
      </c>
      <c r="J2324" s="7">
        <v>1</v>
      </c>
      <c r="K2324" s="70"/>
      <c r="L2324" s="9">
        <v>1</v>
      </c>
      <c r="M2324" s="3">
        <v>1914</v>
      </c>
      <c r="N2324" s="6">
        <v>2020</v>
      </c>
      <c r="O2324" s="10">
        <v>43950</v>
      </c>
      <c r="P2324" s="71" t="s">
        <v>6958</v>
      </c>
      <c r="Q2324" s="10">
        <v>44026</v>
      </c>
      <c r="R2324" s="6">
        <v>2020</v>
      </c>
      <c r="S2324" s="3" t="s">
        <v>283</v>
      </c>
      <c r="T2324" s="239"/>
      <c r="U2324" s="73"/>
      <c r="W2324" s="175"/>
      <c r="X2324" s="10" t="s">
        <v>56</v>
      </c>
      <c r="Y2324" s="10" t="s">
        <v>57</v>
      </c>
      <c r="Z2324" s="75" t="s">
        <v>2228</v>
      </c>
      <c r="AA2324" s="76"/>
      <c r="AB2324" s="10"/>
      <c r="AC2324" s="7"/>
      <c r="AD2324" s="7"/>
      <c r="AI2324" s="7"/>
      <c r="AJ2324" s="226"/>
      <c r="AL2324" s="5"/>
      <c r="AS2324" s="84"/>
      <c r="AU2324" s="5"/>
      <c r="AV2324" s="111"/>
      <c r="AW2324" s="6">
        <f t="shared" ca="1" si="38"/>
        <v>5</v>
      </c>
    </row>
    <row r="2325" ht="45" hidden="1" customHeight="1">
      <c r="A2325" s="69"/>
      <c r="B2325" s="94" t="s">
        <v>47</v>
      </c>
      <c r="C2325" s="116" t="s">
        <v>6959</v>
      </c>
      <c r="D2325" s="120" t="s">
        <v>6960</v>
      </c>
      <c r="E2325" s="110" t="s">
        <v>694</v>
      </c>
      <c r="F2325" s="121" t="s">
        <v>695</v>
      </c>
      <c r="G2325" s="120" t="s">
        <v>696</v>
      </c>
      <c r="H2325" s="110" t="s">
        <v>57</v>
      </c>
      <c r="I2325" s="94" t="s">
        <v>6961</v>
      </c>
      <c r="J2325" s="122">
        <v>1</v>
      </c>
      <c r="K2325" s="123"/>
      <c r="L2325" s="124">
        <v>1</v>
      </c>
      <c r="M2325" s="94">
        <v>1915</v>
      </c>
      <c r="N2325" s="121">
        <v>2020</v>
      </c>
      <c r="O2325" s="112">
        <v>42055</v>
      </c>
      <c r="P2325" s="125" t="s">
        <v>6962</v>
      </c>
      <c r="Q2325" s="112">
        <v>44046</v>
      </c>
      <c r="R2325" s="121">
        <v>2020</v>
      </c>
      <c r="S2325" s="94" t="s">
        <v>236</v>
      </c>
      <c r="T2325" s="239"/>
      <c r="W2325" s="237"/>
      <c r="X2325" s="10"/>
      <c r="Y2325" s="10"/>
      <c r="Z2325" s="75"/>
      <c r="AA2325" s="76"/>
      <c r="AB2325" s="10"/>
      <c r="AC2325" s="7"/>
      <c r="AD2325" s="7"/>
      <c r="AI2325" s="7"/>
      <c r="AJ2325" s="10">
        <v>44813</v>
      </c>
      <c r="AK2325" s="7">
        <v>2020</v>
      </c>
      <c r="AL2325" s="5"/>
      <c r="AS2325" s="84"/>
      <c r="AU2325" s="5"/>
      <c r="AV2325" s="111"/>
      <c r="AW2325" s="6">
        <f t="shared" ca="1" si="38"/>
        <v>5</v>
      </c>
    </row>
    <row r="2326" ht="45" hidden="1" customHeight="1">
      <c r="A2326" s="69"/>
      <c r="B2326" s="94" t="s">
        <v>47</v>
      </c>
      <c r="C2326" s="116"/>
      <c r="D2326" s="120" t="s">
        <v>6963</v>
      </c>
      <c r="E2326" s="110" t="s">
        <v>694</v>
      </c>
      <c r="F2326" s="121" t="s">
        <v>695</v>
      </c>
      <c r="G2326" s="120" t="s">
        <v>696</v>
      </c>
      <c r="H2326" s="110" t="s">
        <v>57</v>
      </c>
      <c r="I2326" s="94" t="s">
        <v>6964</v>
      </c>
      <c r="J2326" s="122">
        <v>1</v>
      </c>
      <c r="K2326" s="123"/>
      <c r="L2326" s="124">
        <v>1</v>
      </c>
      <c r="M2326" s="94">
        <v>1916</v>
      </c>
      <c r="N2326" s="121">
        <v>2020</v>
      </c>
      <c r="O2326" s="112"/>
      <c r="P2326" s="125"/>
      <c r="Q2326" s="112"/>
      <c r="R2326" s="121">
        <v>2020</v>
      </c>
      <c r="S2326" s="94" t="s">
        <v>236</v>
      </c>
      <c r="T2326" s="239"/>
      <c r="U2326" s="73">
        <v>44067</v>
      </c>
      <c r="W2326" s="237"/>
      <c r="X2326" s="10"/>
      <c r="Y2326" s="10"/>
      <c r="Z2326" s="75"/>
      <c r="AA2326" s="76"/>
      <c r="AB2326" s="10"/>
      <c r="AC2326" s="7"/>
      <c r="AD2326" s="7"/>
      <c r="AI2326" s="7"/>
      <c r="AL2326" s="5"/>
      <c r="AS2326" s="84"/>
      <c r="AU2326" s="5"/>
      <c r="AV2326" s="111"/>
      <c r="AW2326" s="6">
        <f t="shared" ca="1" si="38"/>
        <v>5</v>
      </c>
    </row>
    <row r="2327" ht="45" hidden="1" customHeight="1">
      <c r="A2327" s="119">
        <v>44244</v>
      </c>
      <c r="B2327" s="94" t="s">
        <v>47</v>
      </c>
      <c r="C2327" s="116" t="s">
        <v>4578</v>
      </c>
      <c r="D2327" s="120" t="s">
        <v>6965</v>
      </c>
      <c r="E2327" s="110" t="s">
        <v>694</v>
      </c>
      <c r="F2327" s="121" t="s">
        <v>695</v>
      </c>
      <c r="G2327" s="120" t="s">
        <v>696</v>
      </c>
      <c r="H2327" s="110" t="s">
        <v>68</v>
      </c>
      <c r="I2327" s="94" t="s">
        <v>6966</v>
      </c>
      <c r="J2327" s="122">
        <v>1</v>
      </c>
      <c r="K2327" s="123"/>
      <c r="L2327" s="124">
        <v>1</v>
      </c>
      <c r="M2327" s="94">
        <v>1917</v>
      </c>
      <c r="N2327" s="121">
        <v>2020</v>
      </c>
      <c r="O2327" s="112"/>
      <c r="P2327" s="125"/>
      <c r="Q2327" s="112"/>
      <c r="R2327" s="121">
        <v>2020</v>
      </c>
      <c r="S2327" s="94" t="s">
        <v>236</v>
      </c>
      <c r="T2327" s="239"/>
      <c r="U2327" s="10">
        <v>44412</v>
      </c>
      <c r="W2327" s="237"/>
      <c r="X2327" s="10"/>
      <c r="Y2327" s="10"/>
      <c r="Z2327" s="75"/>
      <c r="AA2327" s="76"/>
      <c r="AB2327" s="10"/>
      <c r="AC2327" s="7"/>
      <c r="AD2327" s="7"/>
      <c r="AI2327" s="7"/>
      <c r="AJ2327" s="10">
        <v>44404</v>
      </c>
      <c r="AK2327" s="7">
        <v>2020</v>
      </c>
      <c r="AL2327" s="5"/>
      <c r="AS2327" s="84"/>
      <c r="AU2327" s="5"/>
      <c r="AV2327" s="111"/>
      <c r="AW2327" s="6">
        <f t="shared" ca="1" si="38"/>
        <v>5</v>
      </c>
    </row>
    <row r="2328" ht="45" hidden="1" customHeight="1">
      <c r="A2328" s="238"/>
      <c r="B2328" s="94" t="s">
        <v>47</v>
      </c>
      <c r="C2328" s="116" t="s">
        <v>6967</v>
      </c>
      <c r="D2328" s="120" t="s">
        <v>6968</v>
      </c>
      <c r="E2328" s="110" t="s">
        <v>694</v>
      </c>
      <c r="F2328" s="121" t="s">
        <v>695</v>
      </c>
      <c r="G2328" s="120" t="s">
        <v>696</v>
      </c>
      <c r="H2328" s="110" t="s">
        <v>57</v>
      </c>
      <c r="I2328" s="94" t="s">
        <v>6969</v>
      </c>
      <c r="J2328" s="122">
        <v>1</v>
      </c>
      <c r="K2328" s="123"/>
      <c r="L2328" s="124">
        <v>1</v>
      </c>
      <c r="M2328" s="94">
        <v>1918</v>
      </c>
      <c r="N2328" s="121">
        <v>2020</v>
      </c>
      <c r="O2328" s="112"/>
      <c r="P2328" s="125"/>
      <c r="Q2328" s="112"/>
      <c r="R2328" s="121">
        <v>2020</v>
      </c>
      <c r="S2328" s="94" t="s">
        <v>236</v>
      </c>
      <c r="T2328" s="239" t="s">
        <v>1136</v>
      </c>
      <c r="W2328" s="237"/>
      <c r="X2328" s="10"/>
      <c r="Y2328" s="10"/>
      <c r="Z2328" s="75"/>
      <c r="AA2328" s="76"/>
      <c r="AB2328" s="10"/>
      <c r="AC2328" s="7"/>
      <c r="AD2328" s="7"/>
      <c r="AI2328" s="7"/>
      <c r="AJ2328" s="10">
        <v>44767</v>
      </c>
      <c r="AK2328" s="7">
        <v>2020</v>
      </c>
      <c r="AL2328" s="5"/>
      <c r="AS2328" s="84"/>
      <c r="AU2328" s="5"/>
      <c r="AV2328" s="111"/>
      <c r="AW2328" s="6">
        <f t="shared" ca="1" si="38"/>
        <v>5</v>
      </c>
    </row>
    <row r="2329" ht="45" hidden="1" customHeight="1">
      <c r="A2329" s="119">
        <v>45049</v>
      </c>
      <c r="B2329" s="94" t="s">
        <v>47</v>
      </c>
      <c r="C2329" s="116" t="s">
        <v>6970</v>
      </c>
      <c r="D2329" s="120" t="s">
        <v>6971</v>
      </c>
      <c r="E2329" s="110" t="s">
        <v>83</v>
      </c>
      <c r="F2329" s="121" t="s">
        <v>3867</v>
      </c>
      <c r="G2329" s="120" t="s">
        <v>2221</v>
      </c>
      <c r="H2329" s="110" t="s">
        <v>382</v>
      </c>
      <c r="I2329" s="94" t="s">
        <v>6972</v>
      </c>
      <c r="J2329" s="122">
        <v>1</v>
      </c>
      <c r="K2329" s="123"/>
      <c r="L2329" s="124">
        <v>1</v>
      </c>
      <c r="M2329" s="94">
        <v>1919</v>
      </c>
      <c r="N2329" s="121">
        <v>2020</v>
      </c>
      <c r="O2329" s="112">
        <v>43076</v>
      </c>
      <c r="P2329" s="125" t="s">
        <v>6973</v>
      </c>
      <c r="Q2329" s="112">
        <v>44046</v>
      </c>
      <c r="R2329" s="121">
        <v>2020</v>
      </c>
      <c r="S2329" s="94" t="s">
        <v>236</v>
      </c>
      <c r="T2329" s="239" t="s">
        <v>1136</v>
      </c>
      <c r="U2329" s="73"/>
      <c r="W2329" s="237"/>
      <c r="X2329" s="10"/>
      <c r="Y2329" s="10"/>
      <c r="Z2329" s="75"/>
      <c r="AA2329" s="76"/>
      <c r="AB2329" s="10"/>
      <c r="AC2329" s="7"/>
      <c r="AD2329" s="7"/>
      <c r="AI2329" s="7"/>
      <c r="AL2329" s="5"/>
      <c r="AS2329" s="84"/>
      <c r="AU2329" s="5"/>
      <c r="AV2329" s="111"/>
      <c r="AW2329" s="6">
        <f t="shared" ca="1" si="38"/>
        <v>5</v>
      </c>
    </row>
    <row r="2330" ht="45" hidden="1" customHeight="1">
      <c r="A2330" s="69"/>
      <c r="B2330" s="94" t="s">
        <v>190</v>
      </c>
      <c r="C2330" s="116" t="s">
        <v>6974</v>
      </c>
      <c r="D2330" s="120" t="s">
        <v>6975</v>
      </c>
      <c r="E2330" s="110" t="s">
        <v>63</v>
      </c>
      <c r="F2330" s="121" t="s">
        <v>6816</v>
      </c>
      <c r="G2330" s="120" t="s">
        <v>2280</v>
      </c>
      <c r="H2330" s="110" t="s">
        <v>68</v>
      </c>
      <c r="I2330" s="94" t="s">
        <v>6976</v>
      </c>
      <c r="J2330" s="122">
        <v>1</v>
      </c>
      <c r="K2330" s="123"/>
      <c r="L2330" s="124">
        <v>1</v>
      </c>
      <c r="M2330" s="94">
        <v>1920</v>
      </c>
      <c r="N2330" s="121">
        <v>2020</v>
      </c>
      <c r="O2330" s="112"/>
      <c r="P2330" s="125"/>
      <c r="Q2330" s="112"/>
      <c r="R2330" s="121">
        <v>2020</v>
      </c>
      <c r="S2330" s="94" t="s">
        <v>283</v>
      </c>
      <c r="T2330" s="239"/>
      <c r="U2330" s="73"/>
      <c r="W2330" s="237"/>
      <c r="X2330" s="10" t="s">
        <v>56</v>
      </c>
      <c r="Y2330" s="10" t="s">
        <v>68</v>
      </c>
      <c r="Z2330" s="75" t="s">
        <v>237</v>
      </c>
      <c r="AA2330" s="76"/>
      <c r="AB2330" s="10"/>
      <c r="AC2330" s="7"/>
      <c r="AD2330" s="7"/>
      <c r="AI2330" s="7"/>
      <c r="AJ2330" s="226"/>
      <c r="AL2330" s="5"/>
      <c r="AS2330" s="84"/>
      <c r="AU2330" s="5"/>
      <c r="AV2330" s="111"/>
      <c r="AW2330" s="6">
        <f t="shared" ca="1" si="38"/>
        <v>5</v>
      </c>
    </row>
    <row r="2331" ht="45" hidden="1" customHeight="1">
      <c r="A2331" s="69"/>
      <c r="B2331" s="94" t="s">
        <v>190</v>
      </c>
      <c r="C2331" s="116"/>
      <c r="D2331" s="120" t="s">
        <v>6977</v>
      </c>
      <c r="E2331" s="110" t="s">
        <v>63</v>
      </c>
      <c r="F2331" s="121" t="s">
        <v>172</v>
      </c>
      <c r="G2331" s="120" t="s">
        <v>6978</v>
      </c>
      <c r="H2331" s="110" t="s">
        <v>3735</v>
      </c>
      <c r="I2331" s="94" t="s">
        <v>6979</v>
      </c>
      <c r="J2331" s="122">
        <v>1</v>
      </c>
      <c r="K2331" s="123"/>
      <c r="L2331" s="124">
        <v>1</v>
      </c>
      <c r="M2331" s="94">
        <v>1921</v>
      </c>
      <c r="N2331" s="121">
        <v>2020</v>
      </c>
      <c r="O2331" s="112"/>
      <c r="P2331" s="125"/>
      <c r="Q2331" s="112"/>
      <c r="R2331" s="121">
        <v>2020</v>
      </c>
      <c r="S2331" s="94" t="s">
        <v>283</v>
      </c>
      <c r="T2331" s="239"/>
      <c r="U2331" s="73"/>
      <c r="W2331" s="237"/>
      <c r="X2331" s="10" t="s">
        <v>56</v>
      </c>
      <c r="Y2331" s="10" t="s">
        <v>68</v>
      </c>
      <c r="Z2331" s="75" t="s">
        <v>58</v>
      </c>
      <c r="AA2331" s="76"/>
      <c r="AB2331" s="10"/>
      <c r="AC2331" s="7"/>
      <c r="AD2331" s="7"/>
      <c r="AI2331" s="7"/>
      <c r="AJ2331" s="226"/>
      <c r="AL2331" s="5"/>
      <c r="AS2331" s="84"/>
      <c r="AU2331" s="5"/>
      <c r="AV2331" s="111"/>
      <c r="AW2331" s="6">
        <f t="shared" ca="1" si="38"/>
        <v>5</v>
      </c>
    </row>
    <row r="2332" ht="45" hidden="1" customHeight="1">
      <c r="A2332" s="69"/>
      <c r="B2332" s="94" t="s">
        <v>190</v>
      </c>
      <c r="C2332" s="116" t="s">
        <v>6980</v>
      </c>
      <c r="D2332" s="120" t="s">
        <v>6981</v>
      </c>
      <c r="E2332" s="110" t="s">
        <v>63</v>
      </c>
      <c r="F2332" s="121" t="s">
        <v>6816</v>
      </c>
      <c r="G2332" s="120" t="s">
        <v>69</v>
      </c>
      <c r="H2332" s="110" t="s">
        <v>68</v>
      </c>
      <c r="I2332" s="94" t="s">
        <v>6982</v>
      </c>
      <c r="J2332" s="122">
        <v>1</v>
      </c>
      <c r="K2332" s="123"/>
      <c r="L2332" s="124">
        <v>1</v>
      </c>
      <c r="M2332" s="94">
        <v>1922</v>
      </c>
      <c r="N2332" s="121">
        <v>2020</v>
      </c>
      <c r="O2332" s="112"/>
      <c r="P2332" s="125"/>
      <c r="Q2332" s="112"/>
      <c r="R2332" s="121">
        <v>2020</v>
      </c>
      <c r="S2332" s="94" t="s">
        <v>283</v>
      </c>
      <c r="T2332" s="239"/>
      <c r="U2332" s="73"/>
      <c r="W2332" s="237"/>
      <c r="X2332" s="10" t="s">
        <v>56</v>
      </c>
      <c r="Y2332" s="10" t="s">
        <v>68</v>
      </c>
      <c r="Z2332" s="75" t="s">
        <v>4498</v>
      </c>
      <c r="AA2332" s="76"/>
      <c r="AB2332" s="10"/>
      <c r="AC2332" s="7"/>
      <c r="AD2332" s="7"/>
      <c r="AI2332" s="7"/>
      <c r="AJ2332" s="226"/>
      <c r="AL2332" s="5"/>
      <c r="AS2332" s="84"/>
      <c r="AU2332" s="5"/>
      <c r="AV2332" s="111"/>
      <c r="AW2332" s="6">
        <f t="shared" ca="1" si="38"/>
        <v>5</v>
      </c>
    </row>
    <row r="2333" ht="45" hidden="1" customHeight="1">
      <c r="A2333" s="69"/>
      <c r="B2333" s="94" t="s">
        <v>190</v>
      </c>
      <c r="C2333" s="116"/>
      <c r="D2333" s="120" t="s">
        <v>6983</v>
      </c>
      <c r="E2333" s="110" t="s">
        <v>694</v>
      </c>
      <c r="F2333" s="121" t="s">
        <v>695</v>
      </c>
      <c r="G2333" s="120" t="s">
        <v>6984</v>
      </c>
      <c r="H2333" s="110" t="s">
        <v>88</v>
      </c>
      <c r="I2333" s="94" t="s">
        <v>6985</v>
      </c>
      <c r="J2333" s="122">
        <v>1</v>
      </c>
      <c r="K2333" s="123"/>
      <c r="L2333" s="124">
        <v>1</v>
      </c>
      <c r="M2333" s="94">
        <v>1923</v>
      </c>
      <c r="N2333" s="121">
        <v>2020</v>
      </c>
      <c r="O2333" s="112">
        <v>43717</v>
      </c>
      <c r="P2333" s="125"/>
      <c r="Q2333" s="112">
        <v>44117</v>
      </c>
      <c r="R2333" s="121">
        <v>2020</v>
      </c>
      <c r="S2333" s="94" t="s">
        <v>283</v>
      </c>
      <c r="T2333" s="239"/>
      <c r="U2333" s="73"/>
      <c r="W2333" s="237"/>
      <c r="X2333" s="10" t="s">
        <v>91</v>
      </c>
      <c r="Y2333" s="10" t="s">
        <v>214</v>
      </c>
      <c r="Z2333" s="75"/>
      <c r="AA2333" s="76"/>
      <c r="AB2333" s="10"/>
      <c r="AC2333" s="7"/>
      <c r="AD2333" s="7"/>
      <c r="AI2333" s="7"/>
      <c r="AJ2333" s="226"/>
      <c r="AL2333" s="240"/>
      <c r="AS2333" s="84"/>
      <c r="AU2333" s="5"/>
      <c r="AV2333" s="111"/>
      <c r="AW2333" s="6">
        <f t="shared" ca="1" si="38"/>
        <v>5</v>
      </c>
    </row>
    <row r="2334" ht="45" hidden="1" customHeight="1">
      <c r="A2334" s="69"/>
      <c r="B2334" s="94" t="s">
        <v>190</v>
      </c>
      <c r="C2334" s="116"/>
      <c r="D2334" s="120" t="s">
        <v>6986</v>
      </c>
      <c r="E2334" s="110" t="s">
        <v>83</v>
      </c>
      <c r="F2334" s="121" t="s">
        <v>704</v>
      </c>
      <c r="G2334" s="120" t="s">
        <v>705</v>
      </c>
      <c r="H2334" s="110" t="s">
        <v>68</v>
      </c>
      <c r="I2334" s="94" t="s">
        <v>6987</v>
      </c>
      <c r="J2334" s="122">
        <v>1</v>
      </c>
      <c r="K2334" s="123"/>
      <c r="L2334" s="124">
        <v>1</v>
      </c>
      <c r="M2334" s="94">
        <v>1924</v>
      </c>
      <c r="N2334" s="121">
        <v>2020</v>
      </c>
      <c r="O2334" s="112">
        <v>43808</v>
      </c>
      <c r="P2334" s="125" t="s">
        <v>6988</v>
      </c>
      <c r="Q2334" s="112">
        <v>44117</v>
      </c>
      <c r="R2334" s="121">
        <v>2020</v>
      </c>
      <c r="S2334" s="94" t="s">
        <v>283</v>
      </c>
      <c r="T2334" s="239"/>
      <c r="U2334" s="73"/>
      <c r="W2334" s="237"/>
      <c r="X2334" s="10" t="s">
        <v>56</v>
      </c>
      <c r="Y2334" s="10" t="s">
        <v>68</v>
      </c>
      <c r="Z2334" s="75" t="s">
        <v>4498</v>
      </c>
      <c r="AA2334" s="76"/>
      <c r="AB2334" s="10"/>
      <c r="AC2334" s="7"/>
      <c r="AD2334" s="7"/>
      <c r="AI2334" s="7"/>
      <c r="AJ2334" s="226"/>
      <c r="AL2334" s="5"/>
      <c r="AS2334" s="84"/>
      <c r="AU2334" s="5"/>
      <c r="AV2334" s="111"/>
      <c r="AW2334" s="6">
        <f t="shared" ca="1" si="38"/>
        <v>5</v>
      </c>
    </row>
    <row r="2335" ht="45" hidden="1" customHeight="1">
      <c r="A2335" s="69"/>
      <c r="B2335" s="94" t="s">
        <v>47</v>
      </c>
      <c r="C2335" s="116"/>
      <c r="D2335" s="120" t="s">
        <v>6989</v>
      </c>
      <c r="E2335" s="110" t="s">
        <v>83</v>
      </c>
      <c r="F2335" s="121" t="s">
        <v>84</v>
      </c>
      <c r="G2335" s="120" t="s">
        <v>85</v>
      </c>
      <c r="H2335" s="110" t="s">
        <v>57</v>
      </c>
      <c r="I2335" s="94" t="s">
        <v>6990</v>
      </c>
      <c r="J2335" s="122">
        <v>1</v>
      </c>
      <c r="K2335" s="123"/>
      <c r="L2335" s="124">
        <v>1</v>
      </c>
      <c r="M2335" s="94">
        <v>1925</v>
      </c>
      <c r="N2335" s="121">
        <v>2020</v>
      </c>
      <c r="O2335" s="112">
        <v>43777</v>
      </c>
      <c r="P2335" s="125" t="s">
        <v>6991</v>
      </c>
      <c r="Q2335" s="112">
        <v>44168</v>
      </c>
      <c r="R2335" s="121">
        <v>2020</v>
      </c>
      <c r="S2335" s="94" t="s">
        <v>236</v>
      </c>
      <c r="T2335" s="239"/>
      <c r="U2335" s="10">
        <v>44168</v>
      </c>
      <c r="W2335" s="237"/>
      <c r="X2335" s="10"/>
      <c r="Y2335" s="10"/>
      <c r="Z2335" s="75"/>
      <c r="AA2335" s="76"/>
      <c r="AB2335" s="10"/>
      <c r="AC2335" s="7"/>
      <c r="AD2335" s="7"/>
      <c r="AI2335" s="7"/>
      <c r="AJ2335" s="10">
        <v>44168</v>
      </c>
      <c r="AK2335" s="7">
        <v>2020</v>
      </c>
      <c r="AL2335" s="5"/>
      <c r="AS2335" s="84"/>
      <c r="AU2335" s="5"/>
      <c r="AV2335" s="111"/>
      <c r="AW2335" s="6">
        <f t="shared" ca="1" si="38"/>
        <v>5</v>
      </c>
    </row>
    <row r="2336" ht="45" hidden="1" customHeight="1">
      <c r="A2336" s="69"/>
      <c r="B2336" s="94" t="s">
        <v>47</v>
      </c>
      <c r="C2336" s="116" t="s">
        <v>6992</v>
      </c>
      <c r="D2336" s="120" t="s">
        <v>6993</v>
      </c>
      <c r="E2336" s="110" t="s">
        <v>48</v>
      </c>
      <c r="F2336" s="121" t="s">
        <v>564</v>
      </c>
      <c r="G2336" s="120" t="s">
        <v>6903</v>
      </c>
      <c r="H2336" s="110" t="s">
        <v>68</v>
      </c>
      <c r="I2336" s="94" t="s">
        <v>6994</v>
      </c>
      <c r="J2336" s="122">
        <v>1</v>
      </c>
      <c r="K2336" s="123"/>
      <c r="L2336" s="124">
        <v>1</v>
      </c>
      <c r="M2336" s="94">
        <v>1926</v>
      </c>
      <c r="N2336" s="121">
        <v>2020</v>
      </c>
      <c r="O2336" s="112">
        <v>43818</v>
      </c>
      <c r="P2336" s="125" t="s">
        <v>6995</v>
      </c>
      <c r="Q2336" s="112">
        <v>44168</v>
      </c>
      <c r="R2336" s="121">
        <v>2020</v>
      </c>
      <c r="S2336" s="94" t="s">
        <v>236</v>
      </c>
      <c r="T2336" s="239"/>
      <c r="W2336" s="237"/>
      <c r="X2336" s="10"/>
      <c r="Y2336" s="10"/>
      <c r="Z2336" s="75"/>
      <c r="AA2336" s="76"/>
      <c r="AB2336" s="10"/>
      <c r="AC2336" s="7"/>
      <c r="AD2336" s="7"/>
      <c r="AI2336" s="7"/>
      <c r="AJ2336" s="10">
        <v>44841</v>
      </c>
      <c r="AK2336" s="7">
        <v>2020</v>
      </c>
      <c r="AL2336" s="5"/>
      <c r="AS2336" s="84"/>
      <c r="AU2336" s="5"/>
      <c r="AV2336" s="111"/>
      <c r="AW2336" s="6">
        <f t="shared" ca="1" si="38"/>
        <v>5</v>
      </c>
    </row>
    <row r="2337" ht="45" hidden="1" customHeight="1">
      <c r="A2337" s="69"/>
      <c r="B2337" s="94" t="s">
        <v>190</v>
      </c>
      <c r="C2337" s="116" t="s">
        <v>6996</v>
      </c>
      <c r="D2337" s="120" t="s">
        <v>6997</v>
      </c>
      <c r="E2337" s="110" t="s">
        <v>83</v>
      </c>
      <c r="F2337" s="121" t="s">
        <v>704</v>
      </c>
      <c r="G2337" s="120" t="s">
        <v>705</v>
      </c>
      <c r="H2337" s="110" t="s">
        <v>68</v>
      </c>
      <c r="I2337" s="94" t="s">
        <v>6998</v>
      </c>
      <c r="J2337" s="122">
        <v>1</v>
      </c>
      <c r="K2337" s="123"/>
      <c r="L2337" s="124">
        <v>1</v>
      </c>
      <c r="M2337" s="94">
        <v>1927</v>
      </c>
      <c r="N2337" s="121">
        <v>2020</v>
      </c>
      <c r="O2337" s="112">
        <v>43681</v>
      </c>
      <c r="P2337" s="125" t="s">
        <v>6999</v>
      </c>
      <c r="Q2337" s="112">
        <v>44168</v>
      </c>
      <c r="R2337" s="121">
        <v>2020</v>
      </c>
      <c r="S2337" s="94" t="s">
        <v>283</v>
      </c>
      <c r="T2337" s="239"/>
      <c r="U2337" s="73"/>
      <c r="W2337" s="237"/>
      <c r="X2337" s="10" t="s">
        <v>56</v>
      </c>
      <c r="Y2337" s="10" t="s">
        <v>68</v>
      </c>
      <c r="Z2337" s="75" t="s">
        <v>4498</v>
      </c>
      <c r="AA2337" s="76"/>
      <c r="AB2337" s="10"/>
      <c r="AC2337" s="7"/>
      <c r="AD2337" s="7"/>
      <c r="AI2337" s="7"/>
      <c r="AJ2337" s="226" t="s">
        <v>7000</v>
      </c>
      <c r="AL2337" s="5"/>
      <c r="AS2337" s="84"/>
      <c r="AU2337" s="5"/>
      <c r="AV2337" s="111"/>
      <c r="AW2337" s="6">
        <f t="shared" ca="1" si="38"/>
        <v>5</v>
      </c>
    </row>
    <row r="2338" ht="45" hidden="1" customHeight="1">
      <c r="A2338" s="69">
        <v>45372</v>
      </c>
      <c r="B2338" s="94" t="s">
        <v>190</v>
      </c>
      <c r="C2338" s="116" t="s">
        <v>7001</v>
      </c>
      <c r="D2338" s="120" t="s">
        <v>7002</v>
      </c>
      <c r="E2338" s="110" t="s">
        <v>1074</v>
      </c>
      <c r="F2338" s="121" t="s">
        <v>2154</v>
      </c>
      <c r="G2338" s="120" t="s">
        <v>2155</v>
      </c>
      <c r="H2338" s="110" t="s">
        <v>501</v>
      </c>
      <c r="I2338" s="94" t="s">
        <v>7003</v>
      </c>
      <c r="J2338" s="122">
        <v>1</v>
      </c>
      <c r="K2338" s="123"/>
      <c r="L2338" s="124">
        <v>1</v>
      </c>
      <c r="M2338" s="94">
        <v>1928</v>
      </c>
      <c r="N2338" s="121">
        <v>2020</v>
      </c>
      <c r="O2338" s="112">
        <v>40966</v>
      </c>
      <c r="P2338" s="125" t="s">
        <v>7004</v>
      </c>
      <c r="Q2338" s="112">
        <v>44168</v>
      </c>
      <c r="R2338" s="121">
        <v>2020</v>
      </c>
      <c r="S2338" s="94" t="s">
        <v>283</v>
      </c>
      <c r="T2338" s="239" t="s">
        <v>998</v>
      </c>
      <c r="U2338" s="73"/>
      <c r="W2338" s="237"/>
      <c r="X2338" s="10"/>
      <c r="Y2338" s="10"/>
      <c r="Z2338" s="75"/>
      <c r="AA2338" s="76"/>
      <c r="AB2338" s="10"/>
      <c r="AC2338" s="7"/>
      <c r="AD2338" s="7"/>
      <c r="AI2338" s="7"/>
      <c r="AJ2338" s="226"/>
      <c r="AL2338" s="5"/>
      <c r="AS2338" s="84"/>
      <c r="AU2338" s="5"/>
      <c r="AV2338" s="111"/>
      <c r="AW2338" s="6">
        <f t="shared" ca="1" si="38"/>
        <v>5</v>
      </c>
    </row>
    <row r="2339" ht="45" hidden="1" customHeight="1">
      <c r="A2339" s="69"/>
      <c r="B2339" s="94" t="s">
        <v>190</v>
      </c>
      <c r="C2339" s="116" t="s">
        <v>7005</v>
      </c>
      <c r="D2339" s="120" t="s">
        <v>7006</v>
      </c>
      <c r="E2339" s="110" t="s">
        <v>694</v>
      </c>
      <c r="F2339" s="121" t="s">
        <v>695</v>
      </c>
      <c r="G2339" s="120" t="s">
        <v>696</v>
      </c>
      <c r="H2339" s="110" t="s">
        <v>57</v>
      </c>
      <c r="I2339" s="94" t="s">
        <v>7007</v>
      </c>
      <c r="J2339" s="122">
        <v>1</v>
      </c>
      <c r="K2339" s="123"/>
      <c r="L2339" s="124">
        <v>1</v>
      </c>
      <c r="M2339" s="94">
        <v>1929</v>
      </c>
      <c r="N2339" s="121">
        <v>2020</v>
      </c>
      <c r="O2339" s="112"/>
      <c r="P2339" s="125" t="s">
        <v>7008</v>
      </c>
      <c r="Q2339" s="112">
        <v>44168</v>
      </c>
      <c r="R2339" s="121">
        <v>2020</v>
      </c>
      <c r="S2339" s="94" t="s">
        <v>283</v>
      </c>
      <c r="T2339" s="239"/>
      <c r="U2339" s="73"/>
      <c r="W2339" s="237"/>
      <c r="X2339" s="10"/>
      <c r="Y2339" s="10"/>
      <c r="Z2339" s="75"/>
      <c r="AA2339" s="76"/>
      <c r="AB2339" s="10"/>
      <c r="AC2339" s="7"/>
      <c r="AD2339" s="7"/>
      <c r="AI2339" s="7"/>
      <c r="AJ2339" s="226"/>
      <c r="AL2339" s="5"/>
      <c r="AS2339" s="84"/>
      <c r="AU2339" s="5"/>
      <c r="AV2339" s="111"/>
      <c r="AW2339" s="6">
        <f t="shared" ca="1" si="38"/>
        <v>5</v>
      </c>
    </row>
    <row r="2340" ht="45" hidden="1" customHeight="1">
      <c r="A2340" s="69">
        <v>45441</v>
      </c>
      <c r="B2340" s="94" t="s">
        <v>47</v>
      </c>
      <c r="C2340" s="116" t="s">
        <v>7009</v>
      </c>
      <c r="D2340" s="120" t="s">
        <v>7006</v>
      </c>
      <c r="E2340" s="110" t="s">
        <v>83</v>
      </c>
      <c r="F2340" s="121" t="s">
        <v>84</v>
      </c>
      <c r="G2340" s="120" t="s">
        <v>1707</v>
      </c>
      <c r="H2340" s="110" t="s">
        <v>68</v>
      </c>
      <c r="I2340" s="94" t="s">
        <v>7010</v>
      </c>
      <c r="J2340" s="122">
        <v>1</v>
      </c>
      <c r="K2340" s="123"/>
      <c r="L2340" s="124">
        <v>1</v>
      </c>
      <c r="M2340" s="94">
        <v>1930</v>
      </c>
      <c r="N2340" s="121">
        <v>2020</v>
      </c>
      <c r="O2340" s="112">
        <v>43228</v>
      </c>
      <c r="P2340" s="125" t="s">
        <v>6320</v>
      </c>
      <c r="Q2340" s="112">
        <v>44195</v>
      </c>
      <c r="R2340" s="121">
        <v>2020</v>
      </c>
      <c r="S2340" s="94" t="s">
        <v>236</v>
      </c>
      <c r="T2340" s="239" t="s">
        <v>1136</v>
      </c>
      <c r="W2340" s="237"/>
      <c r="X2340" s="10"/>
      <c r="Y2340" s="10"/>
      <c r="Z2340" s="75"/>
      <c r="AA2340" s="76"/>
      <c r="AB2340" s="10"/>
      <c r="AC2340" s="7"/>
      <c r="AD2340" s="7"/>
      <c r="AI2340" s="7"/>
      <c r="AJ2340" s="10">
        <v>45471</v>
      </c>
      <c r="AK2340" s="7">
        <v>2020</v>
      </c>
      <c r="AL2340" s="16" t="s">
        <v>6435</v>
      </c>
      <c r="AS2340" s="84"/>
      <c r="AU2340" s="5"/>
      <c r="AV2340" s="111"/>
      <c r="AW2340" s="6">
        <f t="shared" ca="1" si="38"/>
        <v>5</v>
      </c>
    </row>
    <row r="2341" ht="45" customHeight="1">
      <c r="A2341" s="241">
        <v>45373</v>
      </c>
      <c r="B2341" s="94" t="s">
        <v>1743</v>
      </c>
      <c r="C2341" s="116" t="s">
        <v>7011</v>
      </c>
      <c r="D2341" s="120" t="s">
        <v>7012</v>
      </c>
      <c r="E2341" s="110" t="s">
        <v>83</v>
      </c>
      <c r="F2341" s="121" t="s">
        <v>704</v>
      </c>
      <c r="G2341" s="120" t="s">
        <v>705</v>
      </c>
      <c r="H2341" s="110" t="s">
        <v>68</v>
      </c>
      <c r="I2341" s="94" t="s">
        <v>7013</v>
      </c>
      <c r="J2341" s="122">
        <v>1</v>
      </c>
      <c r="K2341" s="8" t="s">
        <v>1978</v>
      </c>
      <c r="L2341" s="124">
        <v>1</v>
      </c>
      <c r="M2341" s="94">
        <v>1931</v>
      </c>
      <c r="N2341" s="121">
        <v>2020</v>
      </c>
      <c r="O2341" s="112">
        <v>44174</v>
      </c>
      <c r="P2341" s="125" t="s">
        <v>7014</v>
      </c>
      <c r="Q2341" s="112">
        <v>44195</v>
      </c>
      <c r="R2341" s="121">
        <v>2020</v>
      </c>
      <c r="S2341" s="94" t="s">
        <v>1980</v>
      </c>
      <c r="T2341" s="239" t="s">
        <v>998</v>
      </c>
      <c r="U2341" s="73"/>
      <c r="V2341" s="12">
        <v>44503</v>
      </c>
      <c r="W2341" s="110" t="s">
        <v>7015</v>
      </c>
      <c r="X2341" s="10" t="s">
        <v>56</v>
      </c>
      <c r="Y2341" s="10" t="s">
        <v>68</v>
      </c>
      <c r="Z2341" s="75" t="s">
        <v>2228</v>
      </c>
      <c r="AA2341" s="76"/>
      <c r="AB2341" s="10"/>
      <c r="AC2341" s="7"/>
      <c r="AD2341" s="7"/>
      <c r="AI2341" s="7"/>
      <c r="AJ2341" s="226"/>
      <c r="AL2341" s="5"/>
      <c r="AS2341" s="84"/>
      <c r="AU2341" s="5"/>
      <c r="AV2341" s="111"/>
      <c r="AW2341" s="6">
        <f t="shared" ca="1" si="38"/>
        <v>5</v>
      </c>
    </row>
    <row r="2342" ht="45" hidden="1" customHeight="1">
      <c r="A2342" s="69"/>
      <c r="B2342" s="94" t="s">
        <v>47</v>
      </c>
      <c r="C2342" s="116"/>
      <c r="D2342" s="120" t="s">
        <v>7016</v>
      </c>
      <c r="E2342" s="110" t="s">
        <v>83</v>
      </c>
      <c r="F2342" s="121" t="s">
        <v>704</v>
      </c>
      <c r="G2342" s="120" t="s">
        <v>705</v>
      </c>
      <c r="H2342" s="110" t="s">
        <v>57</v>
      </c>
      <c r="I2342" s="94" t="s">
        <v>7017</v>
      </c>
      <c r="J2342" s="122">
        <v>1</v>
      </c>
      <c r="K2342" s="123"/>
      <c r="L2342" s="124">
        <v>1</v>
      </c>
      <c r="M2342" s="94">
        <v>1932</v>
      </c>
      <c r="N2342" s="121">
        <v>2020</v>
      </c>
      <c r="O2342" s="112">
        <v>43754</v>
      </c>
      <c r="P2342" s="125" t="s">
        <v>7018</v>
      </c>
      <c r="Q2342" s="112">
        <v>44195</v>
      </c>
      <c r="R2342" s="121">
        <v>2020</v>
      </c>
      <c r="S2342" s="94" t="s">
        <v>236</v>
      </c>
      <c r="T2342" s="239"/>
      <c r="U2342" s="73">
        <v>44195</v>
      </c>
      <c r="W2342" s="237"/>
      <c r="X2342" s="10"/>
      <c r="Y2342" s="10"/>
      <c r="Z2342" s="75"/>
      <c r="AA2342" s="76"/>
      <c r="AB2342" s="10"/>
      <c r="AC2342" s="7"/>
      <c r="AD2342" s="7"/>
      <c r="AI2342" s="7"/>
      <c r="AL2342" s="5"/>
      <c r="AS2342" s="84"/>
      <c r="AU2342" s="5"/>
      <c r="AV2342" s="111"/>
      <c r="AW2342" s="6">
        <f t="shared" ca="1" si="38"/>
        <v>5</v>
      </c>
    </row>
    <row r="2343" ht="45" hidden="1" customHeight="1">
      <c r="A2343" s="69" t="s">
        <v>7019</v>
      </c>
      <c r="B2343" s="94" t="s">
        <v>190</v>
      </c>
      <c r="C2343" s="116" t="s">
        <v>7020</v>
      </c>
      <c r="D2343" s="120" t="s">
        <v>7021</v>
      </c>
      <c r="E2343" s="110" t="s">
        <v>48</v>
      </c>
      <c r="F2343" s="121" t="s">
        <v>49</v>
      </c>
      <c r="G2343" s="120" t="s">
        <v>7022</v>
      </c>
      <c r="H2343" s="110" t="s">
        <v>88</v>
      </c>
      <c r="I2343" s="94" t="s">
        <v>7023</v>
      </c>
      <c r="J2343" s="122">
        <v>1</v>
      </c>
      <c r="K2343" s="123"/>
      <c r="L2343" s="124">
        <v>1</v>
      </c>
      <c r="M2343" s="94">
        <v>1933</v>
      </c>
      <c r="N2343" s="121">
        <v>2020</v>
      </c>
      <c r="O2343" s="112">
        <v>43773</v>
      </c>
      <c r="P2343" s="125" t="s">
        <v>7024</v>
      </c>
      <c r="Q2343" s="112">
        <v>44195</v>
      </c>
      <c r="R2343" s="121">
        <v>2020</v>
      </c>
      <c r="S2343" s="94" t="s">
        <v>236</v>
      </c>
      <c r="T2343" s="239" t="s">
        <v>1136</v>
      </c>
      <c r="W2343" s="237"/>
      <c r="X2343" s="10"/>
      <c r="Y2343" s="10"/>
      <c r="Z2343" s="75"/>
      <c r="AA2343" s="76"/>
      <c r="AB2343" s="10"/>
      <c r="AC2343" s="7"/>
      <c r="AD2343" s="7"/>
      <c r="AI2343" s="7"/>
      <c r="AJ2343" s="10">
        <v>44573</v>
      </c>
      <c r="AK2343" s="7">
        <v>2020</v>
      </c>
      <c r="AL2343" s="240"/>
      <c r="AS2343" s="84"/>
      <c r="AU2343" s="5"/>
      <c r="AV2343" s="111"/>
      <c r="AW2343" s="6">
        <f t="shared" ref="AW2343:AW2406" ca="1" si="39">IF(N2343&lt;&gt;0,(YEAR(TODAY())-N2343),(""))</f>
        <v>5</v>
      </c>
    </row>
    <row r="2344" ht="45" hidden="1" customHeight="1">
      <c r="A2344" s="69"/>
      <c r="B2344" s="94" t="s">
        <v>190</v>
      </c>
      <c r="C2344" s="116" t="s">
        <v>7025</v>
      </c>
      <c r="D2344" s="120" t="s">
        <v>7026</v>
      </c>
      <c r="E2344" s="110" t="s">
        <v>694</v>
      </c>
      <c r="F2344" s="121" t="s">
        <v>695</v>
      </c>
      <c r="G2344" s="120" t="s">
        <v>696</v>
      </c>
      <c r="H2344" s="110" t="s">
        <v>88</v>
      </c>
      <c r="I2344" s="94" t="s">
        <v>7027</v>
      </c>
      <c r="J2344" s="122">
        <v>1</v>
      </c>
      <c r="K2344" s="123"/>
      <c r="L2344" s="124">
        <v>1</v>
      </c>
      <c r="M2344" s="94">
        <v>1934</v>
      </c>
      <c r="N2344" s="121">
        <v>2020</v>
      </c>
      <c r="O2344" s="112">
        <v>43845</v>
      </c>
      <c r="P2344" s="125" t="s">
        <v>7028</v>
      </c>
      <c r="Q2344" s="112">
        <v>44195</v>
      </c>
      <c r="R2344" s="121">
        <v>2020</v>
      </c>
      <c r="S2344" s="94" t="s">
        <v>283</v>
      </c>
      <c r="T2344" s="239"/>
      <c r="U2344" s="73"/>
      <c r="W2344" s="237"/>
      <c r="X2344" s="10"/>
      <c r="Y2344" s="10"/>
      <c r="Z2344" s="75"/>
      <c r="AA2344" s="76"/>
      <c r="AB2344" s="10"/>
      <c r="AC2344" s="7"/>
      <c r="AD2344" s="7"/>
      <c r="AI2344" s="7"/>
      <c r="AJ2344" s="226"/>
      <c r="AL2344" s="240"/>
      <c r="AS2344" s="84"/>
      <c r="AU2344" s="5"/>
      <c r="AV2344" s="111"/>
      <c r="AW2344" s="6">
        <f t="shared" ca="1" si="39"/>
        <v>5</v>
      </c>
    </row>
    <row r="2345" ht="45" hidden="1" customHeight="1">
      <c r="A2345" s="69"/>
      <c r="B2345" s="94" t="s">
        <v>47</v>
      </c>
      <c r="C2345" s="116" t="s">
        <v>7029</v>
      </c>
      <c r="D2345" s="120" t="s">
        <v>7030</v>
      </c>
      <c r="E2345" s="110" t="s">
        <v>694</v>
      </c>
      <c r="F2345" s="121" t="s">
        <v>695</v>
      </c>
      <c r="G2345" s="120" t="s">
        <v>696</v>
      </c>
      <c r="H2345" s="110" t="s">
        <v>57</v>
      </c>
      <c r="I2345" s="94" t="s">
        <v>7031</v>
      </c>
      <c r="J2345" s="122">
        <v>1</v>
      </c>
      <c r="K2345" s="123"/>
      <c r="L2345" s="124">
        <v>1</v>
      </c>
      <c r="M2345" s="94">
        <v>1935</v>
      </c>
      <c r="N2345" s="121">
        <v>2020</v>
      </c>
      <c r="O2345" s="112">
        <v>38995</v>
      </c>
      <c r="P2345" s="125" t="s">
        <v>7032</v>
      </c>
      <c r="Q2345" s="112">
        <v>44195</v>
      </c>
      <c r="R2345" s="121">
        <v>2020</v>
      </c>
      <c r="S2345" s="94" t="s">
        <v>236</v>
      </c>
      <c r="T2345" s="239" t="s">
        <v>1136</v>
      </c>
      <c r="W2345" s="237"/>
      <c r="X2345" s="10"/>
      <c r="Y2345" s="10"/>
      <c r="Z2345" s="75"/>
      <c r="AA2345" s="76"/>
      <c r="AB2345" s="10"/>
      <c r="AC2345" s="7"/>
      <c r="AD2345" s="7"/>
      <c r="AI2345" s="7"/>
      <c r="AJ2345" s="10">
        <v>44833</v>
      </c>
      <c r="AK2345" s="7">
        <v>2020</v>
      </c>
      <c r="AL2345" s="5"/>
      <c r="AS2345" s="84"/>
      <c r="AU2345" s="5"/>
      <c r="AV2345" s="111"/>
      <c r="AW2345" s="6">
        <f t="shared" ca="1" si="39"/>
        <v>5</v>
      </c>
    </row>
    <row r="2346" ht="45" hidden="1" customHeight="1">
      <c r="A2346" s="69"/>
      <c r="B2346" s="94" t="s">
        <v>190</v>
      </c>
      <c r="C2346" s="116"/>
      <c r="D2346" s="120" t="s">
        <v>7033</v>
      </c>
      <c r="E2346" s="110" t="s">
        <v>83</v>
      </c>
      <c r="F2346" s="121" t="s">
        <v>179</v>
      </c>
      <c r="G2346" s="120" t="s">
        <v>7034</v>
      </c>
      <c r="H2346" s="110" t="s">
        <v>57</v>
      </c>
      <c r="I2346" s="94" t="s">
        <v>7035</v>
      </c>
      <c r="J2346" s="122">
        <v>1</v>
      </c>
      <c r="K2346" s="123"/>
      <c r="L2346" s="124">
        <v>1</v>
      </c>
      <c r="M2346" s="94">
        <v>1936</v>
      </c>
      <c r="N2346" s="121">
        <v>2020</v>
      </c>
      <c r="O2346" s="112">
        <v>43882</v>
      </c>
      <c r="P2346" s="125" t="s">
        <v>7036</v>
      </c>
      <c r="Q2346" s="112">
        <v>44195</v>
      </c>
      <c r="R2346" s="121">
        <v>2020</v>
      </c>
      <c r="S2346" s="94" t="s">
        <v>283</v>
      </c>
      <c r="T2346" s="239"/>
      <c r="U2346" s="73"/>
      <c r="W2346" s="237"/>
      <c r="X2346" s="10"/>
      <c r="Y2346" s="10"/>
      <c r="Z2346" s="75"/>
      <c r="AA2346" s="76"/>
      <c r="AB2346" s="10"/>
      <c r="AC2346" s="7"/>
      <c r="AD2346" s="7"/>
      <c r="AI2346" s="7"/>
      <c r="AJ2346" s="226"/>
      <c r="AL2346" s="5"/>
      <c r="AS2346" s="84"/>
      <c r="AU2346" s="5"/>
      <c r="AV2346" s="111"/>
      <c r="AW2346" s="6">
        <f t="shared" ca="1" si="39"/>
        <v>5</v>
      </c>
    </row>
    <row r="2347" ht="45" hidden="1" customHeight="1">
      <c r="A2347" s="69"/>
      <c r="B2347" s="94" t="s">
        <v>47</v>
      </c>
      <c r="C2347" s="116"/>
      <c r="D2347" s="120" t="s">
        <v>7037</v>
      </c>
      <c r="E2347" s="110" t="s">
        <v>83</v>
      </c>
      <c r="F2347" s="121" t="s">
        <v>704</v>
      </c>
      <c r="G2347" s="120" t="s">
        <v>705</v>
      </c>
      <c r="H2347" s="110" t="s">
        <v>57</v>
      </c>
      <c r="I2347" s="94" t="s">
        <v>7038</v>
      </c>
      <c r="J2347" s="122">
        <v>1</v>
      </c>
      <c r="K2347" s="123"/>
      <c r="L2347" s="124">
        <v>1</v>
      </c>
      <c r="M2347" s="94">
        <v>1937</v>
      </c>
      <c r="N2347" s="121">
        <v>2020</v>
      </c>
      <c r="O2347" s="112">
        <v>43683</v>
      </c>
      <c r="P2347" s="125" t="s">
        <v>7039</v>
      </c>
      <c r="Q2347" s="112">
        <v>44195</v>
      </c>
      <c r="R2347" s="121">
        <v>2020</v>
      </c>
      <c r="S2347" s="94" t="s">
        <v>236</v>
      </c>
      <c r="T2347" s="239"/>
      <c r="U2347" s="73">
        <v>44195</v>
      </c>
      <c r="W2347" s="237"/>
      <c r="X2347" s="10"/>
      <c r="Y2347" s="10"/>
      <c r="Z2347" s="75"/>
      <c r="AA2347" s="76"/>
      <c r="AB2347" s="10"/>
      <c r="AC2347" s="7"/>
      <c r="AD2347" s="7"/>
      <c r="AI2347" s="7"/>
      <c r="AL2347" s="5"/>
      <c r="AS2347" s="84"/>
      <c r="AU2347" s="5"/>
      <c r="AV2347" s="111"/>
      <c r="AW2347" s="6">
        <f t="shared" ca="1" si="39"/>
        <v>5</v>
      </c>
    </row>
    <row r="2348" ht="45" hidden="1" customHeight="1">
      <c r="A2348" s="69"/>
      <c r="B2348" s="94" t="s">
        <v>47</v>
      </c>
      <c r="C2348" s="116"/>
      <c r="D2348" s="120" t="s">
        <v>7040</v>
      </c>
      <c r="E2348" s="110" t="s">
        <v>83</v>
      </c>
      <c r="F2348" s="121" t="s">
        <v>704</v>
      </c>
      <c r="G2348" s="120" t="s">
        <v>1006</v>
      </c>
      <c r="H2348" s="110" t="s">
        <v>491</v>
      </c>
      <c r="I2348" s="94" t="s">
        <v>7041</v>
      </c>
      <c r="J2348" s="122">
        <v>1</v>
      </c>
      <c r="K2348" s="123"/>
      <c r="L2348" s="124">
        <v>1</v>
      </c>
      <c r="M2348" s="94">
        <v>1938</v>
      </c>
      <c r="N2348" s="121">
        <v>2020</v>
      </c>
      <c r="O2348" s="112">
        <v>43614</v>
      </c>
      <c r="P2348" s="125" t="s">
        <v>7042</v>
      </c>
      <c r="Q2348" s="112">
        <v>44218</v>
      </c>
      <c r="R2348" s="121">
        <v>2020</v>
      </c>
      <c r="S2348" s="94" t="s">
        <v>236</v>
      </c>
      <c r="T2348" s="239"/>
      <c r="U2348" s="73">
        <v>44218</v>
      </c>
      <c r="W2348" s="237"/>
      <c r="X2348" s="10"/>
      <c r="Y2348" s="10"/>
      <c r="Z2348" s="75"/>
      <c r="AA2348" s="76"/>
      <c r="AB2348" s="10"/>
      <c r="AC2348" s="7"/>
      <c r="AD2348" s="7"/>
      <c r="AI2348" s="7"/>
      <c r="AL2348" s="5"/>
      <c r="AS2348" s="84"/>
      <c r="AU2348" s="5"/>
      <c r="AV2348" s="111"/>
      <c r="AW2348" s="6">
        <f t="shared" ca="1" si="39"/>
        <v>5</v>
      </c>
    </row>
    <row r="2349" ht="45" hidden="1" customHeight="1">
      <c r="A2349" s="69"/>
      <c r="B2349" s="94" t="s">
        <v>190</v>
      </c>
      <c r="C2349" s="116"/>
      <c r="D2349" s="120" t="s">
        <v>7043</v>
      </c>
      <c r="E2349" s="110" t="s">
        <v>83</v>
      </c>
      <c r="F2349" s="121" t="s">
        <v>704</v>
      </c>
      <c r="G2349" s="120" t="s">
        <v>1987</v>
      </c>
      <c r="H2349" s="110" t="s">
        <v>508</v>
      </c>
      <c r="I2349" s="94" t="s">
        <v>7044</v>
      </c>
      <c r="J2349" s="122">
        <v>1</v>
      </c>
      <c r="K2349" s="123"/>
      <c r="L2349" s="124">
        <v>1</v>
      </c>
      <c r="M2349" s="94">
        <v>1939</v>
      </c>
      <c r="N2349" s="121">
        <v>2021</v>
      </c>
      <c r="O2349" s="112">
        <v>43988</v>
      </c>
      <c r="P2349" s="125" t="s">
        <v>7045</v>
      </c>
      <c r="Q2349" s="112">
        <v>44218</v>
      </c>
      <c r="R2349" s="121">
        <v>2020</v>
      </c>
      <c r="S2349" s="94" t="s">
        <v>283</v>
      </c>
      <c r="T2349" s="239"/>
      <c r="U2349" s="73"/>
      <c r="W2349" s="237"/>
      <c r="X2349" s="10" t="s">
        <v>56</v>
      </c>
      <c r="Y2349" s="10" t="s">
        <v>511</v>
      </c>
      <c r="Z2349" s="75"/>
      <c r="AA2349" s="76"/>
      <c r="AB2349" s="10"/>
      <c r="AC2349" s="7"/>
      <c r="AD2349" s="7"/>
      <c r="AI2349" s="7"/>
      <c r="AJ2349" s="226"/>
      <c r="AL2349" s="5"/>
      <c r="AS2349" s="84"/>
      <c r="AU2349" s="5"/>
      <c r="AV2349" s="111"/>
      <c r="AW2349" s="6">
        <f t="shared" ca="1" si="39"/>
        <v>4</v>
      </c>
    </row>
    <row r="2350" ht="45" hidden="1" customHeight="1">
      <c r="A2350" s="69"/>
      <c r="B2350" s="94" t="s">
        <v>190</v>
      </c>
      <c r="C2350" s="116" t="s">
        <v>7046</v>
      </c>
      <c r="D2350" s="120" t="s">
        <v>7047</v>
      </c>
      <c r="E2350" s="110" t="s">
        <v>48</v>
      </c>
      <c r="F2350" s="121" t="s">
        <v>140</v>
      </c>
      <c r="G2350" s="120" t="s">
        <v>210</v>
      </c>
      <c r="H2350" s="110" t="s">
        <v>57</v>
      </c>
      <c r="I2350" s="94" t="s">
        <v>7048</v>
      </c>
      <c r="J2350" s="122">
        <v>1</v>
      </c>
      <c r="K2350" s="123"/>
      <c r="L2350" s="124">
        <v>1</v>
      </c>
      <c r="M2350" s="94">
        <v>1940</v>
      </c>
      <c r="N2350" s="121">
        <v>2021</v>
      </c>
      <c r="O2350" s="112">
        <v>44207</v>
      </c>
      <c r="P2350" s="125" t="s">
        <v>7049</v>
      </c>
      <c r="Q2350" s="112">
        <v>44239</v>
      </c>
      <c r="R2350" s="121">
        <v>2020</v>
      </c>
      <c r="S2350" s="94" t="s">
        <v>283</v>
      </c>
      <c r="T2350" s="239"/>
      <c r="U2350" s="73"/>
      <c r="W2350" s="237"/>
      <c r="X2350" s="10" t="s">
        <v>56</v>
      </c>
      <c r="Y2350" s="10" t="s">
        <v>57</v>
      </c>
      <c r="Z2350" s="75" t="s">
        <v>2228</v>
      </c>
      <c r="AA2350" s="76"/>
      <c r="AB2350" s="10"/>
      <c r="AC2350" s="7"/>
      <c r="AD2350" s="7"/>
      <c r="AI2350" s="7"/>
      <c r="AJ2350" s="226"/>
      <c r="AL2350" s="5"/>
      <c r="AS2350" s="84"/>
      <c r="AU2350" s="5"/>
      <c r="AV2350" s="111"/>
      <c r="AW2350" s="6">
        <f t="shared" ca="1" si="39"/>
        <v>4</v>
      </c>
    </row>
    <row r="2351" ht="45" hidden="1" customHeight="1">
      <c r="A2351" s="69">
        <v>44244</v>
      </c>
      <c r="B2351" s="94" t="s">
        <v>47</v>
      </c>
      <c r="C2351" s="116" t="s">
        <v>7050</v>
      </c>
      <c r="D2351" s="120" t="s">
        <v>7051</v>
      </c>
      <c r="E2351" s="110" t="s">
        <v>1074</v>
      </c>
      <c r="F2351" s="121" t="s">
        <v>2154</v>
      </c>
      <c r="G2351" s="120" t="s">
        <v>2155</v>
      </c>
      <c r="H2351" s="110" t="s">
        <v>57</v>
      </c>
      <c r="I2351" s="94" t="s">
        <v>7052</v>
      </c>
      <c r="J2351" s="122">
        <v>1</v>
      </c>
      <c r="K2351" s="123"/>
      <c r="L2351" s="124">
        <v>1</v>
      </c>
      <c r="M2351" s="94">
        <v>1941</v>
      </c>
      <c r="N2351" s="121">
        <v>2021</v>
      </c>
      <c r="O2351" s="112">
        <v>44217</v>
      </c>
      <c r="P2351" s="125" t="s">
        <v>6831</v>
      </c>
      <c r="Q2351" s="112">
        <v>44264</v>
      </c>
      <c r="R2351" s="121">
        <v>2020</v>
      </c>
      <c r="S2351" s="94" t="s">
        <v>236</v>
      </c>
      <c r="T2351" s="239" t="s">
        <v>3250</v>
      </c>
      <c r="W2351" s="237"/>
      <c r="X2351" s="10" t="s">
        <v>56</v>
      </c>
      <c r="Y2351" s="10" t="s">
        <v>57</v>
      </c>
      <c r="Z2351" s="75" t="s">
        <v>2228</v>
      </c>
      <c r="AA2351" s="76"/>
      <c r="AB2351" s="10"/>
      <c r="AC2351" s="7"/>
      <c r="AD2351" s="7"/>
      <c r="AI2351" s="7"/>
      <c r="AJ2351" s="10">
        <v>44425</v>
      </c>
      <c r="AK2351" s="7">
        <v>2020</v>
      </c>
      <c r="AL2351" s="5"/>
      <c r="AS2351" s="84"/>
      <c r="AU2351" s="5"/>
      <c r="AV2351" s="111"/>
      <c r="AW2351" s="6">
        <f t="shared" ca="1" si="39"/>
        <v>4</v>
      </c>
    </row>
    <row r="2352" ht="45" hidden="1" customHeight="1">
      <c r="A2352" s="69"/>
      <c r="B2352" s="94" t="s">
        <v>190</v>
      </c>
      <c r="C2352" s="116" t="s">
        <v>7053</v>
      </c>
      <c r="D2352" s="120" t="s">
        <v>7054</v>
      </c>
      <c r="E2352" s="110" t="s">
        <v>63</v>
      </c>
      <c r="F2352" s="121" t="s">
        <v>172</v>
      </c>
      <c r="G2352" s="120" t="s">
        <v>173</v>
      </c>
      <c r="H2352" s="110" t="s">
        <v>3735</v>
      </c>
      <c r="I2352" s="94" t="s">
        <v>7055</v>
      </c>
      <c r="J2352" s="122">
        <v>1</v>
      </c>
      <c r="K2352" s="123"/>
      <c r="L2352" s="124">
        <v>1</v>
      </c>
      <c r="M2352" s="94">
        <v>1942</v>
      </c>
      <c r="N2352" s="121">
        <v>2021</v>
      </c>
      <c r="O2352" s="112">
        <v>38613</v>
      </c>
      <c r="P2352" s="125" t="s">
        <v>7056</v>
      </c>
      <c r="Q2352" s="112">
        <v>44264</v>
      </c>
      <c r="R2352" s="121">
        <v>2020</v>
      </c>
      <c r="S2352" s="94" t="s">
        <v>283</v>
      </c>
      <c r="T2352" s="239"/>
      <c r="U2352" s="73"/>
      <c r="W2352" s="237"/>
      <c r="X2352" s="10" t="s">
        <v>56</v>
      </c>
      <c r="Y2352" s="10" t="s">
        <v>68</v>
      </c>
      <c r="Z2352" s="75" t="s">
        <v>58</v>
      </c>
      <c r="AA2352" s="76"/>
      <c r="AB2352" s="10"/>
      <c r="AC2352" s="7"/>
      <c r="AD2352" s="7"/>
      <c r="AI2352" s="7"/>
      <c r="AJ2352" s="226"/>
      <c r="AL2352" s="5"/>
      <c r="AS2352" s="84"/>
      <c r="AU2352" s="5"/>
      <c r="AV2352" s="111"/>
      <c r="AW2352" s="6">
        <f t="shared" ca="1" si="39"/>
        <v>4</v>
      </c>
    </row>
    <row r="2353" ht="45" hidden="1" customHeight="1">
      <c r="A2353" s="69"/>
      <c r="B2353" s="94" t="s">
        <v>47</v>
      </c>
      <c r="C2353" s="116" t="s">
        <v>7057</v>
      </c>
      <c r="D2353" s="120" t="s">
        <v>7058</v>
      </c>
      <c r="E2353" s="110" t="s">
        <v>83</v>
      </c>
      <c r="F2353" s="121" t="s">
        <v>704</v>
      </c>
      <c r="G2353" s="120" t="s">
        <v>2643</v>
      </c>
      <c r="H2353" s="110" t="s">
        <v>68</v>
      </c>
      <c r="I2353" s="94" t="s">
        <v>7059</v>
      </c>
      <c r="J2353" s="122">
        <v>1</v>
      </c>
      <c r="K2353" s="123"/>
      <c r="L2353" s="124">
        <v>1</v>
      </c>
      <c r="M2353" s="94">
        <v>1943</v>
      </c>
      <c r="N2353" s="121">
        <v>2021</v>
      </c>
      <c r="O2353" s="112">
        <v>43675</v>
      </c>
      <c r="P2353" s="125" t="s">
        <v>7060</v>
      </c>
      <c r="Q2353" s="112">
        <v>44264</v>
      </c>
      <c r="R2353" s="121">
        <v>2020</v>
      </c>
      <c r="S2353" s="94" t="s">
        <v>236</v>
      </c>
      <c r="T2353" s="239" t="s">
        <v>1136</v>
      </c>
      <c r="W2353" s="237"/>
      <c r="X2353" s="10" t="s">
        <v>56</v>
      </c>
      <c r="Y2353" s="10" t="s">
        <v>68</v>
      </c>
      <c r="Z2353" s="75"/>
      <c r="AA2353" s="76"/>
      <c r="AB2353" s="10"/>
      <c r="AC2353" s="7"/>
      <c r="AD2353" s="7"/>
      <c r="AI2353" s="7"/>
      <c r="AJ2353" s="10">
        <v>44433</v>
      </c>
      <c r="AK2353" s="7">
        <v>2020</v>
      </c>
      <c r="AL2353" s="5"/>
      <c r="AS2353" s="84"/>
      <c r="AU2353" s="5"/>
      <c r="AV2353" s="111"/>
      <c r="AW2353" s="6">
        <f t="shared" ca="1" si="39"/>
        <v>4</v>
      </c>
    </row>
    <row r="2354" ht="45" hidden="1" customHeight="1">
      <c r="A2354" s="69"/>
      <c r="B2354" s="94" t="s">
        <v>190</v>
      </c>
      <c r="C2354" s="116"/>
      <c r="D2354" s="120" t="s">
        <v>7061</v>
      </c>
      <c r="E2354" s="110" t="s">
        <v>48</v>
      </c>
      <c r="F2354" s="121" t="s">
        <v>49</v>
      </c>
      <c r="G2354" s="120" t="s">
        <v>468</v>
      </c>
      <c r="H2354" s="110" t="s">
        <v>68</v>
      </c>
      <c r="I2354" s="94" t="s">
        <v>7062</v>
      </c>
      <c r="J2354" s="122">
        <v>1</v>
      </c>
      <c r="K2354" s="123"/>
      <c r="L2354" s="124">
        <v>1</v>
      </c>
      <c r="M2354" s="94">
        <v>1944</v>
      </c>
      <c r="N2354" s="121">
        <v>2021</v>
      </c>
      <c r="O2354" s="112">
        <v>44175</v>
      </c>
      <c r="P2354" s="125" t="s">
        <v>7063</v>
      </c>
      <c r="Q2354" s="112">
        <v>44265</v>
      </c>
      <c r="R2354" s="121">
        <v>2020</v>
      </c>
      <c r="S2354" s="94" t="s">
        <v>283</v>
      </c>
      <c r="T2354" s="239"/>
      <c r="U2354" s="73"/>
      <c r="W2354" s="237"/>
      <c r="X2354" s="10" t="s">
        <v>56</v>
      </c>
      <c r="Y2354" s="10" t="s">
        <v>68</v>
      </c>
      <c r="Z2354" s="75"/>
      <c r="AA2354" s="76"/>
      <c r="AB2354" s="10"/>
      <c r="AC2354" s="7"/>
      <c r="AD2354" s="7"/>
      <c r="AI2354" s="7"/>
      <c r="AJ2354" s="226"/>
      <c r="AL2354" s="5"/>
      <c r="AS2354" s="84"/>
      <c r="AU2354" s="5"/>
      <c r="AV2354" s="111"/>
      <c r="AW2354" s="6">
        <f t="shared" ca="1" si="39"/>
        <v>4</v>
      </c>
    </row>
    <row r="2355" ht="45" hidden="1" customHeight="1">
      <c r="A2355" s="69"/>
      <c r="B2355" s="94" t="s">
        <v>47</v>
      </c>
      <c r="C2355" s="116" t="s">
        <v>7064</v>
      </c>
      <c r="D2355" s="120" t="s">
        <v>7065</v>
      </c>
      <c r="E2355" s="110" t="s">
        <v>694</v>
      </c>
      <c r="F2355" s="121" t="s">
        <v>695</v>
      </c>
      <c r="G2355" s="120" t="s">
        <v>696</v>
      </c>
      <c r="H2355" s="110" t="s">
        <v>57</v>
      </c>
      <c r="I2355" s="94" t="s">
        <v>7066</v>
      </c>
      <c r="J2355" s="122">
        <v>1</v>
      </c>
      <c r="K2355" s="123"/>
      <c r="L2355" s="124">
        <v>1</v>
      </c>
      <c r="M2355" s="94">
        <v>1945</v>
      </c>
      <c r="N2355" s="121">
        <v>2021</v>
      </c>
      <c r="O2355" s="112">
        <v>39623</v>
      </c>
      <c r="P2355" s="125" t="s">
        <v>7067</v>
      </c>
      <c r="Q2355" s="112">
        <v>44292</v>
      </c>
      <c r="R2355" s="121">
        <v>2020</v>
      </c>
      <c r="S2355" s="94" t="s">
        <v>236</v>
      </c>
      <c r="T2355" s="239" t="s">
        <v>1136</v>
      </c>
      <c r="W2355" s="237"/>
      <c r="X2355" s="10" t="s">
        <v>56</v>
      </c>
      <c r="Y2355" s="10" t="s">
        <v>57</v>
      </c>
      <c r="Z2355" s="75"/>
      <c r="AA2355" s="76"/>
      <c r="AB2355" s="10"/>
      <c r="AC2355" s="7"/>
      <c r="AD2355" s="7"/>
      <c r="AI2355" s="7"/>
      <c r="AJ2355" s="10">
        <v>45546</v>
      </c>
      <c r="AK2355" s="7">
        <v>2020</v>
      </c>
      <c r="AL2355" s="16" t="s">
        <v>5286</v>
      </c>
      <c r="AS2355" s="84"/>
      <c r="AU2355" s="5"/>
      <c r="AV2355" s="111"/>
      <c r="AW2355" s="6">
        <f t="shared" ca="1" si="39"/>
        <v>4</v>
      </c>
    </row>
    <row r="2356" ht="45" hidden="1" customHeight="1">
      <c r="A2356" s="69"/>
      <c r="B2356" s="94" t="s">
        <v>47</v>
      </c>
      <c r="C2356" s="116" t="s">
        <v>7068</v>
      </c>
      <c r="D2356" s="120" t="s">
        <v>7069</v>
      </c>
      <c r="E2356" s="110" t="s">
        <v>694</v>
      </c>
      <c r="F2356" s="121" t="s">
        <v>695</v>
      </c>
      <c r="G2356" s="120" t="s">
        <v>696</v>
      </c>
      <c r="H2356" s="110" t="s">
        <v>501</v>
      </c>
      <c r="I2356" s="94" t="s">
        <v>7070</v>
      </c>
      <c r="J2356" s="122">
        <v>1</v>
      </c>
      <c r="K2356" s="123"/>
      <c r="L2356" s="124">
        <v>1</v>
      </c>
      <c r="M2356" s="94">
        <v>1946</v>
      </c>
      <c r="N2356" s="121">
        <v>2021</v>
      </c>
      <c r="O2356" s="112">
        <v>42135</v>
      </c>
      <c r="P2356" s="125" t="s">
        <v>7071</v>
      </c>
      <c r="Q2356" s="112">
        <v>44292</v>
      </c>
      <c r="R2356" s="121">
        <v>2020</v>
      </c>
      <c r="S2356" s="94" t="s">
        <v>236</v>
      </c>
      <c r="T2356" s="239" t="s">
        <v>1136</v>
      </c>
      <c r="W2356" s="237"/>
      <c r="X2356" s="10" t="s">
        <v>504</v>
      </c>
      <c r="Y2356" s="10" t="s">
        <v>501</v>
      </c>
      <c r="Z2356" s="75"/>
      <c r="AA2356" s="76"/>
      <c r="AB2356" s="10"/>
      <c r="AC2356" s="7"/>
      <c r="AD2356" s="7"/>
      <c r="AI2356" s="7"/>
      <c r="AJ2356" s="10">
        <v>44833</v>
      </c>
      <c r="AK2356" s="7">
        <v>2020</v>
      </c>
      <c r="AL2356" s="5"/>
      <c r="AS2356" s="84"/>
      <c r="AU2356" s="5"/>
      <c r="AV2356" s="111"/>
      <c r="AW2356" s="6">
        <f t="shared" ca="1" si="39"/>
        <v>4</v>
      </c>
    </row>
    <row r="2357" ht="45" hidden="1" customHeight="1">
      <c r="A2357" s="69"/>
      <c r="B2357" s="94" t="s">
        <v>47</v>
      </c>
      <c r="C2357" s="116" t="s">
        <v>7072</v>
      </c>
      <c r="D2357" s="120" t="s">
        <v>7073</v>
      </c>
      <c r="E2357" s="110" t="s">
        <v>694</v>
      </c>
      <c r="F2357" s="121" t="s">
        <v>695</v>
      </c>
      <c r="G2357" s="120" t="s">
        <v>696</v>
      </c>
      <c r="H2357" s="110" t="s">
        <v>57</v>
      </c>
      <c r="I2357" s="94" t="s">
        <v>7074</v>
      </c>
      <c r="J2357" s="122">
        <v>1</v>
      </c>
      <c r="K2357" s="123"/>
      <c r="L2357" s="124">
        <v>1</v>
      </c>
      <c r="M2357" s="94">
        <v>1947</v>
      </c>
      <c r="N2357" s="121">
        <v>2021</v>
      </c>
      <c r="O2357" s="112">
        <v>40039</v>
      </c>
      <c r="P2357" s="242" t="s">
        <v>7075</v>
      </c>
      <c r="Q2357" s="112">
        <v>44292</v>
      </c>
      <c r="R2357" s="121">
        <v>2020</v>
      </c>
      <c r="S2357" s="94" t="s">
        <v>236</v>
      </c>
      <c r="T2357" s="239" t="s">
        <v>1136</v>
      </c>
      <c r="W2357" s="237"/>
      <c r="X2357" s="10"/>
      <c r="Y2357" s="10"/>
      <c r="Z2357" s="75"/>
      <c r="AA2357" s="76"/>
      <c r="AB2357" s="10"/>
      <c r="AC2357" s="7"/>
      <c r="AD2357" s="7"/>
      <c r="AI2357" s="7"/>
      <c r="AJ2357" s="10">
        <v>44813</v>
      </c>
      <c r="AK2357" s="7">
        <v>2020</v>
      </c>
      <c r="AL2357" s="5"/>
      <c r="AS2357" s="84"/>
      <c r="AU2357" s="5"/>
      <c r="AV2357" s="111"/>
      <c r="AW2357" s="6">
        <f t="shared" ca="1" si="39"/>
        <v>4</v>
      </c>
    </row>
    <row r="2358" ht="45" hidden="1" customHeight="1">
      <c r="A2358" s="69">
        <v>44615</v>
      </c>
      <c r="B2358" s="94" t="s">
        <v>47</v>
      </c>
      <c r="C2358" s="116" t="s">
        <v>7076</v>
      </c>
      <c r="D2358" s="120" t="s">
        <v>7077</v>
      </c>
      <c r="E2358" s="110" t="s">
        <v>694</v>
      </c>
      <c r="F2358" s="121" t="s">
        <v>695</v>
      </c>
      <c r="G2358" s="120" t="s">
        <v>696</v>
      </c>
      <c r="H2358" s="110" t="s">
        <v>57</v>
      </c>
      <c r="I2358" s="94" t="s">
        <v>7078</v>
      </c>
      <c r="J2358" s="122">
        <v>2</v>
      </c>
      <c r="K2358" s="123"/>
      <c r="L2358" s="124">
        <v>1</v>
      </c>
      <c r="M2358" s="94">
        <v>1948</v>
      </c>
      <c r="N2358" s="121">
        <v>2021</v>
      </c>
      <c r="O2358" s="112">
        <v>29671</v>
      </c>
      <c r="P2358" s="125" t="s">
        <v>7079</v>
      </c>
      <c r="Q2358" s="112">
        <v>44292</v>
      </c>
      <c r="R2358" s="121">
        <v>2020</v>
      </c>
      <c r="S2358" s="94" t="s">
        <v>236</v>
      </c>
      <c r="T2358" s="239" t="s">
        <v>1136</v>
      </c>
      <c r="W2358" s="237"/>
      <c r="X2358" s="10"/>
      <c r="Y2358" s="10"/>
      <c r="Z2358" s="75"/>
      <c r="AA2358" s="76"/>
      <c r="AB2358" s="10"/>
      <c r="AC2358" s="7"/>
      <c r="AD2358" s="7"/>
      <c r="AI2358" s="7"/>
      <c r="AJ2358" s="10">
        <v>44650</v>
      </c>
      <c r="AK2358" s="7">
        <v>2020</v>
      </c>
      <c r="AL2358" s="5"/>
      <c r="AS2358" s="84"/>
      <c r="AU2358" s="5"/>
      <c r="AV2358" s="111"/>
      <c r="AW2358" s="6"/>
    </row>
    <row r="2359" ht="45" hidden="1" customHeight="1">
      <c r="A2359" s="69"/>
      <c r="B2359" s="94" t="s">
        <v>47</v>
      </c>
      <c r="C2359" s="116" t="s">
        <v>4288</v>
      </c>
      <c r="D2359" s="120" t="s">
        <v>7080</v>
      </c>
      <c r="E2359" s="110" t="s">
        <v>83</v>
      </c>
      <c r="F2359" s="121" t="s">
        <v>704</v>
      </c>
      <c r="G2359" s="120" t="s">
        <v>1306</v>
      </c>
      <c r="H2359" s="110" t="s">
        <v>88</v>
      </c>
      <c r="I2359" s="94" t="s">
        <v>7081</v>
      </c>
      <c r="J2359" s="122">
        <v>1</v>
      </c>
      <c r="K2359" s="123"/>
      <c r="L2359" s="124">
        <v>1</v>
      </c>
      <c r="M2359" s="94">
        <v>1949</v>
      </c>
      <c r="N2359" s="121">
        <v>2021</v>
      </c>
      <c r="O2359" s="112">
        <v>44266</v>
      </c>
      <c r="P2359" s="125" t="s">
        <v>7082</v>
      </c>
      <c r="Q2359" s="112">
        <v>44292</v>
      </c>
      <c r="R2359" s="121">
        <v>2020</v>
      </c>
      <c r="S2359" s="94" t="s">
        <v>236</v>
      </c>
      <c r="T2359" s="239"/>
      <c r="W2359" s="237"/>
      <c r="X2359" s="10" t="s">
        <v>91</v>
      </c>
      <c r="Y2359" s="10" t="s">
        <v>214</v>
      </c>
      <c r="Z2359" s="75"/>
      <c r="AA2359" s="76"/>
      <c r="AB2359" s="10"/>
      <c r="AC2359" s="7"/>
      <c r="AD2359" s="7"/>
      <c r="AI2359" s="7"/>
      <c r="AJ2359" s="10">
        <v>44427</v>
      </c>
      <c r="AK2359" s="7">
        <v>2020</v>
      </c>
      <c r="AL2359" s="240"/>
      <c r="AS2359" s="84"/>
      <c r="AU2359" s="5"/>
      <c r="AV2359" s="111"/>
      <c r="AW2359" s="6">
        <f t="shared" ca="1" si="39"/>
        <v>4</v>
      </c>
    </row>
    <row r="2360" ht="45" hidden="1" customHeight="1">
      <c r="A2360" s="69"/>
      <c r="B2360" s="94" t="s">
        <v>47</v>
      </c>
      <c r="C2360" s="116" t="s">
        <v>7083</v>
      </c>
      <c r="D2360" s="243" t="s">
        <v>7084</v>
      </c>
      <c r="E2360" s="110" t="s">
        <v>694</v>
      </c>
      <c r="F2360" s="121" t="s">
        <v>695</v>
      </c>
      <c r="G2360" s="120" t="s">
        <v>696</v>
      </c>
      <c r="H2360" s="110" t="s">
        <v>501</v>
      </c>
      <c r="I2360" s="94" t="s">
        <v>7085</v>
      </c>
      <c r="J2360" s="122">
        <v>1</v>
      </c>
      <c r="K2360" s="123"/>
      <c r="L2360" s="124">
        <v>1</v>
      </c>
      <c r="M2360" s="94">
        <v>1950</v>
      </c>
      <c r="N2360" s="121">
        <v>2021</v>
      </c>
      <c r="O2360" s="112">
        <v>37915</v>
      </c>
      <c r="P2360" s="125" t="s">
        <v>7086</v>
      </c>
      <c r="Q2360" s="112">
        <v>44368</v>
      </c>
      <c r="R2360" s="121">
        <v>2020</v>
      </c>
      <c r="S2360" s="94" t="s">
        <v>236</v>
      </c>
      <c r="T2360" s="239" t="s">
        <v>1136</v>
      </c>
      <c r="W2360" s="237"/>
      <c r="X2360" s="10"/>
      <c r="Y2360" s="10"/>
      <c r="Z2360" s="75"/>
      <c r="AA2360" s="76"/>
      <c r="AB2360" s="10"/>
      <c r="AC2360" s="7"/>
      <c r="AD2360" s="7"/>
      <c r="AI2360" s="7"/>
      <c r="AJ2360" s="10">
        <v>44741</v>
      </c>
      <c r="AK2360" s="7">
        <v>2020</v>
      </c>
      <c r="AL2360" s="5"/>
      <c r="AS2360" s="84"/>
      <c r="AU2360" s="5"/>
      <c r="AV2360" s="111"/>
      <c r="AW2360" s="6">
        <f t="shared" ca="1" si="39"/>
        <v>4</v>
      </c>
    </row>
    <row r="2361" ht="45" hidden="1" customHeight="1">
      <c r="A2361" s="69"/>
      <c r="B2361" s="94" t="s">
        <v>190</v>
      </c>
      <c r="C2361" s="116" t="s">
        <v>7087</v>
      </c>
      <c r="D2361" s="120" t="s">
        <v>7088</v>
      </c>
      <c r="E2361" s="110" t="s">
        <v>694</v>
      </c>
      <c r="F2361" s="121" t="s">
        <v>695</v>
      </c>
      <c r="G2361" s="120" t="s">
        <v>696</v>
      </c>
      <c r="H2361" s="110" t="s">
        <v>288</v>
      </c>
      <c r="I2361" s="94" t="s">
        <v>7089</v>
      </c>
      <c r="J2361" s="122">
        <v>3</v>
      </c>
      <c r="K2361" s="123"/>
      <c r="L2361" s="124">
        <v>1</v>
      </c>
      <c r="M2361" s="94">
        <v>1951</v>
      </c>
      <c r="N2361" s="121">
        <v>2021</v>
      </c>
      <c r="O2361" s="112">
        <v>29731</v>
      </c>
      <c r="P2361" s="125" t="s">
        <v>7090</v>
      </c>
      <c r="Q2361" s="112">
        <v>44368</v>
      </c>
      <c r="R2361" s="121">
        <v>2020</v>
      </c>
      <c r="S2361" s="94" t="s">
        <v>283</v>
      </c>
      <c r="T2361" s="239"/>
      <c r="U2361" s="73"/>
      <c r="W2361" s="237"/>
      <c r="X2361" s="10"/>
      <c r="Y2361" s="10"/>
      <c r="Z2361" s="75"/>
      <c r="AA2361" s="76"/>
      <c r="AB2361" s="10"/>
      <c r="AC2361" s="7"/>
      <c r="AD2361" s="7"/>
      <c r="AI2361" s="7"/>
      <c r="AJ2361" s="226"/>
      <c r="AL2361" s="5"/>
      <c r="AS2361" s="84"/>
      <c r="AU2361" s="5" t="s">
        <v>7091</v>
      </c>
      <c r="AV2361" s="111"/>
      <c r="AW2361" s="6">
        <f t="shared" ca="1" si="39"/>
        <v>4</v>
      </c>
    </row>
    <row r="2362" ht="45" hidden="1" customHeight="1">
      <c r="A2362" s="69"/>
      <c r="B2362" s="94" t="s">
        <v>47</v>
      </c>
      <c r="C2362" s="116" t="s">
        <v>7092</v>
      </c>
      <c r="D2362" s="120" t="s">
        <v>7093</v>
      </c>
      <c r="E2362" s="110" t="s">
        <v>694</v>
      </c>
      <c r="F2362" s="121" t="s">
        <v>695</v>
      </c>
      <c r="G2362" s="120" t="s">
        <v>696</v>
      </c>
      <c r="H2362" s="110" t="s">
        <v>57</v>
      </c>
      <c r="I2362" s="94" t="s">
        <v>7094</v>
      </c>
      <c r="J2362" s="122">
        <v>1</v>
      </c>
      <c r="K2362" s="123"/>
      <c r="L2362" s="124">
        <v>1</v>
      </c>
      <c r="M2362" s="94">
        <v>1952</v>
      </c>
      <c r="N2362" s="121">
        <v>2021</v>
      </c>
      <c r="O2362" s="112" t="s">
        <v>7095</v>
      </c>
      <c r="P2362" s="125" t="s">
        <v>7096</v>
      </c>
      <c r="Q2362" s="112">
        <v>44368</v>
      </c>
      <c r="R2362" s="121">
        <v>2020</v>
      </c>
      <c r="S2362" s="94" t="s">
        <v>236</v>
      </c>
      <c r="T2362" s="239"/>
      <c r="W2362" s="237"/>
      <c r="X2362" s="10"/>
      <c r="Y2362" s="10"/>
      <c r="Z2362" s="75"/>
      <c r="AA2362" s="76"/>
      <c r="AB2362" s="10"/>
      <c r="AC2362" s="7"/>
      <c r="AD2362" s="7"/>
      <c r="AI2362" s="7"/>
      <c r="AJ2362" s="10">
        <v>44448</v>
      </c>
      <c r="AK2362" s="7">
        <v>2020</v>
      </c>
      <c r="AL2362" s="5"/>
      <c r="AS2362" s="84"/>
      <c r="AU2362" s="5"/>
      <c r="AV2362" s="111"/>
      <c r="AW2362" s="6">
        <f t="shared" ca="1" si="39"/>
        <v>4</v>
      </c>
    </row>
    <row r="2363" ht="45" hidden="1" customHeight="1">
      <c r="A2363" s="69"/>
      <c r="B2363" s="94" t="s">
        <v>190</v>
      </c>
      <c r="C2363" s="116" t="s">
        <v>7097</v>
      </c>
      <c r="D2363" s="120" t="s">
        <v>7098</v>
      </c>
      <c r="E2363" s="110" t="s">
        <v>83</v>
      </c>
      <c r="F2363" s="121" t="s">
        <v>84</v>
      </c>
      <c r="G2363" s="120" t="s">
        <v>85</v>
      </c>
      <c r="H2363" s="110" t="s">
        <v>57</v>
      </c>
      <c r="I2363" s="94" t="s">
        <v>7099</v>
      </c>
      <c r="J2363" s="122">
        <v>1</v>
      </c>
      <c r="K2363" s="123"/>
      <c r="L2363" s="124">
        <v>1</v>
      </c>
      <c r="M2363" s="94">
        <v>1953</v>
      </c>
      <c r="N2363" s="121">
        <v>2021</v>
      </c>
      <c r="O2363" s="112">
        <v>44200</v>
      </c>
      <c r="P2363" s="125" t="s">
        <v>7100</v>
      </c>
      <c r="Q2363" s="112">
        <v>44368</v>
      </c>
      <c r="R2363" s="121">
        <v>2020</v>
      </c>
      <c r="S2363" s="94" t="s">
        <v>283</v>
      </c>
      <c r="T2363" s="239"/>
      <c r="U2363" s="73"/>
      <c r="W2363" s="237"/>
      <c r="X2363" s="10"/>
      <c r="Y2363" s="10"/>
      <c r="Z2363" s="75"/>
      <c r="AA2363" s="76"/>
      <c r="AB2363" s="10"/>
      <c r="AC2363" s="7"/>
      <c r="AD2363" s="7"/>
      <c r="AI2363" s="7"/>
      <c r="AJ2363" s="226"/>
      <c r="AL2363" s="5"/>
      <c r="AS2363" s="84"/>
      <c r="AU2363" s="5"/>
      <c r="AV2363" s="111"/>
      <c r="AW2363" s="6">
        <f t="shared" ca="1" si="39"/>
        <v>4</v>
      </c>
    </row>
    <row r="2364" ht="45" hidden="1" customHeight="1">
      <c r="A2364" s="69"/>
      <c r="B2364" s="94" t="s">
        <v>190</v>
      </c>
      <c r="C2364" s="116" t="s">
        <v>7101</v>
      </c>
      <c r="D2364" s="120" t="s">
        <v>7102</v>
      </c>
      <c r="E2364" s="110" t="s">
        <v>63</v>
      </c>
      <c r="F2364" s="121" t="s">
        <v>898</v>
      </c>
      <c r="G2364" s="120" t="s">
        <v>899</v>
      </c>
      <c r="H2364" s="110" t="s">
        <v>57</v>
      </c>
      <c r="I2364" s="94" t="s">
        <v>7103</v>
      </c>
      <c r="J2364" s="122">
        <v>1</v>
      </c>
      <c r="K2364" s="123"/>
      <c r="L2364" s="124">
        <v>1</v>
      </c>
      <c r="M2364" s="94">
        <v>1954</v>
      </c>
      <c r="N2364" s="121">
        <v>2021</v>
      </c>
      <c r="O2364" s="112">
        <v>44235</v>
      </c>
      <c r="P2364" s="125" t="s">
        <v>7104</v>
      </c>
      <c r="Q2364" s="112">
        <v>44368</v>
      </c>
      <c r="R2364" s="121">
        <v>2020</v>
      </c>
      <c r="S2364" s="94" t="s">
        <v>283</v>
      </c>
      <c r="T2364" s="239"/>
      <c r="U2364" s="73"/>
      <c r="W2364" s="237"/>
      <c r="X2364" s="10"/>
      <c r="Y2364" s="10"/>
      <c r="Z2364" s="75"/>
      <c r="AA2364" s="76"/>
      <c r="AB2364" s="10"/>
      <c r="AC2364" s="7"/>
      <c r="AD2364" s="7"/>
      <c r="AI2364" s="7"/>
      <c r="AJ2364" s="226"/>
      <c r="AL2364" s="5"/>
      <c r="AS2364" s="84"/>
      <c r="AU2364" s="5"/>
      <c r="AV2364" s="111"/>
      <c r="AW2364" s="6">
        <f t="shared" ca="1" si="39"/>
        <v>4</v>
      </c>
    </row>
    <row r="2365" ht="45" hidden="1" customHeight="1">
      <c r="A2365" s="69"/>
      <c r="B2365" s="94" t="s">
        <v>47</v>
      </c>
      <c r="C2365" s="116" t="s">
        <v>7105</v>
      </c>
      <c r="D2365" s="120" t="s">
        <v>7106</v>
      </c>
      <c r="E2365" s="110" t="s">
        <v>694</v>
      </c>
      <c r="F2365" s="121" t="s">
        <v>695</v>
      </c>
      <c r="G2365" s="120" t="s">
        <v>7107</v>
      </c>
      <c r="H2365" s="110" t="s">
        <v>57</v>
      </c>
      <c r="I2365" s="94" t="s">
        <v>7108</v>
      </c>
      <c r="J2365" s="122">
        <v>1</v>
      </c>
      <c r="K2365" s="123"/>
      <c r="L2365" s="124">
        <v>1</v>
      </c>
      <c r="M2365" s="94">
        <v>1955</v>
      </c>
      <c r="N2365" s="121">
        <v>2021</v>
      </c>
      <c r="O2365" s="112">
        <v>38400</v>
      </c>
      <c r="P2365" s="125" t="s">
        <v>7109</v>
      </c>
      <c r="Q2365" s="112">
        <v>44368</v>
      </c>
      <c r="R2365" s="121">
        <v>2020</v>
      </c>
      <c r="S2365" s="94" t="s">
        <v>236</v>
      </c>
      <c r="T2365" s="239"/>
      <c r="W2365" s="237"/>
      <c r="X2365" s="10"/>
      <c r="Y2365" s="10"/>
      <c r="Z2365" s="75"/>
      <c r="AA2365" s="76"/>
      <c r="AB2365" s="10"/>
      <c r="AC2365" s="7"/>
      <c r="AD2365" s="7"/>
      <c r="AI2365" s="7"/>
      <c r="AJ2365" s="10">
        <v>44788</v>
      </c>
      <c r="AK2365" s="7">
        <v>2020</v>
      </c>
      <c r="AL2365" s="5"/>
      <c r="AS2365" s="84"/>
      <c r="AU2365" s="5"/>
      <c r="AV2365" s="111"/>
      <c r="AW2365" s="6">
        <f t="shared" ca="1" si="39"/>
        <v>4</v>
      </c>
    </row>
    <row r="2366" ht="45" hidden="1" customHeight="1">
      <c r="A2366" s="69"/>
      <c r="B2366" s="94" t="s">
        <v>190</v>
      </c>
      <c r="C2366" s="116" t="s">
        <v>7097</v>
      </c>
      <c r="D2366" s="120" t="s">
        <v>7110</v>
      </c>
      <c r="E2366" s="110" t="s">
        <v>83</v>
      </c>
      <c r="F2366" s="121" t="s">
        <v>179</v>
      </c>
      <c r="G2366" s="120" t="s">
        <v>913</v>
      </c>
      <c r="H2366" s="110" t="s">
        <v>68</v>
      </c>
      <c r="I2366" s="94" t="s">
        <v>7111</v>
      </c>
      <c r="J2366" s="122">
        <v>1</v>
      </c>
      <c r="K2366" s="123"/>
      <c r="L2366" s="124">
        <v>1</v>
      </c>
      <c r="M2366" s="94">
        <v>1956</v>
      </c>
      <c r="N2366" s="121">
        <v>2021</v>
      </c>
      <c r="O2366" s="112">
        <v>40262</v>
      </c>
      <c r="P2366" s="125" t="s">
        <v>7112</v>
      </c>
      <c r="Q2366" s="112">
        <v>44368</v>
      </c>
      <c r="R2366" s="121">
        <v>2020</v>
      </c>
      <c r="S2366" s="94" t="s">
        <v>283</v>
      </c>
      <c r="T2366" s="239"/>
      <c r="U2366" s="73"/>
      <c r="W2366" s="237"/>
      <c r="X2366" s="10"/>
      <c r="Y2366" s="10"/>
      <c r="Z2366" s="75"/>
      <c r="AA2366" s="76"/>
      <c r="AB2366" s="10"/>
      <c r="AC2366" s="7"/>
      <c r="AD2366" s="7"/>
      <c r="AI2366" s="7"/>
      <c r="AJ2366" s="226"/>
      <c r="AL2366" s="5"/>
      <c r="AS2366" s="84"/>
      <c r="AU2366" s="5"/>
      <c r="AV2366" s="111"/>
      <c r="AW2366" s="6">
        <f t="shared" ca="1" si="39"/>
        <v>4</v>
      </c>
    </row>
    <row r="2367" ht="45" hidden="1" customHeight="1">
      <c r="A2367" s="69">
        <v>45331</v>
      </c>
      <c r="B2367" s="94" t="s">
        <v>1926</v>
      </c>
      <c r="C2367" s="116" t="s">
        <v>7113</v>
      </c>
      <c r="D2367" s="120" t="s">
        <v>7114</v>
      </c>
      <c r="E2367" s="110" t="s">
        <v>694</v>
      </c>
      <c r="F2367" s="121" t="s">
        <v>695</v>
      </c>
      <c r="G2367" s="120" t="s">
        <v>1679</v>
      </c>
      <c r="H2367" s="110" t="s">
        <v>57</v>
      </c>
      <c r="I2367" s="94" t="s">
        <v>7115</v>
      </c>
      <c r="J2367" s="122">
        <v>1</v>
      </c>
      <c r="K2367" s="123"/>
      <c r="L2367" s="124">
        <v>1</v>
      </c>
      <c r="M2367" s="94">
        <v>1957</v>
      </c>
      <c r="N2367" s="121">
        <v>2021</v>
      </c>
      <c r="O2367" s="112">
        <v>36670</v>
      </c>
      <c r="P2367" s="125" t="s">
        <v>7116</v>
      </c>
      <c r="Q2367" s="112">
        <v>44369</v>
      </c>
      <c r="R2367" s="121">
        <v>2020</v>
      </c>
      <c r="S2367" s="94" t="s">
        <v>283</v>
      </c>
      <c r="T2367" s="239" t="s">
        <v>1136</v>
      </c>
      <c r="U2367" s="73"/>
      <c r="W2367" s="237"/>
      <c r="X2367" s="10"/>
      <c r="Y2367" s="10"/>
      <c r="Z2367" s="75"/>
      <c r="AA2367" s="76"/>
      <c r="AB2367" s="10"/>
      <c r="AC2367" s="7"/>
      <c r="AD2367" s="7"/>
      <c r="AI2367" s="7"/>
      <c r="AJ2367" s="226"/>
      <c r="AL2367" s="5"/>
      <c r="AS2367" s="84"/>
      <c r="AU2367" s="5"/>
      <c r="AV2367" s="111"/>
      <c r="AW2367" s="6">
        <f t="shared" ca="1" si="39"/>
        <v>4</v>
      </c>
    </row>
    <row r="2368" ht="45" hidden="1" customHeight="1">
      <c r="A2368" s="69"/>
      <c r="B2368" s="94" t="s">
        <v>47</v>
      </c>
      <c r="C2368" s="116" t="s">
        <v>4578</v>
      </c>
      <c r="D2368" s="120" t="s">
        <v>7117</v>
      </c>
      <c r="E2368" s="110" t="s">
        <v>63</v>
      </c>
      <c r="F2368" s="121" t="s">
        <v>172</v>
      </c>
      <c r="G2368" s="120" t="s">
        <v>7118</v>
      </c>
      <c r="H2368" s="110" t="s">
        <v>508</v>
      </c>
      <c r="I2368" s="94" t="s">
        <v>7119</v>
      </c>
      <c r="J2368" s="122">
        <v>1</v>
      </c>
      <c r="K2368" s="123"/>
      <c r="L2368" s="124">
        <v>1</v>
      </c>
      <c r="M2368" s="94">
        <v>1958</v>
      </c>
      <c r="N2368" s="121">
        <v>2021</v>
      </c>
      <c r="O2368" s="112">
        <v>44208</v>
      </c>
      <c r="P2368" s="125" t="s">
        <v>7120</v>
      </c>
      <c r="Q2368" s="112">
        <v>44369</v>
      </c>
      <c r="R2368" s="121">
        <v>2020</v>
      </c>
      <c r="S2368" s="94" t="s">
        <v>236</v>
      </c>
      <c r="T2368" s="239"/>
      <c r="W2368" s="237"/>
      <c r="X2368" s="10"/>
      <c r="Y2368" s="10"/>
      <c r="Z2368" s="75"/>
      <c r="AA2368" s="76"/>
      <c r="AB2368" s="10"/>
      <c r="AC2368" s="7"/>
      <c r="AD2368" s="7"/>
      <c r="AI2368" s="7"/>
      <c r="AJ2368" s="10">
        <v>44404</v>
      </c>
      <c r="AK2368" s="7">
        <v>2020</v>
      </c>
      <c r="AL2368" s="5"/>
      <c r="AS2368" s="84"/>
      <c r="AU2368" s="5"/>
      <c r="AV2368" s="111"/>
      <c r="AW2368" s="6">
        <f t="shared" ca="1" si="39"/>
        <v>4</v>
      </c>
    </row>
    <row r="2369" ht="45" hidden="1" customHeight="1">
      <c r="A2369" s="69"/>
      <c r="B2369" s="94" t="s">
        <v>190</v>
      </c>
      <c r="C2369" s="116" t="s">
        <v>7121</v>
      </c>
      <c r="D2369" s="120" t="s">
        <v>7122</v>
      </c>
      <c r="E2369" s="110" t="s">
        <v>83</v>
      </c>
      <c r="F2369" s="121" t="s">
        <v>704</v>
      </c>
      <c r="G2369" s="120" t="s">
        <v>7123</v>
      </c>
      <c r="H2369" s="110" t="s">
        <v>257</v>
      </c>
      <c r="I2369" s="94" t="s">
        <v>7124</v>
      </c>
      <c r="J2369" s="122">
        <v>1</v>
      </c>
      <c r="K2369" s="123"/>
      <c r="L2369" s="124">
        <v>1</v>
      </c>
      <c r="M2369" s="94">
        <v>1959</v>
      </c>
      <c r="N2369" s="121">
        <v>2021</v>
      </c>
      <c r="O2369" s="112">
        <v>44305</v>
      </c>
      <c r="P2369" s="125" t="s">
        <v>7125</v>
      </c>
      <c r="Q2369" s="112">
        <v>44372</v>
      </c>
      <c r="R2369" s="121">
        <v>2020</v>
      </c>
      <c r="S2369" s="94" t="s">
        <v>283</v>
      </c>
      <c r="T2369" s="239"/>
      <c r="U2369" s="73"/>
      <c r="W2369" s="237"/>
      <c r="X2369" s="10"/>
      <c r="Y2369" s="10"/>
      <c r="Z2369" s="75"/>
      <c r="AA2369" s="76"/>
      <c r="AB2369" s="10"/>
      <c r="AC2369" s="7"/>
      <c r="AD2369" s="7"/>
      <c r="AI2369" s="7"/>
      <c r="AJ2369" s="226"/>
      <c r="AL2369" s="5"/>
      <c r="AS2369" s="84"/>
      <c r="AU2369" s="5"/>
      <c r="AV2369" s="111"/>
      <c r="AW2369" s="6">
        <f t="shared" ca="1" si="39"/>
        <v>4</v>
      </c>
    </row>
    <row r="2370" ht="45" hidden="1" customHeight="1">
      <c r="A2370" s="69"/>
      <c r="B2370" s="94" t="s">
        <v>190</v>
      </c>
      <c r="C2370" s="116" t="s">
        <v>7126</v>
      </c>
      <c r="D2370" s="120" t="s">
        <v>7127</v>
      </c>
      <c r="E2370" s="110" t="s">
        <v>83</v>
      </c>
      <c r="F2370" s="121" t="s">
        <v>704</v>
      </c>
      <c r="G2370" s="120" t="s">
        <v>996</v>
      </c>
      <c r="H2370" s="110" t="s">
        <v>57</v>
      </c>
      <c r="I2370" s="94" t="s">
        <v>7128</v>
      </c>
      <c r="J2370" s="122">
        <v>1</v>
      </c>
      <c r="K2370" s="123"/>
      <c r="L2370" s="124">
        <v>1</v>
      </c>
      <c r="M2370" s="94">
        <v>1960</v>
      </c>
      <c r="N2370" s="121">
        <v>2021</v>
      </c>
      <c r="O2370" s="112">
        <v>44363</v>
      </c>
      <c r="P2370" s="125" t="s">
        <v>7129</v>
      </c>
      <c r="Q2370" s="112">
        <v>44372</v>
      </c>
      <c r="R2370" s="121">
        <v>2020</v>
      </c>
      <c r="S2370" s="94" t="s">
        <v>283</v>
      </c>
      <c r="T2370" s="239"/>
      <c r="U2370" s="73"/>
      <c r="W2370" s="237"/>
      <c r="X2370" s="10"/>
      <c r="Y2370" s="10"/>
      <c r="Z2370" s="75"/>
      <c r="AA2370" s="76"/>
      <c r="AB2370" s="10"/>
      <c r="AC2370" s="7"/>
      <c r="AD2370" s="7"/>
      <c r="AI2370" s="7"/>
      <c r="AJ2370" s="226"/>
      <c r="AL2370" s="5"/>
      <c r="AS2370" s="84"/>
      <c r="AU2370" s="5"/>
      <c r="AV2370" s="111"/>
      <c r="AW2370" s="6">
        <f t="shared" ca="1" si="39"/>
        <v>4</v>
      </c>
    </row>
    <row r="2371" ht="45" hidden="1" customHeight="1">
      <c r="A2371" s="69"/>
      <c r="B2371" s="94" t="s">
        <v>190</v>
      </c>
      <c r="C2371" s="116" t="s">
        <v>7130</v>
      </c>
      <c r="D2371" s="120" t="s">
        <v>7131</v>
      </c>
      <c r="E2371" s="110" t="s">
        <v>83</v>
      </c>
      <c r="F2371" s="121" t="s">
        <v>84</v>
      </c>
      <c r="G2371" s="120" t="s">
        <v>85</v>
      </c>
      <c r="H2371" s="110" t="s">
        <v>57</v>
      </c>
      <c r="I2371" s="94" t="s">
        <v>7132</v>
      </c>
      <c r="J2371" s="122">
        <v>1</v>
      </c>
      <c r="K2371" s="123"/>
      <c r="L2371" s="124">
        <v>1</v>
      </c>
      <c r="M2371" s="94">
        <v>1961</v>
      </c>
      <c r="N2371" s="121">
        <v>2021</v>
      </c>
      <c r="O2371" s="112">
        <v>44258</v>
      </c>
      <c r="P2371" s="125" t="s">
        <v>7133</v>
      </c>
      <c r="Q2371" s="112">
        <v>44372</v>
      </c>
      <c r="R2371" s="121">
        <v>2020</v>
      </c>
      <c r="S2371" s="94" t="s">
        <v>283</v>
      </c>
      <c r="T2371" s="239"/>
      <c r="U2371" s="73"/>
      <c r="W2371" s="237"/>
      <c r="X2371" s="10"/>
      <c r="Y2371" s="10"/>
      <c r="Z2371" s="75"/>
      <c r="AA2371" s="76"/>
      <c r="AB2371" s="10"/>
      <c r="AC2371" s="7"/>
      <c r="AD2371" s="7"/>
      <c r="AI2371" s="7"/>
      <c r="AJ2371" s="226"/>
      <c r="AL2371" s="5"/>
      <c r="AS2371" s="84"/>
      <c r="AU2371" s="5"/>
      <c r="AV2371" s="111"/>
      <c r="AW2371" s="6">
        <f t="shared" ca="1" si="39"/>
        <v>4</v>
      </c>
    </row>
    <row r="2372" ht="45" hidden="1" customHeight="1">
      <c r="A2372" s="69">
        <v>45167</v>
      </c>
      <c r="B2372" s="94" t="s">
        <v>190</v>
      </c>
      <c r="C2372" s="116" t="s">
        <v>7134</v>
      </c>
      <c r="D2372" s="120" t="s">
        <v>7135</v>
      </c>
      <c r="E2372" s="110" t="s">
        <v>83</v>
      </c>
      <c r="F2372" s="121" t="s">
        <v>179</v>
      </c>
      <c r="G2372" s="120" t="s">
        <v>287</v>
      </c>
      <c r="H2372" s="110" t="s">
        <v>57</v>
      </c>
      <c r="I2372" s="94" t="s">
        <v>7136</v>
      </c>
      <c r="J2372" s="122">
        <v>1</v>
      </c>
      <c r="K2372" s="123"/>
      <c r="L2372" s="124">
        <v>1</v>
      </c>
      <c r="M2372" s="94">
        <v>1962</v>
      </c>
      <c r="N2372" s="121">
        <v>2021</v>
      </c>
      <c r="O2372" s="112">
        <v>43333</v>
      </c>
      <c r="P2372" s="125" t="s">
        <v>7137</v>
      </c>
      <c r="Q2372" s="112">
        <v>44372</v>
      </c>
      <c r="R2372" s="121">
        <v>2020</v>
      </c>
      <c r="S2372" s="94" t="s">
        <v>283</v>
      </c>
      <c r="T2372" s="239"/>
      <c r="U2372" s="73"/>
      <c r="W2372" s="237"/>
      <c r="X2372" s="10"/>
      <c r="Y2372" s="10"/>
      <c r="Z2372" s="75"/>
      <c r="AA2372" s="76"/>
      <c r="AB2372" s="10"/>
      <c r="AC2372" s="7"/>
      <c r="AD2372" s="7"/>
      <c r="AI2372" s="7"/>
      <c r="AJ2372" s="226"/>
      <c r="AL2372" s="5"/>
      <c r="AS2372" s="84"/>
      <c r="AU2372" s="5"/>
      <c r="AV2372" s="111"/>
      <c r="AW2372" s="6">
        <f t="shared" ca="1" si="39"/>
        <v>4</v>
      </c>
    </row>
    <row r="2373" ht="45" hidden="1" customHeight="1">
      <c r="A2373" s="69"/>
      <c r="B2373" s="3" t="s">
        <v>190</v>
      </c>
      <c r="C2373" s="116" t="s">
        <v>7138</v>
      </c>
      <c r="D2373" s="5" t="s">
        <v>7139</v>
      </c>
      <c r="E2373" s="2" t="s">
        <v>83</v>
      </c>
      <c r="F2373" s="6" t="s">
        <v>704</v>
      </c>
      <c r="G2373" s="5" t="s">
        <v>7140</v>
      </c>
      <c r="H2373" s="2" t="s">
        <v>51</v>
      </c>
      <c r="I2373" s="3" t="s">
        <v>7141</v>
      </c>
      <c r="J2373" s="7">
        <v>1</v>
      </c>
      <c r="K2373" s="70"/>
      <c r="L2373" s="9">
        <v>1</v>
      </c>
      <c r="M2373" s="3">
        <v>1963</v>
      </c>
      <c r="N2373" s="6">
        <v>2021</v>
      </c>
      <c r="O2373" s="10">
        <v>44334</v>
      </c>
      <c r="P2373" s="71" t="s">
        <v>7142</v>
      </c>
      <c r="Q2373" s="112">
        <v>44375</v>
      </c>
      <c r="R2373" s="6">
        <v>2020</v>
      </c>
      <c r="S2373" s="3" t="s">
        <v>283</v>
      </c>
      <c r="T2373" s="239"/>
      <c r="U2373" s="73"/>
      <c r="W2373" s="175"/>
      <c r="X2373" s="10"/>
      <c r="Y2373" s="10"/>
      <c r="Z2373" s="75"/>
      <c r="AA2373" s="76"/>
      <c r="AB2373" s="10"/>
      <c r="AC2373" s="7"/>
      <c r="AD2373" s="7"/>
      <c r="AI2373" s="7"/>
      <c r="AJ2373" s="226"/>
      <c r="AL2373" s="5"/>
      <c r="AS2373" s="84"/>
      <c r="AU2373" s="5"/>
      <c r="AV2373" s="111"/>
      <c r="AW2373" s="6">
        <f t="shared" ca="1" si="39"/>
        <v>4</v>
      </c>
    </row>
    <row r="2374" ht="45" hidden="1" customHeight="1">
      <c r="A2374" s="69">
        <v>44404</v>
      </c>
      <c r="B2374" s="94" t="s">
        <v>47</v>
      </c>
      <c r="C2374" s="116" t="s">
        <v>7143</v>
      </c>
      <c r="D2374" s="120" t="s">
        <v>7144</v>
      </c>
      <c r="E2374" s="110" t="s">
        <v>83</v>
      </c>
      <c r="F2374" s="121" t="s">
        <v>179</v>
      </c>
      <c r="G2374" s="120" t="s">
        <v>7145</v>
      </c>
      <c r="H2374" s="110" t="s">
        <v>57</v>
      </c>
      <c r="I2374" s="94" t="s">
        <v>7146</v>
      </c>
      <c r="J2374" s="122">
        <v>2</v>
      </c>
      <c r="K2374" s="123"/>
      <c r="L2374" s="124">
        <v>1</v>
      </c>
      <c r="M2374" s="94">
        <v>1964</v>
      </c>
      <c r="N2374" s="121">
        <v>2021</v>
      </c>
      <c r="O2374" s="112">
        <v>40170</v>
      </c>
      <c r="P2374" s="125" t="s">
        <v>7147</v>
      </c>
      <c r="Q2374" s="112">
        <v>44375</v>
      </c>
      <c r="R2374" s="121">
        <v>2020</v>
      </c>
      <c r="S2374" s="94" t="s">
        <v>283</v>
      </c>
      <c r="T2374" s="239" t="s">
        <v>1136</v>
      </c>
      <c r="U2374" s="73"/>
      <c r="W2374" s="237"/>
      <c r="X2374" s="10"/>
      <c r="Y2374" s="10"/>
      <c r="Z2374" s="75"/>
      <c r="AA2374" s="76"/>
      <c r="AB2374" s="10"/>
      <c r="AC2374" s="7"/>
      <c r="AD2374" s="7"/>
      <c r="AI2374" s="7"/>
      <c r="AJ2374" s="226"/>
      <c r="AL2374" s="5"/>
      <c r="AS2374" s="84"/>
      <c r="AU2374" s="5"/>
      <c r="AV2374" s="111"/>
      <c r="AW2374" s="6">
        <f t="shared" ca="1" si="39"/>
        <v>4</v>
      </c>
    </row>
    <row r="2375" ht="45" hidden="1" customHeight="1">
      <c r="A2375" s="69"/>
      <c r="B2375" s="94" t="s">
        <v>47</v>
      </c>
      <c r="C2375" s="116" t="s">
        <v>7148</v>
      </c>
      <c r="D2375" s="120" t="s">
        <v>7149</v>
      </c>
      <c r="E2375" s="110" t="s">
        <v>83</v>
      </c>
      <c r="F2375" s="121" t="s">
        <v>179</v>
      </c>
      <c r="G2375" s="120" t="s">
        <v>7150</v>
      </c>
      <c r="H2375" s="110" t="s">
        <v>57</v>
      </c>
      <c r="I2375" s="94" t="s">
        <v>7151</v>
      </c>
      <c r="J2375" s="122">
        <v>1</v>
      </c>
      <c r="K2375" s="123"/>
      <c r="L2375" s="124">
        <v>1</v>
      </c>
      <c r="M2375" s="94">
        <v>1965</v>
      </c>
      <c r="N2375" s="121">
        <v>2021</v>
      </c>
      <c r="O2375" s="112">
        <v>41733</v>
      </c>
      <c r="P2375" s="125" t="s">
        <v>7152</v>
      </c>
      <c r="Q2375" s="112">
        <v>44375</v>
      </c>
      <c r="R2375" s="121">
        <v>2020</v>
      </c>
      <c r="S2375" s="94" t="s">
        <v>236</v>
      </c>
      <c r="T2375" s="239" t="s">
        <v>1136</v>
      </c>
      <c r="W2375" s="237"/>
      <c r="X2375" s="10"/>
      <c r="Y2375" s="10"/>
      <c r="Z2375" s="75"/>
      <c r="AA2375" s="76"/>
      <c r="AB2375" s="10"/>
      <c r="AC2375" s="7"/>
      <c r="AD2375" s="7"/>
      <c r="AI2375" s="7"/>
      <c r="AJ2375" s="10">
        <v>44418</v>
      </c>
      <c r="AK2375" s="7">
        <v>2020</v>
      </c>
      <c r="AL2375" s="5"/>
      <c r="AS2375" s="84"/>
      <c r="AU2375" s="5"/>
      <c r="AV2375" s="111"/>
      <c r="AW2375" s="6">
        <f t="shared" ca="1" si="39"/>
        <v>4</v>
      </c>
    </row>
    <row r="2376" ht="45" hidden="1" customHeight="1">
      <c r="A2376" s="69">
        <v>44930</v>
      </c>
      <c r="B2376" s="94" t="s">
        <v>1926</v>
      </c>
      <c r="C2376" s="116" t="s">
        <v>7153</v>
      </c>
      <c r="D2376" s="120" t="s">
        <v>7154</v>
      </c>
      <c r="E2376" s="110" t="s">
        <v>48</v>
      </c>
      <c r="F2376" s="121" t="s">
        <v>49</v>
      </c>
      <c r="G2376" s="120" t="s">
        <v>7155</v>
      </c>
      <c r="H2376" s="110" t="s">
        <v>57</v>
      </c>
      <c r="I2376" s="94" t="s">
        <v>7156</v>
      </c>
      <c r="J2376" s="122">
        <v>1</v>
      </c>
      <c r="K2376" s="123"/>
      <c r="L2376" s="124">
        <v>1</v>
      </c>
      <c r="M2376" s="94">
        <v>1966</v>
      </c>
      <c r="N2376" s="121">
        <v>2021</v>
      </c>
      <c r="O2376" s="112">
        <v>43860</v>
      </c>
      <c r="P2376" s="125" t="s">
        <v>7157</v>
      </c>
      <c r="Q2376" s="112">
        <v>44382</v>
      </c>
      <c r="R2376" s="121">
        <v>2020</v>
      </c>
      <c r="S2376" s="94" t="s">
        <v>236</v>
      </c>
      <c r="T2376" s="239" t="s">
        <v>1136</v>
      </c>
      <c r="W2376" s="237"/>
      <c r="X2376" s="10"/>
      <c r="Y2376" s="10"/>
      <c r="Z2376" s="75"/>
      <c r="AA2376" s="76"/>
      <c r="AB2376" s="10"/>
      <c r="AC2376" s="7"/>
      <c r="AD2376" s="7"/>
      <c r="AI2376" s="7"/>
      <c r="AJ2376" s="10">
        <v>44519</v>
      </c>
      <c r="AK2376" s="7">
        <v>2020</v>
      </c>
      <c r="AL2376" s="5"/>
      <c r="AS2376" s="84"/>
      <c r="AU2376" s="5"/>
      <c r="AV2376" s="111"/>
      <c r="AW2376" s="6">
        <f t="shared" ca="1" si="39"/>
        <v>4</v>
      </c>
    </row>
    <row r="2377" ht="45" hidden="1" customHeight="1">
      <c r="A2377" s="69"/>
      <c r="B2377" s="94" t="s">
        <v>47</v>
      </c>
      <c r="C2377" s="116" t="s">
        <v>7158</v>
      </c>
      <c r="D2377" s="120" t="s">
        <v>7159</v>
      </c>
      <c r="E2377" s="110" t="s">
        <v>83</v>
      </c>
      <c r="F2377" s="121" t="s">
        <v>179</v>
      </c>
      <c r="G2377" s="120" t="s">
        <v>7160</v>
      </c>
      <c r="H2377" s="110" t="s">
        <v>508</v>
      </c>
      <c r="I2377" s="94" t="s">
        <v>7161</v>
      </c>
      <c r="J2377" s="122">
        <v>1</v>
      </c>
      <c r="K2377" s="123"/>
      <c r="L2377" s="124">
        <v>1</v>
      </c>
      <c r="M2377" s="94">
        <v>1967</v>
      </c>
      <c r="N2377" s="121">
        <v>2021</v>
      </c>
      <c r="O2377" s="112">
        <v>43360</v>
      </c>
      <c r="P2377" s="125" t="s">
        <v>7162</v>
      </c>
      <c r="Q2377" s="112">
        <v>44382</v>
      </c>
      <c r="R2377" s="121">
        <v>2020</v>
      </c>
      <c r="S2377" s="94" t="s">
        <v>236</v>
      </c>
      <c r="T2377" s="239"/>
      <c r="W2377" s="237"/>
      <c r="X2377" s="10"/>
      <c r="Y2377" s="10"/>
      <c r="Z2377" s="75"/>
      <c r="AA2377" s="76"/>
      <c r="AB2377" s="10"/>
      <c r="AC2377" s="7"/>
      <c r="AD2377" s="7"/>
      <c r="AI2377" s="7"/>
      <c r="AJ2377" s="10">
        <v>44400</v>
      </c>
      <c r="AK2377" s="7">
        <v>2020</v>
      </c>
      <c r="AL2377" s="5"/>
      <c r="AS2377" s="84"/>
      <c r="AU2377" s="5"/>
      <c r="AV2377" s="111"/>
      <c r="AW2377" s="6">
        <f t="shared" ca="1" si="39"/>
        <v>4</v>
      </c>
    </row>
    <row r="2378" ht="45" hidden="1" customHeight="1">
      <c r="A2378" s="69"/>
      <c r="B2378" s="94" t="s">
        <v>47</v>
      </c>
      <c r="C2378" s="116" t="s">
        <v>7163</v>
      </c>
      <c r="D2378" s="120" t="s">
        <v>7164</v>
      </c>
      <c r="E2378" s="110" t="s">
        <v>83</v>
      </c>
      <c r="F2378" s="121" t="s">
        <v>84</v>
      </c>
      <c r="G2378" s="120" t="s">
        <v>85</v>
      </c>
      <c r="H2378" s="110" t="s">
        <v>57</v>
      </c>
      <c r="I2378" s="94" t="s">
        <v>7165</v>
      </c>
      <c r="J2378" s="122">
        <v>1</v>
      </c>
      <c r="K2378" s="123"/>
      <c r="L2378" s="124">
        <v>1</v>
      </c>
      <c r="M2378" s="94">
        <v>1968</v>
      </c>
      <c r="N2378" s="121">
        <v>2021</v>
      </c>
      <c r="O2378" s="112">
        <v>44275</v>
      </c>
      <c r="P2378" s="125" t="s">
        <v>7166</v>
      </c>
      <c r="Q2378" s="112">
        <v>44382</v>
      </c>
      <c r="R2378" s="121">
        <v>2020</v>
      </c>
      <c r="S2378" s="94" t="s">
        <v>236</v>
      </c>
      <c r="T2378" s="239"/>
      <c r="W2378" s="237"/>
      <c r="X2378" s="10"/>
      <c r="Y2378" s="10"/>
      <c r="Z2378" s="75"/>
      <c r="AA2378" s="76"/>
      <c r="AB2378" s="10"/>
      <c r="AC2378" s="7"/>
      <c r="AD2378" s="7"/>
      <c r="AI2378" s="7"/>
      <c r="AJ2378" s="10">
        <v>44378</v>
      </c>
      <c r="AK2378" s="7">
        <v>2020</v>
      </c>
      <c r="AL2378" s="5"/>
      <c r="AS2378" s="84"/>
      <c r="AU2378" s="5"/>
      <c r="AV2378" s="111"/>
      <c r="AW2378" s="6">
        <f t="shared" ca="1" si="39"/>
        <v>4</v>
      </c>
    </row>
    <row r="2379" ht="45" hidden="1" customHeight="1">
      <c r="A2379" s="69"/>
      <c r="B2379" s="94" t="s">
        <v>47</v>
      </c>
      <c r="C2379" s="116" t="s">
        <v>7167</v>
      </c>
      <c r="D2379" s="120" t="s">
        <v>7168</v>
      </c>
      <c r="E2379" s="110" t="s">
        <v>63</v>
      </c>
      <c r="F2379" s="121" t="s">
        <v>1480</v>
      </c>
      <c r="G2379" s="120" t="s">
        <v>1481</v>
      </c>
      <c r="H2379" s="110" t="s">
        <v>88</v>
      </c>
      <c r="I2379" s="94" t="s">
        <v>7169</v>
      </c>
      <c r="J2379" s="122">
        <v>1</v>
      </c>
      <c r="K2379" s="123"/>
      <c r="L2379" s="124">
        <v>1</v>
      </c>
      <c r="M2379" s="94">
        <v>1969</v>
      </c>
      <c r="N2379" s="121">
        <v>2021</v>
      </c>
      <c r="O2379" s="112">
        <v>43336</v>
      </c>
      <c r="P2379" s="125" t="s">
        <v>7170</v>
      </c>
      <c r="Q2379" s="112">
        <v>44389</v>
      </c>
      <c r="R2379" s="121">
        <v>2020</v>
      </c>
      <c r="S2379" s="94" t="s">
        <v>236</v>
      </c>
      <c r="T2379" s="239"/>
      <c r="W2379" s="237"/>
      <c r="X2379" s="10"/>
      <c r="Y2379" s="10"/>
      <c r="Z2379" s="75"/>
      <c r="AA2379" s="76"/>
      <c r="AB2379" s="10"/>
      <c r="AC2379" s="7"/>
      <c r="AD2379" s="7"/>
      <c r="AI2379" s="7"/>
      <c r="AJ2379" s="10">
        <v>44400</v>
      </c>
      <c r="AK2379" s="7">
        <v>2020</v>
      </c>
      <c r="AL2379" s="240"/>
      <c r="AS2379" s="84"/>
      <c r="AU2379" s="5"/>
      <c r="AV2379" s="111"/>
      <c r="AW2379" s="6">
        <f t="shared" ca="1" si="39"/>
        <v>4</v>
      </c>
    </row>
    <row r="2380" ht="45" hidden="1" customHeight="1">
      <c r="A2380" s="69"/>
      <c r="B2380" s="94" t="s">
        <v>47</v>
      </c>
      <c r="C2380" s="116" t="s">
        <v>7171</v>
      </c>
      <c r="D2380" s="120" t="s">
        <v>7172</v>
      </c>
      <c r="E2380" s="110" t="s">
        <v>48</v>
      </c>
      <c r="F2380" s="121" t="s">
        <v>564</v>
      </c>
      <c r="G2380" s="120" t="s">
        <v>565</v>
      </c>
      <c r="H2380" s="110" t="s">
        <v>508</v>
      </c>
      <c r="I2380" s="94" t="s">
        <v>7173</v>
      </c>
      <c r="J2380" s="122">
        <v>1</v>
      </c>
      <c r="K2380" s="123"/>
      <c r="L2380" s="124">
        <v>1</v>
      </c>
      <c r="M2380" s="94">
        <v>1970</v>
      </c>
      <c r="N2380" s="121">
        <v>2021</v>
      </c>
      <c r="O2380" s="112">
        <v>43320</v>
      </c>
      <c r="P2380" s="125" t="s">
        <v>7174</v>
      </c>
      <c r="Q2380" s="112">
        <v>44389</v>
      </c>
      <c r="R2380" s="121">
        <v>2020</v>
      </c>
      <c r="S2380" s="94" t="s">
        <v>236</v>
      </c>
      <c r="T2380" s="239"/>
      <c r="U2380" s="10">
        <v>44410</v>
      </c>
      <c r="W2380" s="237"/>
      <c r="X2380" s="10"/>
      <c r="Y2380" s="10"/>
      <c r="Z2380" s="75"/>
      <c r="AA2380" s="76"/>
      <c r="AB2380" s="10"/>
      <c r="AC2380" s="7"/>
      <c r="AD2380" s="7"/>
      <c r="AI2380" s="7"/>
      <c r="AJ2380" s="10">
        <v>44378</v>
      </c>
      <c r="AK2380" s="7">
        <v>2020</v>
      </c>
      <c r="AL2380" s="5"/>
      <c r="AS2380" s="84"/>
      <c r="AU2380" s="5"/>
      <c r="AV2380" s="111"/>
      <c r="AW2380" s="6">
        <f t="shared" ca="1" si="39"/>
        <v>4</v>
      </c>
    </row>
    <row r="2381" ht="45" hidden="1" customHeight="1">
      <c r="A2381" s="69">
        <v>44739</v>
      </c>
      <c r="B2381" s="94" t="s">
        <v>47</v>
      </c>
      <c r="C2381" s="116" t="s">
        <v>7175</v>
      </c>
      <c r="D2381" s="120" t="s">
        <v>7176</v>
      </c>
      <c r="E2381" s="110" t="s">
        <v>694</v>
      </c>
      <c r="F2381" s="121" t="s">
        <v>695</v>
      </c>
      <c r="G2381" s="120" t="s">
        <v>696</v>
      </c>
      <c r="H2381" s="110" t="s">
        <v>57</v>
      </c>
      <c r="I2381" s="94" t="s">
        <v>7177</v>
      </c>
      <c r="J2381" s="122">
        <v>1</v>
      </c>
      <c r="K2381" s="123"/>
      <c r="L2381" s="124">
        <v>1</v>
      </c>
      <c r="M2381" s="94">
        <v>1971</v>
      </c>
      <c r="N2381" s="121">
        <v>2021</v>
      </c>
      <c r="O2381" s="112">
        <v>29743</v>
      </c>
      <c r="P2381" s="125" t="s">
        <v>7178</v>
      </c>
      <c r="Q2381" s="112">
        <v>44389</v>
      </c>
      <c r="R2381" s="121">
        <v>2020</v>
      </c>
      <c r="S2381" s="94" t="s">
        <v>236</v>
      </c>
      <c r="T2381" s="239" t="s">
        <v>1136</v>
      </c>
      <c r="W2381" s="237"/>
      <c r="X2381" s="10"/>
      <c r="Y2381" s="10"/>
      <c r="Z2381" s="75"/>
      <c r="AA2381" s="76"/>
      <c r="AB2381" s="10"/>
      <c r="AC2381" s="7"/>
      <c r="AD2381" s="7"/>
      <c r="AI2381" s="7"/>
      <c r="AJ2381" s="10">
        <v>44768</v>
      </c>
      <c r="AK2381" s="7">
        <v>2020</v>
      </c>
      <c r="AL2381" s="5"/>
      <c r="AS2381" s="84"/>
      <c r="AU2381" s="5"/>
      <c r="AV2381" s="111"/>
      <c r="AW2381" s="6">
        <f t="shared" ca="1" si="39"/>
        <v>4</v>
      </c>
    </row>
    <row r="2382" ht="45" hidden="1" customHeight="1">
      <c r="A2382" s="69"/>
      <c r="B2382" s="94" t="s">
        <v>47</v>
      </c>
      <c r="C2382" s="116" t="s">
        <v>7179</v>
      </c>
      <c r="D2382" s="120" t="s">
        <v>7180</v>
      </c>
      <c r="E2382" s="110" t="s">
        <v>1074</v>
      </c>
      <c r="F2382" s="121" t="s">
        <v>2092</v>
      </c>
      <c r="G2382" s="120" t="s">
        <v>7181</v>
      </c>
      <c r="H2382" s="110" t="s">
        <v>288</v>
      </c>
      <c r="I2382" s="94" t="s">
        <v>7182</v>
      </c>
      <c r="J2382" s="122">
        <v>1</v>
      </c>
      <c r="K2382" s="123"/>
      <c r="L2382" s="124">
        <v>1</v>
      </c>
      <c r="M2382" s="94">
        <v>1972</v>
      </c>
      <c r="N2382" s="121">
        <v>2021</v>
      </c>
      <c r="O2382" s="112">
        <v>44371</v>
      </c>
      <c r="P2382" s="125" t="s">
        <v>7183</v>
      </c>
      <c r="Q2382" s="112">
        <v>44389</v>
      </c>
      <c r="R2382" s="121">
        <v>2020</v>
      </c>
      <c r="S2382" s="94" t="s">
        <v>236</v>
      </c>
      <c r="T2382" s="239" t="s">
        <v>1136</v>
      </c>
      <c r="W2382" s="237"/>
      <c r="X2382" s="10"/>
      <c r="Y2382" s="10"/>
      <c r="Z2382" s="75"/>
      <c r="AA2382" s="76"/>
      <c r="AB2382" s="10"/>
      <c r="AC2382" s="7"/>
      <c r="AD2382" s="7"/>
      <c r="AI2382" s="7"/>
      <c r="AJ2382" s="10">
        <v>44511</v>
      </c>
      <c r="AK2382" s="7">
        <v>2020</v>
      </c>
      <c r="AL2382" s="5"/>
      <c r="AS2382" s="84"/>
      <c r="AU2382" s="5"/>
      <c r="AV2382" s="111"/>
      <c r="AW2382" s="6">
        <f t="shared" ca="1" si="39"/>
        <v>4</v>
      </c>
    </row>
    <row r="2383" ht="45" hidden="1" customHeight="1">
      <c r="A2383" s="69"/>
      <c r="B2383" s="94" t="s">
        <v>190</v>
      </c>
      <c r="C2383" s="116" t="s">
        <v>7184</v>
      </c>
      <c r="D2383" s="120" t="s">
        <v>7185</v>
      </c>
      <c r="E2383" s="110" t="s">
        <v>63</v>
      </c>
      <c r="F2383" s="121" t="s">
        <v>428</v>
      </c>
      <c r="G2383" s="120" t="s">
        <v>6854</v>
      </c>
      <c r="H2383" s="110" t="s">
        <v>88</v>
      </c>
      <c r="I2383" s="94" t="s">
        <v>7186</v>
      </c>
      <c r="J2383" s="122">
        <v>1</v>
      </c>
      <c r="K2383" s="123"/>
      <c r="L2383" s="124">
        <v>1</v>
      </c>
      <c r="M2383" s="94">
        <v>1973</v>
      </c>
      <c r="N2383" s="121">
        <v>2021</v>
      </c>
      <c r="O2383" s="112">
        <v>44230</v>
      </c>
      <c r="P2383" s="125" t="s">
        <v>7187</v>
      </c>
      <c r="Q2383" s="112">
        <v>44389</v>
      </c>
      <c r="R2383" s="121">
        <v>2020</v>
      </c>
      <c r="S2383" s="94" t="s">
        <v>283</v>
      </c>
      <c r="T2383" s="239"/>
      <c r="U2383" s="73"/>
      <c r="W2383" s="237"/>
      <c r="X2383" s="10"/>
      <c r="Y2383" s="10"/>
      <c r="Z2383" s="75"/>
      <c r="AA2383" s="76"/>
      <c r="AB2383" s="10"/>
      <c r="AC2383" s="7"/>
      <c r="AD2383" s="7"/>
      <c r="AI2383" s="7"/>
      <c r="AJ2383" s="226"/>
      <c r="AL2383" s="240"/>
      <c r="AS2383" s="84"/>
      <c r="AU2383" s="5"/>
      <c r="AV2383" s="111"/>
      <c r="AW2383" s="6">
        <f t="shared" ca="1" si="39"/>
        <v>4</v>
      </c>
    </row>
    <row r="2384" ht="45" hidden="1" customHeight="1">
      <c r="A2384" s="69">
        <v>45159</v>
      </c>
      <c r="B2384" s="94" t="s">
        <v>47</v>
      </c>
      <c r="C2384" s="116" t="s">
        <v>7188</v>
      </c>
      <c r="D2384" s="120" t="s">
        <v>7189</v>
      </c>
      <c r="E2384" s="110" t="s">
        <v>63</v>
      </c>
      <c r="F2384" s="121" t="s">
        <v>898</v>
      </c>
      <c r="G2384" s="120" t="s">
        <v>899</v>
      </c>
      <c r="H2384" s="110" t="s">
        <v>382</v>
      </c>
      <c r="I2384" s="94" t="s">
        <v>7190</v>
      </c>
      <c r="J2384" s="122">
        <v>1</v>
      </c>
      <c r="K2384" s="123"/>
      <c r="L2384" s="124">
        <v>1</v>
      </c>
      <c r="M2384" s="94">
        <v>1974</v>
      </c>
      <c r="N2384" s="121">
        <v>2021</v>
      </c>
      <c r="O2384" s="112">
        <v>44296</v>
      </c>
      <c r="P2384" s="125" t="s">
        <v>7191</v>
      </c>
      <c r="Q2384" s="112">
        <v>44390</v>
      </c>
      <c r="R2384" s="121">
        <v>2020</v>
      </c>
      <c r="S2384" s="94" t="s">
        <v>236</v>
      </c>
      <c r="T2384" s="239" t="s">
        <v>1136</v>
      </c>
      <c r="W2384" s="237"/>
      <c r="X2384" s="10"/>
      <c r="Y2384" s="10"/>
      <c r="Z2384" s="75"/>
      <c r="AA2384" s="76"/>
      <c r="AB2384" s="10"/>
      <c r="AC2384" s="7"/>
      <c r="AD2384" s="7"/>
      <c r="AI2384" s="7"/>
      <c r="AJ2384" s="10">
        <v>45464</v>
      </c>
      <c r="AK2384" s="7">
        <v>2020</v>
      </c>
      <c r="AL2384" s="16" t="s">
        <v>7192</v>
      </c>
      <c r="AS2384" s="84"/>
      <c r="AU2384" s="5"/>
      <c r="AV2384" s="111"/>
      <c r="AW2384" s="6">
        <f t="shared" ca="1" si="39"/>
        <v>4</v>
      </c>
    </row>
    <row r="2385" ht="45" hidden="1" customHeight="1">
      <c r="A2385" s="69"/>
      <c r="B2385" s="94" t="s">
        <v>47</v>
      </c>
      <c r="C2385" s="116" t="s">
        <v>7193</v>
      </c>
      <c r="D2385" s="120" t="s">
        <v>7194</v>
      </c>
      <c r="E2385" s="110" t="s">
        <v>694</v>
      </c>
      <c r="F2385" s="121" t="s">
        <v>695</v>
      </c>
      <c r="G2385" s="120" t="s">
        <v>696</v>
      </c>
      <c r="H2385" s="110" t="s">
        <v>57</v>
      </c>
      <c r="I2385" s="94" t="s">
        <v>7195</v>
      </c>
      <c r="J2385" s="122">
        <v>1</v>
      </c>
      <c r="K2385" s="123"/>
      <c r="L2385" s="124">
        <v>1</v>
      </c>
      <c r="M2385" s="94">
        <v>1975</v>
      </c>
      <c r="N2385" s="121">
        <v>2021</v>
      </c>
      <c r="O2385" s="112">
        <v>38589</v>
      </c>
      <c r="P2385" s="125" t="s">
        <v>7079</v>
      </c>
      <c r="Q2385" s="112">
        <v>44393</v>
      </c>
      <c r="R2385" s="121">
        <v>2020</v>
      </c>
      <c r="S2385" s="94" t="s">
        <v>236</v>
      </c>
      <c r="T2385" s="239" t="s">
        <v>1136</v>
      </c>
      <c r="W2385" s="237"/>
      <c r="X2385" s="10"/>
      <c r="Y2385" s="10"/>
      <c r="Z2385" s="75"/>
      <c r="AA2385" s="76"/>
      <c r="AB2385" s="10"/>
      <c r="AC2385" s="7"/>
      <c r="AD2385" s="7"/>
      <c r="AI2385" s="7"/>
      <c r="AJ2385" s="10">
        <v>44538</v>
      </c>
      <c r="AK2385" s="7">
        <v>2020</v>
      </c>
      <c r="AL2385" s="5"/>
      <c r="AS2385" s="84"/>
      <c r="AU2385" s="5"/>
      <c r="AV2385" s="111"/>
      <c r="AW2385" s="6">
        <f t="shared" ca="1" si="39"/>
        <v>4</v>
      </c>
    </row>
    <row r="2386" ht="45" hidden="1" customHeight="1">
      <c r="A2386" s="69">
        <v>44610</v>
      </c>
      <c r="B2386" s="94" t="s">
        <v>190</v>
      </c>
      <c r="C2386" s="116" t="s">
        <v>7196</v>
      </c>
      <c r="D2386" s="120" t="s">
        <v>7197</v>
      </c>
      <c r="E2386" s="110" t="s">
        <v>1074</v>
      </c>
      <c r="F2386" s="121" t="s">
        <v>2154</v>
      </c>
      <c r="G2386" s="120" t="s">
        <v>2155</v>
      </c>
      <c r="H2386" s="110" t="s">
        <v>57</v>
      </c>
      <c r="I2386" s="94" t="s">
        <v>7198</v>
      </c>
      <c r="J2386" s="122">
        <v>1</v>
      </c>
      <c r="K2386" s="123"/>
      <c r="L2386" s="124">
        <v>1</v>
      </c>
      <c r="M2386" s="94">
        <v>1976</v>
      </c>
      <c r="N2386" s="121">
        <v>2021</v>
      </c>
      <c r="O2386" s="112">
        <v>44312</v>
      </c>
      <c r="P2386" s="125" t="s">
        <v>7199</v>
      </c>
      <c r="Q2386" s="112">
        <v>44393</v>
      </c>
      <c r="R2386" s="121">
        <v>2020</v>
      </c>
      <c r="S2386" s="94" t="s">
        <v>283</v>
      </c>
      <c r="T2386" s="239"/>
      <c r="U2386" s="73"/>
      <c r="W2386" s="237"/>
      <c r="X2386" s="10"/>
      <c r="Y2386" s="10"/>
      <c r="Z2386" s="75"/>
      <c r="AA2386" s="76"/>
      <c r="AB2386" s="10"/>
      <c r="AC2386" s="7"/>
      <c r="AD2386" s="7"/>
      <c r="AI2386" s="7"/>
      <c r="AJ2386" s="226"/>
      <c r="AL2386" s="5"/>
      <c r="AS2386" s="84"/>
      <c r="AU2386" s="5"/>
      <c r="AV2386" s="111"/>
      <c r="AW2386" s="6">
        <f t="shared" ca="1" si="39"/>
        <v>4</v>
      </c>
    </row>
    <row r="2387" ht="45" hidden="1" customHeight="1">
      <c r="A2387" s="69"/>
      <c r="B2387" s="94" t="s">
        <v>47</v>
      </c>
      <c r="C2387" s="116" t="s">
        <v>4364</v>
      </c>
      <c r="D2387" s="120" t="s">
        <v>7200</v>
      </c>
      <c r="E2387" s="110" t="s">
        <v>83</v>
      </c>
      <c r="F2387" s="121" t="s">
        <v>704</v>
      </c>
      <c r="G2387" s="120" t="s">
        <v>7201</v>
      </c>
      <c r="H2387" s="110" t="s">
        <v>57</v>
      </c>
      <c r="I2387" s="94" t="s">
        <v>7202</v>
      </c>
      <c r="J2387" s="122">
        <v>1</v>
      </c>
      <c r="K2387" s="123"/>
      <c r="L2387" s="124">
        <v>1</v>
      </c>
      <c r="M2387" s="94">
        <v>1977</v>
      </c>
      <c r="N2387" s="121">
        <v>2021</v>
      </c>
      <c r="O2387" s="112">
        <v>43906</v>
      </c>
      <c r="P2387" s="125" t="s">
        <v>7203</v>
      </c>
      <c r="Q2387" s="112">
        <v>44397</v>
      </c>
      <c r="R2387" s="121">
        <v>2020</v>
      </c>
      <c r="S2387" s="94" t="s">
        <v>236</v>
      </c>
      <c r="T2387" s="239"/>
      <c r="U2387" s="10">
        <v>44420</v>
      </c>
      <c r="W2387" s="237"/>
      <c r="X2387" s="10"/>
      <c r="Y2387" s="10"/>
      <c r="Z2387" s="75"/>
      <c r="AA2387" s="76"/>
      <c r="AB2387" s="10"/>
      <c r="AC2387" s="7"/>
      <c r="AD2387" s="7"/>
      <c r="AI2387" s="7"/>
      <c r="AJ2387" s="10">
        <v>44397</v>
      </c>
      <c r="AK2387" s="7">
        <v>2020</v>
      </c>
      <c r="AL2387" s="5"/>
      <c r="AS2387" s="84"/>
      <c r="AU2387" s="5"/>
      <c r="AV2387" s="111"/>
      <c r="AW2387" s="6">
        <f t="shared" ca="1" si="39"/>
        <v>4</v>
      </c>
    </row>
    <row r="2388" ht="45" hidden="1" customHeight="1">
      <c r="A2388" s="69">
        <v>45314</v>
      </c>
      <c r="B2388" s="94" t="s">
        <v>190</v>
      </c>
      <c r="C2388" s="116" t="s">
        <v>7204</v>
      </c>
      <c r="D2388" s="120" t="s">
        <v>7205</v>
      </c>
      <c r="E2388" s="110" t="s">
        <v>83</v>
      </c>
      <c r="F2388" s="121" t="s">
        <v>84</v>
      </c>
      <c r="G2388" s="120" t="s">
        <v>850</v>
      </c>
      <c r="H2388" s="110" t="s">
        <v>57</v>
      </c>
      <c r="I2388" s="94" t="s">
        <v>7206</v>
      </c>
      <c r="J2388" s="122">
        <v>1</v>
      </c>
      <c r="K2388" s="123"/>
      <c r="L2388" s="124">
        <v>1</v>
      </c>
      <c r="M2388" s="94">
        <v>1978</v>
      </c>
      <c r="N2388" s="121">
        <v>2021</v>
      </c>
      <c r="O2388" s="112">
        <v>44113</v>
      </c>
      <c r="P2388" s="125" t="s">
        <v>7207</v>
      </c>
      <c r="Q2388" s="112">
        <v>44398</v>
      </c>
      <c r="R2388" s="121">
        <v>2020</v>
      </c>
      <c r="S2388" s="94" t="s">
        <v>283</v>
      </c>
      <c r="T2388" s="239"/>
      <c r="U2388" s="73"/>
      <c r="W2388" s="237"/>
      <c r="X2388" s="10"/>
      <c r="Y2388" s="10"/>
      <c r="Z2388" s="75"/>
      <c r="AA2388" s="76"/>
      <c r="AB2388" s="10"/>
      <c r="AC2388" s="7"/>
      <c r="AD2388" s="7"/>
      <c r="AI2388" s="7"/>
      <c r="AJ2388" s="226"/>
      <c r="AL2388" s="5"/>
      <c r="AS2388" s="84"/>
      <c r="AU2388" s="5"/>
      <c r="AV2388" s="111"/>
      <c r="AW2388" s="6">
        <f t="shared" ca="1" si="39"/>
        <v>4</v>
      </c>
    </row>
    <row r="2389" ht="45" hidden="1" customHeight="1">
      <c r="A2389" s="69"/>
      <c r="B2389" s="3" t="s">
        <v>47</v>
      </c>
      <c r="C2389" s="4" t="s">
        <v>7208</v>
      </c>
      <c r="D2389" s="5" t="s">
        <v>7209</v>
      </c>
      <c r="E2389" s="2" t="s">
        <v>83</v>
      </c>
      <c r="F2389" s="6" t="s">
        <v>84</v>
      </c>
      <c r="G2389" s="5" t="s">
        <v>1068</v>
      </c>
      <c r="H2389" s="2" t="s">
        <v>7210</v>
      </c>
      <c r="I2389" s="3" t="s">
        <v>7211</v>
      </c>
      <c r="J2389" s="7">
        <v>1</v>
      </c>
      <c r="K2389" s="70"/>
      <c r="L2389" s="9">
        <v>1</v>
      </c>
      <c r="M2389" s="3">
        <v>1979</v>
      </c>
      <c r="N2389" s="6">
        <v>2021</v>
      </c>
      <c r="O2389" s="10">
        <v>37852</v>
      </c>
      <c r="P2389" s="71" t="s">
        <v>7212</v>
      </c>
      <c r="Q2389" s="10">
        <v>44414</v>
      </c>
      <c r="R2389" s="6">
        <v>2020</v>
      </c>
      <c r="S2389" s="3" t="s">
        <v>236</v>
      </c>
      <c r="T2389" s="239" t="s">
        <v>1136</v>
      </c>
      <c r="W2389" s="175"/>
      <c r="X2389" s="10"/>
      <c r="Y2389" s="10"/>
      <c r="Z2389" s="75"/>
      <c r="AA2389" s="76"/>
      <c r="AB2389" s="10"/>
      <c r="AC2389" s="7"/>
      <c r="AD2389" s="7"/>
      <c r="AI2389" s="7"/>
      <c r="AJ2389" s="10">
        <v>44432</v>
      </c>
      <c r="AK2389" s="7">
        <v>2020</v>
      </c>
      <c r="AL2389" s="5"/>
      <c r="AS2389" s="84"/>
      <c r="AU2389" s="5"/>
      <c r="AV2389" s="111"/>
      <c r="AW2389" s="6">
        <f t="shared" ca="1" si="39"/>
        <v>4</v>
      </c>
    </row>
    <row r="2390" ht="45" hidden="1" customHeight="1">
      <c r="A2390" s="69"/>
      <c r="B2390" s="94" t="s">
        <v>190</v>
      </c>
      <c r="C2390" s="116" t="s">
        <v>7213</v>
      </c>
      <c r="D2390" s="120" t="s">
        <v>7214</v>
      </c>
      <c r="E2390" s="110" t="s">
        <v>63</v>
      </c>
      <c r="F2390" s="121" t="s">
        <v>428</v>
      </c>
      <c r="G2390" s="120" t="s">
        <v>429</v>
      </c>
      <c r="H2390" s="110" t="s">
        <v>288</v>
      </c>
      <c r="I2390" s="94" t="s">
        <v>7215</v>
      </c>
      <c r="J2390" s="122">
        <v>1</v>
      </c>
      <c r="K2390" s="123"/>
      <c r="L2390" s="124">
        <v>1</v>
      </c>
      <c r="M2390" s="94">
        <v>1980</v>
      </c>
      <c r="N2390" s="121">
        <v>2021</v>
      </c>
      <c r="O2390" s="112">
        <v>44400</v>
      </c>
      <c r="P2390" s="125" t="s">
        <v>7216</v>
      </c>
      <c r="Q2390" s="112">
        <v>44407</v>
      </c>
      <c r="R2390" s="121">
        <v>2020</v>
      </c>
      <c r="S2390" s="94" t="s">
        <v>283</v>
      </c>
      <c r="T2390" s="239"/>
      <c r="U2390" s="73"/>
      <c r="W2390" s="237"/>
      <c r="X2390" s="10"/>
      <c r="Y2390" s="10"/>
      <c r="Z2390" s="75"/>
      <c r="AA2390" s="76"/>
      <c r="AB2390" s="10"/>
      <c r="AC2390" s="7"/>
      <c r="AD2390" s="7"/>
      <c r="AI2390" s="7"/>
      <c r="AJ2390" s="226"/>
      <c r="AL2390" s="5"/>
      <c r="AS2390" s="84"/>
      <c r="AU2390" s="5"/>
      <c r="AV2390" s="111"/>
      <c r="AW2390" s="6">
        <f t="shared" ca="1" si="39"/>
        <v>4</v>
      </c>
    </row>
    <row r="2391" ht="45" hidden="1" customHeight="1">
      <c r="A2391" s="69"/>
      <c r="B2391" s="94" t="s">
        <v>190</v>
      </c>
      <c r="C2391" s="116" t="s">
        <v>7217</v>
      </c>
      <c r="D2391" s="120" t="s">
        <v>7218</v>
      </c>
      <c r="E2391" s="110" t="s">
        <v>83</v>
      </c>
      <c r="F2391" s="121" t="s">
        <v>84</v>
      </c>
      <c r="G2391" s="120" t="s">
        <v>85</v>
      </c>
      <c r="H2391" s="110" t="s">
        <v>88</v>
      </c>
      <c r="I2391" s="94" t="s">
        <v>7219</v>
      </c>
      <c r="J2391" s="122">
        <v>1</v>
      </c>
      <c r="K2391" s="123"/>
      <c r="L2391" s="124">
        <v>1</v>
      </c>
      <c r="M2391" s="94">
        <v>1981</v>
      </c>
      <c r="N2391" s="121">
        <v>2021</v>
      </c>
      <c r="O2391" s="112">
        <v>44528</v>
      </c>
      <c r="P2391" s="125" t="s">
        <v>7133</v>
      </c>
      <c r="Q2391" s="112">
        <v>44431</v>
      </c>
      <c r="R2391" s="121">
        <v>2020</v>
      </c>
      <c r="S2391" s="94" t="s">
        <v>283</v>
      </c>
      <c r="T2391" s="239"/>
      <c r="U2391" s="73"/>
      <c r="W2391" s="175"/>
      <c r="X2391" s="10"/>
      <c r="Y2391" s="10"/>
      <c r="Z2391" s="75"/>
      <c r="AA2391" s="76"/>
      <c r="AB2391" s="10"/>
      <c r="AC2391" s="7"/>
      <c r="AD2391" s="7"/>
      <c r="AI2391" s="7"/>
      <c r="AJ2391" s="226"/>
      <c r="AL2391" s="240"/>
      <c r="AS2391" s="84"/>
      <c r="AU2391" s="5"/>
      <c r="AV2391" s="111"/>
      <c r="AW2391" s="6">
        <f t="shared" ca="1" si="39"/>
        <v>4</v>
      </c>
    </row>
    <row r="2392" ht="45" hidden="1" customHeight="1">
      <c r="A2392" s="69"/>
      <c r="B2392" s="3" t="s">
        <v>47</v>
      </c>
      <c r="C2392" s="4" t="s">
        <v>4288</v>
      </c>
      <c r="D2392" s="5" t="s">
        <v>7220</v>
      </c>
      <c r="E2392" s="2" t="s">
        <v>48</v>
      </c>
      <c r="F2392" s="6" t="s">
        <v>564</v>
      </c>
      <c r="G2392" s="5" t="s">
        <v>7221</v>
      </c>
      <c r="H2392" s="2" t="s">
        <v>7210</v>
      </c>
      <c r="I2392" s="3" t="s">
        <v>7222</v>
      </c>
      <c r="J2392" s="7">
        <v>1</v>
      </c>
      <c r="K2392" s="70"/>
      <c r="L2392" s="9">
        <v>1</v>
      </c>
      <c r="M2392" s="3">
        <v>1982</v>
      </c>
      <c r="N2392" s="6">
        <v>2021</v>
      </c>
      <c r="O2392" s="10">
        <v>44426</v>
      </c>
      <c r="P2392" s="71" t="s">
        <v>7223</v>
      </c>
      <c r="Q2392" s="10">
        <v>44414</v>
      </c>
      <c r="R2392" s="6">
        <v>2020</v>
      </c>
      <c r="S2392" s="3" t="s">
        <v>236</v>
      </c>
      <c r="T2392" s="239"/>
      <c r="W2392" s="175"/>
      <c r="X2392" s="10"/>
      <c r="Y2392" s="10"/>
      <c r="Z2392" s="75"/>
      <c r="AA2392" s="76"/>
      <c r="AB2392" s="10"/>
      <c r="AC2392" s="7"/>
      <c r="AD2392" s="7"/>
      <c r="AI2392" s="7"/>
      <c r="AJ2392" s="10">
        <v>44427</v>
      </c>
      <c r="AK2392" s="7">
        <v>2020</v>
      </c>
      <c r="AL2392" s="5"/>
      <c r="AS2392" s="84"/>
      <c r="AU2392" s="5"/>
      <c r="AV2392" s="111"/>
      <c r="AW2392" s="6">
        <f t="shared" ca="1" si="39"/>
        <v>4</v>
      </c>
    </row>
    <row r="2393" ht="45" hidden="1" customHeight="1">
      <c r="A2393" s="69"/>
      <c r="B2393" s="3" t="s">
        <v>47</v>
      </c>
      <c r="C2393" s="4" t="s">
        <v>7224</v>
      </c>
      <c r="D2393" s="5" t="s">
        <v>7225</v>
      </c>
      <c r="E2393" s="2" t="s">
        <v>63</v>
      </c>
      <c r="F2393" s="6" t="s">
        <v>428</v>
      </c>
      <c r="G2393" s="5" t="s">
        <v>429</v>
      </c>
      <c r="H2393" s="2" t="s">
        <v>57</v>
      </c>
      <c r="I2393" s="3" t="s">
        <v>7226</v>
      </c>
      <c r="J2393" s="7">
        <v>1</v>
      </c>
      <c r="K2393" s="70"/>
      <c r="L2393" s="9">
        <v>1</v>
      </c>
      <c r="M2393" s="3">
        <v>1983</v>
      </c>
      <c r="N2393" s="6">
        <v>2021</v>
      </c>
      <c r="O2393" s="10">
        <v>44428</v>
      </c>
      <c r="P2393" s="71" t="s">
        <v>7227</v>
      </c>
      <c r="Q2393" s="10">
        <v>44431</v>
      </c>
      <c r="R2393" s="6">
        <v>2020</v>
      </c>
      <c r="S2393" s="3" t="s">
        <v>236</v>
      </c>
      <c r="T2393" s="239"/>
      <c r="W2393" s="175"/>
      <c r="X2393" s="10"/>
      <c r="Y2393" s="10"/>
      <c r="Z2393" s="75"/>
      <c r="AA2393" s="76"/>
      <c r="AB2393" s="10"/>
      <c r="AC2393" s="7"/>
      <c r="AD2393" s="7"/>
      <c r="AI2393" s="7"/>
      <c r="AJ2393" s="10">
        <v>44820</v>
      </c>
      <c r="AK2393" s="7">
        <v>2020</v>
      </c>
      <c r="AL2393" s="5"/>
      <c r="AS2393" s="84"/>
      <c r="AU2393" s="5"/>
      <c r="AV2393" s="111"/>
      <c r="AW2393" s="6">
        <f t="shared" ca="1" si="39"/>
        <v>4</v>
      </c>
    </row>
    <row r="2394" ht="45" hidden="1" customHeight="1">
      <c r="A2394" s="69"/>
      <c r="B2394" s="3" t="s">
        <v>190</v>
      </c>
      <c r="C2394" s="4" t="s">
        <v>7228</v>
      </c>
      <c r="D2394" s="5" t="s">
        <v>7229</v>
      </c>
      <c r="E2394" s="2" t="s">
        <v>83</v>
      </c>
      <c r="F2394" s="6" t="s">
        <v>704</v>
      </c>
      <c r="G2394" s="5" t="s">
        <v>705</v>
      </c>
      <c r="H2394" s="2" t="s">
        <v>68</v>
      </c>
      <c r="I2394" s="3" t="s">
        <v>7230</v>
      </c>
      <c r="J2394" s="7">
        <v>1</v>
      </c>
      <c r="K2394" s="70"/>
      <c r="L2394" s="9">
        <v>1</v>
      </c>
      <c r="M2394" s="3">
        <v>1984</v>
      </c>
      <c r="N2394" s="6">
        <v>2021</v>
      </c>
      <c r="O2394" s="10">
        <v>44417</v>
      </c>
      <c r="P2394" s="71" t="s">
        <v>7231</v>
      </c>
      <c r="Q2394" s="10">
        <v>44431</v>
      </c>
      <c r="R2394" s="6">
        <v>2020</v>
      </c>
      <c r="S2394" s="3" t="s">
        <v>283</v>
      </c>
      <c r="T2394" s="239"/>
      <c r="U2394" s="73"/>
      <c r="W2394" s="175"/>
      <c r="X2394" s="10"/>
      <c r="Y2394" s="10"/>
      <c r="Z2394" s="75"/>
      <c r="AA2394" s="76"/>
      <c r="AB2394" s="10"/>
      <c r="AC2394" s="7"/>
      <c r="AD2394" s="7"/>
      <c r="AI2394" s="7"/>
      <c r="AJ2394" s="226"/>
      <c r="AL2394" s="5"/>
      <c r="AS2394" s="84"/>
      <c r="AU2394" s="5"/>
      <c r="AV2394" s="111"/>
      <c r="AW2394" s="6">
        <f t="shared" ca="1" si="39"/>
        <v>4</v>
      </c>
    </row>
    <row r="2395" ht="45" hidden="1" customHeight="1">
      <c r="A2395" s="69"/>
      <c r="B2395" s="3" t="s">
        <v>47</v>
      </c>
      <c r="C2395" s="4" t="s">
        <v>7232</v>
      </c>
      <c r="D2395" s="5" t="s">
        <v>7233</v>
      </c>
      <c r="E2395" s="2" t="s">
        <v>63</v>
      </c>
      <c r="F2395" s="6" t="s">
        <v>898</v>
      </c>
      <c r="G2395" s="5" t="s">
        <v>7234</v>
      </c>
      <c r="H2395" s="2" t="s">
        <v>7210</v>
      </c>
      <c r="I2395" s="3" t="s">
        <v>7235</v>
      </c>
      <c r="J2395" s="7">
        <v>1</v>
      </c>
      <c r="K2395" s="70"/>
      <c r="L2395" s="9">
        <v>1</v>
      </c>
      <c r="M2395" s="3">
        <v>1985</v>
      </c>
      <c r="N2395" s="6">
        <v>2021</v>
      </c>
      <c r="O2395" s="10">
        <v>44406</v>
      </c>
      <c r="P2395" s="71" t="s">
        <v>7236</v>
      </c>
      <c r="Q2395" s="10">
        <v>44445</v>
      </c>
      <c r="R2395" s="6">
        <v>2020</v>
      </c>
      <c r="S2395" s="3" t="s">
        <v>236</v>
      </c>
      <c r="T2395" s="239"/>
      <c r="W2395" s="175"/>
      <c r="X2395" s="10"/>
      <c r="Y2395" s="10"/>
      <c r="Z2395" s="75"/>
      <c r="AA2395" s="76"/>
      <c r="AB2395" s="10"/>
      <c r="AC2395" s="7"/>
      <c r="AD2395" s="7"/>
      <c r="AI2395" s="7"/>
      <c r="AJ2395" s="10">
        <v>44453</v>
      </c>
      <c r="AK2395" s="7">
        <v>2020</v>
      </c>
      <c r="AL2395" s="5"/>
      <c r="AS2395" s="84"/>
      <c r="AU2395" s="5"/>
      <c r="AV2395" s="111"/>
      <c r="AW2395" s="6">
        <f t="shared" ca="1" si="39"/>
        <v>4</v>
      </c>
    </row>
    <row r="2396" ht="45" hidden="1" customHeight="1">
      <c r="A2396" s="69">
        <v>44546</v>
      </c>
      <c r="B2396" s="3" t="s">
        <v>47</v>
      </c>
      <c r="C2396" s="4" t="s">
        <v>7237</v>
      </c>
      <c r="D2396" s="5" t="s">
        <v>7238</v>
      </c>
      <c r="E2396" s="2" t="s">
        <v>63</v>
      </c>
      <c r="F2396" s="6" t="s">
        <v>83</v>
      </c>
      <c r="G2396" s="5" t="s">
        <v>7239</v>
      </c>
      <c r="H2396" s="2" t="s">
        <v>977</v>
      </c>
      <c r="I2396" s="3" t="s">
        <v>7240</v>
      </c>
      <c r="J2396" s="7">
        <v>1</v>
      </c>
      <c r="K2396" s="70"/>
      <c r="L2396" s="9">
        <v>1</v>
      </c>
      <c r="M2396" s="3">
        <v>1986</v>
      </c>
      <c r="N2396" s="6">
        <v>2021</v>
      </c>
      <c r="O2396" s="10">
        <v>44439</v>
      </c>
      <c r="P2396" s="71" t="s">
        <v>7241</v>
      </c>
      <c r="Q2396" s="10">
        <v>44452</v>
      </c>
      <c r="R2396" s="6">
        <v>2020</v>
      </c>
      <c r="S2396" s="3" t="s">
        <v>236</v>
      </c>
      <c r="T2396" s="239" t="s">
        <v>1136</v>
      </c>
      <c r="W2396" s="175"/>
      <c r="X2396" s="10"/>
      <c r="Y2396" s="10"/>
      <c r="Z2396" s="75"/>
      <c r="AA2396" s="76"/>
      <c r="AB2396" s="10"/>
      <c r="AC2396" s="7"/>
      <c r="AD2396" s="7"/>
      <c r="AI2396" s="7"/>
      <c r="AJ2396" s="10">
        <v>44847</v>
      </c>
      <c r="AK2396" s="7">
        <v>2020</v>
      </c>
      <c r="AL2396" s="5"/>
      <c r="AS2396" s="84"/>
      <c r="AU2396" s="5"/>
      <c r="AV2396" s="111"/>
      <c r="AW2396" s="6">
        <f t="shared" ca="1" si="39"/>
        <v>4</v>
      </c>
    </row>
    <row r="2397" ht="45" hidden="1" customHeight="1">
      <c r="A2397" s="69"/>
      <c r="B2397" s="3" t="s">
        <v>47</v>
      </c>
      <c r="C2397" s="4" t="s">
        <v>7242</v>
      </c>
      <c r="D2397" s="85" t="s">
        <v>7243</v>
      </c>
      <c r="E2397" s="2" t="s">
        <v>83</v>
      </c>
      <c r="F2397" s="6" t="s">
        <v>84</v>
      </c>
      <c r="G2397" s="5" t="s">
        <v>4139</v>
      </c>
      <c r="H2397" s="2" t="s">
        <v>57</v>
      </c>
      <c r="I2397" s="3" t="s">
        <v>7244</v>
      </c>
      <c r="J2397" s="7">
        <v>1</v>
      </c>
      <c r="K2397" s="70"/>
      <c r="L2397" s="9">
        <v>1</v>
      </c>
      <c r="M2397" s="3">
        <v>1987</v>
      </c>
      <c r="N2397" s="6">
        <v>2021</v>
      </c>
      <c r="O2397" s="10">
        <v>44473</v>
      </c>
      <c r="P2397" s="71" t="s">
        <v>7245</v>
      </c>
      <c r="Q2397" s="10">
        <v>44475</v>
      </c>
      <c r="R2397" s="6">
        <v>2020</v>
      </c>
      <c r="S2397" s="3" t="s">
        <v>236</v>
      </c>
      <c r="T2397" s="239" t="s">
        <v>1136</v>
      </c>
      <c r="W2397" s="175"/>
      <c r="X2397" s="10"/>
      <c r="Y2397" s="10"/>
      <c r="Z2397" s="75"/>
      <c r="AA2397" s="76"/>
      <c r="AB2397" s="10"/>
      <c r="AC2397" s="7"/>
      <c r="AD2397" s="7"/>
      <c r="AI2397" s="7"/>
      <c r="AJ2397" s="10">
        <v>44655</v>
      </c>
      <c r="AK2397" s="7">
        <v>2020</v>
      </c>
      <c r="AL2397" s="5"/>
      <c r="AS2397" s="84"/>
      <c r="AU2397" s="5"/>
      <c r="AV2397" s="111"/>
      <c r="AW2397" s="6">
        <f t="shared" ca="1" si="39"/>
        <v>4</v>
      </c>
    </row>
    <row r="2398" ht="45" hidden="1" customHeight="1">
      <c r="A2398" s="69"/>
      <c r="B2398" s="3" t="s">
        <v>190</v>
      </c>
      <c r="C2398" s="4" t="s">
        <v>7246</v>
      </c>
      <c r="D2398" s="85" t="s">
        <v>7247</v>
      </c>
      <c r="E2398" s="2" t="s">
        <v>63</v>
      </c>
      <c r="F2398" s="6" t="s">
        <v>172</v>
      </c>
      <c r="G2398" s="5" t="s">
        <v>173</v>
      </c>
      <c r="H2398" s="2" t="s">
        <v>7210</v>
      </c>
      <c r="I2398" s="94" t="s">
        <v>7248</v>
      </c>
      <c r="J2398" s="7">
        <v>1</v>
      </c>
      <c r="K2398" s="70"/>
      <c r="L2398" s="9">
        <v>1</v>
      </c>
      <c r="M2398" s="3">
        <v>1988</v>
      </c>
      <c r="N2398" s="6">
        <v>2021</v>
      </c>
      <c r="O2398" s="10">
        <v>44462</v>
      </c>
      <c r="P2398" s="71" t="s">
        <v>7249</v>
      </c>
      <c r="Q2398" s="10">
        <v>44475</v>
      </c>
      <c r="R2398" s="6">
        <v>2020</v>
      </c>
      <c r="S2398" s="3" t="s">
        <v>283</v>
      </c>
      <c r="T2398" s="239"/>
      <c r="U2398" s="73"/>
      <c r="W2398" s="175"/>
      <c r="X2398" s="10"/>
      <c r="Y2398" s="10"/>
      <c r="Z2398" s="75"/>
      <c r="AA2398" s="76"/>
      <c r="AB2398" s="10"/>
      <c r="AC2398" s="7"/>
      <c r="AD2398" s="7"/>
      <c r="AI2398" s="7"/>
      <c r="AJ2398" s="226"/>
      <c r="AL2398" s="5"/>
      <c r="AS2398" s="84"/>
      <c r="AU2398" s="5"/>
      <c r="AV2398" s="111"/>
      <c r="AW2398" s="6">
        <f t="shared" ca="1" si="39"/>
        <v>4</v>
      </c>
    </row>
    <row r="2399" ht="45" hidden="1" customHeight="1">
      <c r="A2399" s="69"/>
      <c r="B2399" s="3" t="s">
        <v>47</v>
      </c>
      <c r="C2399" s="4" t="s">
        <v>6935</v>
      </c>
      <c r="D2399" s="85" t="s">
        <v>7250</v>
      </c>
      <c r="E2399" s="2" t="s">
        <v>83</v>
      </c>
      <c r="F2399" s="6" t="s">
        <v>84</v>
      </c>
      <c r="G2399" s="5" t="s">
        <v>85</v>
      </c>
      <c r="H2399" s="2" t="s">
        <v>7210</v>
      </c>
      <c r="I2399" s="94" t="s">
        <v>7251</v>
      </c>
      <c r="J2399" s="7">
        <v>1</v>
      </c>
      <c r="K2399" s="70"/>
      <c r="L2399" s="9">
        <v>1</v>
      </c>
      <c r="M2399" s="3">
        <v>1989</v>
      </c>
      <c r="N2399" s="6">
        <v>2021</v>
      </c>
      <c r="O2399" s="10">
        <v>43000</v>
      </c>
      <c r="P2399" s="71" t="s">
        <v>7252</v>
      </c>
      <c r="Q2399" s="10">
        <v>44475</v>
      </c>
      <c r="R2399" s="6">
        <v>2020</v>
      </c>
      <c r="S2399" s="3" t="s">
        <v>236</v>
      </c>
      <c r="T2399" s="239" t="s">
        <v>1136</v>
      </c>
      <c r="W2399" s="175"/>
      <c r="X2399" s="10"/>
      <c r="Y2399" s="10"/>
      <c r="Z2399" s="75"/>
      <c r="AA2399" s="76"/>
      <c r="AB2399" s="10"/>
      <c r="AC2399" s="7"/>
      <c r="AD2399" s="7"/>
      <c r="AI2399" s="7"/>
      <c r="AJ2399" s="10">
        <v>44487</v>
      </c>
      <c r="AK2399" s="7">
        <v>2020</v>
      </c>
      <c r="AL2399" s="5"/>
      <c r="AS2399" s="84"/>
      <c r="AU2399" s="5"/>
      <c r="AV2399" s="111"/>
      <c r="AW2399" s="6">
        <f t="shared" ca="1" si="39"/>
        <v>4</v>
      </c>
    </row>
    <row r="2400" ht="45" hidden="1" customHeight="1">
      <c r="A2400" s="69"/>
      <c r="B2400" s="3" t="s">
        <v>47</v>
      </c>
      <c r="C2400" s="4" t="s">
        <v>7253</v>
      </c>
      <c r="D2400" s="85" t="s">
        <v>7254</v>
      </c>
      <c r="E2400" s="2" t="s">
        <v>63</v>
      </c>
      <c r="F2400" s="6" t="s">
        <v>898</v>
      </c>
      <c r="G2400" s="5" t="s">
        <v>7234</v>
      </c>
      <c r="H2400" s="2" t="s">
        <v>508</v>
      </c>
      <c r="I2400" s="94" t="s">
        <v>7255</v>
      </c>
      <c r="J2400" s="7">
        <v>1</v>
      </c>
      <c r="K2400" s="70"/>
      <c r="L2400" s="9">
        <v>1</v>
      </c>
      <c r="M2400" s="3">
        <v>1990</v>
      </c>
      <c r="N2400" s="6">
        <v>2021</v>
      </c>
      <c r="O2400" s="10">
        <v>44388</v>
      </c>
      <c r="P2400" s="71" t="s">
        <v>7236</v>
      </c>
      <c r="Q2400" s="10">
        <v>44494</v>
      </c>
      <c r="R2400" s="6">
        <v>2020</v>
      </c>
      <c r="S2400" s="3" t="s">
        <v>236</v>
      </c>
      <c r="T2400" s="239" t="s">
        <v>1136</v>
      </c>
      <c r="W2400" s="175"/>
      <c r="X2400" s="10"/>
      <c r="Y2400" s="10"/>
      <c r="Z2400" s="75"/>
      <c r="AA2400" s="76"/>
      <c r="AB2400" s="10"/>
      <c r="AC2400" s="7"/>
      <c r="AD2400" s="7"/>
      <c r="AI2400" s="7"/>
      <c r="AJ2400" s="10">
        <v>44503</v>
      </c>
      <c r="AK2400" s="7">
        <v>2020</v>
      </c>
      <c r="AL2400" s="5"/>
      <c r="AS2400" s="84"/>
      <c r="AU2400" s="5"/>
      <c r="AV2400" s="111"/>
      <c r="AW2400" s="6">
        <f t="shared" ca="1" si="39"/>
        <v>4</v>
      </c>
    </row>
    <row r="2401" ht="45" hidden="1" customHeight="1">
      <c r="A2401" s="69">
        <v>45376</v>
      </c>
      <c r="B2401" s="3" t="s">
        <v>1926</v>
      </c>
      <c r="C2401" s="4" t="s">
        <v>7256</v>
      </c>
      <c r="D2401" s="85" t="s">
        <v>7257</v>
      </c>
      <c r="E2401" s="2" t="s">
        <v>83</v>
      </c>
      <c r="F2401" s="6" t="s">
        <v>84</v>
      </c>
      <c r="G2401" s="5" t="s">
        <v>3115</v>
      </c>
      <c r="H2401" s="2" t="s">
        <v>88</v>
      </c>
      <c r="I2401" s="94" t="s">
        <v>7258</v>
      </c>
      <c r="J2401" s="7">
        <v>1</v>
      </c>
      <c r="K2401" s="70"/>
      <c r="L2401" s="9">
        <v>1</v>
      </c>
      <c r="M2401" s="3">
        <v>1991</v>
      </c>
      <c r="N2401" s="6">
        <v>2021</v>
      </c>
      <c r="O2401" s="10">
        <v>44484</v>
      </c>
      <c r="P2401" s="71" t="s">
        <v>7259</v>
      </c>
      <c r="Q2401" s="10">
        <v>44484</v>
      </c>
      <c r="R2401" s="6">
        <v>2020</v>
      </c>
      <c r="S2401" s="3" t="s">
        <v>283</v>
      </c>
      <c r="T2401" s="239" t="s">
        <v>1136</v>
      </c>
      <c r="U2401" s="73"/>
      <c r="W2401" s="175"/>
      <c r="X2401" s="10"/>
      <c r="Y2401" s="10"/>
      <c r="Z2401" s="75"/>
      <c r="AA2401" s="76"/>
      <c r="AB2401" s="10"/>
      <c r="AC2401" s="7"/>
      <c r="AD2401" s="7"/>
      <c r="AI2401" s="7"/>
      <c r="AJ2401" s="226"/>
      <c r="AK2401" s="7"/>
      <c r="AL2401" s="240"/>
      <c r="AS2401" s="84"/>
      <c r="AU2401" s="5"/>
      <c r="AV2401" s="111"/>
      <c r="AW2401" s="6">
        <f t="shared" ca="1" si="39"/>
        <v>4</v>
      </c>
    </row>
    <row r="2402" ht="45" hidden="1" customHeight="1">
      <c r="A2402" s="69"/>
      <c r="B2402" s="3" t="s">
        <v>47</v>
      </c>
      <c r="C2402" s="4" t="s">
        <v>7260</v>
      </c>
      <c r="D2402" s="85" t="s">
        <v>7261</v>
      </c>
      <c r="E2402" s="2" t="s">
        <v>48</v>
      </c>
      <c r="F2402" s="6" t="s">
        <v>140</v>
      </c>
      <c r="G2402" s="5" t="s">
        <v>7262</v>
      </c>
      <c r="H2402" s="2" t="s">
        <v>57</v>
      </c>
      <c r="I2402" s="94" t="s">
        <v>7263</v>
      </c>
      <c r="J2402" s="7">
        <v>1</v>
      </c>
      <c r="K2402" s="70"/>
      <c r="L2402" s="9">
        <v>1</v>
      </c>
      <c r="M2402" s="3">
        <v>1992</v>
      </c>
      <c r="N2402" s="6">
        <v>2021</v>
      </c>
      <c r="O2402" s="10">
        <v>39902</v>
      </c>
      <c r="P2402" s="71" t="s">
        <v>7264</v>
      </c>
      <c r="Q2402" s="10">
        <v>44496</v>
      </c>
      <c r="R2402" s="6">
        <v>2020</v>
      </c>
      <c r="S2402" s="3" t="s">
        <v>236</v>
      </c>
      <c r="T2402" s="239" t="s">
        <v>1136</v>
      </c>
      <c r="W2402" s="175"/>
      <c r="X2402" s="10"/>
      <c r="Y2402" s="10"/>
      <c r="Z2402" s="75"/>
      <c r="AA2402" s="76"/>
      <c r="AB2402" s="10"/>
      <c r="AC2402" s="7"/>
      <c r="AD2402" s="7"/>
      <c r="AI2402" s="7"/>
      <c r="AJ2402" s="10">
        <v>44511</v>
      </c>
      <c r="AK2402" s="7">
        <v>2020</v>
      </c>
      <c r="AL2402" s="5"/>
      <c r="AS2402" s="84"/>
      <c r="AU2402" s="5"/>
      <c r="AV2402" s="111"/>
      <c r="AW2402" s="6">
        <f t="shared" ca="1" si="39"/>
        <v>4</v>
      </c>
    </row>
    <row r="2403" ht="45" hidden="1" customHeight="1">
      <c r="A2403" s="69"/>
      <c r="B2403" s="3" t="s">
        <v>47</v>
      </c>
      <c r="C2403" s="4" t="s">
        <v>7265</v>
      </c>
      <c r="D2403" s="85" t="s">
        <v>7266</v>
      </c>
      <c r="E2403" s="2" t="s">
        <v>63</v>
      </c>
      <c r="F2403" s="6" t="s">
        <v>172</v>
      </c>
      <c r="G2403" s="5" t="s">
        <v>7267</v>
      </c>
      <c r="H2403" s="2" t="s">
        <v>57</v>
      </c>
      <c r="I2403" s="94" t="s">
        <v>7268</v>
      </c>
      <c r="J2403" s="7">
        <v>1</v>
      </c>
      <c r="K2403" s="70"/>
      <c r="L2403" s="9">
        <v>1</v>
      </c>
      <c r="M2403" s="3">
        <v>1993</v>
      </c>
      <c r="N2403" s="6">
        <v>2021</v>
      </c>
      <c r="O2403" s="10">
        <v>44250</v>
      </c>
      <c r="P2403" s="71" t="s">
        <v>7269</v>
      </c>
      <c r="Q2403" s="10">
        <v>44250</v>
      </c>
      <c r="R2403" s="6">
        <v>2020</v>
      </c>
      <c r="S2403" s="3" t="s">
        <v>236</v>
      </c>
      <c r="T2403" s="239" t="s">
        <v>1136</v>
      </c>
      <c r="W2403" s="175"/>
      <c r="X2403" s="10"/>
      <c r="Y2403" s="10"/>
      <c r="Z2403" s="75"/>
      <c r="AA2403" s="76"/>
      <c r="AB2403" s="10"/>
      <c r="AC2403" s="7"/>
      <c r="AD2403" s="7"/>
      <c r="AI2403" s="7"/>
      <c r="AJ2403" s="10">
        <v>44521</v>
      </c>
      <c r="AK2403" s="7">
        <v>2020</v>
      </c>
      <c r="AL2403" s="5"/>
      <c r="AS2403" s="84"/>
      <c r="AU2403" s="5"/>
      <c r="AV2403" s="111"/>
      <c r="AW2403" s="6">
        <f t="shared" ca="1" si="39"/>
        <v>4</v>
      </c>
    </row>
    <row r="2404" ht="45" hidden="1" customHeight="1">
      <c r="A2404" s="69"/>
      <c r="B2404" s="3" t="s">
        <v>47</v>
      </c>
      <c r="C2404" s="4" t="s">
        <v>7270</v>
      </c>
      <c r="D2404" s="85" t="s">
        <v>7271</v>
      </c>
      <c r="E2404" s="2" t="s">
        <v>63</v>
      </c>
      <c r="F2404" s="6" t="s">
        <v>172</v>
      </c>
      <c r="G2404" s="5" t="s">
        <v>7272</v>
      </c>
      <c r="H2404" s="2" t="s">
        <v>491</v>
      </c>
      <c r="I2404" s="94" t="s">
        <v>7273</v>
      </c>
      <c r="J2404" s="7">
        <v>2</v>
      </c>
      <c r="K2404" s="70"/>
      <c r="L2404" s="9">
        <v>1</v>
      </c>
      <c r="M2404" s="3">
        <v>1994</v>
      </c>
      <c r="N2404" s="6">
        <v>2021</v>
      </c>
      <c r="O2404" s="10">
        <v>40532</v>
      </c>
      <c r="P2404" s="71" t="s">
        <v>7274</v>
      </c>
      <c r="Q2404" s="10">
        <v>44512</v>
      </c>
      <c r="R2404" s="6">
        <v>2020</v>
      </c>
      <c r="S2404" s="3" t="s">
        <v>236</v>
      </c>
      <c r="T2404" s="239" t="s">
        <v>1136</v>
      </c>
      <c r="W2404" s="175"/>
      <c r="X2404" s="10"/>
      <c r="Y2404" s="10"/>
      <c r="Z2404" s="75"/>
      <c r="AA2404" s="76"/>
      <c r="AB2404" s="10"/>
      <c r="AC2404" s="7"/>
      <c r="AD2404" s="7"/>
      <c r="AI2404" s="7"/>
      <c r="AJ2404" s="10">
        <v>44531</v>
      </c>
      <c r="AK2404" s="7">
        <v>2020</v>
      </c>
      <c r="AL2404" s="5"/>
      <c r="AS2404" s="84"/>
      <c r="AU2404" s="5"/>
      <c r="AV2404" s="111"/>
      <c r="AW2404" s="6">
        <f t="shared" ca="1" si="39"/>
        <v>4</v>
      </c>
    </row>
    <row r="2405" ht="45" hidden="1" customHeight="1">
      <c r="A2405" s="69">
        <v>45415</v>
      </c>
      <c r="B2405" s="3" t="s">
        <v>47</v>
      </c>
      <c r="C2405" s="4" t="s">
        <v>7275</v>
      </c>
      <c r="D2405" s="85" t="s">
        <v>7276</v>
      </c>
      <c r="E2405" s="2" t="s">
        <v>48</v>
      </c>
      <c r="F2405" s="6" t="s">
        <v>140</v>
      </c>
      <c r="G2405" s="5" t="s">
        <v>210</v>
      </c>
      <c r="H2405" s="2" t="s">
        <v>491</v>
      </c>
      <c r="I2405" s="94" t="s">
        <v>7277</v>
      </c>
      <c r="J2405" s="7">
        <v>1</v>
      </c>
      <c r="K2405" s="70"/>
      <c r="L2405" s="9">
        <v>1</v>
      </c>
      <c r="M2405" s="3">
        <v>1995</v>
      </c>
      <c r="N2405" s="6">
        <v>2021</v>
      </c>
      <c r="O2405" s="10">
        <v>44505</v>
      </c>
      <c r="P2405" s="239" t="s">
        <v>7278</v>
      </c>
      <c r="Q2405" s="10">
        <v>44516</v>
      </c>
      <c r="R2405" s="6">
        <v>2020</v>
      </c>
      <c r="S2405" s="3" t="s">
        <v>236</v>
      </c>
      <c r="T2405" s="239" t="s">
        <v>1136</v>
      </c>
      <c r="W2405" s="175"/>
      <c r="X2405" s="10"/>
      <c r="Y2405" s="10"/>
      <c r="Z2405" s="75"/>
      <c r="AA2405" s="76"/>
      <c r="AB2405" s="10"/>
      <c r="AC2405" s="7"/>
      <c r="AD2405" s="7"/>
      <c r="AI2405" s="7"/>
      <c r="AJ2405" s="10">
        <v>45462</v>
      </c>
      <c r="AK2405" s="7">
        <v>2020</v>
      </c>
      <c r="AL2405" s="16" t="s">
        <v>5286</v>
      </c>
      <c r="AS2405" s="84"/>
      <c r="AU2405" s="5"/>
      <c r="AV2405" s="111"/>
      <c r="AW2405" s="6">
        <f t="shared" ca="1" si="39"/>
        <v>4</v>
      </c>
    </row>
    <row r="2406" ht="45" hidden="1" customHeight="1">
      <c r="A2406" s="69"/>
      <c r="B2406" s="3" t="s">
        <v>190</v>
      </c>
      <c r="C2406" s="4" t="s">
        <v>7275</v>
      </c>
      <c r="D2406" s="85" t="s">
        <v>7279</v>
      </c>
      <c r="E2406" s="2" t="s">
        <v>83</v>
      </c>
      <c r="F2406" s="6" t="s">
        <v>704</v>
      </c>
      <c r="G2406" s="5" t="s">
        <v>705</v>
      </c>
      <c r="H2406" s="2" t="s">
        <v>491</v>
      </c>
      <c r="I2406" s="94" t="s">
        <v>7280</v>
      </c>
      <c r="J2406" s="7">
        <v>1</v>
      </c>
      <c r="K2406" s="70"/>
      <c r="L2406" s="9">
        <v>1</v>
      </c>
      <c r="M2406" s="3">
        <v>1996</v>
      </c>
      <c r="N2406" s="6">
        <v>2021</v>
      </c>
      <c r="O2406" s="10">
        <v>44505</v>
      </c>
      <c r="P2406" s="242" t="s">
        <v>7278</v>
      </c>
      <c r="Q2406" s="10">
        <v>44516</v>
      </c>
      <c r="R2406" s="6">
        <v>2020</v>
      </c>
      <c r="S2406" s="3" t="s">
        <v>283</v>
      </c>
      <c r="T2406" s="239"/>
      <c r="U2406" s="73"/>
      <c r="W2406" s="175"/>
      <c r="X2406" s="10"/>
      <c r="Y2406" s="10"/>
      <c r="Z2406" s="75"/>
      <c r="AA2406" s="76"/>
      <c r="AB2406" s="10"/>
      <c r="AC2406" s="7"/>
      <c r="AD2406" s="7"/>
      <c r="AI2406" s="7"/>
      <c r="AJ2406" s="226"/>
      <c r="AK2406" s="7"/>
      <c r="AL2406" s="5"/>
      <c r="AS2406" s="84"/>
      <c r="AU2406" s="5"/>
      <c r="AV2406" s="111"/>
      <c r="AW2406" s="6">
        <f t="shared" ca="1" si="39"/>
        <v>4</v>
      </c>
    </row>
    <row r="2407" ht="45" hidden="1" customHeight="1">
      <c r="A2407" s="69"/>
      <c r="B2407" s="3" t="s">
        <v>47</v>
      </c>
      <c r="C2407" s="4" t="s">
        <v>7281</v>
      </c>
      <c r="D2407" s="85" t="s">
        <v>7282</v>
      </c>
      <c r="E2407" s="2" t="s">
        <v>63</v>
      </c>
      <c r="F2407" s="6" t="s">
        <v>172</v>
      </c>
      <c r="G2407" s="5" t="s">
        <v>7283</v>
      </c>
      <c r="H2407" s="2" t="s">
        <v>57</v>
      </c>
      <c r="I2407" s="94" t="s">
        <v>7284</v>
      </c>
      <c r="J2407" s="7">
        <v>1</v>
      </c>
      <c r="K2407" s="70"/>
      <c r="L2407" s="9">
        <v>1</v>
      </c>
      <c r="M2407" s="3">
        <v>1997</v>
      </c>
      <c r="N2407" s="6">
        <v>2021</v>
      </c>
      <c r="O2407" s="10">
        <v>42963</v>
      </c>
      <c r="P2407" s="71" t="s">
        <v>7285</v>
      </c>
      <c r="Q2407" s="10">
        <v>44516</v>
      </c>
      <c r="R2407" s="6">
        <v>2020</v>
      </c>
      <c r="S2407" s="3" t="s">
        <v>236</v>
      </c>
      <c r="T2407" s="239" t="s">
        <v>1136</v>
      </c>
      <c r="W2407" s="175"/>
      <c r="X2407" s="10"/>
      <c r="Y2407" s="10"/>
      <c r="Z2407" s="75"/>
      <c r="AA2407" s="76"/>
      <c r="AB2407" s="10"/>
      <c r="AC2407" s="7"/>
      <c r="AD2407" s="7"/>
      <c r="AI2407" s="7"/>
      <c r="AJ2407" s="10">
        <v>44799</v>
      </c>
      <c r="AK2407" s="7">
        <v>2020</v>
      </c>
      <c r="AL2407" s="5"/>
      <c r="AS2407" s="84"/>
      <c r="AU2407" s="5"/>
      <c r="AV2407" s="111"/>
      <c r="AW2407" s="6">
        <f t="shared" ref="AW2407:AW2470" ca="1" si="40">IF(N2407&lt;&gt;0,(YEAR(TODAY())-N2407),(""))</f>
        <v>4</v>
      </c>
    </row>
    <row r="2408" ht="45" hidden="1" customHeight="1">
      <c r="A2408" s="69"/>
      <c r="B2408" s="3" t="s">
        <v>190</v>
      </c>
      <c r="C2408" s="4" t="s">
        <v>7286</v>
      </c>
      <c r="D2408" s="85" t="s">
        <v>7287</v>
      </c>
      <c r="E2408" s="2" t="s">
        <v>63</v>
      </c>
      <c r="F2408" s="6" t="s">
        <v>6816</v>
      </c>
      <c r="G2408" s="5" t="s">
        <v>69</v>
      </c>
      <c r="H2408" s="2" t="s">
        <v>382</v>
      </c>
      <c r="I2408" s="94" t="s">
        <v>7288</v>
      </c>
      <c r="J2408" s="7">
        <v>1</v>
      </c>
      <c r="K2408" s="70"/>
      <c r="L2408" s="9">
        <v>1</v>
      </c>
      <c r="M2408" s="3">
        <v>1998</v>
      </c>
      <c r="N2408" s="6">
        <v>2021</v>
      </c>
      <c r="O2408" s="10">
        <v>44470</v>
      </c>
      <c r="P2408" s="71" t="s">
        <v>7289</v>
      </c>
      <c r="Q2408" s="10">
        <v>44516</v>
      </c>
      <c r="R2408" s="6">
        <v>2020</v>
      </c>
      <c r="S2408" s="3" t="s">
        <v>283</v>
      </c>
      <c r="T2408" s="239"/>
      <c r="U2408" s="73"/>
      <c r="W2408" s="175"/>
      <c r="X2408" s="10"/>
      <c r="Y2408" s="10"/>
      <c r="Z2408" s="75"/>
      <c r="AA2408" s="76"/>
      <c r="AB2408" s="10"/>
      <c r="AC2408" s="7"/>
      <c r="AD2408" s="7"/>
      <c r="AI2408" s="7"/>
      <c r="AJ2408" s="226"/>
      <c r="AK2408" s="7"/>
      <c r="AL2408" s="5"/>
      <c r="AS2408" s="84"/>
      <c r="AU2408" s="5"/>
      <c r="AV2408" s="111"/>
      <c r="AW2408" s="6">
        <f t="shared" ca="1" si="40"/>
        <v>4</v>
      </c>
    </row>
    <row r="2409" ht="45" hidden="1" customHeight="1">
      <c r="A2409" s="69"/>
      <c r="B2409" s="3" t="s">
        <v>47</v>
      </c>
      <c r="C2409" s="4" t="s">
        <v>7290</v>
      </c>
      <c r="D2409" s="85" t="s">
        <v>7291</v>
      </c>
      <c r="E2409" s="2" t="s">
        <v>83</v>
      </c>
      <c r="F2409" s="6" t="s">
        <v>179</v>
      </c>
      <c r="G2409" s="5" t="s">
        <v>857</v>
      </c>
      <c r="H2409" s="2" t="s">
        <v>68</v>
      </c>
      <c r="I2409" s="94" t="s">
        <v>7292</v>
      </c>
      <c r="J2409" s="7">
        <v>1</v>
      </c>
      <c r="K2409" s="70"/>
      <c r="L2409" s="9">
        <v>1</v>
      </c>
      <c r="M2409" s="3">
        <v>1999</v>
      </c>
      <c r="N2409" s="6">
        <v>2021</v>
      </c>
      <c r="O2409" s="10">
        <v>40807</v>
      </c>
      <c r="P2409" s="71" t="s">
        <v>7293</v>
      </c>
      <c r="Q2409" s="10">
        <v>44517</v>
      </c>
      <c r="R2409" s="6">
        <v>2020</v>
      </c>
      <c r="S2409" s="3" t="s">
        <v>236</v>
      </c>
      <c r="T2409" s="239" t="s">
        <v>1136</v>
      </c>
      <c r="W2409" s="175"/>
      <c r="X2409" s="10"/>
      <c r="Y2409" s="10"/>
      <c r="Z2409" s="75"/>
      <c r="AA2409" s="76"/>
      <c r="AB2409" s="10"/>
      <c r="AC2409" s="7"/>
      <c r="AD2409" s="7"/>
      <c r="AI2409" s="7"/>
      <c r="AJ2409" s="10">
        <v>44538</v>
      </c>
      <c r="AK2409" s="7">
        <v>2020</v>
      </c>
      <c r="AL2409" s="5"/>
      <c r="AS2409" s="84"/>
      <c r="AU2409" s="5"/>
      <c r="AV2409" s="111"/>
      <c r="AW2409" s="6">
        <f t="shared" ca="1" si="40"/>
        <v>4</v>
      </c>
    </row>
    <row r="2410" ht="45" hidden="1" customHeight="1">
      <c r="A2410" s="69"/>
      <c r="B2410" s="3" t="s">
        <v>47</v>
      </c>
      <c r="C2410" s="4" t="s">
        <v>7294</v>
      </c>
      <c r="D2410" s="85" t="s">
        <v>7295</v>
      </c>
      <c r="E2410" s="2" t="s">
        <v>83</v>
      </c>
      <c r="F2410" s="6" t="s">
        <v>84</v>
      </c>
      <c r="G2410" s="5" t="s">
        <v>3776</v>
      </c>
      <c r="H2410" s="2" t="s">
        <v>68</v>
      </c>
      <c r="I2410" s="94" t="s">
        <v>7296</v>
      </c>
      <c r="J2410" s="7">
        <v>1</v>
      </c>
      <c r="K2410" s="70"/>
      <c r="L2410" s="9">
        <v>1</v>
      </c>
      <c r="M2410" s="3">
        <v>2000</v>
      </c>
      <c r="N2410" s="6">
        <v>2021</v>
      </c>
      <c r="O2410" s="10" t="s">
        <v>7297</v>
      </c>
      <c r="P2410" s="71" t="s">
        <v>7298</v>
      </c>
      <c r="Q2410" s="10">
        <v>44516</v>
      </c>
      <c r="R2410" s="6">
        <v>2020</v>
      </c>
      <c r="S2410" s="3" t="s">
        <v>236</v>
      </c>
      <c r="T2410" s="239" t="s">
        <v>1136</v>
      </c>
      <c r="W2410" s="175"/>
      <c r="X2410" s="10"/>
      <c r="Y2410" s="10"/>
      <c r="Z2410" s="75"/>
      <c r="AA2410" s="76"/>
      <c r="AB2410" s="10"/>
      <c r="AC2410" s="7"/>
      <c r="AD2410" s="7"/>
      <c r="AI2410" s="7"/>
      <c r="AJ2410" s="10">
        <v>44531</v>
      </c>
      <c r="AK2410" s="7">
        <v>2020</v>
      </c>
      <c r="AL2410" s="5"/>
      <c r="AS2410" s="84"/>
      <c r="AU2410" s="5"/>
      <c r="AV2410" s="111"/>
      <c r="AW2410" s="6">
        <f t="shared" ca="1" si="40"/>
        <v>4</v>
      </c>
    </row>
    <row r="2411" ht="45" hidden="1" customHeight="1">
      <c r="A2411" s="69"/>
      <c r="B2411" s="3" t="s">
        <v>47</v>
      </c>
      <c r="C2411" s="4" t="s">
        <v>7299</v>
      </c>
      <c r="D2411" s="85" t="s">
        <v>7300</v>
      </c>
      <c r="E2411" s="2" t="s">
        <v>63</v>
      </c>
      <c r="F2411" s="6" t="s">
        <v>172</v>
      </c>
      <c r="G2411" s="5" t="s">
        <v>4689</v>
      </c>
      <c r="H2411" s="2" t="s">
        <v>68</v>
      </c>
      <c r="I2411" s="94" t="s">
        <v>1061</v>
      </c>
      <c r="J2411" s="7">
        <v>1</v>
      </c>
      <c r="K2411" s="70"/>
      <c r="L2411" s="9">
        <v>1</v>
      </c>
      <c r="M2411" s="3">
        <v>2001</v>
      </c>
      <c r="N2411" s="6">
        <v>2021</v>
      </c>
      <c r="O2411" s="10">
        <v>38680</v>
      </c>
      <c r="P2411" s="71" t="s">
        <v>7301</v>
      </c>
      <c r="Q2411" s="10">
        <v>44522</v>
      </c>
      <c r="R2411" s="6">
        <v>2020</v>
      </c>
      <c r="S2411" s="3" t="s">
        <v>236</v>
      </c>
      <c r="T2411" s="239" t="s">
        <v>1136</v>
      </c>
      <c r="W2411" s="175"/>
      <c r="X2411" s="10"/>
      <c r="Y2411" s="10"/>
      <c r="Z2411" s="75"/>
      <c r="AA2411" s="76"/>
      <c r="AB2411" s="10"/>
      <c r="AC2411" s="7"/>
      <c r="AD2411" s="7"/>
      <c r="AI2411" s="7"/>
      <c r="AJ2411" s="10">
        <v>44550</v>
      </c>
      <c r="AK2411" s="7">
        <v>2020</v>
      </c>
      <c r="AL2411" s="5"/>
      <c r="AS2411" s="84"/>
      <c r="AU2411" s="5"/>
      <c r="AV2411" s="111"/>
      <c r="AW2411" s="6">
        <f t="shared" ca="1" si="40"/>
        <v>4</v>
      </c>
    </row>
    <row r="2412" ht="45" hidden="1" customHeight="1">
      <c r="A2412" s="69"/>
      <c r="B2412" s="3" t="s">
        <v>47</v>
      </c>
      <c r="C2412" s="4" t="s">
        <v>7302</v>
      </c>
      <c r="D2412" s="85" t="s">
        <v>7303</v>
      </c>
      <c r="E2412" s="2" t="s">
        <v>83</v>
      </c>
      <c r="F2412" s="6" t="s">
        <v>84</v>
      </c>
      <c r="G2412" s="5" t="s">
        <v>85</v>
      </c>
      <c r="H2412" s="2" t="s">
        <v>57</v>
      </c>
      <c r="I2412" s="94" t="s">
        <v>7304</v>
      </c>
      <c r="J2412" s="7">
        <v>1</v>
      </c>
      <c r="K2412" s="70"/>
      <c r="L2412" s="9">
        <v>1</v>
      </c>
      <c r="M2412" s="3">
        <v>2002</v>
      </c>
      <c r="N2412" s="6">
        <v>2021</v>
      </c>
      <c r="O2412" s="10">
        <v>43125</v>
      </c>
      <c r="P2412" s="71" t="s">
        <v>7305</v>
      </c>
      <c r="Q2412" s="10">
        <v>44523</v>
      </c>
      <c r="R2412" s="6">
        <v>2020</v>
      </c>
      <c r="S2412" s="3" t="s">
        <v>236</v>
      </c>
      <c r="T2412" s="239" t="s">
        <v>1136</v>
      </c>
      <c r="W2412" s="175"/>
      <c r="X2412" s="10"/>
      <c r="Y2412" s="10"/>
      <c r="Z2412" s="75"/>
      <c r="AA2412" s="76"/>
      <c r="AB2412" s="10"/>
      <c r="AC2412" s="7"/>
      <c r="AD2412" s="7"/>
      <c r="AI2412" s="7"/>
      <c r="AJ2412" s="10">
        <v>44550</v>
      </c>
      <c r="AK2412" s="7">
        <v>2020</v>
      </c>
      <c r="AL2412" s="5"/>
      <c r="AS2412" s="84"/>
      <c r="AU2412" s="5"/>
      <c r="AV2412" s="111"/>
      <c r="AW2412" s="6">
        <f t="shared" ca="1" si="40"/>
        <v>4</v>
      </c>
    </row>
    <row r="2413" ht="45" hidden="1" customHeight="1">
      <c r="A2413" s="69"/>
      <c r="B2413" s="3" t="s">
        <v>47</v>
      </c>
      <c r="C2413" s="4" t="s">
        <v>7306</v>
      </c>
      <c r="D2413" s="244" t="s">
        <v>7307</v>
      </c>
      <c r="E2413" s="2" t="s">
        <v>63</v>
      </c>
      <c r="F2413" s="6" t="s">
        <v>172</v>
      </c>
      <c r="G2413" s="5" t="s">
        <v>7308</v>
      </c>
      <c r="H2413" s="2" t="s">
        <v>382</v>
      </c>
      <c r="I2413" s="94" t="s">
        <v>7309</v>
      </c>
      <c r="J2413" s="7">
        <v>1</v>
      </c>
      <c r="K2413" s="70"/>
      <c r="L2413" s="9">
        <v>1</v>
      </c>
      <c r="M2413" s="3">
        <v>2003</v>
      </c>
      <c r="N2413" s="6">
        <v>2021</v>
      </c>
      <c r="O2413" s="10">
        <v>44465</v>
      </c>
      <c r="P2413" s="71" t="s">
        <v>7310</v>
      </c>
      <c r="Q2413" s="10">
        <v>44544</v>
      </c>
      <c r="R2413" s="6">
        <v>2020</v>
      </c>
      <c r="S2413" s="3" t="s">
        <v>236</v>
      </c>
      <c r="T2413" s="239" t="s">
        <v>1136</v>
      </c>
      <c r="W2413" s="175"/>
      <c r="X2413" s="10"/>
      <c r="Y2413" s="10"/>
      <c r="Z2413" s="75"/>
      <c r="AA2413" s="76"/>
      <c r="AB2413" s="10"/>
      <c r="AC2413" s="7"/>
      <c r="AD2413" s="7"/>
      <c r="AI2413" s="7"/>
      <c r="AJ2413" s="10">
        <v>44623</v>
      </c>
      <c r="AK2413" s="7">
        <v>2020</v>
      </c>
      <c r="AL2413" s="5"/>
      <c r="AS2413" s="84"/>
      <c r="AU2413" s="5"/>
      <c r="AV2413" s="111"/>
      <c r="AW2413" s="6">
        <f t="shared" ca="1" si="40"/>
        <v>4</v>
      </c>
    </row>
    <row r="2414" ht="45" hidden="1" customHeight="1">
      <c r="A2414" s="69"/>
      <c r="B2414" s="3" t="s">
        <v>47</v>
      </c>
      <c r="C2414" s="4" t="s">
        <v>7311</v>
      </c>
      <c r="D2414" s="244" t="s">
        <v>7312</v>
      </c>
      <c r="E2414" s="2" t="s">
        <v>63</v>
      </c>
      <c r="F2414" s="6" t="s">
        <v>172</v>
      </c>
      <c r="G2414" s="5" t="s">
        <v>7313</v>
      </c>
      <c r="H2414" s="2" t="s">
        <v>57</v>
      </c>
      <c r="I2414" s="94" t="s">
        <v>7314</v>
      </c>
      <c r="J2414" s="7">
        <v>1</v>
      </c>
      <c r="K2414" s="70"/>
      <c r="L2414" s="9">
        <v>1</v>
      </c>
      <c r="M2414" s="3">
        <v>2004</v>
      </c>
      <c r="N2414" s="6">
        <v>2021</v>
      </c>
      <c r="O2414" s="10">
        <v>44494</v>
      </c>
      <c r="P2414" s="71" t="s">
        <v>7315</v>
      </c>
      <c r="Q2414" s="10">
        <v>44551</v>
      </c>
      <c r="R2414" s="6">
        <v>2020</v>
      </c>
      <c r="S2414" s="3" t="s">
        <v>236</v>
      </c>
      <c r="T2414" s="239" t="s">
        <v>1136</v>
      </c>
      <c r="W2414" s="175"/>
      <c r="X2414" s="10"/>
      <c r="Y2414" s="10"/>
      <c r="Z2414" s="75"/>
      <c r="AA2414" s="76"/>
      <c r="AB2414" s="10"/>
      <c r="AC2414" s="7"/>
      <c r="AD2414" s="7"/>
      <c r="AI2414" s="7"/>
      <c r="AJ2414" s="10">
        <v>44574</v>
      </c>
      <c r="AK2414" s="7">
        <v>2020</v>
      </c>
      <c r="AL2414" s="5"/>
      <c r="AS2414" s="84"/>
      <c r="AU2414" s="5"/>
      <c r="AV2414" s="111"/>
      <c r="AW2414" s="6">
        <f t="shared" ca="1" si="40"/>
        <v>4</v>
      </c>
    </row>
    <row r="2415" ht="45" hidden="1" customHeight="1">
      <c r="A2415" s="69">
        <v>44565</v>
      </c>
      <c r="B2415" s="3" t="s">
        <v>190</v>
      </c>
      <c r="C2415" s="4" t="s">
        <v>7316</v>
      </c>
      <c r="D2415" s="244" t="s">
        <v>7317</v>
      </c>
      <c r="E2415" s="2" t="s">
        <v>48</v>
      </c>
      <c r="F2415" s="6" t="s">
        <v>49</v>
      </c>
      <c r="G2415" s="5" t="s">
        <v>3780</v>
      </c>
      <c r="H2415" s="2" t="s">
        <v>57</v>
      </c>
      <c r="I2415" s="94" t="s">
        <v>7318</v>
      </c>
      <c r="J2415" s="7">
        <v>1</v>
      </c>
      <c r="K2415" s="70"/>
      <c r="L2415" s="9">
        <v>1</v>
      </c>
      <c r="M2415" s="3">
        <v>2005</v>
      </c>
      <c r="N2415" s="6">
        <v>2022</v>
      </c>
      <c r="O2415" s="10">
        <v>44517</v>
      </c>
      <c r="P2415" s="71" t="s">
        <v>7319</v>
      </c>
      <c r="Q2415" s="10">
        <v>44565</v>
      </c>
      <c r="R2415" s="6">
        <v>2020</v>
      </c>
      <c r="S2415" s="3" t="s">
        <v>283</v>
      </c>
      <c r="T2415" s="239"/>
      <c r="U2415" s="73"/>
      <c r="W2415" s="175"/>
      <c r="X2415" s="10"/>
      <c r="Y2415" s="10"/>
      <c r="Z2415" s="75"/>
      <c r="AA2415" s="76"/>
      <c r="AB2415" s="10"/>
      <c r="AC2415" s="7"/>
      <c r="AD2415" s="7"/>
      <c r="AI2415" s="7"/>
      <c r="AJ2415" s="226"/>
      <c r="AK2415" s="7"/>
      <c r="AL2415" s="5"/>
      <c r="AS2415" s="84"/>
      <c r="AU2415" s="5"/>
      <c r="AV2415" s="111"/>
      <c r="AW2415" s="6">
        <f t="shared" ca="1" si="40"/>
        <v>3</v>
      </c>
    </row>
    <row r="2416" ht="45" hidden="1" customHeight="1">
      <c r="A2416" s="69"/>
      <c r="B2416" s="3" t="s">
        <v>47</v>
      </c>
      <c r="C2416" s="4" t="s">
        <v>7320</v>
      </c>
      <c r="D2416" s="244" t="s">
        <v>7321</v>
      </c>
      <c r="E2416" s="2" t="s">
        <v>63</v>
      </c>
      <c r="F2416" s="6" t="s">
        <v>172</v>
      </c>
      <c r="G2416" s="5" t="s">
        <v>173</v>
      </c>
      <c r="H2416" s="2" t="s">
        <v>491</v>
      </c>
      <c r="I2416" s="94" t="s">
        <v>7322</v>
      </c>
      <c r="J2416" s="7">
        <v>1</v>
      </c>
      <c r="K2416" s="70"/>
      <c r="L2416" s="9">
        <v>1</v>
      </c>
      <c r="M2416" s="3">
        <v>2006</v>
      </c>
      <c r="N2416" s="6">
        <v>2022</v>
      </c>
      <c r="O2416" s="10">
        <v>43819</v>
      </c>
      <c r="P2416" s="71" t="s">
        <v>7323</v>
      </c>
      <c r="Q2416" s="10">
        <v>44567</v>
      </c>
      <c r="R2416" s="6">
        <v>2020</v>
      </c>
      <c r="S2416" s="3" t="s">
        <v>236</v>
      </c>
      <c r="T2416" s="239" t="s">
        <v>1136</v>
      </c>
      <c r="W2416" s="175"/>
      <c r="X2416" s="10"/>
      <c r="Y2416" s="10"/>
      <c r="Z2416" s="75"/>
      <c r="AA2416" s="76"/>
      <c r="AB2416" s="10"/>
      <c r="AC2416" s="7"/>
      <c r="AD2416" s="7"/>
      <c r="AI2416" s="7"/>
      <c r="AJ2416" s="10">
        <v>44575</v>
      </c>
      <c r="AK2416" s="7">
        <v>2020</v>
      </c>
      <c r="AL2416" s="16" t="s">
        <v>7324</v>
      </c>
      <c r="AS2416" s="84"/>
      <c r="AU2416" s="5"/>
      <c r="AV2416" s="111"/>
      <c r="AW2416" s="6"/>
    </row>
    <row r="2417" ht="45" hidden="1" customHeight="1">
      <c r="A2417" s="69"/>
      <c r="B2417" s="3" t="s">
        <v>47</v>
      </c>
      <c r="C2417" s="4" t="s">
        <v>7325</v>
      </c>
      <c r="D2417" s="244" t="s">
        <v>7326</v>
      </c>
      <c r="E2417" s="2" t="s">
        <v>63</v>
      </c>
      <c r="F2417" s="6" t="s">
        <v>172</v>
      </c>
      <c r="G2417" s="5" t="s">
        <v>7327</v>
      </c>
      <c r="H2417" s="2" t="s">
        <v>491</v>
      </c>
      <c r="I2417" s="94" t="s">
        <v>7328</v>
      </c>
      <c r="J2417" s="7">
        <v>1</v>
      </c>
      <c r="K2417" s="70"/>
      <c r="L2417" s="9">
        <v>1</v>
      </c>
      <c r="M2417" s="3">
        <v>2007</v>
      </c>
      <c r="N2417" s="6">
        <v>2022</v>
      </c>
      <c r="O2417" s="10">
        <v>44004</v>
      </c>
      <c r="P2417" s="71" t="s">
        <v>7329</v>
      </c>
      <c r="Q2417" s="10">
        <v>44574</v>
      </c>
      <c r="R2417" s="6">
        <v>2020</v>
      </c>
      <c r="S2417" s="3" t="s">
        <v>236</v>
      </c>
      <c r="T2417" s="239" t="s">
        <v>1136</v>
      </c>
      <c r="W2417" s="175"/>
      <c r="X2417" s="10"/>
      <c r="Y2417" s="10"/>
      <c r="Z2417" s="75"/>
      <c r="AA2417" s="76"/>
      <c r="AB2417" s="10"/>
      <c r="AC2417" s="7"/>
      <c r="AD2417" s="7"/>
      <c r="AI2417" s="7"/>
      <c r="AJ2417" s="10">
        <v>44575</v>
      </c>
      <c r="AK2417" s="7">
        <v>2020</v>
      </c>
      <c r="AL2417" s="16" t="s">
        <v>7330</v>
      </c>
      <c r="AS2417" s="84"/>
      <c r="AU2417" s="5"/>
      <c r="AV2417" s="111"/>
    </row>
    <row r="2418" ht="45" hidden="1" customHeight="1">
      <c r="A2418" s="69">
        <v>45387</v>
      </c>
      <c r="B2418" s="3" t="s">
        <v>1926</v>
      </c>
      <c r="C2418" s="4" t="s">
        <v>7331</v>
      </c>
      <c r="D2418" s="244" t="s">
        <v>7332</v>
      </c>
      <c r="E2418" s="2" t="s">
        <v>63</v>
      </c>
      <c r="F2418" s="6" t="s">
        <v>428</v>
      </c>
      <c r="G2418" s="5" t="s">
        <v>429</v>
      </c>
      <c r="H2418" s="2" t="s">
        <v>491</v>
      </c>
      <c r="I2418" s="94" t="s">
        <v>7333</v>
      </c>
      <c r="J2418" s="7">
        <v>1</v>
      </c>
      <c r="K2418" s="70"/>
      <c r="L2418" s="9">
        <v>1</v>
      </c>
      <c r="M2418" s="3">
        <v>2008</v>
      </c>
      <c r="N2418" s="6">
        <v>2022</v>
      </c>
      <c r="O2418" s="10">
        <v>44547</v>
      </c>
      <c r="P2418" s="71" t="s">
        <v>7334</v>
      </c>
      <c r="Q2418" s="10">
        <v>44575</v>
      </c>
      <c r="R2418" s="6">
        <v>2020</v>
      </c>
      <c r="S2418" s="3" t="s">
        <v>283</v>
      </c>
      <c r="T2418" s="239"/>
      <c r="U2418" s="73"/>
      <c r="W2418" s="175"/>
      <c r="X2418" s="10"/>
      <c r="Y2418" s="10"/>
      <c r="Z2418" s="75"/>
      <c r="AA2418" s="76"/>
      <c r="AB2418" s="10"/>
      <c r="AC2418" s="7"/>
      <c r="AD2418" s="7"/>
      <c r="AI2418" s="7"/>
      <c r="AJ2418" s="226"/>
      <c r="AK2418" s="7"/>
      <c r="AL2418" s="5"/>
      <c r="AS2418" s="84"/>
      <c r="AU2418" s="5"/>
      <c r="AV2418" s="111"/>
    </row>
    <row r="2419" ht="45" hidden="1" customHeight="1">
      <c r="A2419" s="69"/>
      <c r="B2419" s="3" t="s">
        <v>1926</v>
      </c>
      <c r="C2419" s="4" t="s">
        <v>7335</v>
      </c>
      <c r="D2419" s="244" t="s">
        <v>7336</v>
      </c>
      <c r="E2419" s="2" t="s">
        <v>83</v>
      </c>
      <c r="F2419" s="6" t="s">
        <v>704</v>
      </c>
      <c r="G2419" s="5" t="s">
        <v>705</v>
      </c>
      <c r="H2419" s="2" t="s">
        <v>7210</v>
      </c>
      <c r="I2419" s="94" t="s">
        <v>7337</v>
      </c>
      <c r="J2419" s="7">
        <v>1</v>
      </c>
      <c r="K2419" s="70"/>
      <c r="L2419" s="9">
        <v>1</v>
      </c>
      <c r="M2419" s="3">
        <v>2009</v>
      </c>
      <c r="N2419" s="6">
        <v>2022</v>
      </c>
      <c r="O2419" s="10">
        <v>42496</v>
      </c>
      <c r="P2419" s="71" t="s">
        <v>7338</v>
      </c>
      <c r="Q2419" s="10">
        <v>44575</v>
      </c>
      <c r="R2419" s="6">
        <v>2020</v>
      </c>
      <c r="S2419" s="3" t="s">
        <v>283</v>
      </c>
      <c r="T2419" s="239"/>
      <c r="U2419" s="73"/>
      <c r="W2419" s="175"/>
      <c r="X2419" s="10"/>
      <c r="Y2419" s="10"/>
      <c r="Z2419" s="75"/>
      <c r="AA2419" s="76"/>
      <c r="AB2419" s="10"/>
      <c r="AC2419" s="7"/>
      <c r="AD2419" s="7"/>
      <c r="AI2419" s="7"/>
      <c r="AJ2419" s="226"/>
      <c r="AK2419" s="7"/>
      <c r="AL2419" s="5"/>
      <c r="AS2419" s="84"/>
      <c r="AU2419" s="5"/>
      <c r="AV2419" s="111"/>
    </row>
    <row r="2420" ht="45" hidden="1" customHeight="1">
      <c r="A2420" s="69"/>
      <c r="B2420" s="3" t="s">
        <v>190</v>
      </c>
      <c r="C2420" s="4" t="s">
        <v>7339</v>
      </c>
      <c r="D2420" s="244" t="s">
        <v>7340</v>
      </c>
      <c r="E2420" s="2" t="s">
        <v>48</v>
      </c>
      <c r="F2420" s="6" t="s">
        <v>140</v>
      </c>
      <c r="G2420" s="5" t="s">
        <v>210</v>
      </c>
      <c r="H2420" s="2" t="s">
        <v>7210</v>
      </c>
      <c r="I2420" s="94" t="s">
        <v>7341</v>
      </c>
      <c r="J2420" s="7">
        <v>1</v>
      </c>
      <c r="K2420" s="70"/>
      <c r="L2420" s="9">
        <v>1</v>
      </c>
      <c r="M2420" s="3">
        <v>2010</v>
      </c>
      <c r="N2420" s="6">
        <v>2022</v>
      </c>
      <c r="O2420" s="10">
        <v>42496</v>
      </c>
      <c r="P2420" s="71" t="s">
        <v>7338</v>
      </c>
      <c r="Q2420" s="10">
        <v>44575</v>
      </c>
      <c r="R2420" s="6">
        <v>2020</v>
      </c>
      <c r="S2420" s="3" t="s">
        <v>283</v>
      </c>
      <c r="T2420" s="239"/>
      <c r="U2420" s="73"/>
      <c r="W2420" s="175"/>
      <c r="X2420" s="10"/>
      <c r="Y2420" s="10"/>
      <c r="Z2420" s="75"/>
      <c r="AA2420" s="76"/>
      <c r="AB2420" s="10"/>
      <c r="AC2420" s="7"/>
      <c r="AD2420" s="7"/>
      <c r="AI2420" s="7"/>
      <c r="AJ2420" s="226"/>
      <c r="AK2420" s="7"/>
      <c r="AL2420" s="5"/>
      <c r="AS2420" s="84"/>
      <c r="AU2420" s="5"/>
      <c r="AV2420" s="111"/>
    </row>
    <row r="2421" ht="45" hidden="1" customHeight="1">
      <c r="A2421" s="69"/>
      <c r="B2421" s="3" t="s">
        <v>190</v>
      </c>
      <c r="C2421" s="4" t="s">
        <v>7339</v>
      </c>
      <c r="D2421" s="244" t="s">
        <v>7340</v>
      </c>
      <c r="E2421" s="2" t="s">
        <v>1074</v>
      </c>
      <c r="F2421" s="6" t="s">
        <v>2154</v>
      </c>
      <c r="G2421" s="5" t="s">
        <v>2155</v>
      </c>
      <c r="H2421" s="2" t="s">
        <v>68</v>
      </c>
      <c r="I2421" s="94" t="s">
        <v>7342</v>
      </c>
      <c r="J2421" s="7">
        <v>1</v>
      </c>
      <c r="K2421" s="70"/>
      <c r="L2421" s="9">
        <v>1</v>
      </c>
      <c r="M2421" s="3">
        <v>2011</v>
      </c>
      <c r="N2421" s="6">
        <v>2022</v>
      </c>
      <c r="O2421" s="10">
        <v>42496</v>
      </c>
      <c r="P2421" s="71" t="s">
        <v>7338</v>
      </c>
      <c r="Q2421" s="10">
        <v>44579</v>
      </c>
      <c r="R2421" s="6">
        <v>2022</v>
      </c>
      <c r="S2421" s="3" t="s">
        <v>283</v>
      </c>
      <c r="T2421" s="239"/>
      <c r="U2421" s="73"/>
      <c r="W2421" s="175"/>
      <c r="X2421" s="10"/>
      <c r="Y2421" s="10"/>
      <c r="Z2421" s="75"/>
      <c r="AA2421" s="76"/>
      <c r="AB2421" s="10"/>
      <c r="AC2421" s="7"/>
      <c r="AD2421" s="7"/>
      <c r="AI2421" s="7"/>
      <c r="AJ2421" s="226"/>
      <c r="AK2421" s="7"/>
      <c r="AL2421" s="5"/>
      <c r="AS2421" s="84"/>
      <c r="AU2421" s="5"/>
      <c r="AV2421" s="111"/>
    </row>
    <row r="2422" ht="45" hidden="1" customHeight="1">
      <c r="A2422" s="69"/>
      <c r="B2422" s="3" t="s">
        <v>190</v>
      </c>
      <c r="C2422" s="4" t="s">
        <v>7343</v>
      </c>
      <c r="D2422" s="244" t="s">
        <v>7344</v>
      </c>
      <c r="E2422" s="2" t="s">
        <v>63</v>
      </c>
      <c r="F2422" s="6" t="s">
        <v>1230</v>
      </c>
      <c r="G2422" s="5" t="s">
        <v>3864</v>
      </c>
      <c r="H2422" s="2" t="s">
        <v>68</v>
      </c>
      <c r="I2422" s="94" t="s">
        <v>7345</v>
      </c>
      <c r="J2422" s="7">
        <v>1</v>
      </c>
      <c r="K2422" s="70"/>
      <c r="L2422" s="9">
        <v>1</v>
      </c>
      <c r="M2422" s="3">
        <v>2012</v>
      </c>
      <c r="N2422" s="6">
        <v>2022</v>
      </c>
      <c r="O2422" s="10">
        <v>42807</v>
      </c>
      <c r="P2422" s="71" t="s">
        <v>7346</v>
      </c>
      <c r="Q2422" s="10">
        <v>44595</v>
      </c>
      <c r="R2422" s="6">
        <v>2020</v>
      </c>
      <c r="S2422" s="3" t="s">
        <v>283</v>
      </c>
      <c r="T2422" s="239" t="s">
        <v>7347</v>
      </c>
      <c r="U2422" s="73"/>
      <c r="W2422" s="175"/>
      <c r="X2422" s="10"/>
      <c r="Y2422" s="10"/>
      <c r="Z2422" s="75"/>
      <c r="AA2422" s="76"/>
      <c r="AB2422" s="10"/>
      <c r="AC2422" s="7"/>
      <c r="AD2422" s="7"/>
      <c r="AI2422" s="7"/>
      <c r="AJ2422" s="226"/>
      <c r="AK2422" s="7"/>
      <c r="AL2422" s="5"/>
      <c r="AS2422" s="84"/>
      <c r="AU2422" s="5"/>
      <c r="AV2422" s="111"/>
    </row>
    <row r="2423" ht="45" hidden="1" customHeight="1">
      <c r="A2423" s="69"/>
      <c r="B2423" s="3" t="s">
        <v>190</v>
      </c>
      <c r="C2423" s="4" t="s">
        <v>7348</v>
      </c>
      <c r="D2423" s="244" t="s">
        <v>7349</v>
      </c>
      <c r="E2423" s="2" t="s">
        <v>48</v>
      </c>
      <c r="F2423" s="6" t="s">
        <v>49</v>
      </c>
      <c r="G2423" s="5" t="s">
        <v>7350</v>
      </c>
      <c r="H2423" s="2" t="s">
        <v>7210</v>
      </c>
      <c r="I2423" s="94" t="s">
        <v>7351</v>
      </c>
      <c r="J2423" s="7">
        <v>1</v>
      </c>
      <c r="K2423" s="70"/>
      <c r="L2423" s="9">
        <v>1</v>
      </c>
      <c r="M2423" s="3">
        <v>2013</v>
      </c>
      <c r="N2423" s="6">
        <v>2022</v>
      </c>
      <c r="O2423" s="10">
        <v>44573</v>
      </c>
      <c r="P2423" s="71" t="s">
        <v>7352</v>
      </c>
      <c r="Q2423" s="10">
        <v>44608</v>
      </c>
      <c r="R2423" s="6">
        <v>2020</v>
      </c>
      <c r="S2423" s="3" t="s">
        <v>283</v>
      </c>
      <c r="T2423" s="239"/>
      <c r="U2423" s="73"/>
      <c r="W2423" s="175"/>
      <c r="X2423" s="10"/>
      <c r="Y2423" s="10"/>
      <c r="Z2423" s="75"/>
      <c r="AA2423" s="76"/>
      <c r="AB2423" s="10"/>
      <c r="AC2423" s="7"/>
      <c r="AD2423" s="7"/>
      <c r="AI2423" s="7"/>
      <c r="AJ2423" s="226"/>
      <c r="AK2423" s="7"/>
      <c r="AL2423" s="5"/>
      <c r="AS2423" s="84"/>
      <c r="AU2423" s="5"/>
      <c r="AV2423" s="111"/>
    </row>
    <row r="2424" ht="45" hidden="1" customHeight="1">
      <c r="A2424" s="69"/>
      <c r="B2424" s="3" t="s">
        <v>190</v>
      </c>
      <c r="C2424" s="4" t="s">
        <v>7353</v>
      </c>
      <c r="D2424" s="244" t="s">
        <v>7354</v>
      </c>
      <c r="E2424" s="2" t="s">
        <v>63</v>
      </c>
      <c r="F2424" s="6" t="s">
        <v>428</v>
      </c>
      <c r="G2424" s="5" t="s">
        <v>429</v>
      </c>
      <c r="H2424" s="2" t="s">
        <v>68</v>
      </c>
      <c r="I2424" s="94" t="s">
        <v>7355</v>
      </c>
      <c r="J2424" s="7">
        <v>1</v>
      </c>
      <c r="K2424" s="70"/>
      <c r="L2424" s="9">
        <v>1</v>
      </c>
      <c r="M2424" s="3">
        <v>2014</v>
      </c>
      <c r="N2424" s="6">
        <v>2022</v>
      </c>
      <c r="O2424" s="10">
        <v>44606</v>
      </c>
      <c r="P2424" s="242" t="s">
        <v>7356</v>
      </c>
      <c r="Q2424" s="10">
        <v>44615</v>
      </c>
      <c r="R2424" s="6">
        <v>2020</v>
      </c>
      <c r="S2424" s="3" t="s">
        <v>283</v>
      </c>
      <c r="T2424" s="239"/>
      <c r="U2424" s="73"/>
      <c r="W2424" s="175"/>
      <c r="X2424" s="10"/>
      <c r="Y2424" s="10"/>
      <c r="Z2424" s="75"/>
      <c r="AA2424" s="76"/>
      <c r="AB2424" s="10"/>
      <c r="AC2424" s="7"/>
      <c r="AD2424" s="7"/>
      <c r="AI2424" s="7"/>
      <c r="AJ2424" s="226"/>
      <c r="AK2424" s="7"/>
      <c r="AL2424" s="5"/>
      <c r="AS2424" s="84"/>
      <c r="AU2424" s="5"/>
      <c r="AV2424" s="111"/>
    </row>
    <row r="2425" ht="45" hidden="1" customHeight="1">
      <c r="A2425" s="69"/>
      <c r="B2425" s="3" t="s">
        <v>190</v>
      </c>
      <c r="C2425" s="4" t="s">
        <v>7357</v>
      </c>
      <c r="D2425" s="120" t="s">
        <v>7358</v>
      </c>
      <c r="E2425" s="2" t="s">
        <v>63</v>
      </c>
      <c r="F2425" s="6" t="s">
        <v>6816</v>
      </c>
      <c r="G2425" s="5" t="s">
        <v>728</v>
      </c>
      <c r="H2425" s="2" t="s">
        <v>491</v>
      </c>
      <c r="I2425" s="94" t="s">
        <v>7359</v>
      </c>
      <c r="J2425" s="7">
        <v>1</v>
      </c>
      <c r="K2425" s="70"/>
      <c r="L2425" s="9">
        <v>1</v>
      </c>
      <c r="M2425" s="3">
        <v>2015</v>
      </c>
      <c r="N2425" s="6">
        <v>2022</v>
      </c>
      <c r="O2425" s="10">
        <v>44583</v>
      </c>
      <c r="P2425" s="71" t="s">
        <v>7360</v>
      </c>
      <c r="Q2425" s="10">
        <v>44631</v>
      </c>
      <c r="R2425" s="6">
        <v>2020</v>
      </c>
      <c r="S2425" s="3" t="s">
        <v>283</v>
      </c>
      <c r="T2425" s="239"/>
      <c r="U2425" s="73"/>
      <c r="W2425" s="175"/>
      <c r="X2425" s="10"/>
      <c r="Y2425" s="10"/>
      <c r="Z2425" s="75"/>
      <c r="AA2425" s="76"/>
      <c r="AB2425" s="10"/>
      <c r="AC2425" s="7"/>
      <c r="AD2425" s="7"/>
      <c r="AI2425" s="7"/>
      <c r="AJ2425" s="226"/>
      <c r="AK2425" s="7"/>
      <c r="AL2425" s="5"/>
      <c r="AS2425" s="84"/>
      <c r="AU2425" s="5"/>
      <c r="AV2425" s="111"/>
    </row>
    <row r="2426" ht="45" hidden="1" customHeight="1">
      <c r="A2426" s="69"/>
      <c r="B2426" s="3" t="s">
        <v>47</v>
      </c>
      <c r="C2426" s="4" t="s">
        <v>7361</v>
      </c>
      <c r="D2426" s="85" t="s">
        <v>7362</v>
      </c>
      <c r="E2426" s="2" t="s">
        <v>1074</v>
      </c>
      <c r="F2426" s="6" t="s">
        <v>2092</v>
      </c>
      <c r="G2426" s="5" t="s">
        <v>4229</v>
      </c>
      <c r="H2426" s="2" t="s">
        <v>57</v>
      </c>
      <c r="I2426" s="94" t="s">
        <v>7363</v>
      </c>
      <c r="J2426" s="7">
        <v>1</v>
      </c>
      <c r="K2426" s="70"/>
      <c r="L2426" s="9">
        <v>1</v>
      </c>
      <c r="M2426" s="3">
        <v>2016</v>
      </c>
      <c r="N2426" s="6">
        <v>2022</v>
      </c>
      <c r="O2426" s="10">
        <v>44627</v>
      </c>
      <c r="P2426" s="245" t="s">
        <v>7364</v>
      </c>
      <c r="Q2426" s="10">
        <v>44638</v>
      </c>
      <c r="R2426" s="6">
        <v>2022</v>
      </c>
      <c r="S2426" s="3" t="s">
        <v>236</v>
      </c>
      <c r="T2426" s="239" t="s">
        <v>7365</v>
      </c>
      <c r="W2426" s="175"/>
      <c r="X2426" s="10"/>
      <c r="Y2426" s="10"/>
      <c r="Z2426" s="75"/>
      <c r="AA2426" s="76"/>
      <c r="AB2426" s="10"/>
      <c r="AC2426" s="7"/>
      <c r="AD2426" s="7"/>
      <c r="AI2426" s="7"/>
      <c r="AJ2426" s="10">
        <v>44704</v>
      </c>
      <c r="AK2426" s="7">
        <v>2020</v>
      </c>
      <c r="AL2426" s="16" t="s">
        <v>7366</v>
      </c>
      <c r="AS2426" s="84"/>
      <c r="AU2426" s="5"/>
      <c r="AV2426" s="111"/>
    </row>
    <row r="2427" ht="45" hidden="1" customHeight="1">
      <c r="A2427" s="69"/>
      <c r="B2427" s="3" t="s">
        <v>47</v>
      </c>
      <c r="C2427" s="4" t="s">
        <v>7361</v>
      </c>
      <c r="D2427" s="120" t="s">
        <v>7367</v>
      </c>
      <c r="E2427" s="2" t="s">
        <v>1074</v>
      </c>
      <c r="F2427" s="6" t="s">
        <v>2092</v>
      </c>
      <c r="G2427" s="5" t="s">
        <v>4229</v>
      </c>
      <c r="H2427" s="2" t="s">
        <v>57</v>
      </c>
      <c r="I2427" s="94" t="s">
        <v>7368</v>
      </c>
      <c r="J2427" s="7">
        <v>1</v>
      </c>
      <c r="K2427" s="70"/>
      <c r="L2427" s="9">
        <v>1</v>
      </c>
      <c r="M2427" s="3">
        <v>2017</v>
      </c>
      <c r="N2427" s="6">
        <v>2022</v>
      </c>
      <c r="O2427" s="10">
        <v>44627</v>
      </c>
      <c r="P2427" s="245" t="s">
        <v>7364</v>
      </c>
      <c r="Q2427" s="10">
        <v>44638</v>
      </c>
      <c r="R2427" s="6">
        <v>2022</v>
      </c>
      <c r="S2427" s="3" t="s">
        <v>236</v>
      </c>
      <c r="T2427" s="239" t="s">
        <v>7365</v>
      </c>
      <c r="W2427" s="175"/>
      <c r="X2427" s="10"/>
      <c r="Y2427" s="10"/>
      <c r="Z2427" s="75"/>
      <c r="AA2427" s="76"/>
      <c r="AB2427" s="10"/>
      <c r="AC2427" s="7"/>
      <c r="AD2427" s="7"/>
      <c r="AI2427" s="7"/>
      <c r="AJ2427" s="10">
        <v>44706</v>
      </c>
      <c r="AK2427" s="7">
        <v>2020</v>
      </c>
      <c r="AL2427" s="16" t="s">
        <v>7369</v>
      </c>
      <c r="AS2427" s="84"/>
      <c r="AU2427" s="5"/>
      <c r="AV2427" s="111"/>
    </row>
    <row r="2428" ht="45" hidden="1" customHeight="1">
      <c r="A2428" s="69"/>
      <c r="B2428" s="3" t="s">
        <v>47</v>
      </c>
      <c r="C2428" s="4" t="s">
        <v>7361</v>
      </c>
      <c r="D2428" s="120" t="s">
        <v>7370</v>
      </c>
      <c r="E2428" s="2" t="s">
        <v>1074</v>
      </c>
      <c r="F2428" s="6" t="s">
        <v>2092</v>
      </c>
      <c r="G2428" s="5" t="s">
        <v>4229</v>
      </c>
      <c r="H2428" s="2" t="s">
        <v>57</v>
      </c>
      <c r="I2428" s="94" t="s">
        <v>7371</v>
      </c>
      <c r="J2428" s="7">
        <v>1</v>
      </c>
      <c r="K2428" s="70"/>
      <c r="L2428" s="9">
        <v>1</v>
      </c>
      <c r="M2428" s="3">
        <v>2018</v>
      </c>
      <c r="N2428" s="6">
        <v>2022</v>
      </c>
      <c r="O2428" s="10">
        <v>44627</v>
      </c>
      <c r="P2428" s="245" t="s">
        <v>7364</v>
      </c>
      <c r="Q2428" s="10">
        <v>44638</v>
      </c>
      <c r="R2428" s="6">
        <v>2022</v>
      </c>
      <c r="S2428" s="3" t="s">
        <v>236</v>
      </c>
      <c r="T2428" s="239" t="s">
        <v>7365</v>
      </c>
      <c r="W2428" s="175"/>
      <c r="X2428" s="10"/>
      <c r="Y2428" s="10"/>
      <c r="Z2428" s="75"/>
      <c r="AA2428" s="76"/>
      <c r="AB2428" s="10"/>
      <c r="AC2428" s="7"/>
      <c r="AD2428" s="7"/>
      <c r="AI2428" s="7"/>
      <c r="AJ2428" s="10">
        <v>44704</v>
      </c>
      <c r="AK2428" s="7">
        <v>2020</v>
      </c>
      <c r="AL2428" s="16" t="s">
        <v>7372</v>
      </c>
      <c r="AS2428" s="84"/>
      <c r="AU2428" s="5"/>
      <c r="AV2428" s="111"/>
    </row>
    <row r="2429" ht="45" hidden="1" customHeight="1">
      <c r="A2429" s="69"/>
      <c r="B2429" s="3" t="s">
        <v>47</v>
      </c>
      <c r="C2429" s="4" t="s">
        <v>7361</v>
      </c>
      <c r="D2429" s="120" t="s">
        <v>7373</v>
      </c>
      <c r="E2429" s="2" t="s">
        <v>1074</v>
      </c>
      <c r="F2429" s="6" t="s">
        <v>2092</v>
      </c>
      <c r="G2429" s="5" t="s">
        <v>4229</v>
      </c>
      <c r="H2429" s="2" t="s">
        <v>491</v>
      </c>
      <c r="I2429" s="94" t="s">
        <v>7374</v>
      </c>
      <c r="J2429" s="7">
        <v>1</v>
      </c>
      <c r="K2429" s="70"/>
      <c r="L2429" s="9">
        <v>1</v>
      </c>
      <c r="M2429" s="3">
        <v>2019</v>
      </c>
      <c r="N2429" s="6">
        <v>2022</v>
      </c>
      <c r="O2429" s="10">
        <v>44627</v>
      </c>
      <c r="P2429" s="245" t="s">
        <v>7364</v>
      </c>
      <c r="Q2429" s="10">
        <v>44638</v>
      </c>
      <c r="R2429" s="6">
        <v>2022</v>
      </c>
      <c r="S2429" s="3" t="s">
        <v>236</v>
      </c>
      <c r="T2429" s="239" t="s">
        <v>7365</v>
      </c>
      <c r="W2429" s="175"/>
      <c r="X2429" s="10"/>
      <c r="Y2429" s="10"/>
      <c r="Z2429" s="75"/>
      <c r="AA2429" s="76"/>
      <c r="AB2429" s="10"/>
      <c r="AC2429" s="7"/>
      <c r="AD2429" s="7"/>
      <c r="AI2429" s="7"/>
      <c r="AJ2429" s="10">
        <v>44704</v>
      </c>
      <c r="AK2429" s="7">
        <v>2020</v>
      </c>
      <c r="AL2429" s="16" t="s">
        <v>7375</v>
      </c>
      <c r="AS2429" s="84"/>
      <c r="AU2429" s="5"/>
      <c r="AV2429" s="111"/>
    </row>
    <row r="2430" ht="45" hidden="1" customHeight="1">
      <c r="A2430" s="69"/>
      <c r="B2430" s="3" t="s">
        <v>47</v>
      </c>
      <c r="C2430" s="4" t="s">
        <v>7361</v>
      </c>
      <c r="D2430" s="120" t="s">
        <v>7376</v>
      </c>
      <c r="E2430" s="2" t="s">
        <v>1074</v>
      </c>
      <c r="F2430" s="6" t="s">
        <v>2092</v>
      </c>
      <c r="G2430" s="5" t="s">
        <v>4229</v>
      </c>
      <c r="H2430" s="2" t="s">
        <v>57</v>
      </c>
      <c r="I2430" s="94" t="s">
        <v>7377</v>
      </c>
      <c r="J2430" s="7">
        <v>1</v>
      </c>
      <c r="K2430" s="70"/>
      <c r="L2430" s="9">
        <v>1</v>
      </c>
      <c r="M2430" s="3">
        <v>2020</v>
      </c>
      <c r="N2430" s="6">
        <v>2022</v>
      </c>
      <c r="O2430" s="10">
        <v>44627</v>
      </c>
      <c r="P2430" s="245" t="s">
        <v>7364</v>
      </c>
      <c r="Q2430" s="10">
        <v>44638</v>
      </c>
      <c r="R2430" s="6">
        <v>2022</v>
      </c>
      <c r="S2430" s="3" t="s">
        <v>236</v>
      </c>
      <c r="T2430" s="239" t="s">
        <v>7365</v>
      </c>
      <c r="W2430" s="175"/>
      <c r="X2430" s="10"/>
      <c r="Y2430" s="10"/>
      <c r="Z2430" s="75"/>
      <c r="AA2430" s="76"/>
      <c r="AB2430" s="10"/>
      <c r="AC2430" s="7"/>
      <c r="AD2430" s="7"/>
      <c r="AI2430" s="7"/>
      <c r="AJ2430" s="10">
        <v>44704</v>
      </c>
      <c r="AK2430" s="7">
        <v>2020</v>
      </c>
      <c r="AL2430" s="16" t="s">
        <v>7378</v>
      </c>
      <c r="AS2430" s="84"/>
      <c r="AU2430" s="5"/>
      <c r="AV2430" s="111"/>
    </row>
    <row r="2431" ht="45" hidden="1" customHeight="1">
      <c r="A2431" s="69"/>
      <c r="B2431" s="3" t="s">
        <v>190</v>
      </c>
      <c r="C2431" s="4" t="s">
        <v>7379</v>
      </c>
      <c r="D2431" s="85" t="s">
        <v>7380</v>
      </c>
      <c r="E2431" s="2" t="s">
        <v>83</v>
      </c>
      <c r="F2431" s="6" t="s">
        <v>179</v>
      </c>
      <c r="G2431" s="5" t="s">
        <v>7381</v>
      </c>
      <c r="H2431" s="2" t="s">
        <v>491</v>
      </c>
      <c r="I2431" s="94" t="s">
        <v>7382</v>
      </c>
      <c r="J2431" s="7">
        <v>1</v>
      </c>
      <c r="K2431" s="70"/>
      <c r="L2431" s="9">
        <v>1</v>
      </c>
      <c r="M2431" s="3">
        <v>2021</v>
      </c>
      <c r="N2431" s="6">
        <v>2022</v>
      </c>
      <c r="O2431" s="10">
        <v>44603</v>
      </c>
      <c r="P2431" s="71" t="s">
        <v>7383</v>
      </c>
      <c r="Q2431" s="10">
        <v>44641</v>
      </c>
      <c r="R2431" s="6">
        <v>2020</v>
      </c>
      <c r="S2431" s="3" t="s">
        <v>283</v>
      </c>
      <c r="T2431" s="239"/>
      <c r="U2431" s="73"/>
      <c r="W2431" s="175"/>
      <c r="X2431" s="10"/>
      <c r="Y2431" s="10"/>
      <c r="Z2431" s="75"/>
      <c r="AA2431" s="76"/>
      <c r="AB2431" s="10"/>
      <c r="AC2431" s="7"/>
      <c r="AD2431" s="7"/>
      <c r="AI2431" s="7"/>
      <c r="AJ2431" s="226"/>
      <c r="AK2431" s="7"/>
      <c r="AL2431" s="5"/>
      <c r="AS2431" s="84"/>
      <c r="AU2431" s="5"/>
      <c r="AV2431" s="111"/>
    </row>
    <row r="2432" ht="45" hidden="1" customHeight="1">
      <c r="A2432" s="69">
        <v>44666</v>
      </c>
      <c r="B2432" s="3" t="s">
        <v>190</v>
      </c>
      <c r="C2432" s="4" t="s">
        <v>7384</v>
      </c>
      <c r="D2432" s="5" t="s">
        <v>7385</v>
      </c>
      <c r="E2432" s="2" t="s">
        <v>83</v>
      </c>
      <c r="F2432" s="6" t="s">
        <v>704</v>
      </c>
      <c r="G2432" s="5" t="s">
        <v>7386</v>
      </c>
      <c r="H2432" s="2" t="s">
        <v>382</v>
      </c>
      <c r="I2432" s="3" t="s">
        <v>7387</v>
      </c>
      <c r="J2432" s="7">
        <v>1</v>
      </c>
      <c r="K2432" s="70"/>
      <c r="L2432" s="9">
        <v>1</v>
      </c>
      <c r="M2432" s="3">
        <v>2022</v>
      </c>
      <c r="N2432" s="6">
        <v>2022</v>
      </c>
      <c r="O2432" s="10">
        <v>44665</v>
      </c>
      <c r="P2432" s="71" t="s">
        <v>7388</v>
      </c>
      <c r="Q2432" s="10">
        <v>44683</v>
      </c>
      <c r="R2432" s="6">
        <v>2020</v>
      </c>
      <c r="S2432" s="3" t="s">
        <v>283</v>
      </c>
      <c r="T2432" s="239" t="s">
        <v>998</v>
      </c>
      <c r="U2432" s="73"/>
      <c r="W2432" s="175"/>
      <c r="X2432" s="10"/>
      <c r="Y2432" s="10"/>
      <c r="Z2432" s="75"/>
      <c r="AA2432" s="76"/>
      <c r="AB2432" s="10"/>
      <c r="AC2432" s="7"/>
      <c r="AD2432" s="7"/>
      <c r="AI2432" s="7"/>
      <c r="AJ2432" s="226"/>
      <c r="AK2432" s="7"/>
      <c r="AL2432" s="5"/>
      <c r="AS2432" s="84"/>
      <c r="AU2432" s="5"/>
      <c r="AV2432" s="111"/>
    </row>
    <row r="2433" ht="45" hidden="1" customHeight="1">
      <c r="A2433" s="69"/>
      <c r="B2433" s="3" t="s">
        <v>190</v>
      </c>
      <c r="C2433" s="4" t="s">
        <v>7389</v>
      </c>
      <c r="D2433" s="120" t="s">
        <v>7390</v>
      </c>
      <c r="E2433" s="2" t="s">
        <v>83</v>
      </c>
      <c r="F2433" s="6" t="s">
        <v>704</v>
      </c>
      <c r="G2433" s="5" t="s">
        <v>705</v>
      </c>
      <c r="H2433" s="2" t="s">
        <v>501</v>
      </c>
      <c r="I2433" s="94" t="s">
        <v>7391</v>
      </c>
      <c r="J2433" s="7">
        <v>1</v>
      </c>
      <c r="K2433" s="70"/>
      <c r="L2433" s="9">
        <v>1</v>
      </c>
      <c r="M2433" s="3">
        <v>2023</v>
      </c>
      <c r="N2433" s="6">
        <v>2022</v>
      </c>
      <c r="O2433" s="10">
        <v>44662</v>
      </c>
      <c r="P2433" s="71" t="s">
        <v>7392</v>
      </c>
      <c r="Q2433" s="10">
        <v>44694</v>
      </c>
      <c r="R2433" s="6">
        <v>2020</v>
      </c>
      <c r="S2433" s="3" t="s">
        <v>283</v>
      </c>
      <c r="T2433" s="239"/>
      <c r="U2433" s="73"/>
      <c r="W2433" s="175"/>
      <c r="X2433" s="10"/>
      <c r="Y2433" s="10"/>
      <c r="Z2433" s="75"/>
      <c r="AA2433" s="76"/>
      <c r="AB2433" s="10"/>
      <c r="AC2433" s="7"/>
      <c r="AD2433" s="7"/>
      <c r="AI2433" s="7"/>
      <c r="AJ2433" s="226"/>
      <c r="AK2433" s="7"/>
      <c r="AL2433" s="5"/>
      <c r="AS2433" s="84"/>
      <c r="AU2433" s="5"/>
      <c r="AV2433" s="111"/>
    </row>
    <row r="2434" ht="45" hidden="1" customHeight="1">
      <c r="A2434" s="69"/>
      <c r="B2434" s="3" t="s">
        <v>47</v>
      </c>
      <c r="C2434" s="4" t="s">
        <v>7393</v>
      </c>
      <c r="D2434" s="244" t="s">
        <v>7394</v>
      </c>
      <c r="E2434" s="2" t="s">
        <v>63</v>
      </c>
      <c r="F2434" s="6" t="s">
        <v>172</v>
      </c>
      <c r="G2434" s="5" t="s">
        <v>2120</v>
      </c>
      <c r="H2434" s="2" t="s">
        <v>288</v>
      </c>
      <c r="I2434" s="94" t="s">
        <v>7395</v>
      </c>
      <c r="J2434" s="7">
        <v>1</v>
      </c>
      <c r="K2434" s="70"/>
      <c r="L2434" s="9">
        <v>1</v>
      </c>
      <c r="M2434" s="3">
        <v>2024</v>
      </c>
      <c r="N2434" s="6">
        <v>2022</v>
      </c>
      <c r="O2434" s="10">
        <v>44818</v>
      </c>
      <c r="P2434" s="71" t="s">
        <v>7396</v>
      </c>
      <c r="Q2434" s="10">
        <v>44698</v>
      </c>
      <c r="R2434" s="6">
        <v>2020</v>
      </c>
      <c r="S2434" s="3" t="s">
        <v>236</v>
      </c>
      <c r="T2434" s="239" t="s">
        <v>7397</v>
      </c>
      <c r="W2434" s="175"/>
      <c r="X2434" s="10"/>
      <c r="Y2434" s="10"/>
      <c r="Z2434" s="75"/>
      <c r="AA2434" s="76"/>
      <c r="AB2434" s="10"/>
      <c r="AC2434" s="7"/>
      <c r="AD2434" s="7"/>
      <c r="AI2434" s="7"/>
      <c r="AJ2434" s="10">
        <v>44713</v>
      </c>
      <c r="AK2434" s="7">
        <v>2020</v>
      </c>
      <c r="AL2434" s="16" t="s">
        <v>7398</v>
      </c>
      <c r="AS2434" s="84"/>
      <c r="AU2434" s="5"/>
      <c r="AV2434" s="111"/>
    </row>
    <row r="2435" ht="45" hidden="1" customHeight="1">
      <c r="A2435" s="69"/>
      <c r="B2435" s="3" t="s">
        <v>47</v>
      </c>
      <c r="C2435" s="4" t="s">
        <v>7399</v>
      </c>
      <c r="D2435" s="244" t="s">
        <v>7400</v>
      </c>
      <c r="E2435" s="2" t="s">
        <v>83</v>
      </c>
      <c r="F2435" s="6" t="s">
        <v>172</v>
      </c>
      <c r="G2435" s="5" t="s">
        <v>173</v>
      </c>
      <c r="H2435" s="2" t="s">
        <v>57</v>
      </c>
      <c r="I2435" s="94" t="s">
        <v>7401</v>
      </c>
      <c r="J2435" s="7">
        <v>1</v>
      </c>
      <c r="K2435" s="70"/>
      <c r="L2435" s="9">
        <v>1</v>
      </c>
      <c r="M2435" s="3">
        <v>2025</v>
      </c>
      <c r="N2435" s="6">
        <v>2022</v>
      </c>
      <c r="O2435" s="10">
        <v>44705</v>
      </c>
      <c r="P2435" s="71" t="s">
        <v>7402</v>
      </c>
      <c r="Q2435" s="10">
        <v>44712</v>
      </c>
      <c r="R2435" s="6">
        <v>2020</v>
      </c>
      <c r="S2435" s="3" t="s">
        <v>236</v>
      </c>
      <c r="T2435" s="239" t="s">
        <v>1136</v>
      </c>
      <c r="W2435" s="175"/>
      <c r="X2435" s="10"/>
      <c r="Y2435" s="10"/>
      <c r="Z2435" s="75"/>
      <c r="AA2435" s="76"/>
      <c r="AB2435" s="10"/>
      <c r="AC2435" s="7"/>
      <c r="AD2435" s="7"/>
      <c r="AI2435" s="7"/>
      <c r="AJ2435" s="10">
        <v>44916</v>
      </c>
      <c r="AK2435" s="7">
        <v>2020</v>
      </c>
      <c r="AL2435" s="16" t="s">
        <v>7403</v>
      </c>
      <c r="AS2435" s="84"/>
      <c r="AU2435" s="5"/>
      <c r="AV2435" s="111"/>
    </row>
    <row r="2436" ht="45" hidden="1" customHeight="1">
      <c r="A2436" s="69">
        <v>45082</v>
      </c>
      <c r="B2436" s="3" t="s">
        <v>47</v>
      </c>
      <c r="C2436" s="4" t="s">
        <v>7404</v>
      </c>
      <c r="D2436" s="244" t="s">
        <v>7405</v>
      </c>
      <c r="E2436" s="2" t="s">
        <v>83</v>
      </c>
      <c r="F2436" s="6" t="s">
        <v>172</v>
      </c>
      <c r="G2436" s="5" t="s">
        <v>7406</v>
      </c>
      <c r="H2436" s="2" t="s">
        <v>288</v>
      </c>
      <c r="I2436" s="94" t="s">
        <v>7407</v>
      </c>
      <c r="J2436" s="7">
        <v>1</v>
      </c>
      <c r="K2436" s="70"/>
      <c r="L2436" s="9">
        <v>1</v>
      </c>
      <c r="M2436" s="3">
        <v>2026</v>
      </c>
      <c r="N2436" s="6">
        <v>2022</v>
      </c>
      <c r="O2436" s="10">
        <v>44831</v>
      </c>
      <c r="P2436" s="71" t="s">
        <v>7408</v>
      </c>
      <c r="Q2436" s="10">
        <v>44721</v>
      </c>
      <c r="R2436" s="6">
        <v>2020</v>
      </c>
      <c r="S2436" s="3" t="s">
        <v>236</v>
      </c>
      <c r="T2436" s="239" t="s">
        <v>1136</v>
      </c>
      <c r="W2436" s="175"/>
      <c r="X2436" s="10"/>
      <c r="Y2436" s="10"/>
      <c r="Z2436" s="75"/>
      <c r="AA2436" s="76"/>
      <c r="AB2436" s="10"/>
      <c r="AC2436" s="7"/>
      <c r="AD2436" s="7"/>
      <c r="AI2436" s="7"/>
      <c r="AJ2436" s="10">
        <v>44750</v>
      </c>
      <c r="AK2436" s="7">
        <v>2020</v>
      </c>
      <c r="AL2436" s="16" t="s">
        <v>7409</v>
      </c>
      <c r="AS2436" s="84"/>
      <c r="AU2436" s="5"/>
      <c r="AV2436" s="111"/>
    </row>
    <row r="2437" ht="45" hidden="1" customHeight="1">
      <c r="A2437" s="69"/>
      <c r="B2437" s="3" t="s">
        <v>190</v>
      </c>
      <c r="C2437" s="4" t="s">
        <v>7410</v>
      </c>
      <c r="D2437" s="244" t="s">
        <v>7411</v>
      </c>
      <c r="E2437" s="2" t="s">
        <v>83</v>
      </c>
      <c r="F2437" s="6" t="s">
        <v>172</v>
      </c>
      <c r="G2437" s="5" t="s">
        <v>7412</v>
      </c>
      <c r="H2437" s="2" t="s">
        <v>57</v>
      </c>
      <c r="I2437" s="94" t="s">
        <v>7413</v>
      </c>
      <c r="J2437" s="7">
        <v>1</v>
      </c>
      <c r="K2437" s="70"/>
      <c r="L2437" s="9">
        <v>1</v>
      </c>
      <c r="M2437" s="3">
        <v>2027</v>
      </c>
      <c r="N2437" s="6">
        <v>2022</v>
      </c>
      <c r="O2437" s="10">
        <v>39181</v>
      </c>
      <c r="P2437" s="71" t="s">
        <v>7414</v>
      </c>
      <c r="Q2437" s="10">
        <v>44721</v>
      </c>
      <c r="R2437" s="6">
        <v>2020</v>
      </c>
      <c r="S2437" s="3" t="s">
        <v>283</v>
      </c>
      <c r="T2437" s="239"/>
      <c r="U2437" s="73"/>
      <c r="W2437" s="175"/>
      <c r="X2437" s="10"/>
      <c r="Y2437" s="10"/>
      <c r="Z2437" s="75"/>
      <c r="AA2437" s="76"/>
      <c r="AB2437" s="10"/>
      <c r="AC2437" s="7"/>
      <c r="AD2437" s="7"/>
      <c r="AI2437" s="7"/>
      <c r="AJ2437" s="73"/>
      <c r="AK2437" s="7"/>
      <c r="AL2437" s="5"/>
      <c r="AS2437" s="84"/>
      <c r="AU2437" s="5"/>
      <c r="AV2437" s="111"/>
    </row>
    <row r="2438" ht="45" hidden="1" customHeight="1">
      <c r="A2438" s="69">
        <v>45042</v>
      </c>
      <c r="B2438" s="3" t="s">
        <v>47</v>
      </c>
      <c r="C2438" s="4" t="s">
        <v>7415</v>
      </c>
      <c r="D2438" s="244" t="s">
        <v>7416</v>
      </c>
      <c r="E2438" s="2" t="s">
        <v>83</v>
      </c>
      <c r="F2438" s="6" t="s">
        <v>172</v>
      </c>
      <c r="G2438" s="5" t="s">
        <v>7417</v>
      </c>
      <c r="H2438" s="2" t="s">
        <v>57</v>
      </c>
      <c r="I2438" s="94" t="s">
        <v>7418</v>
      </c>
      <c r="J2438" s="7">
        <v>1</v>
      </c>
      <c r="K2438" s="70"/>
      <c r="L2438" s="9">
        <v>1</v>
      </c>
      <c r="M2438" s="3">
        <v>2028</v>
      </c>
      <c r="N2438" s="6">
        <v>2022</v>
      </c>
      <c r="O2438" s="10">
        <v>44594</v>
      </c>
      <c r="P2438" s="71" t="s">
        <v>7419</v>
      </c>
      <c r="Q2438" s="10">
        <v>44735</v>
      </c>
      <c r="R2438" s="6">
        <v>2020</v>
      </c>
      <c r="S2438" s="3" t="s">
        <v>236</v>
      </c>
      <c r="T2438" s="239" t="s">
        <v>1136</v>
      </c>
      <c r="U2438" s="73"/>
      <c r="W2438" s="175"/>
      <c r="X2438" s="10"/>
      <c r="Y2438" s="10"/>
      <c r="Z2438" s="75"/>
      <c r="AA2438" s="76"/>
      <c r="AB2438" s="10"/>
      <c r="AC2438" s="7"/>
      <c r="AD2438" s="7"/>
      <c r="AI2438" s="7"/>
      <c r="AK2438" s="7"/>
      <c r="AL2438" s="5"/>
      <c r="AS2438" s="84"/>
      <c r="AU2438" s="5"/>
      <c r="AV2438" s="111"/>
    </row>
    <row r="2439" ht="45" hidden="1" customHeight="1">
      <c r="A2439" s="69"/>
      <c r="B2439" s="3" t="s">
        <v>190</v>
      </c>
      <c r="C2439" s="4" t="s">
        <v>7420</v>
      </c>
      <c r="D2439" s="244" t="s">
        <v>7421</v>
      </c>
      <c r="E2439" s="2" t="s">
        <v>83</v>
      </c>
      <c r="F2439" s="6" t="s">
        <v>931</v>
      </c>
      <c r="G2439" s="5" t="s">
        <v>1046</v>
      </c>
      <c r="H2439" s="2" t="s">
        <v>57</v>
      </c>
      <c r="I2439" s="94" t="s">
        <v>7422</v>
      </c>
      <c r="J2439" s="7">
        <v>1</v>
      </c>
      <c r="K2439" s="70"/>
      <c r="L2439" s="9">
        <v>1</v>
      </c>
      <c r="M2439" s="3">
        <v>2029</v>
      </c>
      <c r="N2439" s="6">
        <v>2022</v>
      </c>
      <c r="O2439" s="10">
        <v>44597</v>
      </c>
      <c r="P2439" s="71" t="s">
        <v>7423</v>
      </c>
      <c r="Q2439" s="10">
        <v>44753</v>
      </c>
      <c r="R2439" s="6">
        <v>2022</v>
      </c>
      <c r="S2439" s="3" t="s">
        <v>283</v>
      </c>
      <c r="T2439" s="239"/>
      <c r="U2439" s="73"/>
      <c r="W2439" s="175"/>
      <c r="X2439" s="10"/>
      <c r="Y2439" s="10"/>
      <c r="Z2439" s="75"/>
      <c r="AA2439" s="76"/>
      <c r="AB2439" s="10"/>
      <c r="AC2439" s="7"/>
      <c r="AD2439" s="7"/>
      <c r="AI2439" s="7"/>
      <c r="AJ2439" s="73"/>
      <c r="AK2439" s="7"/>
      <c r="AL2439" s="5"/>
      <c r="AS2439" s="84"/>
      <c r="AU2439" s="5"/>
      <c r="AV2439" s="111"/>
    </row>
    <row r="2440" ht="45" hidden="1" customHeight="1">
      <c r="A2440" s="69"/>
      <c r="B2440" s="3" t="s">
        <v>190</v>
      </c>
      <c r="C2440" s="4" t="s">
        <v>7424</v>
      </c>
      <c r="D2440" s="244" t="s">
        <v>7425</v>
      </c>
      <c r="E2440" s="2" t="s">
        <v>63</v>
      </c>
      <c r="F2440" s="6" t="s">
        <v>428</v>
      </c>
      <c r="G2440" s="5" t="s">
        <v>429</v>
      </c>
      <c r="H2440" s="2" t="s">
        <v>491</v>
      </c>
      <c r="I2440" s="94" t="s">
        <v>7426</v>
      </c>
      <c r="J2440" s="7">
        <v>1</v>
      </c>
      <c r="K2440" s="70"/>
      <c r="L2440" s="9">
        <v>1</v>
      </c>
      <c r="M2440" s="3">
        <v>2030</v>
      </c>
      <c r="N2440" s="6">
        <v>2022</v>
      </c>
      <c r="O2440" s="10">
        <v>44743</v>
      </c>
      <c r="P2440" s="71" t="s">
        <v>7427</v>
      </c>
      <c r="Q2440" s="10">
        <v>44753</v>
      </c>
      <c r="R2440" s="6">
        <v>2020</v>
      </c>
      <c r="S2440" s="3" t="s">
        <v>283</v>
      </c>
      <c r="T2440" s="239"/>
      <c r="U2440" s="73"/>
      <c r="W2440" s="175"/>
      <c r="X2440" s="10"/>
      <c r="Y2440" s="10"/>
      <c r="Z2440" s="75"/>
      <c r="AA2440" s="76"/>
      <c r="AB2440" s="10"/>
      <c r="AC2440" s="7"/>
      <c r="AD2440" s="7"/>
      <c r="AI2440" s="7"/>
      <c r="AJ2440" s="73"/>
      <c r="AK2440" s="7"/>
      <c r="AL2440" s="5"/>
      <c r="AS2440" s="84"/>
      <c r="AU2440" s="5"/>
      <c r="AV2440" s="111"/>
    </row>
    <row r="2441" ht="45" hidden="1" customHeight="1">
      <c r="A2441" s="69"/>
      <c r="B2441" s="3" t="s">
        <v>47</v>
      </c>
      <c r="C2441" s="4" t="s">
        <v>7428</v>
      </c>
      <c r="D2441" s="244" t="s">
        <v>7429</v>
      </c>
      <c r="E2441" s="2" t="s">
        <v>694</v>
      </c>
      <c r="F2441" s="6" t="s">
        <v>695</v>
      </c>
      <c r="G2441" s="5" t="s">
        <v>2317</v>
      </c>
      <c r="H2441" s="2" t="s">
        <v>288</v>
      </c>
      <c r="I2441" s="94" t="s">
        <v>7430</v>
      </c>
      <c r="J2441" s="7">
        <v>1</v>
      </c>
      <c r="K2441" s="70"/>
      <c r="L2441" s="9">
        <v>1</v>
      </c>
      <c r="M2441" s="3">
        <v>2031</v>
      </c>
      <c r="N2441" s="6">
        <v>2022</v>
      </c>
      <c r="O2441" s="10">
        <v>31671</v>
      </c>
      <c r="P2441" s="71" t="s">
        <v>7431</v>
      </c>
      <c r="Q2441" s="10">
        <v>44761</v>
      </c>
      <c r="R2441" s="6">
        <v>2022</v>
      </c>
      <c r="S2441" s="3" t="s">
        <v>236</v>
      </c>
      <c r="T2441" s="239" t="s">
        <v>1136</v>
      </c>
      <c r="W2441" s="175"/>
      <c r="X2441" s="10"/>
      <c r="Y2441" s="10"/>
      <c r="Z2441" s="75"/>
      <c r="AA2441" s="76"/>
      <c r="AB2441" s="10"/>
      <c r="AC2441" s="7"/>
      <c r="AD2441" s="7"/>
      <c r="AI2441" s="7"/>
      <c r="AJ2441" s="10">
        <v>45078</v>
      </c>
      <c r="AK2441" s="7">
        <v>2020</v>
      </c>
      <c r="AL2441" s="16" t="s">
        <v>7432</v>
      </c>
      <c r="AS2441" s="84"/>
      <c r="AU2441" s="5"/>
      <c r="AV2441" s="111"/>
    </row>
    <row r="2442" ht="45" hidden="1" customHeight="1">
      <c r="A2442" s="69"/>
      <c r="B2442" s="3" t="s">
        <v>47</v>
      </c>
      <c r="C2442" s="4" t="s">
        <v>7433</v>
      </c>
      <c r="D2442" s="244" t="s">
        <v>7434</v>
      </c>
      <c r="E2442" s="2" t="s">
        <v>63</v>
      </c>
      <c r="F2442" s="6" t="s">
        <v>172</v>
      </c>
      <c r="G2442" s="5" t="s">
        <v>2120</v>
      </c>
      <c r="H2442" s="2" t="s">
        <v>491</v>
      </c>
      <c r="I2442" s="94" t="s">
        <v>7435</v>
      </c>
      <c r="J2442" s="7">
        <v>1</v>
      </c>
      <c r="K2442" s="70"/>
      <c r="L2442" s="9">
        <v>1</v>
      </c>
      <c r="M2442" s="3">
        <v>2032</v>
      </c>
      <c r="N2442" s="6">
        <v>2022</v>
      </c>
      <c r="O2442" s="10">
        <v>44091</v>
      </c>
      <c r="P2442" s="71" t="s">
        <v>7436</v>
      </c>
      <c r="Q2442" s="10">
        <v>44761</v>
      </c>
      <c r="R2442" s="6">
        <v>2020</v>
      </c>
      <c r="S2442" s="3" t="s">
        <v>236</v>
      </c>
      <c r="T2442" s="239" t="s">
        <v>1136</v>
      </c>
      <c r="W2442" s="175"/>
      <c r="X2442" s="10"/>
      <c r="Y2442" s="10"/>
      <c r="Z2442" s="75"/>
      <c r="AA2442" s="76"/>
      <c r="AB2442" s="10"/>
      <c r="AC2442" s="7"/>
      <c r="AD2442" s="7"/>
      <c r="AI2442" s="7"/>
      <c r="AJ2442" s="10">
        <v>44777</v>
      </c>
      <c r="AK2442" s="7">
        <v>2020</v>
      </c>
      <c r="AL2442" s="16" t="s">
        <v>7437</v>
      </c>
      <c r="AS2442" s="84"/>
      <c r="AU2442" s="5"/>
      <c r="AV2442" s="111"/>
    </row>
    <row r="2443" ht="45" hidden="1" customHeight="1">
      <c r="A2443" s="69"/>
      <c r="B2443" s="3" t="s">
        <v>47</v>
      </c>
      <c r="C2443" s="4" t="s">
        <v>7433</v>
      </c>
      <c r="D2443" s="244" t="s">
        <v>7438</v>
      </c>
      <c r="E2443" s="2" t="s">
        <v>63</v>
      </c>
      <c r="F2443" s="6" t="s">
        <v>172</v>
      </c>
      <c r="G2443" s="5" t="s">
        <v>2120</v>
      </c>
      <c r="H2443" s="2" t="s">
        <v>508</v>
      </c>
      <c r="I2443" s="94" t="s">
        <v>7439</v>
      </c>
      <c r="J2443" s="7">
        <v>1</v>
      </c>
      <c r="K2443" s="70"/>
      <c r="L2443" s="9">
        <v>1</v>
      </c>
      <c r="M2443" s="3">
        <v>2033</v>
      </c>
      <c r="N2443" s="6">
        <v>2022</v>
      </c>
      <c r="O2443" s="10">
        <v>44091</v>
      </c>
      <c r="P2443" s="71" t="s">
        <v>7436</v>
      </c>
      <c r="Q2443" s="10">
        <v>44761</v>
      </c>
      <c r="R2443" s="6">
        <v>2020</v>
      </c>
      <c r="S2443" s="3" t="s">
        <v>236</v>
      </c>
      <c r="T2443" s="239" t="s">
        <v>1136</v>
      </c>
      <c r="W2443" s="175"/>
      <c r="X2443" s="10"/>
      <c r="Y2443" s="10"/>
      <c r="Z2443" s="75"/>
      <c r="AA2443" s="76"/>
      <c r="AB2443" s="10"/>
      <c r="AC2443" s="7"/>
      <c r="AD2443" s="7"/>
      <c r="AI2443" s="7"/>
      <c r="AJ2443" s="10">
        <v>44776</v>
      </c>
      <c r="AK2443" s="7">
        <v>2020</v>
      </c>
      <c r="AL2443" s="16" t="s">
        <v>7440</v>
      </c>
      <c r="AS2443" s="84"/>
      <c r="AU2443" s="5"/>
      <c r="AV2443" s="111"/>
    </row>
    <row r="2444" ht="45" hidden="1" customHeight="1">
      <c r="A2444" s="69"/>
      <c r="B2444" s="3" t="s">
        <v>47</v>
      </c>
      <c r="C2444" s="4" t="s">
        <v>7433</v>
      </c>
      <c r="D2444" s="244" t="s">
        <v>7441</v>
      </c>
      <c r="E2444" s="2" t="s">
        <v>63</v>
      </c>
      <c r="F2444" s="6" t="s">
        <v>172</v>
      </c>
      <c r="G2444" s="5" t="s">
        <v>2120</v>
      </c>
      <c r="H2444" s="2" t="s">
        <v>491</v>
      </c>
      <c r="I2444" s="94" t="s">
        <v>7442</v>
      </c>
      <c r="J2444" s="7">
        <v>1</v>
      </c>
      <c r="K2444" s="70"/>
      <c r="L2444" s="9">
        <v>1</v>
      </c>
      <c r="M2444" s="3">
        <v>2034</v>
      </c>
      <c r="N2444" s="6">
        <v>2022</v>
      </c>
      <c r="O2444" s="10">
        <v>44091</v>
      </c>
      <c r="P2444" s="71" t="s">
        <v>7436</v>
      </c>
      <c r="Q2444" s="10">
        <v>44761</v>
      </c>
      <c r="R2444" s="6">
        <v>2020</v>
      </c>
      <c r="S2444" s="3" t="s">
        <v>236</v>
      </c>
      <c r="T2444" s="239" t="s">
        <v>1136</v>
      </c>
      <c r="W2444" s="175"/>
      <c r="X2444" s="10"/>
      <c r="Y2444" s="10"/>
      <c r="Z2444" s="75"/>
      <c r="AA2444" s="76"/>
      <c r="AB2444" s="10"/>
      <c r="AC2444" s="7"/>
      <c r="AD2444" s="7"/>
      <c r="AI2444" s="7"/>
      <c r="AJ2444" s="10">
        <v>44775</v>
      </c>
      <c r="AK2444" s="7">
        <v>2020</v>
      </c>
      <c r="AL2444" s="16" t="s">
        <v>7443</v>
      </c>
      <c r="AS2444" s="84"/>
      <c r="AU2444" s="5"/>
      <c r="AV2444" s="111"/>
    </row>
    <row r="2445" ht="45" hidden="1" customHeight="1">
      <c r="A2445" s="69"/>
      <c r="B2445" s="3" t="s">
        <v>190</v>
      </c>
      <c r="C2445" s="4" t="s">
        <v>7444</v>
      </c>
      <c r="D2445" s="244" t="s">
        <v>7445</v>
      </c>
      <c r="E2445" s="2" t="s">
        <v>48</v>
      </c>
      <c r="F2445" s="6" t="s">
        <v>49</v>
      </c>
      <c r="G2445" s="5" t="s">
        <v>1830</v>
      </c>
      <c r="H2445" s="2" t="s">
        <v>57</v>
      </c>
      <c r="I2445" s="94" t="s">
        <v>7446</v>
      </c>
      <c r="J2445" s="7">
        <v>1</v>
      </c>
      <c r="K2445" s="70"/>
      <c r="L2445" s="9">
        <v>1</v>
      </c>
      <c r="M2445" s="3">
        <v>2035</v>
      </c>
      <c r="N2445" s="6">
        <v>2022</v>
      </c>
      <c r="O2445" s="10">
        <v>44741</v>
      </c>
      <c r="P2445" s="245" t="s">
        <v>7447</v>
      </c>
      <c r="Q2445" s="10">
        <v>44769</v>
      </c>
      <c r="R2445" s="6">
        <v>2020</v>
      </c>
      <c r="S2445" s="3" t="s">
        <v>283</v>
      </c>
      <c r="T2445" s="239" t="s">
        <v>998</v>
      </c>
      <c r="U2445" s="73"/>
      <c r="W2445" s="175"/>
      <c r="X2445" s="10"/>
      <c r="Y2445" s="10"/>
      <c r="Z2445" s="75"/>
      <c r="AA2445" s="76"/>
      <c r="AB2445" s="10"/>
      <c r="AC2445" s="7"/>
      <c r="AD2445" s="7"/>
      <c r="AI2445" s="7"/>
      <c r="AJ2445" s="73"/>
      <c r="AK2445" s="7"/>
      <c r="AL2445" s="5"/>
      <c r="AS2445" s="84"/>
      <c r="AU2445" s="5"/>
      <c r="AV2445" s="111"/>
    </row>
    <row r="2446" ht="45" hidden="1" customHeight="1">
      <c r="A2446" s="69"/>
      <c r="B2446" s="3" t="s">
        <v>47</v>
      </c>
      <c r="C2446" s="4" t="s">
        <v>7448</v>
      </c>
      <c r="D2446" s="244" t="s">
        <v>7449</v>
      </c>
      <c r="E2446" s="2" t="s">
        <v>63</v>
      </c>
      <c r="F2446" s="6" t="s">
        <v>172</v>
      </c>
      <c r="G2446" s="5" t="s">
        <v>173</v>
      </c>
      <c r="H2446" s="2" t="s">
        <v>508</v>
      </c>
      <c r="I2446" s="94" t="s">
        <v>7450</v>
      </c>
      <c r="J2446" s="7">
        <v>1</v>
      </c>
      <c r="K2446" s="70"/>
      <c r="L2446" s="9">
        <v>1</v>
      </c>
      <c r="M2446" s="3">
        <v>2036</v>
      </c>
      <c r="N2446" s="6">
        <v>2022</v>
      </c>
      <c r="O2446" s="10">
        <v>44715</v>
      </c>
      <c r="P2446" s="245" t="s">
        <v>7451</v>
      </c>
      <c r="Q2446" s="10">
        <v>44761</v>
      </c>
      <c r="R2446" s="6">
        <v>2020</v>
      </c>
      <c r="S2446" s="3" t="s">
        <v>236</v>
      </c>
      <c r="T2446" s="239" t="s">
        <v>1136</v>
      </c>
      <c r="W2446" s="175"/>
      <c r="X2446" s="10"/>
      <c r="Y2446" s="10"/>
      <c r="Z2446" s="75"/>
      <c r="AA2446" s="76"/>
      <c r="AB2446" s="10"/>
      <c r="AC2446" s="7"/>
      <c r="AD2446" s="7"/>
      <c r="AI2446" s="7"/>
      <c r="AJ2446" s="10">
        <v>44770</v>
      </c>
      <c r="AK2446" s="7">
        <v>2020</v>
      </c>
      <c r="AL2446" s="16" t="s">
        <v>7452</v>
      </c>
      <c r="AS2446" s="84"/>
      <c r="AU2446" s="5"/>
      <c r="AV2446" s="111"/>
    </row>
    <row r="2447" ht="45" hidden="1" customHeight="1">
      <c r="A2447" s="69"/>
      <c r="B2447" s="3" t="s">
        <v>47</v>
      </c>
      <c r="C2447" s="4" t="s">
        <v>7448</v>
      </c>
      <c r="D2447" s="244" t="s">
        <v>7453</v>
      </c>
      <c r="E2447" s="2" t="s">
        <v>63</v>
      </c>
      <c r="F2447" s="6" t="s">
        <v>172</v>
      </c>
      <c r="G2447" s="5" t="s">
        <v>7454</v>
      </c>
      <c r="H2447" s="2" t="s">
        <v>57</v>
      </c>
      <c r="I2447" s="94" t="s">
        <v>7455</v>
      </c>
      <c r="J2447" s="7">
        <v>1</v>
      </c>
      <c r="K2447" s="70"/>
      <c r="L2447" s="9">
        <v>1</v>
      </c>
      <c r="M2447" s="3">
        <v>2037</v>
      </c>
      <c r="N2447" s="6">
        <v>2022</v>
      </c>
      <c r="O2447" s="10">
        <v>44662</v>
      </c>
      <c r="P2447" s="245" t="s">
        <v>7456</v>
      </c>
      <c r="Q2447" s="10">
        <v>44761</v>
      </c>
      <c r="R2447" s="6">
        <v>2020</v>
      </c>
      <c r="S2447" s="3" t="s">
        <v>236</v>
      </c>
      <c r="T2447" s="239" t="s">
        <v>1136</v>
      </c>
      <c r="W2447" s="175"/>
      <c r="X2447" s="10"/>
      <c r="Y2447" s="10"/>
      <c r="Z2447" s="75"/>
      <c r="AA2447" s="76"/>
      <c r="AB2447" s="10"/>
      <c r="AC2447" s="7"/>
      <c r="AD2447" s="7"/>
      <c r="AI2447" s="7"/>
      <c r="AJ2447" s="10">
        <v>44783</v>
      </c>
      <c r="AK2447" s="7">
        <v>2020</v>
      </c>
      <c r="AL2447" s="16" t="s">
        <v>7452</v>
      </c>
      <c r="AS2447" s="84"/>
      <c r="AU2447" s="5"/>
      <c r="AV2447" s="111"/>
    </row>
    <row r="2448" ht="45" hidden="1" customHeight="1">
      <c r="A2448" s="69"/>
      <c r="B2448" s="3" t="s">
        <v>47</v>
      </c>
      <c r="C2448" s="4" t="s">
        <v>7457</v>
      </c>
      <c r="D2448" s="244" t="s">
        <v>7458</v>
      </c>
      <c r="E2448" s="2" t="s">
        <v>63</v>
      </c>
      <c r="F2448" s="6" t="s">
        <v>172</v>
      </c>
      <c r="G2448" s="5" t="s">
        <v>7459</v>
      </c>
      <c r="H2448" s="2" t="s">
        <v>57</v>
      </c>
      <c r="I2448" s="94" t="s">
        <v>7460</v>
      </c>
      <c r="J2448" s="7">
        <v>1</v>
      </c>
      <c r="K2448" s="70"/>
      <c r="L2448" s="9">
        <v>1</v>
      </c>
      <c r="M2448" s="3">
        <v>2038</v>
      </c>
      <c r="N2448" s="6">
        <v>2022</v>
      </c>
      <c r="O2448" s="10">
        <v>39974</v>
      </c>
      <c r="P2448" s="245" t="s">
        <v>7461</v>
      </c>
      <c r="Q2448" s="10">
        <v>44790</v>
      </c>
      <c r="R2448" s="6">
        <v>2020</v>
      </c>
      <c r="S2448" s="3" t="s">
        <v>236</v>
      </c>
      <c r="T2448" s="239" t="s">
        <v>1136</v>
      </c>
      <c r="W2448" s="175"/>
      <c r="X2448" s="10"/>
      <c r="Y2448" s="10"/>
      <c r="Z2448" s="75"/>
      <c r="AA2448" s="76"/>
      <c r="AB2448" s="10"/>
      <c r="AC2448" s="7"/>
      <c r="AD2448" s="7"/>
      <c r="AI2448" s="7"/>
      <c r="AJ2448" s="10">
        <v>44799</v>
      </c>
      <c r="AK2448" s="7">
        <v>2020</v>
      </c>
      <c r="AL2448" s="16" t="s">
        <v>7462</v>
      </c>
      <c r="AS2448" s="84"/>
      <c r="AU2448" s="5"/>
      <c r="AV2448" s="111"/>
    </row>
    <row r="2449" ht="45" hidden="1" customHeight="1">
      <c r="A2449" s="69"/>
      <c r="B2449" s="3" t="s">
        <v>47</v>
      </c>
      <c r="C2449" s="4" t="s">
        <v>7463</v>
      </c>
      <c r="D2449" s="244" t="s">
        <v>7464</v>
      </c>
      <c r="E2449" s="2" t="s">
        <v>1074</v>
      </c>
      <c r="F2449" s="6" t="s">
        <v>2092</v>
      </c>
      <c r="G2449" s="5" t="s">
        <v>4229</v>
      </c>
      <c r="H2449" s="2" t="s">
        <v>57</v>
      </c>
      <c r="I2449" s="94" t="s">
        <v>7465</v>
      </c>
      <c r="J2449" s="7">
        <v>1</v>
      </c>
      <c r="K2449" s="70"/>
      <c r="L2449" s="9">
        <v>1</v>
      </c>
      <c r="M2449" s="3">
        <v>2039</v>
      </c>
      <c r="N2449" s="6">
        <v>2022</v>
      </c>
      <c r="O2449" s="10">
        <v>44704</v>
      </c>
      <c r="P2449" s="245" t="s">
        <v>7466</v>
      </c>
      <c r="Q2449" s="10">
        <v>44798</v>
      </c>
      <c r="R2449" s="6">
        <v>2020</v>
      </c>
      <c r="S2449" s="3" t="s">
        <v>939</v>
      </c>
      <c r="T2449" s="239" t="s">
        <v>1136</v>
      </c>
      <c r="W2449" s="175"/>
      <c r="X2449" s="10"/>
      <c r="Y2449" s="10"/>
      <c r="Z2449" s="75"/>
      <c r="AA2449" s="76"/>
      <c r="AB2449" s="10"/>
      <c r="AC2449" s="7"/>
      <c r="AD2449" s="7"/>
      <c r="AI2449" s="7"/>
      <c r="AJ2449" s="10">
        <v>44839</v>
      </c>
      <c r="AK2449" s="7">
        <v>2020</v>
      </c>
      <c r="AL2449" s="16" t="s">
        <v>7467</v>
      </c>
      <c r="AS2449" s="84"/>
      <c r="AU2449" s="5"/>
      <c r="AV2449" s="111"/>
    </row>
    <row r="2450" ht="45" hidden="1" customHeight="1">
      <c r="A2450" s="69"/>
      <c r="B2450" s="3" t="s">
        <v>190</v>
      </c>
      <c r="C2450" s="4" t="s">
        <v>7468</v>
      </c>
      <c r="D2450" s="244" t="s">
        <v>7469</v>
      </c>
      <c r="E2450" s="2" t="s">
        <v>694</v>
      </c>
      <c r="F2450" s="6" t="s">
        <v>1487</v>
      </c>
      <c r="G2450" s="5" t="s">
        <v>7470</v>
      </c>
      <c r="H2450" s="2" t="s">
        <v>57</v>
      </c>
      <c r="I2450" s="94" t="s">
        <v>7471</v>
      </c>
      <c r="J2450" s="7">
        <v>1</v>
      </c>
      <c r="K2450" s="70"/>
      <c r="L2450" s="9">
        <v>1</v>
      </c>
      <c r="M2450" s="3">
        <v>2040</v>
      </c>
      <c r="N2450" s="6">
        <v>2022</v>
      </c>
      <c r="P2450" s="246" t="s">
        <v>7472</v>
      </c>
      <c r="Q2450" s="10" t="s">
        <v>7473</v>
      </c>
      <c r="R2450" s="6">
        <v>2020</v>
      </c>
      <c r="S2450" s="3" t="s">
        <v>283</v>
      </c>
      <c r="T2450" s="239"/>
      <c r="U2450" s="73"/>
      <c r="W2450" s="175"/>
      <c r="X2450" s="10"/>
      <c r="Y2450" s="10"/>
      <c r="Z2450" s="75"/>
      <c r="AA2450" s="76"/>
      <c r="AB2450" s="10"/>
      <c r="AC2450" s="7"/>
      <c r="AD2450" s="7"/>
      <c r="AI2450" s="7"/>
      <c r="AJ2450" s="226"/>
      <c r="AK2450" s="7"/>
      <c r="AL2450" s="5"/>
      <c r="AS2450" s="84"/>
      <c r="AU2450" s="5"/>
      <c r="AV2450" s="111"/>
    </row>
    <row r="2451" ht="45" hidden="1" customHeight="1">
      <c r="A2451" s="69">
        <v>45043</v>
      </c>
      <c r="B2451" s="3" t="s">
        <v>47</v>
      </c>
      <c r="C2451" s="4" t="s">
        <v>7474</v>
      </c>
      <c r="D2451" s="244" t="s">
        <v>7475</v>
      </c>
      <c r="E2451" s="2" t="s">
        <v>83</v>
      </c>
      <c r="F2451" s="6" t="s">
        <v>931</v>
      </c>
      <c r="G2451" s="5" t="s">
        <v>5264</v>
      </c>
      <c r="H2451" s="2" t="s">
        <v>491</v>
      </c>
      <c r="I2451" s="94" t="s">
        <v>7476</v>
      </c>
      <c r="J2451" s="7">
        <v>1</v>
      </c>
      <c r="K2451" s="70"/>
      <c r="L2451" s="9">
        <v>1</v>
      </c>
      <c r="M2451" s="3">
        <v>2041</v>
      </c>
      <c r="N2451" s="6">
        <v>2023</v>
      </c>
      <c r="O2451" s="10">
        <v>44858</v>
      </c>
      <c r="P2451" s="246" t="s">
        <v>7477</v>
      </c>
      <c r="Q2451" s="10">
        <v>44932</v>
      </c>
      <c r="R2451" s="6">
        <v>2020</v>
      </c>
      <c r="S2451" s="3" t="s">
        <v>236</v>
      </c>
      <c r="T2451" s="239" t="s">
        <v>1136</v>
      </c>
      <c r="W2451" s="175"/>
      <c r="X2451" s="10"/>
      <c r="Y2451" s="10"/>
      <c r="Z2451" s="75"/>
      <c r="AA2451" s="76"/>
      <c r="AB2451" s="10"/>
      <c r="AC2451" s="7"/>
      <c r="AD2451" s="7"/>
      <c r="AI2451" s="7"/>
      <c r="AJ2451" s="10">
        <v>45436</v>
      </c>
      <c r="AK2451" s="7">
        <v>2020</v>
      </c>
      <c r="AL2451" s="16" t="s">
        <v>6435</v>
      </c>
      <c r="AS2451" s="84"/>
      <c r="AU2451" s="5"/>
      <c r="AV2451" s="111"/>
    </row>
    <row r="2452" ht="45" hidden="1" customHeight="1">
      <c r="A2452" s="69"/>
      <c r="B2452" s="3" t="s">
        <v>190</v>
      </c>
      <c r="C2452" s="4" t="s">
        <v>7478</v>
      </c>
      <c r="D2452" s="244" t="s">
        <v>7479</v>
      </c>
      <c r="E2452" s="2" t="s">
        <v>83</v>
      </c>
      <c r="F2452" s="6" t="s">
        <v>84</v>
      </c>
      <c r="G2452" s="5" t="s">
        <v>85</v>
      </c>
      <c r="H2452" s="2" t="s">
        <v>57</v>
      </c>
      <c r="I2452" s="94" t="s">
        <v>7480</v>
      </c>
      <c r="J2452" s="7">
        <v>1</v>
      </c>
      <c r="K2452" s="70"/>
      <c r="L2452" s="9">
        <v>1</v>
      </c>
      <c r="M2452" s="3">
        <v>2042</v>
      </c>
      <c r="N2452" s="6">
        <v>2023</v>
      </c>
      <c r="O2452" s="10">
        <v>44610</v>
      </c>
      <c r="P2452" s="246" t="s">
        <v>7481</v>
      </c>
      <c r="Q2452" s="10">
        <v>44932</v>
      </c>
      <c r="R2452" s="6">
        <v>2020</v>
      </c>
      <c r="S2452" s="3" t="s">
        <v>283</v>
      </c>
      <c r="T2452" s="239"/>
      <c r="U2452" s="73"/>
      <c r="W2452" s="175"/>
      <c r="X2452" s="10"/>
      <c r="Y2452" s="10"/>
      <c r="Z2452" s="75"/>
      <c r="AA2452" s="76"/>
      <c r="AB2452" s="10"/>
      <c r="AC2452" s="7"/>
      <c r="AD2452" s="7"/>
      <c r="AI2452" s="7"/>
      <c r="AJ2452" s="226"/>
      <c r="AK2452" s="7"/>
      <c r="AL2452" s="5"/>
      <c r="AS2452" s="84"/>
      <c r="AU2452" s="5"/>
      <c r="AV2452" s="111"/>
    </row>
    <row r="2453" ht="45" hidden="1" customHeight="1">
      <c r="A2453" s="69"/>
      <c r="B2453" s="3" t="s">
        <v>190</v>
      </c>
      <c r="C2453" s="4" t="s">
        <v>7482</v>
      </c>
      <c r="D2453" s="244" t="s">
        <v>7483</v>
      </c>
      <c r="E2453" s="2" t="s">
        <v>48</v>
      </c>
      <c r="F2453" s="6" t="s">
        <v>140</v>
      </c>
      <c r="G2453" s="5" t="s">
        <v>7484</v>
      </c>
      <c r="H2453" s="2" t="s">
        <v>57</v>
      </c>
      <c r="I2453" s="94" t="s">
        <v>7485</v>
      </c>
      <c r="J2453" s="7">
        <v>1</v>
      </c>
      <c r="K2453" s="70"/>
      <c r="L2453" s="9">
        <v>1</v>
      </c>
      <c r="M2453" s="3">
        <v>2043</v>
      </c>
      <c r="N2453" s="6">
        <v>2023</v>
      </c>
      <c r="O2453" s="10">
        <v>43950</v>
      </c>
      <c r="P2453" s="246" t="s">
        <v>7486</v>
      </c>
      <c r="Q2453" s="10">
        <v>44958</v>
      </c>
      <c r="R2453" s="6">
        <v>2020</v>
      </c>
      <c r="S2453" s="3" t="s">
        <v>283</v>
      </c>
      <c r="T2453" s="239"/>
      <c r="U2453" s="73"/>
      <c r="W2453" s="175"/>
      <c r="X2453" s="10"/>
      <c r="Y2453" s="10"/>
      <c r="Z2453" s="75"/>
      <c r="AA2453" s="76"/>
      <c r="AB2453" s="10"/>
      <c r="AC2453" s="7"/>
      <c r="AD2453" s="7"/>
      <c r="AI2453" s="7"/>
      <c r="AJ2453" s="226"/>
      <c r="AK2453" s="7"/>
      <c r="AL2453" s="5"/>
      <c r="AS2453" s="84"/>
      <c r="AU2453" s="5"/>
      <c r="AV2453" s="111"/>
    </row>
    <row r="2454" ht="45" hidden="1" customHeight="1">
      <c r="A2454" s="69"/>
      <c r="B2454" s="3" t="s">
        <v>190</v>
      </c>
      <c r="C2454" s="4" t="s">
        <v>7487</v>
      </c>
      <c r="D2454" s="244" t="s">
        <v>7488</v>
      </c>
      <c r="E2454" s="2" t="s">
        <v>48</v>
      </c>
      <c r="F2454" s="6" t="s">
        <v>140</v>
      </c>
      <c r="G2454" s="5" t="s">
        <v>7489</v>
      </c>
      <c r="H2454" s="2" t="s">
        <v>57</v>
      </c>
      <c r="I2454" s="94" t="s">
        <v>7490</v>
      </c>
      <c r="J2454" s="7">
        <v>1</v>
      </c>
      <c r="K2454" s="70"/>
      <c r="L2454" s="9">
        <v>1</v>
      </c>
      <c r="M2454" s="3">
        <v>2044</v>
      </c>
      <c r="N2454" s="6">
        <v>2023</v>
      </c>
      <c r="O2454" s="10">
        <v>44231</v>
      </c>
      <c r="P2454" s="246" t="s">
        <v>7491</v>
      </c>
      <c r="Q2454" s="10">
        <v>44967</v>
      </c>
      <c r="R2454" s="6">
        <v>2020</v>
      </c>
      <c r="S2454" s="3" t="s">
        <v>283</v>
      </c>
      <c r="T2454" s="239"/>
      <c r="U2454" s="73"/>
      <c r="W2454" s="175"/>
      <c r="X2454" s="10"/>
      <c r="Y2454" s="10"/>
      <c r="Z2454" s="75"/>
      <c r="AA2454" s="76"/>
      <c r="AB2454" s="10"/>
      <c r="AC2454" s="7"/>
      <c r="AD2454" s="7"/>
      <c r="AI2454" s="7"/>
      <c r="AJ2454" s="226"/>
      <c r="AK2454" s="7"/>
      <c r="AL2454" s="5"/>
      <c r="AS2454" s="84"/>
      <c r="AU2454" s="5"/>
      <c r="AV2454" s="111"/>
    </row>
    <row r="2455" ht="45" hidden="1" customHeight="1">
      <c r="A2455" s="69"/>
      <c r="B2455" s="3" t="s">
        <v>190</v>
      </c>
      <c r="C2455" s="4" t="s">
        <v>7487</v>
      </c>
      <c r="D2455" s="244" t="s">
        <v>7492</v>
      </c>
      <c r="E2455" s="2" t="s">
        <v>48</v>
      </c>
      <c r="F2455" s="6" t="s">
        <v>140</v>
      </c>
      <c r="G2455" s="5" t="s">
        <v>210</v>
      </c>
      <c r="H2455" s="2" t="s">
        <v>57</v>
      </c>
      <c r="I2455" s="94" t="s">
        <v>7493</v>
      </c>
      <c r="J2455" s="7">
        <v>1</v>
      </c>
      <c r="K2455" s="70"/>
      <c r="L2455" s="9">
        <v>1</v>
      </c>
      <c r="M2455" s="3">
        <v>2045</v>
      </c>
      <c r="N2455" s="6">
        <v>2023</v>
      </c>
      <c r="O2455" s="10">
        <v>44496</v>
      </c>
      <c r="P2455" s="246" t="s">
        <v>7494</v>
      </c>
      <c r="Q2455" s="10">
        <v>44970</v>
      </c>
      <c r="R2455" s="6">
        <v>2020</v>
      </c>
      <c r="S2455" s="3" t="s">
        <v>283</v>
      </c>
      <c r="T2455" s="239"/>
      <c r="U2455" s="73"/>
      <c r="W2455" s="175"/>
      <c r="X2455" s="10"/>
      <c r="Y2455" s="10"/>
      <c r="Z2455" s="75"/>
      <c r="AA2455" s="76"/>
      <c r="AB2455" s="10"/>
      <c r="AC2455" s="7"/>
      <c r="AD2455" s="7"/>
      <c r="AI2455" s="7"/>
      <c r="AJ2455" s="226"/>
      <c r="AK2455" s="7"/>
      <c r="AL2455" s="5"/>
      <c r="AS2455" s="84"/>
      <c r="AU2455" s="5"/>
      <c r="AV2455" s="111"/>
    </row>
    <row r="2456" ht="45" hidden="1" customHeight="1">
      <c r="A2456" s="69"/>
      <c r="B2456" s="3" t="s">
        <v>190</v>
      </c>
      <c r="C2456" s="4" t="s">
        <v>7495</v>
      </c>
      <c r="D2456" s="244" t="s">
        <v>7496</v>
      </c>
      <c r="E2456" s="2" t="s">
        <v>83</v>
      </c>
      <c r="F2456" s="6" t="s">
        <v>3867</v>
      </c>
      <c r="G2456" s="5" t="s">
        <v>7497</v>
      </c>
      <c r="H2456" s="2" t="s">
        <v>57</v>
      </c>
      <c r="I2456" s="94" t="s">
        <v>7498</v>
      </c>
      <c r="J2456" s="7">
        <v>1</v>
      </c>
      <c r="K2456" s="70"/>
      <c r="L2456" s="9">
        <v>1</v>
      </c>
      <c r="M2456" s="3">
        <v>2046</v>
      </c>
      <c r="N2456" s="6">
        <v>2023</v>
      </c>
      <c r="O2456" s="10">
        <v>45005</v>
      </c>
      <c r="P2456" s="246" t="s">
        <v>7499</v>
      </c>
      <c r="Q2456" s="10">
        <v>45013</v>
      </c>
      <c r="R2456" s="6">
        <v>2020</v>
      </c>
      <c r="S2456" s="3" t="s">
        <v>283</v>
      </c>
      <c r="T2456" s="239"/>
      <c r="U2456" s="73"/>
      <c r="W2456" s="175"/>
      <c r="X2456" s="10"/>
      <c r="Y2456" s="10"/>
      <c r="Z2456" s="75"/>
      <c r="AA2456" s="76"/>
      <c r="AB2456" s="10"/>
      <c r="AC2456" s="7"/>
      <c r="AD2456" s="7"/>
      <c r="AI2456" s="7"/>
      <c r="AJ2456" s="226"/>
      <c r="AK2456" s="7"/>
      <c r="AL2456" s="5"/>
      <c r="AS2456" s="84"/>
      <c r="AU2456" s="5"/>
      <c r="AV2456" s="111"/>
    </row>
    <row r="2457" ht="45" hidden="1" customHeight="1">
      <c r="A2457" s="69"/>
      <c r="B2457" s="3" t="s">
        <v>190</v>
      </c>
      <c r="C2457" s="4" t="s">
        <v>7500</v>
      </c>
      <c r="D2457" s="244" t="s">
        <v>7501</v>
      </c>
      <c r="E2457" s="2" t="s">
        <v>48</v>
      </c>
      <c r="F2457" s="6" t="s">
        <v>49</v>
      </c>
      <c r="G2457" s="5" t="s">
        <v>3780</v>
      </c>
      <c r="H2457" s="2" t="s">
        <v>57</v>
      </c>
      <c r="I2457" s="94" t="s">
        <v>7502</v>
      </c>
      <c r="J2457" s="7">
        <v>1</v>
      </c>
      <c r="K2457" s="70"/>
      <c r="L2457" s="9">
        <v>1</v>
      </c>
      <c r="M2457" s="3">
        <v>2047</v>
      </c>
      <c r="N2457" s="6">
        <v>2023</v>
      </c>
      <c r="O2457" s="10">
        <v>45006</v>
      </c>
      <c r="P2457" s="246" t="s">
        <v>7503</v>
      </c>
      <c r="Q2457" s="10">
        <v>45064</v>
      </c>
      <c r="R2457" s="6">
        <v>2020</v>
      </c>
      <c r="S2457" s="3" t="s">
        <v>283</v>
      </c>
      <c r="T2457" s="239"/>
      <c r="U2457" s="73"/>
      <c r="W2457" s="175"/>
      <c r="X2457" s="10"/>
      <c r="Y2457" s="10"/>
      <c r="Z2457" s="75"/>
      <c r="AA2457" s="76"/>
      <c r="AB2457" s="10"/>
      <c r="AC2457" s="7"/>
      <c r="AD2457" s="7"/>
      <c r="AI2457" s="7"/>
      <c r="AJ2457" s="226"/>
      <c r="AK2457" s="7"/>
      <c r="AL2457" s="5"/>
      <c r="AS2457" s="84"/>
      <c r="AU2457" s="5"/>
      <c r="AV2457" s="111"/>
    </row>
    <row r="2458" ht="45" hidden="1" customHeight="1">
      <c r="A2458" s="69">
        <v>45419</v>
      </c>
      <c r="B2458" s="3" t="s">
        <v>47</v>
      </c>
      <c r="C2458" s="4" t="s">
        <v>7504</v>
      </c>
      <c r="D2458" s="244" t="s">
        <v>7505</v>
      </c>
      <c r="E2458" s="2" t="s">
        <v>48</v>
      </c>
      <c r="F2458" s="6" t="s">
        <v>140</v>
      </c>
      <c r="G2458" s="5" t="s">
        <v>6122</v>
      </c>
      <c r="H2458" s="2" t="s">
        <v>501</v>
      </c>
      <c r="I2458" s="94" t="s">
        <v>7506</v>
      </c>
      <c r="J2458" s="7">
        <v>1</v>
      </c>
      <c r="K2458" s="70"/>
      <c r="L2458" s="9">
        <v>1</v>
      </c>
      <c r="M2458" s="3">
        <v>2048</v>
      </c>
      <c r="N2458" s="6">
        <v>2023</v>
      </c>
      <c r="O2458" s="10">
        <v>45023</v>
      </c>
      <c r="P2458" s="246" t="s">
        <v>7507</v>
      </c>
      <c r="Q2458" s="10">
        <v>45071</v>
      </c>
      <c r="R2458" s="6">
        <v>2020</v>
      </c>
      <c r="S2458" s="3" t="s">
        <v>236</v>
      </c>
      <c r="T2458" s="239" t="s">
        <v>1136</v>
      </c>
      <c r="U2458" s="10">
        <v>45470</v>
      </c>
      <c r="W2458" s="175"/>
      <c r="X2458" s="10"/>
      <c r="Y2458" s="10"/>
      <c r="Z2458" s="75"/>
      <c r="AA2458" s="76"/>
      <c r="AB2458" s="10"/>
      <c r="AC2458" s="7"/>
      <c r="AD2458" s="7"/>
      <c r="AI2458" s="7"/>
      <c r="AJ2458" s="10">
        <v>45467</v>
      </c>
      <c r="AK2458" s="7">
        <v>2020</v>
      </c>
      <c r="AL2458" s="16" t="s">
        <v>6435</v>
      </c>
      <c r="AS2458" s="84"/>
      <c r="AU2458" s="5"/>
      <c r="AV2458" s="111"/>
    </row>
    <row r="2459" ht="45" hidden="1" customHeight="1">
      <c r="A2459" s="69">
        <v>45272</v>
      </c>
      <c r="B2459" s="3" t="s">
        <v>47</v>
      </c>
      <c r="C2459" s="4" t="s">
        <v>7508</v>
      </c>
      <c r="D2459" s="244" t="s">
        <v>7509</v>
      </c>
      <c r="E2459" s="2" t="s">
        <v>48</v>
      </c>
      <c r="F2459" s="6" t="s">
        <v>564</v>
      </c>
      <c r="G2459" s="5" t="s">
        <v>7510</v>
      </c>
      <c r="H2459" s="2" t="s">
        <v>491</v>
      </c>
      <c r="I2459" s="94" t="s">
        <v>7511</v>
      </c>
      <c r="J2459" s="7">
        <v>1</v>
      </c>
      <c r="K2459" s="70"/>
      <c r="L2459" s="9">
        <v>1</v>
      </c>
      <c r="M2459" s="3">
        <v>2049</v>
      </c>
      <c r="N2459" s="6">
        <v>2023</v>
      </c>
      <c r="O2459" s="10">
        <v>45029</v>
      </c>
      <c r="P2459" s="246" t="s">
        <v>7512</v>
      </c>
      <c r="Q2459" s="10">
        <v>45071</v>
      </c>
      <c r="R2459" s="6">
        <v>2020</v>
      </c>
      <c r="S2459" s="3" t="s">
        <v>236</v>
      </c>
      <c r="T2459" s="239" t="s">
        <v>1136</v>
      </c>
      <c r="W2459" s="175"/>
      <c r="X2459" s="10"/>
      <c r="Y2459" s="10"/>
      <c r="Z2459" s="75"/>
      <c r="AA2459" s="76"/>
      <c r="AB2459" s="10"/>
      <c r="AC2459" s="7"/>
      <c r="AD2459" s="7"/>
      <c r="AI2459" s="7"/>
      <c r="AJ2459" s="10">
        <v>45394</v>
      </c>
      <c r="AK2459" s="7">
        <v>2020</v>
      </c>
      <c r="AL2459" s="16" t="s">
        <v>6435</v>
      </c>
      <c r="AS2459" s="84"/>
      <c r="AU2459" s="5"/>
      <c r="AV2459" s="111"/>
    </row>
    <row r="2460" ht="45" hidden="1" customHeight="1">
      <c r="A2460" s="69"/>
      <c r="B2460" s="3" t="s">
        <v>190</v>
      </c>
      <c r="C2460" s="4" t="s">
        <v>7513</v>
      </c>
      <c r="D2460" s="244" t="s">
        <v>7514</v>
      </c>
      <c r="E2460" s="2" t="s">
        <v>63</v>
      </c>
      <c r="F2460" s="6" t="s">
        <v>172</v>
      </c>
      <c r="G2460" s="5" t="s">
        <v>7515</v>
      </c>
      <c r="H2460" s="2" t="s">
        <v>68</v>
      </c>
      <c r="I2460" s="94" t="s">
        <v>7516</v>
      </c>
      <c r="J2460" s="7">
        <v>1</v>
      </c>
      <c r="K2460" s="70"/>
      <c r="L2460" s="9">
        <v>1</v>
      </c>
      <c r="M2460" s="3">
        <v>2050</v>
      </c>
      <c r="N2460" s="6">
        <v>2023</v>
      </c>
      <c r="O2460" s="10">
        <v>40998</v>
      </c>
      <c r="P2460" s="246" t="s">
        <v>7517</v>
      </c>
      <c r="Q2460" s="10">
        <v>45071</v>
      </c>
      <c r="R2460" s="6">
        <v>2020</v>
      </c>
      <c r="S2460" s="3" t="s">
        <v>283</v>
      </c>
      <c r="T2460" s="239"/>
      <c r="U2460" s="73"/>
      <c r="W2460" s="175"/>
      <c r="X2460" s="10"/>
      <c r="Y2460" s="10"/>
      <c r="Z2460" s="75"/>
      <c r="AA2460" s="76"/>
      <c r="AB2460" s="10"/>
      <c r="AC2460" s="7"/>
      <c r="AD2460" s="7"/>
      <c r="AI2460" s="7"/>
      <c r="AJ2460" s="226"/>
      <c r="AK2460" s="7"/>
      <c r="AL2460" s="5"/>
      <c r="AS2460" s="84"/>
      <c r="AU2460" s="5"/>
      <c r="AV2460" s="111"/>
    </row>
    <row r="2461" ht="45" hidden="1" customHeight="1">
      <c r="A2461" s="69">
        <v>45071</v>
      </c>
      <c r="B2461" s="3" t="s">
        <v>190</v>
      </c>
      <c r="C2461" s="4" t="s">
        <v>7518</v>
      </c>
      <c r="D2461" s="244" t="s">
        <v>7519</v>
      </c>
      <c r="E2461" s="2" t="s">
        <v>83</v>
      </c>
      <c r="F2461" s="6" t="s">
        <v>3867</v>
      </c>
      <c r="G2461" s="5" t="s">
        <v>7520</v>
      </c>
      <c r="H2461" s="2" t="s">
        <v>4501</v>
      </c>
      <c r="I2461" s="94" t="s">
        <v>7521</v>
      </c>
      <c r="J2461" s="7">
        <v>1</v>
      </c>
      <c r="K2461" s="70"/>
      <c r="L2461" s="9">
        <v>1</v>
      </c>
      <c r="M2461" s="3">
        <v>2051</v>
      </c>
      <c r="N2461" s="6">
        <v>2023</v>
      </c>
      <c r="O2461" s="10">
        <v>43133</v>
      </c>
      <c r="P2461" s="246" t="s">
        <v>7522</v>
      </c>
      <c r="Q2461" s="10">
        <v>45071</v>
      </c>
      <c r="R2461" s="6">
        <v>2020</v>
      </c>
      <c r="S2461" s="3" t="s">
        <v>283</v>
      </c>
      <c r="T2461" s="239"/>
      <c r="U2461" s="73"/>
      <c r="W2461" s="175"/>
      <c r="X2461" s="10"/>
      <c r="Y2461" s="10"/>
      <c r="Z2461" s="75"/>
      <c r="AA2461" s="76"/>
      <c r="AB2461" s="10"/>
      <c r="AC2461" s="7"/>
      <c r="AD2461" s="7"/>
      <c r="AI2461" s="7"/>
      <c r="AJ2461" s="226"/>
      <c r="AK2461" s="7"/>
      <c r="AL2461" s="5"/>
      <c r="AS2461" s="84"/>
      <c r="AU2461" s="5"/>
      <c r="AV2461" s="111"/>
    </row>
    <row r="2462" ht="45" hidden="1" customHeight="1">
      <c r="A2462" s="69"/>
      <c r="B2462" s="3" t="s">
        <v>190</v>
      </c>
      <c r="C2462" s="4" t="s">
        <v>7523</v>
      </c>
      <c r="D2462" s="244" t="s">
        <v>7524</v>
      </c>
      <c r="E2462" s="2" t="s">
        <v>83</v>
      </c>
      <c r="F2462" s="6" t="s">
        <v>704</v>
      </c>
      <c r="G2462" s="5" t="s">
        <v>2623</v>
      </c>
      <c r="H2462" s="2" t="s">
        <v>977</v>
      </c>
      <c r="I2462" s="94" t="s">
        <v>7525</v>
      </c>
      <c r="J2462" s="7">
        <v>1</v>
      </c>
      <c r="K2462" s="70"/>
      <c r="L2462" s="9">
        <v>1</v>
      </c>
      <c r="M2462" s="3">
        <v>2052</v>
      </c>
      <c r="N2462" s="6">
        <v>2023</v>
      </c>
      <c r="O2462" s="10">
        <v>45029</v>
      </c>
      <c r="P2462" s="246" t="s">
        <v>7526</v>
      </c>
      <c r="Q2462" s="10">
        <v>45076</v>
      </c>
      <c r="R2462" s="6">
        <v>2020</v>
      </c>
      <c r="S2462" s="3" t="s">
        <v>283</v>
      </c>
      <c r="T2462" s="239"/>
      <c r="U2462" s="73"/>
      <c r="W2462" s="175"/>
      <c r="X2462" s="10"/>
      <c r="Y2462" s="10"/>
      <c r="Z2462" s="75"/>
      <c r="AA2462" s="76"/>
      <c r="AB2462" s="10"/>
      <c r="AC2462" s="7"/>
      <c r="AD2462" s="7"/>
      <c r="AI2462" s="7"/>
      <c r="AJ2462" s="226"/>
      <c r="AK2462" s="7"/>
      <c r="AL2462" s="5"/>
      <c r="AS2462" s="84"/>
      <c r="AU2462" s="5"/>
      <c r="AV2462" s="111"/>
    </row>
    <row r="2463" ht="45" hidden="1" customHeight="1">
      <c r="A2463" s="69"/>
      <c r="B2463" s="3" t="s">
        <v>190</v>
      </c>
      <c r="C2463" s="4" t="s">
        <v>7527</v>
      </c>
      <c r="D2463" s="244" t="s">
        <v>7528</v>
      </c>
      <c r="E2463" s="2" t="s">
        <v>83</v>
      </c>
      <c r="F2463" s="6" t="s">
        <v>3867</v>
      </c>
      <c r="G2463" s="5" t="s">
        <v>5255</v>
      </c>
      <c r="H2463" s="2" t="s">
        <v>51</v>
      </c>
      <c r="I2463" s="94" t="s">
        <v>7529</v>
      </c>
      <c r="J2463" s="7">
        <v>1</v>
      </c>
      <c r="K2463" s="70"/>
      <c r="L2463" s="9">
        <v>1</v>
      </c>
      <c r="M2463" s="3">
        <v>2053</v>
      </c>
      <c r="N2463" s="6">
        <v>2023</v>
      </c>
      <c r="O2463" s="10">
        <v>45056</v>
      </c>
      <c r="P2463" s="246" t="s">
        <v>7530</v>
      </c>
      <c r="Q2463" s="10">
        <v>45125</v>
      </c>
      <c r="R2463" s="6">
        <v>2020</v>
      </c>
      <c r="S2463" s="3" t="s">
        <v>283</v>
      </c>
      <c r="T2463" s="239"/>
      <c r="U2463" s="73"/>
      <c r="W2463" s="175"/>
      <c r="X2463" s="10"/>
      <c r="Y2463" s="10"/>
      <c r="Z2463" s="75"/>
      <c r="AA2463" s="76"/>
      <c r="AB2463" s="10"/>
      <c r="AC2463" s="7"/>
      <c r="AD2463" s="7"/>
      <c r="AI2463" s="7"/>
      <c r="AJ2463" s="226"/>
      <c r="AK2463" s="7"/>
      <c r="AL2463" s="5"/>
      <c r="AS2463" s="84"/>
      <c r="AU2463" s="5"/>
      <c r="AV2463" s="111"/>
    </row>
    <row r="2464" ht="45" hidden="1" customHeight="1">
      <c r="A2464" s="69"/>
      <c r="B2464" s="3" t="s">
        <v>190</v>
      </c>
      <c r="C2464" s="4" t="s">
        <v>7531</v>
      </c>
      <c r="D2464" s="244" t="s">
        <v>7532</v>
      </c>
      <c r="E2464" s="2" t="s">
        <v>83</v>
      </c>
      <c r="F2464" s="6" t="s">
        <v>84</v>
      </c>
      <c r="G2464" s="5" t="s">
        <v>85</v>
      </c>
      <c r="H2464" s="2" t="s">
        <v>181</v>
      </c>
      <c r="I2464" s="94" t="s">
        <v>7533</v>
      </c>
      <c r="J2464" s="7">
        <v>1</v>
      </c>
      <c r="K2464" s="70"/>
      <c r="L2464" s="9">
        <v>1</v>
      </c>
      <c r="M2464" s="3">
        <v>2054</v>
      </c>
      <c r="N2464" s="6">
        <v>2023</v>
      </c>
      <c r="O2464" s="10">
        <v>45078</v>
      </c>
      <c r="P2464" s="246" t="s">
        <v>7534</v>
      </c>
      <c r="Q2464" s="10">
        <v>45126</v>
      </c>
      <c r="R2464" s="6">
        <v>2020</v>
      </c>
      <c r="S2464" s="3" t="s">
        <v>283</v>
      </c>
      <c r="T2464" s="239"/>
      <c r="U2464" s="73"/>
      <c r="W2464" s="175"/>
      <c r="X2464" s="10"/>
      <c r="Y2464" s="10"/>
      <c r="Z2464" s="75"/>
      <c r="AA2464" s="76"/>
      <c r="AB2464" s="10"/>
      <c r="AC2464" s="7"/>
      <c r="AD2464" s="7"/>
      <c r="AI2464" s="7"/>
      <c r="AJ2464" s="226"/>
      <c r="AK2464" s="7"/>
      <c r="AL2464" s="5"/>
      <c r="AS2464" s="84"/>
      <c r="AU2464" s="5"/>
      <c r="AV2464" s="111"/>
    </row>
    <row r="2465" ht="45" hidden="1" customHeight="1">
      <c r="A2465" s="69">
        <v>45134</v>
      </c>
      <c r="B2465" s="3" t="s">
        <v>190</v>
      </c>
      <c r="C2465" s="4" t="s">
        <v>7535</v>
      </c>
      <c r="D2465" s="244" t="s">
        <v>7536</v>
      </c>
      <c r="E2465" s="2" t="s">
        <v>83</v>
      </c>
      <c r="F2465" s="6" t="s">
        <v>84</v>
      </c>
      <c r="G2465" s="5" t="s">
        <v>85</v>
      </c>
      <c r="H2465" s="2" t="s">
        <v>382</v>
      </c>
      <c r="I2465" s="94" t="s">
        <v>7537</v>
      </c>
      <c r="J2465" s="7">
        <v>1</v>
      </c>
      <c r="K2465" s="70"/>
      <c r="L2465" s="9">
        <v>1</v>
      </c>
      <c r="M2465" s="3">
        <v>2055</v>
      </c>
      <c r="N2465" s="6">
        <v>2023</v>
      </c>
      <c r="O2465" s="10">
        <v>45013</v>
      </c>
      <c r="P2465" s="246" t="s">
        <v>7538</v>
      </c>
      <c r="Q2465" s="10">
        <v>45133</v>
      </c>
      <c r="R2465" s="6">
        <v>2020</v>
      </c>
      <c r="S2465" s="3" t="s">
        <v>283</v>
      </c>
      <c r="T2465" s="239"/>
      <c r="U2465" s="73"/>
      <c r="W2465" s="175"/>
      <c r="X2465" s="10"/>
      <c r="Y2465" s="10"/>
      <c r="Z2465" s="75"/>
      <c r="AA2465" s="76"/>
      <c r="AB2465" s="10"/>
      <c r="AC2465" s="7"/>
      <c r="AD2465" s="7"/>
      <c r="AI2465" s="7"/>
      <c r="AJ2465" s="226"/>
      <c r="AK2465" s="7"/>
      <c r="AL2465" s="5"/>
      <c r="AS2465" s="84"/>
      <c r="AU2465" s="5"/>
      <c r="AV2465" s="111"/>
    </row>
    <row r="2466" ht="45" hidden="1" customHeight="1">
      <c r="A2466" s="69" t="s">
        <v>7539</v>
      </c>
      <c r="B2466" s="3" t="s">
        <v>190</v>
      </c>
      <c r="C2466" s="4" t="s">
        <v>7540</v>
      </c>
      <c r="D2466" s="244" t="s">
        <v>7541</v>
      </c>
      <c r="E2466" s="2" t="s">
        <v>63</v>
      </c>
      <c r="F2466" s="6" t="s">
        <v>172</v>
      </c>
      <c r="G2466" s="5" t="s">
        <v>7542</v>
      </c>
      <c r="H2466" s="2" t="s">
        <v>288</v>
      </c>
      <c r="I2466" s="94" t="s">
        <v>7543</v>
      </c>
      <c r="J2466" s="7">
        <v>1</v>
      </c>
      <c r="K2466" s="70"/>
      <c r="L2466" s="9">
        <v>1</v>
      </c>
      <c r="M2466" s="3">
        <v>2056</v>
      </c>
      <c r="N2466" s="6">
        <v>2023</v>
      </c>
      <c r="O2466" s="10">
        <v>38567</v>
      </c>
      <c r="P2466" s="246" t="s">
        <v>7544</v>
      </c>
      <c r="Q2466" s="10">
        <v>45149</v>
      </c>
      <c r="R2466" s="6">
        <v>2020</v>
      </c>
      <c r="S2466" s="3" t="s">
        <v>283</v>
      </c>
      <c r="T2466" s="239"/>
      <c r="U2466" s="73"/>
      <c r="W2466" s="175"/>
      <c r="X2466" s="10"/>
      <c r="Y2466" s="10"/>
      <c r="Z2466" s="75"/>
      <c r="AA2466" s="76"/>
      <c r="AB2466" s="10"/>
      <c r="AC2466" s="7"/>
      <c r="AD2466" s="7"/>
      <c r="AI2466" s="7"/>
      <c r="AJ2466" s="226"/>
      <c r="AK2466" s="7"/>
      <c r="AL2466" s="5"/>
      <c r="AS2466" s="84"/>
      <c r="AU2466" s="5"/>
      <c r="AV2466" s="111"/>
    </row>
    <row r="2467" ht="45" hidden="1" customHeight="1">
      <c r="A2467" s="69">
        <v>45159</v>
      </c>
      <c r="B2467" s="3" t="s">
        <v>190</v>
      </c>
      <c r="C2467" s="177" t="s">
        <v>7545</v>
      </c>
      <c r="D2467" s="244" t="s">
        <v>7546</v>
      </c>
      <c r="E2467" s="2" t="s">
        <v>48</v>
      </c>
      <c r="F2467" s="6" t="s">
        <v>49</v>
      </c>
      <c r="G2467" s="5" t="s">
        <v>7547</v>
      </c>
      <c r="H2467" s="2" t="s">
        <v>57</v>
      </c>
      <c r="I2467" s="94" t="s">
        <v>7548</v>
      </c>
      <c r="J2467" s="7">
        <v>1</v>
      </c>
      <c r="K2467" s="70"/>
      <c r="L2467" s="9">
        <v>1</v>
      </c>
      <c r="M2467" s="3">
        <v>2057</v>
      </c>
      <c r="N2467" s="6">
        <v>2023</v>
      </c>
      <c r="O2467" s="10">
        <v>45052</v>
      </c>
      <c r="P2467" s="246" t="s">
        <v>7549</v>
      </c>
      <c r="Q2467" s="10">
        <v>45162</v>
      </c>
      <c r="R2467" s="6">
        <v>2020</v>
      </c>
      <c r="S2467" s="3" t="s">
        <v>283</v>
      </c>
      <c r="T2467" s="239"/>
      <c r="U2467" s="73"/>
      <c r="W2467" s="175"/>
      <c r="X2467" s="10"/>
      <c r="Y2467" s="10"/>
      <c r="Z2467" s="75"/>
      <c r="AA2467" s="76"/>
      <c r="AB2467" s="10"/>
      <c r="AC2467" s="7"/>
      <c r="AD2467" s="7"/>
      <c r="AI2467" s="7"/>
      <c r="AJ2467" s="226"/>
      <c r="AK2467" s="7"/>
      <c r="AL2467" s="5"/>
      <c r="AS2467" s="84"/>
      <c r="AU2467" s="5"/>
      <c r="AV2467" s="111"/>
    </row>
    <row r="2468" ht="45" hidden="1" customHeight="1">
      <c r="A2468" s="69">
        <v>45187</v>
      </c>
      <c r="B2468" s="3" t="s">
        <v>190</v>
      </c>
      <c r="C2468" s="177" t="s">
        <v>7550</v>
      </c>
      <c r="D2468" s="244" t="s">
        <v>7551</v>
      </c>
      <c r="E2468" s="2" t="s">
        <v>83</v>
      </c>
      <c r="F2468" s="6" t="s">
        <v>84</v>
      </c>
      <c r="G2468" s="5" t="s">
        <v>85</v>
      </c>
      <c r="H2468" s="2" t="s">
        <v>57</v>
      </c>
      <c r="I2468" s="94" t="s">
        <v>7552</v>
      </c>
      <c r="J2468" s="7">
        <v>1</v>
      </c>
      <c r="K2468" s="70"/>
      <c r="L2468" s="9">
        <v>1</v>
      </c>
      <c r="M2468" s="3">
        <v>2058</v>
      </c>
      <c r="N2468" s="6">
        <v>2023</v>
      </c>
      <c r="O2468" s="10">
        <v>44449</v>
      </c>
      <c r="P2468" s="246" t="s">
        <v>7553</v>
      </c>
      <c r="Q2468" s="10">
        <v>45184</v>
      </c>
      <c r="R2468" s="6">
        <v>2020</v>
      </c>
      <c r="S2468" s="3" t="s">
        <v>283</v>
      </c>
      <c r="T2468" s="239"/>
      <c r="U2468" s="73"/>
      <c r="W2468" s="175"/>
      <c r="X2468" s="10"/>
      <c r="Y2468" s="10"/>
      <c r="Z2468" s="75"/>
      <c r="AA2468" s="76"/>
      <c r="AB2468" s="10"/>
      <c r="AC2468" s="7"/>
      <c r="AD2468" s="7"/>
      <c r="AI2468" s="7"/>
      <c r="AJ2468" s="226"/>
      <c r="AK2468" s="7"/>
      <c r="AL2468" s="5"/>
      <c r="AS2468" s="84"/>
      <c r="AU2468" s="5"/>
      <c r="AV2468" s="111"/>
    </row>
    <row r="2469" ht="45" hidden="1" customHeight="1">
      <c r="A2469" s="69">
        <v>45189</v>
      </c>
      <c r="B2469" s="3" t="s">
        <v>190</v>
      </c>
      <c r="C2469" s="4" t="s">
        <v>7554</v>
      </c>
      <c r="D2469" s="244" t="s">
        <v>7555</v>
      </c>
      <c r="E2469" s="2" t="s">
        <v>83</v>
      </c>
      <c r="F2469" s="6" t="s">
        <v>84</v>
      </c>
      <c r="G2469" s="5" t="s">
        <v>85</v>
      </c>
      <c r="H2469" s="2" t="s">
        <v>57</v>
      </c>
      <c r="I2469" s="94" t="s">
        <v>7556</v>
      </c>
      <c r="J2469" s="7">
        <v>1</v>
      </c>
      <c r="K2469" s="70"/>
      <c r="L2469" s="9">
        <v>1</v>
      </c>
      <c r="M2469" s="3">
        <v>2059</v>
      </c>
      <c r="N2469" s="6">
        <v>2023</v>
      </c>
      <c r="O2469" s="10">
        <v>45093</v>
      </c>
      <c r="P2469" s="246" t="s">
        <v>7557</v>
      </c>
      <c r="Q2469" s="10">
        <v>45188</v>
      </c>
      <c r="R2469" s="6">
        <v>2020</v>
      </c>
      <c r="S2469" s="3" t="s">
        <v>283</v>
      </c>
      <c r="T2469" s="239"/>
      <c r="U2469" s="73"/>
      <c r="W2469" s="175"/>
      <c r="X2469" s="10"/>
      <c r="Y2469" s="10"/>
      <c r="Z2469" s="75"/>
      <c r="AA2469" s="76"/>
      <c r="AB2469" s="10"/>
      <c r="AC2469" s="7"/>
      <c r="AD2469" s="7"/>
      <c r="AI2469" s="7"/>
      <c r="AJ2469" s="226"/>
      <c r="AK2469" s="7"/>
      <c r="AL2469" s="5"/>
      <c r="AS2469" s="84"/>
      <c r="AU2469" s="5"/>
      <c r="AV2469" s="111"/>
    </row>
    <row r="2470" ht="45" hidden="1" customHeight="1">
      <c r="A2470" s="69">
        <v>45194</v>
      </c>
      <c r="B2470" s="3" t="s">
        <v>190</v>
      </c>
      <c r="C2470" s="4" t="s">
        <v>7558</v>
      </c>
      <c r="D2470" s="244" t="s">
        <v>7559</v>
      </c>
      <c r="E2470" s="2" t="s">
        <v>1074</v>
      </c>
      <c r="F2470" s="6" t="s">
        <v>1075</v>
      </c>
      <c r="G2470" s="5" t="s">
        <v>7560</v>
      </c>
      <c r="H2470" s="2" t="s">
        <v>288</v>
      </c>
      <c r="I2470" s="94" t="s">
        <v>7561</v>
      </c>
      <c r="J2470" s="7">
        <v>1</v>
      </c>
      <c r="K2470" s="70"/>
      <c r="L2470" s="9">
        <v>1</v>
      </c>
      <c r="M2470" s="3">
        <v>2060</v>
      </c>
      <c r="N2470" s="6">
        <v>2023</v>
      </c>
      <c r="O2470" s="10">
        <v>45187</v>
      </c>
      <c r="P2470" s="246" t="s">
        <v>7562</v>
      </c>
      <c r="Q2470" s="10">
        <v>45196</v>
      </c>
      <c r="R2470" s="6">
        <v>2020</v>
      </c>
      <c r="S2470" s="3" t="s">
        <v>283</v>
      </c>
      <c r="T2470" s="239"/>
      <c r="U2470" s="73"/>
      <c r="W2470" s="175"/>
      <c r="X2470" s="10"/>
      <c r="Y2470" s="10"/>
      <c r="Z2470" s="75"/>
      <c r="AA2470" s="76"/>
      <c r="AB2470" s="10"/>
      <c r="AC2470" s="7"/>
      <c r="AD2470" s="7"/>
      <c r="AI2470" s="7"/>
      <c r="AJ2470" s="226"/>
      <c r="AK2470" s="7"/>
      <c r="AL2470" s="5"/>
      <c r="AS2470" s="84"/>
      <c r="AU2470" s="5"/>
      <c r="AV2470" s="111"/>
    </row>
    <row r="2471" ht="45" hidden="1" customHeight="1">
      <c r="A2471" s="69">
        <v>45219</v>
      </c>
      <c r="B2471" s="3" t="s">
        <v>190</v>
      </c>
      <c r="C2471" s="4" t="s">
        <v>7563</v>
      </c>
      <c r="D2471" s="244" t="s">
        <v>7564</v>
      </c>
      <c r="E2471" s="2" t="s">
        <v>63</v>
      </c>
      <c r="F2471" s="6" t="s">
        <v>6816</v>
      </c>
      <c r="G2471" s="5" t="s">
        <v>69</v>
      </c>
      <c r="H2471" s="2" t="s">
        <v>57</v>
      </c>
      <c r="I2471" s="94" t="s">
        <v>7565</v>
      </c>
      <c r="J2471" s="7">
        <v>1</v>
      </c>
      <c r="K2471" s="70"/>
      <c r="L2471" s="9">
        <v>1</v>
      </c>
      <c r="M2471" s="3">
        <v>2061</v>
      </c>
      <c r="N2471" s="6">
        <v>2023</v>
      </c>
      <c r="O2471" s="10">
        <v>45076</v>
      </c>
      <c r="P2471" s="246" t="s">
        <v>7566</v>
      </c>
      <c r="Q2471" s="10">
        <v>45217</v>
      </c>
      <c r="R2471" s="6">
        <v>2020</v>
      </c>
      <c r="S2471" s="3" t="s">
        <v>283</v>
      </c>
      <c r="T2471" s="239"/>
      <c r="U2471" s="73"/>
      <c r="W2471" s="175"/>
      <c r="X2471" s="10"/>
      <c r="Y2471" s="10"/>
      <c r="Z2471" s="75"/>
      <c r="AA2471" s="76"/>
      <c r="AB2471" s="10"/>
      <c r="AC2471" s="7"/>
      <c r="AD2471" s="7"/>
      <c r="AI2471" s="7"/>
      <c r="AJ2471" s="226"/>
      <c r="AK2471" s="7"/>
      <c r="AL2471" s="5"/>
      <c r="AS2471" s="84"/>
      <c r="AU2471" s="5"/>
      <c r="AV2471" s="111"/>
    </row>
    <row r="2472" ht="45" hidden="1" customHeight="1">
      <c r="A2472" s="69">
        <v>45219</v>
      </c>
      <c r="B2472" s="3" t="s">
        <v>190</v>
      </c>
      <c r="C2472" s="4" t="s">
        <v>7563</v>
      </c>
      <c r="D2472" s="244" t="s">
        <v>7567</v>
      </c>
      <c r="E2472" s="2" t="s">
        <v>83</v>
      </c>
      <c r="F2472" s="6" t="s">
        <v>84</v>
      </c>
      <c r="G2472" s="5" t="s">
        <v>835</v>
      </c>
      <c r="H2472" s="2" t="s">
        <v>3735</v>
      </c>
      <c r="I2472" s="94" t="s">
        <v>7568</v>
      </c>
      <c r="J2472" s="7">
        <v>1</v>
      </c>
      <c r="K2472" s="70"/>
      <c r="L2472" s="9">
        <v>1</v>
      </c>
      <c r="M2472" s="3">
        <v>2062</v>
      </c>
      <c r="N2472" s="6">
        <v>2023</v>
      </c>
      <c r="O2472" s="10">
        <v>45195</v>
      </c>
      <c r="P2472" s="246" t="s">
        <v>7569</v>
      </c>
      <c r="Q2472" s="10">
        <v>45217</v>
      </c>
      <c r="R2472" s="6">
        <v>2020</v>
      </c>
      <c r="S2472" s="3" t="s">
        <v>283</v>
      </c>
      <c r="T2472" s="239"/>
      <c r="U2472" s="73"/>
      <c r="W2472" s="175"/>
      <c r="X2472" s="10"/>
      <c r="Y2472" s="10"/>
      <c r="Z2472" s="75"/>
      <c r="AA2472" s="76"/>
      <c r="AB2472" s="10"/>
      <c r="AC2472" s="7"/>
      <c r="AD2472" s="7"/>
      <c r="AI2472" s="7"/>
      <c r="AJ2472" s="226"/>
      <c r="AK2472" s="7"/>
      <c r="AL2472" s="5"/>
      <c r="AS2472" s="84"/>
      <c r="AU2472" s="5"/>
      <c r="AV2472" s="111"/>
    </row>
    <row r="2473" ht="45" hidden="1" customHeight="1">
      <c r="A2473" s="69">
        <v>45233</v>
      </c>
      <c r="B2473" s="3" t="s">
        <v>190</v>
      </c>
      <c r="C2473" s="4" t="s">
        <v>7570</v>
      </c>
      <c r="D2473" s="244" t="s">
        <v>7571</v>
      </c>
      <c r="E2473" s="2" t="s">
        <v>83</v>
      </c>
      <c r="F2473" s="6" t="s">
        <v>704</v>
      </c>
      <c r="G2473" s="5" t="s">
        <v>915</v>
      </c>
      <c r="H2473" s="2" t="s">
        <v>288</v>
      </c>
      <c r="I2473" s="94" t="s">
        <v>7572</v>
      </c>
      <c r="J2473" s="7">
        <v>1</v>
      </c>
      <c r="K2473" s="70"/>
      <c r="L2473" s="9">
        <v>1</v>
      </c>
      <c r="M2473" s="3">
        <v>2063</v>
      </c>
      <c r="N2473" s="6">
        <v>2023</v>
      </c>
      <c r="O2473" s="10">
        <v>44684</v>
      </c>
      <c r="P2473" s="246" t="s">
        <v>7573</v>
      </c>
      <c r="Q2473" s="10">
        <v>45231</v>
      </c>
      <c r="R2473" s="6">
        <v>2020</v>
      </c>
      <c r="S2473" s="3" t="s">
        <v>283</v>
      </c>
      <c r="T2473" s="239"/>
      <c r="U2473" s="73"/>
      <c r="W2473" s="175"/>
      <c r="X2473" s="10"/>
      <c r="Y2473" s="10"/>
      <c r="Z2473" s="75"/>
      <c r="AA2473" s="76"/>
      <c r="AB2473" s="10"/>
      <c r="AC2473" s="7"/>
      <c r="AD2473" s="7"/>
      <c r="AI2473" s="7"/>
      <c r="AJ2473" s="226"/>
      <c r="AK2473" s="7"/>
      <c r="AL2473" s="5"/>
      <c r="AS2473" s="84"/>
      <c r="AU2473" s="5"/>
      <c r="AV2473" s="111"/>
    </row>
    <row r="2474" ht="45" hidden="1" customHeight="1">
      <c r="A2474" s="69">
        <v>45233</v>
      </c>
      <c r="B2474" s="3" t="s">
        <v>190</v>
      </c>
      <c r="C2474" s="4" t="s">
        <v>7570</v>
      </c>
      <c r="D2474" s="244" t="s">
        <v>7574</v>
      </c>
      <c r="E2474" s="2" t="s">
        <v>83</v>
      </c>
      <c r="F2474" s="6" t="s">
        <v>704</v>
      </c>
      <c r="G2474" s="5" t="s">
        <v>2629</v>
      </c>
      <c r="H2474" s="2" t="s">
        <v>491</v>
      </c>
      <c r="I2474" s="94" t="s">
        <v>7575</v>
      </c>
      <c r="J2474" s="7">
        <v>1</v>
      </c>
      <c r="K2474" s="70"/>
      <c r="L2474" s="9">
        <v>1</v>
      </c>
      <c r="M2474" s="3">
        <v>2064</v>
      </c>
      <c r="N2474" s="6">
        <v>2023</v>
      </c>
      <c r="O2474" s="10">
        <v>45208</v>
      </c>
      <c r="P2474" s="246" t="s">
        <v>7576</v>
      </c>
      <c r="Q2474" s="10">
        <v>45231</v>
      </c>
      <c r="R2474" s="6">
        <v>2020</v>
      </c>
      <c r="S2474" s="3" t="s">
        <v>283</v>
      </c>
      <c r="T2474" s="239"/>
      <c r="U2474" s="73"/>
      <c r="W2474" s="175"/>
      <c r="X2474" s="10"/>
      <c r="Y2474" s="10"/>
      <c r="Z2474" s="75"/>
      <c r="AA2474" s="76"/>
      <c r="AB2474" s="10"/>
      <c r="AC2474" s="7"/>
      <c r="AD2474" s="7"/>
      <c r="AI2474" s="7"/>
      <c r="AJ2474" s="226"/>
      <c r="AK2474" s="7"/>
      <c r="AL2474" s="5"/>
      <c r="AS2474" s="84"/>
      <c r="AU2474" s="5"/>
      <c r="AV2474" s="111"/>
    </row>
    <row r="2475" ht="45" hidden="1" customHeight="1">
      <c r="A2475" s="69">
        <v>45239</v>
      </c>
      <c r="B2475" s="3" t="s">
        <v>190</v>
      </c>
      <c r="C2475" s="4" t="s">
        <v>7577</v>
      </c>
      <c r="D2475" s="244" t="s">
        <v>7578</v>
      </c>
      <c r="E2475" s="2" t="s">
        <v>83</v>
      </c>
      <c r="F2475" s="6" t="s">
        <v>704</v>
      </c>
      <c r="G2475" s="5" t="s">
        <v>705</v>
      </c>
      <c r="H2475" s="2" t="s">
        <v>57</v>
      </c>
      <c r="I2475" s="94" t="s">
        <v>7579</v>
      </c>
      <c r="J2475" s="7">
        <v>1</v>
      </c>
      <c r="K2475" s="70"/>
      <c r="L2475" s="9">
        <v>1</v>
      </c>
      <c r="M2475" s="3">
        <v>2065</v>
      </c>
      <c r="N2475" s="6">
        <v>2023</v>
      </c>
      <c r="O2475" s="10">
        <v>44454</v>
      </c>
      <c r="P2475" s="246" t="s">
        <v>7580</v>
      </c>
      <c r="Q2475" s="10">
        <v>45239</v>
      </c>
      <c r="R2475" s="6">
        <v>2020</v>
      </c>
      <c r="S2475" s="3" t="s">
        <v>283</v>
      </c>
      <c r="T2475" s="239"/>
      <c r="U2475" s="73"/>
      <c r="W2475" s="175"/>
      <c r="X2475" s="10"/>
      <c r="Y2475" s="10"/>
      <c r="Z2475" s="75"/>
      <c r="AA2475" s="76"/>
      <c r="AB2475" s="10"/>
      <c r="AC2475" s="7"/>
      <c r="AD2475" s="7"/>
      <c r="AI2475" s="7"/>
      <c r="AJ2475" s="226"/>
      <c r="AK2475" s="7"/>
      <c r="AL2475" s="5"/>
      <c r="AS2475" s="84"/>
      <c r="AU2475" s="5"/>
      <c r="AV2475" s="111"/>
    </row>
    <row r="2476" ht="45" hidden="1" customHeight="1">
      <c r="A2476" s="69">
        <v>45253</v>
      </c>
      <c r="B2476" s="3" t="s">
        <v>190</v>
      </c>
      <c r="C2476" s="4" t="s">
        <v>7581</v>
      </c>
      <c r="D2476" s="244" t="s">
        <v>7582</v>
      </c>
      <c r="E2476" s="2" t="s">
        <v>48</v>
      </c>
      <c r="F2476" s="6" t="s">
        <v>49</v>
      </c>
      <c r="G2476" s="5" t="s">
        <v>468</v>
      </c>
      <c r="H2476" s="2" t="s">
        <v>501</v>
      </c>
      <c r="I2476" s="94" t="s">
        <v>7583</v>
      </c>
      <c r="J2476" s="7">
        <v>1</v>
      </c>
      <c r="K2476" s="70"/>
      <c r="L2476" s="9">
        <v>1</v>
      </c>
      <c r="M2476" s="3">
        <v>2066</v>
      </c>
      <c r="N2476" s="6">
        <v>2023</v>
      </c>
      <c r="O2476" s="10">
        <v>45169</v>
      </c>
      <c r="P2476" s="246" t="s">
        <v>7584</v>
      </c>
      <c r="Q2476" s="10">
        <v>45252</v>
      </c>
      <c r="R2476" s="6">
        <v>2020</v>
      </c>
      <c r="S2476" s="3" t="s">
        <v>283</v>
      </c>
      <c r="T2476" s="239"/>
      <c r="U2476" s="73"/>
      <c r="W2476" s="175"/>
      <c r="X2476" s="10"/>
      <c r="Y2476" s="10"/>
      <c r="Z2476" s="75"/>
      <c r="AA2476" s="76"/>
      <c r="AB2476" s="10"/>
      <c r="AC2476" s="7"/>
      <c r="AD2476" s="7"/>
      <c r="AI2476" s="7"/>
      <c r="AJ2476" s="226"/>
      <c r="AK2476" s="7"/>
      <c r="AL2476" s="5"/>
      <c r="AS2476" s="84"/>
      <c r="AU2476" s="5"/>
      <c r="AV2476" s="111"/>
    </row>
    <row r="2477" ht="45" hidden="1" customHeight="1">
      <c r="A2477" s="69">
        <v>45253</v>
      </c>
      <c r="B2477" s="3" t="s">
        <v>190</v>
      </c>
      <c r="C2477" s="4" t="s">
        <v>7581</v>
      </c>
      <c r="D2477" s="244" t="s">
        <v>7585</v>
      </c>
      <c r="E2477" s="2" t="s">
        <v>83</v>
      </c>
      <c r="F2477" s="6" t="s">
        <v>704</v>
      </c>
      <c r="G2477" s="5" t="s">
        <v>705</v>
      </c>
      <c r="H2477" s="2" t="s">
        <v>3735</v>
      </c>
      <c r="I2477" s="94" t="s">
        <v>7586</v>
      </c>
      <c r="J2477" s="7">
        <v>1</v>
      </c>
      <c r="K2477" s="70"/>
      <c r="L2477" s="9">
        <v>1</v>
      </c>
      <c r="M2477" s="3">
        <v>2067</v>
      </c>
      <c r="N2477" s="6">
        <v>2023</v>
      </c>
      <c r="O2477" s="10">
        <v>45239</v>
      </c>
      <c r="P2477" s="246" t="s">
        <v>7587</v>
      </c>
      <c r="Q2477" s="10">
        <v>45252</v>
      </c>
      <c r="R2477" s="6">
        <v>2020</v>
      </c>
      <c r="S2477" s="3" t="s">
        <v>283</v>
      </c>
      <c r="T2477" s="239"/>
      <c r="U2477" s="73"/>
      <c r="W2477" s="175"/>
      <c r="X2477" s="10"/>
      <c r="Y2477" s="10"/>
      <c r="Z2477" s="75"/>
      <c r="AA2477" s="76"/>
      <c r="AB2477" s="10"/>
      <c r="AC2477" s="7"/>
      <c r="AD2477" s="7"/>
      <c r="AI2477" s="7"/>
      <c r="AJ2477" s="226"/>
      <c r="AK2477" s="7"/>
      <c r="AL2477" s="5"/>
      <c r="AS2477" s="84"/>
      <c r="AU2477" s="5"/>
      <c r="AV2477" s="111"/>
    </row>
    <row r="2478" ht="45" hidden="1" customHeight="1">
      <c r="A2478" s="69">
        <v>45267</v>
      </c>
      <c r="B2478" s="3" t="s">
        <v>190</v>
      </c>
      <c r="C2478" s="4" t="s">
        <v>7588</v>
      </c>
      <c r="D2478" s="244" t="s">
        <v>7589</v>
      </c>
      <c r="E2478" s="2" t="s">
        <v>83</v>
      </c>
      <c r="F2478" s="6" t="s">
        <v>704</v>
      </c>
      <c r="G2478" s="5" t="s">
        <v>705</v>
      </c>
      <c r="H2478" s="2" t="s">
        <v>57</v>
      </c>
      <c r="I2478" s="94" t="s">
        <v>7590</v>
      </c>
      <c r="J2478" s="7">
        <v>1</v>
      </c>
      <c r="K2478" s="70"/>
      <c r="L2478" s="9">
        <v>1</v>
      </c>
      <c r="M2478" s="3">
        <v>2068</v>
      </c>
      <c r="N2478" s="6">
        <v>2023</v>
      </c>
      <c r="O2478" s="10">
        <v>45139</v>
      </c>
      <c r="P2478" s="246" t="s">
        <v>7591</v>
      </c>
      <c r="Q2478" s="10">
        <v>45261</v>
      </c>
      <c r="R2478" s="6">
        <v>2020</v>
      </c>
      <c r="S2478" s="3" t="s">
        <v>283</v>
      </c>
      <c r="T2478" s="239"/>
      <c r="U2478" s="73"/>
      <c r="W2478" s="175"/>
      <c r="X2478" s="10"/>
      <c r="Y2478" s="10"/>
      <c r="Z2478" s="75"/>
      <c r="AA2478" s="76"/>
      <c r="AB2478" s="10"/>
      <c r="AC2478" s="7"/>
      <c r="AD2478" s="7"/>
      <c r="AI2478" s="7"/>
      <c r="AJ2478" s="226"/>
      <c r="AK2478" s="7"/>
      <c r="AL2478" s="5"/>
      <c r="AS2478" s="84"/>
      <c r="AU2478" s="5"/>
      <c r="AV2478" s="111"/>
    </row>
    <row r="2479" ht="45" hidden="1" customHeight="1">
      <c r="A2479" s="69">
        <v>45268</v>
      </c>
      <c r="B2479" s="3" t="s">
        <v>190</v>
      </c>
      <c r="C2479" s="4" t="s">
        <v>7592</v>
      </c>
      <c r="D2479" s="244" t="s">
        <v>7593</v>
      </c>
      <c r="E2479" s="2" t="s">
        <v>83</v>
      </c>
      <c r="F2479" s="6" t="s">
        <v>704</v>
      </c>
      <c r="G2479" s="5" t="s">
        <v>705</v>
      </c>
      <c r="H2479" s="2" t="s">
        <v>57</v>
      </c>
      <c r="I2479" s="94" t="s">
        <v>7594</v>
      </c>
      <c r="J2479" s="7">
        <v>1</v>
      </c>
      <c r="K2479" s="70"/>
      <c r="L2479" s="9">
        <v>1</v>
      </c>
      <c r="M2479" s="3">
        <v>2069</v>
      </c>
      <c r="N2479" s="6">
        <v>2023</v>
      </c>
      <c r="O2479" s="10">
        <v>44753</v>
      </c>
      <c r="P2479" s="246" t="s">
        <v>7595</v>
      </c>
      <c r="Q2479" s="10">
        <v>45264</v>
      </c>
      <c r="R2479" s="6">
        <v>2020</v>
      </c>
      <c r="S2479" s="3" t="s">
        <v>283</v>
      </c>
      <c r="T2479" s="239"/>
      <c r="U2479" s="73"/>
      <c r="W2479" s="175"/>
      <c r="X2479" s="10"/>
      <c r="Y2479" s="10"/>
      <c r="Z2479" s="75"/>
      <c r="AA2479" s="76"/>
      <c r="AB2479" s="10"/>
      <c r="AC2479" s="7"/>
      <c r="AD2479" s="7"/>
      <c r="AI2479" s="7"/>
      <c r="AJ2479" s="226"/>
      <c r="AK2479" s="7"/>
      <c r="AL2479" s="5"/>
      <c r="AS2479" s="84"/>
      <c r="AU2479" s="5"/>
      <c r="AV2479" s="111"/>
    </row>
    <row r="2480" ht="45" hidden="1" customHeight="1">
      <c r="A2480" s="69">
        <v>45272</v>
      </c>
      <c r="B2480" s="3" t="s">
        <v>190</v>
      </c>
      <c r="C2480" s="177" t="s">
        <v>7596</v>
      </c>
      <c r="D2480" s="244" t="s">
        <v>7597</v>
      </c>
      <c r="E2480" s="2" t="s">
        <v>1074</v>
      </c>
      <c r="F2480" s="6" t="s">
        <v>1075</v>
      </c>
      <c r="G2480" s="5" t="s">
        <v>7598</v>
      </c>
      <c r="H2480" s="2" t="s">
        <v>491</v>
      </c>
      <c r="I2480" s="94" t="s">
        <v>7599</v>
      </c>
      <c r="J2480" s="7">
        <v>1</v>
      </c>
      <c r="K2480" s="70"/>
      <c r="L2480" s="9">
        <v>1</v>
      </c>
      <c r="M2480" s="3">
        <v>2070</v>
      </c>
      <c r="N2480" s="6">
        <v>2023</v>
      </c>
      <c r="O2480" s="10">
        <v>44678</v>
      </c>
      <c r="P2480" s="246" t="s">
        <v>7600</v>
      </c>
      <c r="Q2480" s="10">
        <v>45271</v>
      </c>
      <c r="R2480" s="6">
        <v>2020</v>
      </c>
      <c r="S2480" s="3" t="s">
        <v>283</v>
      </c>
      <c r="T2480" s="239"/>
      <c r="U2480" s="73"/>
      <c r="W2480" s="175"/>
      <c r="X2480" s="10"/>
      <c r="Y2480" s="10"/>
      <c r="Z2480" s="75"/>
      <c r="AA2480" s="76"/>
      <c r="AB2480" s="10"/>
      <c r="AC2480" s="7"/>
      <c r="AD2480" s="7"/>
      <c r="AI2480" s="7"/>
      <c r="AJ2480" s="226"/>
      <c r="AK2480" s="7"/>
      <c r="AL2480" s="5"/>
      <c r="AS2480" s="84"/>
      <c r="AU2480" s="5"/>
      <c r="AV2480" s="111"/>
    </row>
    <row r="2481" ht="45" hidden="1" customHeight="1">
      <c r="A2481" s="69">
        <v>45273</v>
      </c>
      <c r="B2481" s="3" t="s">
        <v>190</v>
      </c>
      <c r="C2481" s="4" t="s">
        <v>7596</v>
      </c>
      <c r="D2481" s="244" t="s">
        <v>7601</v>
      </c>
      <c r="E2481" s="2" t="s">
        <v>63</v>
      </c>
      <c r="F2481" s="6" t="s">
        <v>428</v>
      </c>
      <c r="G2481" s="5" t="s">
        <v>429</v>
      </c>
      <c r="H2481" s="2" t="s">
        <v>3735</v>
      </c>
      <c r="I2481" s="94" t="s">
        <v>7602</v>
      </c>
      <c r="J2481" s="7">
        <v>1</v>
      </c>
      <c r="K2481" s="70"/>
      <c r="L2481" s="9">
        <v>1</v>
      </c>
      <c r="M2481" s="3">
        <v>2071</v>
      </c>
      <c r="N2481" s="6">
        <v>2023</v>
      </c>
      <c r="O2481" s="10">
        <v>44580</v>
      </c>
      <c r="P2481" s="246" t="s">
        <v>7603</v>
      </c>
      <c r="Q2481" s="10">
        <v>45272</v>
      </c>
      <c r="R2481" s="6">
        <v>2020</v>
      </c>
      <c r="S2481" s="3" t="s">
        <v>283</v>
      </c>
      <c r="T2481" s="239"/>
      <c r="U2481" s="73"/>
      <c r="W2481" s="175"/>
      <c r="X2481" s="10"/>
      <c r="Y2481" s="10"/>
      <c r="Z2481" s="75"/>
      <c r="AA2481" s="76"/>
      <c r="AB2481" s="10"/>
      <c r="AC2481" s="7"/>
      <c r="AD2481" s="7"/>
      <c r="AI2481" s="7"/>
      <c r="AJ2481" s="226"/>
      <c r="AK2481" s="7"/>
      <c r="AL2481" s="5"/>
      <c r="AS2481" s="84"/>
      <c r="AU2481" s="5"/>
      <c r="AV2481" s="111"/>
    </row>
    <row r="2482" ht="45" hidden="1" customHeight="1">
      <c r="A2482" s="69">
        <v>45288</v>
      </c>
      <c r="B2482" s="3" t="s">
        <v>47</v>
      </c>
      <c r="C2482" s="4" t="s">
        <v>7604</v>
      </c>
      <c r="D2482" s="120" t="s">
        <v>7605</v>
      </c>
      <c r="E2482" s="2" t="s">
        <v>48</v>
      </c>
      <c r="F2482" s="6" t="s">
        <v>564</v>
      </c>
      <c r="G2482" s="5" t="s">
        <v>7606</v>
      </c>
      <c r="H2482" s="2" t="s">
        <v>57</v>
      </c>
      <c r="I2482" s="94" t="s">
        <v>7607</v>
      </c>
      <c r="J2482" s="7">
        <v>1</v>
      </c>
      <c r="K2482" s="70"/>
      <c r="L2482" s="9">
        <v>1</v>
      </c>
      <c r="M2482" s="3">
        <v>2072</v>
      </c>
      <c r="N2482" s="6">
        <v>2023</v>
      </c>
      <c r="O2482" s="10">
        <v>45091</v>
      </c>
      <c r="P2482" s="246" t="s">
        <v>7608</v>
      </c>
      <c r="Q2482" s="10">
        <v>45278</v>
      </c>
      <c r="R2482" s="6">
        <v>2020</v>
      </c>
      <c r="S2482" s="3" t="s">
        <v>236</v>
      </c>
      <c r="T2482" s="239" t="s">
        <v>1136</v>
      </c>
      <c r="W2482" s="175"/>
      <c r="X2482" s="10" t="s">
        <v>56</v>
      </c>
      <c r="Y2482" s="10" t="s">
        <v>57</v>
      </c>
      <c r="Z2482" s="75"/>
      <c r="AA2482" s="76"/>
      <c r="AB2482" s="10"/>
      <c r="AC2482" s="7"/>
      <c r="AD2482" s="7"/>
      <c r="AI2482" s="7"/>
      <c r="AJ2482" s="10">
        <v>45393</v>
      </c>
      <c r="AK2482" s="7">
        <v>2020</v>
      </c>
      <c r="AL2482" s="16" t="s">
        <v>6435</v>
      </c>
      <c r="AS2482" s="84"/>
      <c r="AU2482" s="5"/>
      <c r="AV2482" s="111"/>
    </row>
    <row r="2483" ht="45" hidden="1" customHeight="1">
      <c r="A2483" s="69">
        <v>45302</v>
      </c>
      <c r="B2483" s="3" t="s">
        <v>190</v>
      </c>
      <c r="C2483" s="4" t="s">
        <v>7609</v>
      </c>
      <c r="D2483" s="244" t="s">
        <v>7610</v>
      </c>
      <c r="E2483" s="2" t="s">
        <v>83</v>
      </c>
      <c r="F2483" s="6" t="s">
        <v>84</v>
      </c>
      <c r="G2483" s="5" t="s">
        <v>981</v>
      </c>
      <c r="H2483" s="2" t="s">
        <v>3735</v>
      </c>
      <c r="I2483" s="94" t="s">
        <v>7611</v>
      </c>
      <c r="J2483" s="7">
        <v>1</v>
      </c>
      <c r="K2483" s="70"/>
      <c r="L2483" s="9">
        <v>1</v>
      </c>
      <c r="M2483" s="3">
        <v>2073</v>
      </c>
      <c r="N2483" s="6">
        <v>2024</v>
      </c>
      <c r="O2483" s="10">
        <v>45267</v>
      </c>
      <c r="P2483" s="246" t="s">
        <v>7612</v>
      </c>
      <c r="Q2483" s="10">
        <v>45301</v>
      </c>
      <c r="R2483" s="6">
        <v>2020</v>
      </c>
      <c r="S2483" s="3" t="s">
        <v>283</v>
      </c>
      <c r="T2483" s="239"/>
      <c r="U2483" s="73"/>
      <c r="W2483" s="175"/>
      <c r="X2483" s="10"/>
      <c r="Y2483" s="10"/>
      <c r="Z2483" s="75"/>
      <c r="AA2483" s="76"/>
      <c r="AB2483" s="10"/>
      <c r="AC2483" s="7"/>
      <c r="AD2483" s="7"/>
      <c r="AI2483" s="7"/>
      <c r="AJ2483" s="226"/>
      <c r="AK2483" s="7"/>
      <c r="AL2483" s="5"/>
      <c r="AS2483" s="84"/>
      <c r="AU2483" s="5"/>
      <c r="AV2483" s="111"/>
    </row>
    <row r="2484" ht="45" hidden="1" customHeight="1">
      <c r="A2484" s="69">
        <v>45307</v>
      </c>
      <c r="B2484" s="3" t="s">
        <v>190</v>
      </c>
      <c r="C2484" s="4" t="s">
        <v>7613</v>
      </c>
      <c r="D2484" s="244" t="s">
        <v>7614</v>
      </c>
      <c r="E2484" s="2" t="s">
        <v>83</v>
      </c>
      <c r="F2484" s="6" t="s">
        <v>704</v>
      </c>
      <c r="G2484" s="5" t="s">
        <v>3402</v>
      </c>
      <c r="H2484" s="2" t="s">
        <v>3735</v>
      </c>
      <c r="I2484" s="94" t="s">
        <v>7615</v>
      </c>
      <c r="J2484" s="7">
        <v>1</v>
      </c>
      <c r="K2484" s="70"/>
      <c r="L2484" s="9">
        <v>1</v>
      </c>
      <c r="M2484" s="3">
        <v>2074</v>
      </c>
      <c r="N2484" s="6">
        <v>2024</v>
      </c>
      <c r="O2484" s="10">
        <v>45146</v>
      </c>
      <c r="P2484" s="246" t="s">
        <v>7616</v>
      </c>
      <c r="Q2484" s="10">
        <v>45307</v>
      </c>
      <c r="R2484" s="6">
        <v>2020</v>
      </c>
      <c r="S2484" s="3" t="s">
        <v>283</v>
      </c>
      <c r="T2484" s="239"/>
      <c r="U2484" s="73"/>
      <c r="W2484" s="175"/>
      <c r="X2484" s="10"/>
      <c r="Y2484" s="10"/>
      <c r="Z2484" s="75"/>
      <c r="AA2484" s="76"/>
      <c r="AB2484" s="10"/>
      <c r="AC2484" s="7"/>
      <c r="AD2484" s="7"/>
      <c r="AI2484" s="7"/>
      <c r="AJ2484" s="226"/>
      <c r="AK2484" s="7"/>
      <c r="AL2484" s="5"/>
      <c r="AS2484" s="84"/>
      <c r="AU2484" s="5"/>
      <c r="AV2484" s="111"/>
    </row>
    <row r="2485" ht="45" hidden="1" customHeight="1">
      <c r="A2485" s="69">
        <v>45310</v>
      </c>
      <c r="B2485" s="3" t="s">
        <v>47</v>
      </c>
      <c r="C2485" s="4" t="s">
        <v>7617</v>
      </c>
      <c r="D2485" s="244" t="s">
        <v>7618</v>
      </c>
      <c r="E2485" s="2" t="s">
        <v>63</v>
      </c>
      <c r="F2485" s="6" t="s">
        <v>172</v>
      </c>
      <c r="G2485" s="5" t="s">
        <v>7619</v>
      </c>
      <c r="H2485" s="2" t="s">
        <v>382</v>
      </c>
      <c r="I2485" s="94" t="s">
        <v>7620</v>
      </c>
      <c r="J2485" s="7">
        <v>1</v>
      </c>
      <c r="K2485" s="70"/>
      <c r="L2485" s="9">
        <v>1</v>
      </c>
      <c r="M2485" s="3">
        <v>2075</v>
      </c>
      <c r="N2485" s="6">
        <v>2024</v>
      </c>
      <c r="O2485" s="10">
        <v>41015</v>
      </c>
      <c r="P2485" s="246" t="s">
        <v>7621</v>
      </c>
      <c r="Q2485" s="10">
        <v>45309</v>
      </c>
      <c r="R2485" s="6">
        <v>2020</v>
      </c>
      <c r="S2485" s="3" t="s">
        <v>236</v>
      </c>
      <c r="T2485" s="239" t="s">
        <v>1136</v>
      </c>
      <c r="W2485" s="175"/>
      <c r="X2485" s="10"/>
      <c r="Y2485" s="10"/>
      <c r="Z2485" s="75"/>
      <c r="AA2485" s="76"/>
      <c r="AB2485" s="10"/>
      <c r="AC2485" s="7"/>
      <c r="AD2485" s="7"/>
      <c r="AI2485" s="7"/>
      <c r="AJ2485" s="10">
        <v>45425</v>
      </c>
      <c r="AK2485" s="7">
        <v>2020</v>
      </c>
      <c r="AL2485" s="16" t="s">
        <v>6435</v>
      </c>
      <c r="AS2485" s="84"/>
      <c r="AU2485" s="5"/>
      <c r="AV2485" s="111"/>
    </row>
    <row r="2486" ht="45" hidden="1" customHeight="1">
      <c r="A2486" s="69">
        <v>45313</v>
      </c>
      <c r="B2486" s="3" t="s">
        <v>190</v>
      </c>
      <c r="C2486" s="4" t="s">
        <v>7622</v>
      </c>
      <c r="D2486" s="244" t="s">
        <v>7623</v>
      </c>
      <c r="E2486" s="2" t="s">
        <v>63</v>
      </c>
      <c r="F2486" s="6" t="s">
        <v>172</v>
      </c>
      <c r="G2486" s="5" t="s">
        <v>791</v>
      </c>
      <c r="H2486" s="2" t="s">
        <v>3735</v>
      </c>
      <c r="I2486" s="94" t="s">
        <v>7624</v>
      </c>
      <c r="J2486" s="7">
        <v>1</v>
      </c>
      <c r="K2486" s="70"/>
      <c r="L2486" s="9">
        <v>1</v>
      </c>
      <c r="M2486" s="3">
        <v>2076</v>
      </c>
      <c r="N2486" s="6">
        <v>2024</v>
      </c>
      <c r="O2486" s="10">
        <v>45181</v>
      </c>
      <c r="P2486" s="246" t="s">
        <v>7625</v>
      </c>
      <c r="Q2486" s="10">
        <v>45313</v>
      </c>
      <c r="R2486" s="6">
        <v>2020</v>
      </c>
      <c r="S2486" s="3" t="s">
        <v>283</v>
      </c>
      <c r="T2486" s="239"/>
      <c r="U2486" s="73"/>
      <c r="W2486" s="175"/>
      <c r="X2486" s="10"/>
      <c r="Y2486" s="10"/>
      <c r="Z2486" s="75"/>
      <c r="AA2486" s="76"/>
      <c r="AB2486" s="10"/>
      <c r="AC2486" s="7"/>
      <c r="AD2486" s="7"/>
      <c r="AI2486" s="7"/>
      <c r="AJ2486" s="226"/>
      <c r="AK2486" s="7"/>
      <c r="AL2486" s="5"/>
      <c r="AS2486" s="84"/>
      <c r="AU2486" s="5"/>
      <c r="AV2486" s="111"/>
    </row>
    <row r="2487" ht="45" hidden="1" customHeight="1">
      <c r="A2487" s="69">
        <v>45313</v>
      </c>
      <c r="B2487" s="3" t="s">
        <v>190</v>
      </c>
      <c r="C2487" s="4" t="s">
        <v>7626</v>
      </c>
      <c r="D2487" s="244" t="s">
        <v>7627</v>
      </c>
      <c r="E2487" s="2" t="s">
        <v>63</v>
      </c>
      <c r="F2487" s="6" t="s">
        <v>172</v>
      </c>
      <c r="G2487" s="5" t="s">
        <v>1268</v>
      </c>
      <c r="H2487" s="2" t="s">
        <v>3735</v>
      </c>
      <c r="I2487" s="94" t="s">
        <v>7628</v>
      </c>
      <c r="J2487" s="7">
        <v>1</v>
      </c>
      <c r="K2487" s="70"/>
      <c r="L2487" s="9">
        <v>1</v>
      </c>
      <c r="M2487" s="3">
        <v>2077</v>
      </c>
      <c r="N2487" s="6">
        <v>2024</v>
      </c>
      <c r="O2487" s="10">
        <v>45142</v>
      </c>
      <c r="P2487" s="246" t="s">
        <v>7629</v>
      </c>
      <c r="Q2487" s="10">
        <v>45313</v>
      </c>
      <c r="R2487" s="6">
        <v>2020</v>
      </c>
      <c r="S2487" s="3" t="s">
        <v>283</v>
      </c>
      <c r="T2487" s="239"/>
      <c r="U2487" s="73"/>
      <c r="W2487" s="175"/>
      <c r="X2487" s="10"/>
      <c r="Y2487" s="10"/>
      <c r="Z2487" s="75"/>
      <c r="AA2487" s="76"/>
      <c r="AB2487" s="10"/>
      <c r="AC2487" s="7"/>
      <c r="AD2487" s="7"/>
      <c r="AI2487" s="7"/>
      <c r="AJ2487" s="226"/>
      <c r="AK2487" s="7"/>
      <c r="AL2487" s="5"/>
      <c r="AS2487" s="84"/>
      <c r="AU2487" s="5"/>
      <c r="AV2487" s="111"/>
    </row>
    <row r="2488" ht="45" hidden="1" customHeight="1">
      <c r="A2488" s="69">
        <v>45313</v>
      </c>
      <c r="B2488" s="3" t="s">
        <v>190</v>
      </c>
      <c r="C2488" s="4" t="s">
        <v>7630</v>
      </c>
      <c r="D2488" s="244" t="s">
        <v>7631</v>
      </c>
      <c r="E2488" s="2" t="s">
        <v>63</v>
      </c>
      <c r="F2488" s="6" t="s">
        <v>172</v>
      </c>
      <c r="G2488" s="5" t="s">
        <v>4689</v>
      </c>
      <c r="H2488" s="2" t="s">
        <v>57</v>
      </c>
      <c r="I2488" s="94" t="s">
        <v>7632</v>
      </c>
      <c r="J2488" s="7">
        <v>1</v>
      </c>
      <c r="K2488" s="70"/>
      <c r="L2488" s="9">
        <v>1</v>
      </c>
      <c r="M2488" s="3">
        <v>2078</v>
      </c>
      <c r="N2488" s="6">
        <v>2024</v>
      </c>
      <c r="O2488" s="10">
        <v>38680</v>
      </c>
      <c r="P2488" s="246" t="s">
        <v>7633</v>
      </c>
      <c r="Q2488" s="10">
        <v>45313</v>
      </c>
      <c r="R2488" s="6">
        <v>2020</v>
      </c>
      <c r="S2488" s="3" t="s">
        <v>283</v>
      </c>
      <c r="T2488" s="239"/>
      <c r="U2488" s="73"/>
      <c r="W2488" s="175"/>
      <c r="X2488" s="10"/>
      <c r="Y2488" s="10"/>
      <c r="Z2488" s="75"/>
      <c r="AA2488" s="76"/>
      <c r="AB2488" s="10"/>
      <c r="AC2488" s="7"/>
      <c r="AD2488" s="7"/>
      <c r="AI2488" s="7"/>
      <c r="AJ2488" s="226"/>
      <c r="AK2488" s="7"/>
      <c r="AL2488" s="5"/>
      <c r="AS2488" s="84"/>
      <c r="AU2488" s="5"/>
      <c r="AV2488" s="111"/>
    </row>
    <row r="2489" ht="45" hidden="1" customHeight="1">
      <c r="A2489" s="69">
        <v>45314</v>
      </c>
      <c r="B2489" s="3" t="s">
        <v>190</v>
      </c>
      <c r="C2489" s="4" t="s">
        <v>7622</v>
      </c>
      <c r="D2489" s="244" t="s">
        <v>7634</v>
      </c>
      <c r="E2489" s="2" t="s">
        <v>63</v>
      </c>
      <c r="F2489" s="6" t="s">
        <v>172</v>
      </c>
      <c r="G2489" s="5" t="s">
        <v>791</v>
      </c>
      <c r="H2489" s="2" t="s">
        <v>3735</v>
      </c>
      <c r="I2489" s="94" t="s">
        <v>7635</v>
      </c>
      <c r="J2489" s="7">
        <v>1</v>
      </c>
      <c r="K2489" s="70"/>
      <c r="L2489" s="9">
        <v>1</v>
      </c>
      <c r="M2489" s="3">
        <v>2079</v>
      </c>
      <c r="N2489" s="6">
        <v>2024</v>
      </c>
      <c r="O2489" s="10">
        <v>43546</v>
      </c>
      <c r="P2489" s="246" t="s">
        <v>7636</v>
      </c>
      <c r="Q2489" s="10">
        <v>45313</v>
      </c>
      <c r="R2489" s="6">
        <v>2020</v>
      </c>
      <c r="S2489" s="3" t="s">
        <v>283</v>
      </c>
      <c r="T2489" s="239"/>
      <c r="U2489" s="73"/>
      <c r="W2489" s="175"/>
      <c r="X2489" s="10"/>
      <c r="Y2489" s="10"/>
      <c r="Z2489" s="75"/>
      <c r="AA2489" s="76"/>
      <c r="AB2489" s="10"/>
      <c r="AC2489" s="7"/>
      <c r="AD2489" s="7"/>
      <c r="AI2489" s="7"/>
      <c r="AJ2489" s="226"/>
      <c r="AK2489" s="7"/>
      <c r="AL2489" s="5"/>
      <c r="AS2489" s="84"/>
      <c r="AU2489" s="5"/>
      <c r="AV2489" s="111"/>
    </row>
    <row r="2490" ht="45" hidden="1" customHeight="1">
      <c r="A2490" s="69">
        <v>45313</v>
      </c>
      <c r="B2490" s="3" t="s">
        <v>190</v>
      </c>
      <c r="C2490" s="4" t="s">
        <v>7637</v>
      </c>
      <c r="D2490" s="244" t="s">
        <v>7638</v>
      </c>
      <c r="E2490" s="2" t="s">
        <v>63</v>
      </c>
      <c r="F2490" s="6" t="s">
        <v>172</v>
      </c>
      <c r="G2490" s="5" t="s">
        <v>7639</v>
      </c>
      <c r="H2490" s="2" t="s">
        <v>68</v>
      </c>
      <c r="I2490" s="94" t="s">
        <v>7640</v>
      </c>
      <c r="J2490" s="7">
        <v>1</v>
      </c>
      <c r="K2490" s="70"/>
      <c r="L2490" s="9">
        <v>1</v>
      </c>
      <c r="M2490" s="3">
        <v>2080</v>
      </c>
      <c r="N2490" s="6">
        <v>2024</v>
      </c>
      <c r="O2490" s="10">
        <v>41360</v>
      </c>
      <c r="P2490" s="246" t="s">
        <v>7641</v>
      </c>
      <c r="Q2490" s="10">
        <v>45313</v>
      </c>
      <c r="R2490" s="6">
        <v>2020</v>
      </c>
      <c r="S2490" s="3" t="s">
        <v>283</v>
      </c>
      <c r="T2490" s="239"/>
      <c r="U2490" s="73"/>
      <c r="W2490" s="175"/>
      <c r="X2490" s="10"/>
      <c r="Y2490" s="10"/>
      <c r="Z2490" s="75"/>
      <c r="AA2490" s="76"/>
      <c r="AB2490" s="10"/>
      <c r="AC2490" s="7"/>
      <c r="AD2490" s="7"/>
      <c r="AI2490" s="7"/>
      <c r="AJ2490" s="226"/>
      <c r="AK2490" s="7"/>
      <c r="AL2490" s="5"/>
      <c r="AS2490" s="84"/>
      <c r="AU2490" s="5"/>
      <c r="AV2490" s="111"/>
    </row>
    <row r="2491" ht="45" hidden="1" customHeight="1">
      <c r="A2491" s="69" t="s">
        <v>7642</v>
      </c>
      <c r="B2491" s="3" t="s">
        <v>190</v>
      </c>
      <c r="C2491" s="4" t="s">
        <v>7643</v>
      </c>
      <c r="D2491" s="244" t="s">
        <v>7644</v>
      </c>
      <c r="E2491" s="2" t="s">
        <v>63</v>
      </c>
      <c r="F2491" s="6" t="s">
        <v>172</v>
      </c>
      <c r="G2491" s="5" t="s">
        <v>173</v>
      </c>
      <c r="H2491" s="2" t="s">
        <v>57</v>
      </c>
      <c r="I2491" s="94" t="s">
        <v>7645</v>
      </c>
      <c r="J2491" s="7">
        <v>1</v>
      </c>
      <c r="K2491" s="70"/>
      <c r="L2491" s="9">
        <v>1</v>
      </c>
      <c r="M2491" s="3">
        <v>2081</v>
      </c>
      <c r="N2491" s="6">
        <v>2024</v>
      </c>
      <c r="O2491" s="10">
        <v>39216</v>
      </c>
      <c r="P2491" s="246" t="s">
        <v>7646</v>
      </c>
      <c r="Q2491" s="10">
        <v>45314</v>
      </c>
      <c r="R2491" s="6">
        <v>2020</v>
      </c>
      <c r="S2491" s="3" t="s">
        <v>283</v>
      </c>
      <c r="T2491" s="239"/>
      <c r="U2491" s="73"/>
      <c r="W2491" s="175"/>
      <c r="X2491" s="10"/>
      <c r="Y2491" s="10"/>
      <c r="Z2491" s="75"/>
      <c r="AA2491" s="76"/>
      <c r="AB2491" s="10"/>
      <c r="AC2491" s="7"/>
      <c r="AD2491" s="7"/>
      <c r="AI2491" s="7"/>
      <c r="AJ2491" s="226"/>
      <c r="AK2491" s="7"/>
      <c r="AL2491" s="5"/>
      <c r="AS2491" s="84"/>
      <c r="AU2491" s="5"/>
      <c r="AV2491" s="111"/>
    </row>
    <row r="2492" ht="45" hidden="1" customHeight="1">
      <c r="A2492" s="69" t="s">
        <v>7642</v>
      </c>
      <c r="B2492" s="3" t="s">
        <v>190</v>
      </c>
      <c r="C2492" s="4" t="s">
        <v>7647</v>
      </c>
      <c r="D2492" s="244" t="s">
        <v>7648</v>
      </c>
      <c r="E2492" s="2" t="s">
        <v>63</v>
      </c>
      <c r="F2492" s="6" t="s">
        <v>172</v>
      </c>
      <c r="G2492" s="5" t="s">
        <v>7649</v>
      </c>
      <c r="H2492" s="2" t="s">
        <v>57</v>
      </c>
      <c r="I2492" s="94" t="s">
        <v>7650</v>
      </c>
      <c r="J2492" s="7">
        <v>1</v>
      </c>
      <c r="K2492" s="70"/>
      <c r="L2492" s="9">
        <v>1</v>
      </c>
      <c r="M2492" s="3">
        <v>2082</v>
      </c>
      <c r="N2492" s="6">
        <v>2024</v>
      </c>
      <c r="O2492" s="10">
        <v>45202</v>
      </c>
      <c r="P2492" s="246" t="s">
        <v>7651</v>
      </c>
      <c r="Q2492" s="10">
        <v>45314</v>
      </c>
      <c r="R2492" s="6">
        <v>2020</v>
      </c>
      <c r="S2492" s="3" t="s">
        <v>283</v>
      </c>
      <c r="T2492" s="239"/>
      <c r="U2492" s="73"/>
      <c r="W2492" s="175"/>
      <c r="X2492" s="10"/>
      <c r="Y2492" s="10"/>
      <c r="Z2492" s="75"/>
      <c r="AA2492" s="76"/>
      <c r="AB2492" s="10"/>
      <c r="AC2492" s="7"/>
      <c r="AD2492" s="7"/>
      <c r="AI2492" s="7"/>
      <c r="AJ2492" s="226"/>
      <c r="AK2492" s="7"/>
      <c r="AL2492" s="5"/>
      <c r="AS2492" s="84"/>
      <c r="AU2492" s="5"/>
      <c r="AV2492" s="111"/>
    </row>
    <row r="2493" ht="45" hidden="1" customHeight="1">
      <c r="A2493" s="69">
        <v>45475</v>
      </c>
      <c r="B2493" s="3" t="s">
        <v>1926</v>
      </c>
      <c r="C2493" s="4" t="s">
        <v>7652</v>
      </c>
      <c r="D2493" s="244" t="s">
        <v>7653</v>
      </c>
      <c r="E2493" s="2" t="s">
        <v>63</v>
      </c>
      <c r="F2493" s="6" t="s">
        <v>1480</v>
      </c>
      <c r="G2493" s="5" t="s">
        <v>7654</v>
      </c>
      <c r="H2493" s="2" t="s">
        <v>181</v>
      </c>
      <c r="I2493" s="94" t="s">
        <v>7655</v>
      </c>
      <c r="J2493" s="7">
        <v>1</v>
      </c>
      <c r="K2493" s="70"/>
      <c r="L2493" s="9">
        <v>1</v>
      </c>
      <c r="M2493" s="3">
        <v>2083</v>
      </c>
      <c r="N2493" s="6">
        <v>2024</v>
      </c>
      <c r="O2493" s="10">
        <v>45251</v>
      </c>
      <c r="P2493" s="246" t="s">
        <v>7656</v>
      </c>
      <c r="Q2493" s="10">
        <v>45317</v>
      </c>
      <c r="R2493" s="6">
        <v>2020</v>
      </c>
      <c r="S2493" s="3" t="s">
        <v>283</v>
      </c>
      <c r="T2493" s="239"/>
      <c r="U2493" s="73"/>
      <c r="W2493" s="175"/>
      <c r="X2493" s="10"/>
      <c r="Y2493" s="10"/>
      <c r="Z2493" s="75"/>
      <c r="AA2493" s="76"/>
      <c r="AB2493" s="10"/>
      <c r="AC2493" s="7"/>
      <c r="AD2493" s="7"/>
      <c r="AI2493" s="7"/>
      <c r="AJ2493" s="226"/>
      <c r="AK2493" s="7"/>
      <c r="AL2493" s="5"/>
      <c r="AS2493" s="84"/>
      <c r="AU2493" s="5"/>
      <c r="AV2493" s="111"/>
    </row>
    <row r="2494" ht="45" hidden="1" customHeight="1">
      <c r="A2494" s="69" t="s">
        <v>7657</v>
      </c>
      <c r="B2494" s="3" t="s">
        <v>190</v>
      </c>
      <c r="C2494" s="4" t="s">
        <v>7658</v>
      </c>
      <c r="D2494" s="244" t="s">
        <v>7659</v>
      </c>
      <c r="E2494" s="2" t="s">
        <v>63</v>
      </c>
      <c r="F2494" s="6" t="s">
        <v>172</v>
      </c>
      <c r="G2494" s="5" t="s">
        <v>173</v>
      </c>
      <c r="H2494" s="2" t="s">
        <v>3735</v>
      </c>
      <c r="I2494" s="94" t="s">
        <v>7660</v>
      </c>
      <c r="J2494" s="7">
        <v>1</v>
      </c>
      <c r="K2494" s="70"/>
      <c r="L2494" s="9">
        <v>1</v>
      </c>
      <c r="M2494" s="3">
        <v>2084</v>
      </c>
      <c r="N2494" s="6">
        <v>2024</v>
      </c>
      <c r="O2494" s="10">
        <v>42396</v>
      </c>
      <c r="P2494" s="246" t="s">
        <v>7661</v>
      </c>
      <c r="Q2494" s="10">
        <v>45317</v>
      </c>
      <c r="R2494" s="6">
        <v>2020</v>
      </c>
      <c r="S2494" s="3" t="s">
        <v>283</v>
      </c>
      <c r="T2494" s="239"/>
      <c r="U2494" s="73"/>
      <c r="W2494" s="175"/>
      <c r="X2494" s="10"/>
      <c r="Y2494" s="10"/>
      <c r="Z2494" s="75"/>
      <c r="AA2494" s="76"/>
      <c r="AB2494" s="10"/>
      <c r="AC2494" s="7"/>
      <c r="AD2494" s="7"/>
      <c r="AI2494" s="7"/>
      <c r="AJ2494" s="226"/>
      <c r="AK2494" s="7"/>
      <c r="AL2494" s="5"/>
      <c r="AS2494" s="84"/>
      <c r="AU2494" s="5"/>
      <c r="AV2494" s="111"/>
    </row>
    <row r="2495" ht="45" hidden="1" customHeight="1">
      <c r="A2495" s="69">
        <v>45341</v>
      </c>
      <c r="B2495" s="3" t="s">
        <v>190</v>
      </c>
      <c r="D2495" s="244" t="s">
        <v>7662</v>
      </c>
      <c r="E2495" s="2" t="s">
        <v>63</v>
      </c>
      <c r="F2495" s="6" t="s">
        <v>172</v>
      </c>
      <c r="G2495" s="5" t="s">
        <v>6588</v>
      </c>
      <c r="H2495" s="2" t="s">
        <v>288</v>
      </c>
      <c r="I2495" s="94" t="s">
        <v>7663</v>
      </c>
      <c r="J2495" s="7">
        <v>1</v>
      </c>
      <c r="K2495" s="70"/>
      <c r="L2495" s="9">
        <v>1</v>
      </c>
      <c r="M2495" s="3">
        <v>2085</v>
      </c>
      <c r="N2495" s="6">
        <v>2024</v>
      </c>
      <c r="O2495" s="10">
        <v>42242</v>
      </c>
      <c r="P2495" s="6" t="s">
        <v>7664</v>
      </c>
      <c r="Q2495" s="10">
        <v>45338</v>
      </c>
      <c r="R2495" s="6">
        <v>2020</v>
      </c>
      <c r="S2495" s="3" t="s">
        <v>283</v>
      </c>
      <c r="T2495" s="239"/>
      <c r="U2495" s="73"/>
      <c r="W2495" s="175"/>
      <c r="X2495" s="10"/>
      <c r="Y2495" s="10"/>
      <c r="Z2495" s="75"/>
      <c r="AA2495" s="76"/>
      <c r="AB2495" s="10"/>
      <c r="AC2495" s="7"/>
      <c r="AD2495" s="7"/>
      <c r="AI2495" s="7"/>
      <c r="AJ2495" s="226"/>
      <c r="AK2495" s="7"/>
      <c r="AL2495" s="5"/>
      <c r="AS2495" s="84"/>
      <c r="AU2495" s="5"/>
      <c r="AV2495" s="111"/>
    </row>
    <row r="2496" ht="45" hidden="1" customHeight="1">
      <c r="A2496" s="69">
        <v>45344</v>
      </c>
      <c r="B2496" s="3" t="s">
        <v>47</v>
      </c>
      <c r="C2496" s="4" t="s">
        <v>7665</v>
      </c>
      <c r="D2496" s="244" t="s">
        <v>7666</v>
      </c>
      <c r="E2496" s="2" t="s">
        <v>63</v>
      </c>
      <c r="F2496" s="6" t="s">
        <v>172</v>
      </c>
      <c r="G2496" s="5" t="s">
        <v>7667</v>
      </c>
      <c r="H2496" s="2" t="s">
        <v>57</v>
      </c>
      <c r="I2496" s="94" t="s">
        <v>7668</v>
      </c>
      <c r="J2496" s="7">
        <v>1</v>
      </c>
      <c r="K2496" s="70"/>
      <c r="L2496" s="9">
        <v>1</v>
      </c>
      <c r="M2496" s="3">
        <v>2086</v>
      </c>
      <c r="N2496" s="6">
        <v>2024</v>
      </c>
      <c r="O2496" s="10">
        <v>45040</v>
      </c>
      <c r="P2496" s="246" t="s">
        <v>7669</v>
      </c>
      <c r="Q2496" s="10">
        <v>45341</v>
      </c>
      <c r="R2496" s="6">
        <v>2020</v>
      </c>
      <c r="S2496" s="3" t="s">
        <v>236</v>
      </c>
      <c r="T2496" s="239" t="s">
        <v>1136</v>
      </c>
      <c r="W2496" s="175"/>
      <c r="X2496" s="10" t="s">
        <v>56</v>
      </c>
      <c r="Y2496" s="10" t="s">
        <v>57</v>
      </c>
      <c r="Z2496" s="75" t="s">
        <v>2228</v>
      </c>
      <c r="AA2496" s="76"/>
      <c r="AB2496" s="10"/>
      <c r="AC2496" s="7"/>
      <c r="AD2496" s="7"/>
      <c r="AI2496" s="7"/>
      <c r="AJ2496" s="10">
        <v>45374</v>
      </c>
      <c r="AK2496" s="7">
        <v>2020</v>
      </c>
      <c r="AL2496" s="16" t="s">
        <v>5286</v>
      </c>
      <c r="AS2496" s="84"/>
      <c r="AU2496" s="5"/>
      <c r="AV2496" s="111"/>
    </row>
    <row r="2497" ht="45" hidden="1" customHeight="1">
      <c r="A2497" s="69">
        <v>45496</v>
      </c>
      <c r="B2497" s="3" t="s">
        <v>1926</v>
      </c>
      <c r="C2497" s="4" t="s">
        <v>7670</v>
      </c>
      <c r="D2497" s="244" t="s">
        <v>7671</v>
      </c>
      <c r="E2497" s="2" t="s">
        <v>1074</v>
      </c>
      <c r="F2497" s="6" t="s">
        <v>1075</v>
      </c>
      <c r="G2497" s="5" t="s">
        <v>3368</v>
      </c>
      <c r="H2497" s="2" t="s">
        <v>288</v>
      </c>
      <c r="I2497" s="94" t="s">
        <v>7672</v>
      </c>
      <c r="J2497" s="7">
        <v>1</v>
      </c>
      <c r="K2497" s="70"/>
      <c r="L2497" s="9">
        <v>1</v>
      </c>
      <c r="M2497" s="3">
        <v>2087</v>
      </c>
      <c r="N2497" s="6">
        <v>2024</v>
      </c>
      <c r="O2497" s="10" t="s">
        <v>7673</v>
      </c>
      <c r="P2497" s="246" t="s">
        <v>7674</v>
      </c>
      <c r="Q2497" s="10">
        <v>45373</v>
      </c>
      <c r="R2497" s="6">
        <v>2020</v>
      </c>
      <c r="S2497" s="3" t="s">
        <v>283</v>
      </c>
      <c r="T2497" s="239"/>
      <c r="U2497" s="73"/>
      <c r="W2497" s="175"/>
      <c r="X2497" s="10"/>
      <c r="Y2497" s="10"/>
      <c r="Z2497" s="75"/>
      <c r="AA2497" s="76"/>
      <c r="AB2497" s="10"/>
      <c r="AC2497" s="7"/>
      <c r="AD2497" s="7"/>
      <c r="AI2497" s="7"/>
      <c r="AJ2497" s="226"/>
      <c r="AK2497" s="7"/>
      <c r="AL2497" s="5"/>
      <c r="AS2497" s="84"/>
      <c r="AU2497" s="5"/>
      <c r="AV2497" s="111"/>
    </row>
    <row r="2498" ht="45" hidden="1" customHeight="1">
      <c r="A2498" s="69">
        <v>45376</v>
      </c>
      <c r="B2498" s="3" t="s">
        <v>190</v>
      </c>
      <c r="C2498" s="4" t="s">
        <v>7675</v>
      </c>
      <c r="D2498" s="244" t="s">
        <v>7676</v>
      </c>
      <c r="E2498" s="2" t="s">
        <v>694</v>
      </c>
      <c r="F2498" s="6" t="s">
        <v>695</v>
      </c>
      <c r="G2498" s="5" t="s">
        <v>696</v>
      </c>
      <c r="H2498" s="2" t="s">
        <v>57</v>
      </c>
      <c r="I2498" s="94" t="s">
        <v>7677</v>
      </c>
      <c r="J2498" s="7">
        <v>1</v>
      </c>
      <c r="K2498" s="70"/>
      <c r="L2498" s="9">
        <v>1</v>
      </c>
      <c r="M2498" s="3">
        <v>2088</v>
      </c>
      <c r="N2498" s="6">
        <v>2024</v>
      </c>
      <c r="O2498" s="10">
        <v>45278</v>
      </c>
      <c r="P2498" s="246" t="s">
        <v>7678</v>
      </c>
      <c r="Q2498" s="10">
        <v>45376</v>
      </c>
      <c r="R2498" s="6">
        <v>2020</v>
      </c>
      <c r="S2498" s="3" t="s">
        <v>283</v>
      </c>
      <c r="T2498" s="239"/>
      <c r="U2498" s="73"/>
      <c r="W2498" s="175"/>
      <c r="X2498" s="10"/>
      <c r="Y2498" s="10"/>
      <c r="Z2498" s="75"/>
      <c r="AA2498" s="76"/>
      <c r="AB2498" s="10"/>
      <c r="AC2498" s="7"/>
      <c r="AD2498" s="7"/>
      <c r="AI2498" s="7"/>
      <c r="AJ2498" s="226"/>
      <c r="AK2498" s="7"/>
      <c r="AL2498" s="5"/>
      <c r="AS2498" s="84"/>
      <c r="AU2498" s="5"/>
      <c r="AV2498" s="111"/>
    </row>
    <row r="2499" ht="45" hidden="1" customHeight="1">
      <c r="A2499" s="69">
        <v>45391</v>
      </c>
      <c r="B2499" s="3" t="s">
        <v>190</v>
      </c>
      <c r="C2499" s="4" t="s">
        <v>7679</v>
      </c>
      <c r="D2499" s="244" t="s">
        <v>7680</v>
      </c>
      <c r="E2499" s="2" t="s">
        <v>83</v>
      </c>
      <c r="F2499" s="6" t="s">
        <v>704</v>
      </c>
      <c r="G2499" s="5" t="s">
        <v>2563</v>
      </c>
      <c r="H2499" s="2" t="s">
        <v>68</v>
      </c>
      <c r="I2499" s="94" t="s">
        <v>7681</v>
      </c>
      <c r="J2499" s="7">
        <v>4</v>
      </c>
      <c r="K2499" s="70"/>
      <c r="L2499" s="9">
        <v>1</v>
      </c>
      <c r="M2499" s="3">
        <v>2089</v>
      </c>
      <c r="N2499" s="6">
        <v>2024</v>
      </c>
      <c r="O2499" s="10">
        <v>45362</v>
      </c>
      <c r="P2499" s="246" t="s">
        <v>7682</v>
      </c>
      <c r="Q2499" s="10">
        <v>45392</v>
      </c>
      <c r="R2499" s="6">
        <v>2020</v>
      </c>
      <c r="S2499" s="3" t="s">
        <v>283</v>
      </c>
      <c r="T2499" s="239"/>
      <c r="U2499" s="73"/>
      <c r="W2499" s="175"/>
      <c r="X2499" s="10"/>
      <c r="Y2499" s="10"/>
      <c r="Z2499" s="75"/>
      <c r="AA2499" s="76"/>
      <c r="AB2499" s="10"/>
      <c r="AC2499" s="7"/>
      <c r="AD2499" s="7"/>
      <c r="AI2499" s="7"/>
      <c r="AJ2499" s="226"/>
      <c r="AK2499" s="7"/>
      <c r="AL2499" s="5"/>
      <c r="AS2499" s="84"/>
      <c r="AU2499" s="5"/>
      <c r="AV2499" s="111"/>
    </row>
    <row r="2500" ht="45" hidden="1" customHeight="1">
      <c r="A2500" s="69">
        <v>45404</v>
      </c>
      <c r="B2500" s="3" t="s">
        <v>190</v>
      </c>
      <c r="C2500" s="4" t="s">
        <v>7683</v>
      </c>
      <c r="D2500" s="244" t="s">
        <v>7684</v>
      </c>
      <c r="E2500" s="2" t="s">
        <v>83</v>
      </c>
      <c r="F2500" s="6" t="s">
        <v>704</v>
      </c>
      <c r="G2500" s="5" t="s">
        <v>7685</v>
      </c>
      <c r="H2500" s="2" t="s">
        <v>57</v>
      </c>
      <c r="I2500" s="94" t="s">
        <v>7686</v>
      </c>
      <c r="J2500" s="7">
        <v>1</v>
      </c>
      <c r="K2500" s="70"/>
      <c r="L2500" s="9">
        <v>1</v>
      </c>
      <c r="M2500" s="3">
        <v>2090</v>
      </c>
      <c r="N2500" s="6">
        <v>2024</v>
      </c>
      <c r="O2500" s="10">
        <v>45329</v>
      </c>
      <c r="P2500" s="246" t="s">
        <v>7687</v>
      </c>
      <c r="Q2500" s="10">
        <v>45404</v>
      </c>
      <c r="R2500" s="6">
        <v>2020</v>
      </c>
      <c r="S2500" s="3" t="s">
        <v>283</v>
      </c>
      <c r="T2500" s="239"/>
      <c r="U2500" s="73"/>
      <c r="W2500" s="175"/>
      <c r="X2500" s="10"/>
      <c r="Y2500" s="10"/>
      <c r="Z2500" s="75"/>
      <c r="AA2500" s="76"/>
      <c r="AB2500" s="10"/>
      <c r="AC2500" s="7"/>
      <c r="AD2500" s="7"/>
      <c r="AI2500" s="7"/>
      <c r="AJ2500" s="226"/>
      <c r="AK2500" s="7"/>
      <c r="AL2500" s="5"/>
      <c r="AS2500" s="84"/>
      <c r="AU2500" s="5"/>
      <c r="AV2500" s="111"/>
    </row>
    <row r="2501" ht="45" hidden="1" customHeight="1">
      <c r="A2501" s="69">
        <v>45404</v>
      </c>
      <c r="B2501" s="3" t="s">
        <v>190</v>
      </c>
      <c r="C2501" s="4" t="s">
        <v>7683</v>
      </c>
      <c r="D2501" s="244" t="s">
        <v>7688</v>
      </c>
      <c r="E2501" s="2" t="s">
        <v>83</v>
      </c>
      <c r="F2501" s="6" t="s">
        <v>84</v>
      </c>
      <c r="G2501" s="5" t="s">
        <v>2737</v>
      </c>
      <c r="H2501" s="2" t="s">
        <v>382</v>
      </c>
      <c r="I2501" s="94" t="s">
        <v>7689</v>
      </c>
      <c r="J2501" s="7">
        <v>1</v>
      </c>
      <c r="K2501" s="70"/>
      <c r="L2501" s="9">
        <v>1</v>
      </c>
      <c r="M2501" s="3">
        <v>2091</v>
      </c>
      <c r="N2501" s="6">
        <v>2024</v>
      </c>
      <c r="O2501" s="10">
        <v>44823</v>
      </c>
      <c r="P2501" s="246" t="s">
        <v>7690</v>
      </c>
      <c r="Q2501" s="10">
        <v>45404</v>
      </c>
      <c r="R2501" s="6">
        <v>2020</v>
      </c>
      <c r="S2501" s="3" t="s">
        <v>283</v>
      </c>
      <c r="T2501" s="239"/>
      <c r="U2501" s="73"/>
      <c r="W2501" s="175"/>
      <c r="X2501" s="10"/>
      <c r="Y2501" s="10"/>
      <c r="Z2501" s="75"/>
      <c r="AA2501" s="76"/>
      <c r="AB2501" s="10"/>
      <c r="AC2501" s="7"/>
      <c r="AD2501" s="7"/>
      <c r="AI2501" s="7"/>
      <c r="AJ2501" s="226"/>
      <c r="AK2501" s="7"/>
      <c r="AL2501" s="5"/>
      <c r="AS2501" s="84"/>
      <c r="AU2501" s="5"/>
      <c r="AV2501" s="111"/>
    </row>
    <row r="2502" ht="45" hidden="1" customHeight="1">
      <c r="A2502" s="69">
        <v>45411</v>
      </c>
      <c r="B2502" s="3" t="s">
        <v>190</v>
      </c>
      <c r="C2502" s="4" t="s">
        <v>7691</v>
      </c>
      <c r="D2502" s="244" t="s">
        <v>7692</v>
      </c>
      <c r="E2502" s="2" t="s">
        <v>63</v>
      </c>
      <c r="F2502" s="6" t="s">
        <v>1230</v>
      </c>
      <c r="G2502" s="5" t="s">
        <v>7693</v>
      </c>
      <c r="H2502" s="2" t="s">
        <v>57</v>
      </c>
      <c r="I2502" s="94" t="s">
        <v>7694</v>
      </c>
      <c r="J2502" s="7">
        <v>1</v>
      </c>
      <c r="K2502" s="70"/>
      <c r="L2502" s="9">
        <v>1</v>
      </c>
      <c r="M2502" s="3">
        <v>2092</v>
      </c>
      <c r="N2502" s="6">
        <v>2024</v>
      </c>
      <c r="O2502" s="10">
        <v>45370</v>
      </c>
      <c r="P2502" s="246" t="s">
        <v>6636</v>
      </c>
      <c r="Q2502" s="10">
        <v>45406</v>
      </c>
      <c r="R2502" s="6">
        <v>2020</v>
      </c>
      <c r="S2502" s="3" t="s">
        <v>283</v>
      </c>
      <c r="T2502" s="239"/>
      <c r="U2502" s="73"/>
      <c r="W2502" s="175"/>
      <c r="X2502" s="10"/>
      <c r="Y2502" s="10"/>
      <c r="Z2502" s="75"/>
      <c r="AA2502" s="76"/>
      <c r="AB2502" s="10"/>
      <c r="AC2502" s="7"/>
      <c r="AD2502" s="7"/>
      <c r="AI2502" s="7"/>
      <c r="AJ2502" s="226"/>
      <c r="AK2502" s="7"/>
      <c r="AL2502" s="5"/>
      <c r="AS2502" s="84"/>
      <c r="AU2502" s="5"/>
      <c r="AV2502" s="111"/>
    </row>
    <row r="2503" ht="45" hidden="1" customHeight="1">
      <c r="A2503" s="69">
        <v>45427</v>
      </c>
      <c r="B2503" s="3" t="s">
        <v>190</v>
      </c>
      <c r="C2503" s="4" t="s">
        <v>7695</v>
      </c>
      <c r="D2503" s="244" t="s">
        <v>7696</v>
      </c>
      <c r="E2503" s="2" t="s">
        <v>83</v>
      </c>
      <c r="F2503" s="6" t="s">
        <v>704</v>
      </c>
      <c r="G2503" s="5" t="s">
        <v>705</v>
      </c>
      <c r="H2503" s="2" t="s">
        <v>57</v>
      </c>
      <c r="I2503" s="94" t="s">
        <v>7697</v>
      </c>
      <c r="J2503" s="7">
        <v>1</v>
      </c>
      <c r="K2503" s="70"/>
      <c r="L2503" s="9">
        <v>1</v>
      </c>
      <c r="M2503" s="3">
        <v>2093</v>
      </c>
      <c r="N2503" s="6">
        <v>2024</v>
      </c>
      <c r="O2503" s="10">
        <v>45400</v>
      </c>
      <c r="P2503" s="246" t="s">
        <v>7698</v>
      </c>
      <c r="Q2503" s="10">
        <v>45420</v>
      </c>
      <c r="R2503" s="6">
        <v>2020</v>
      </c>
      <c r="S2503" s="3" t="s">
        <v>283</v>
      </c>
      <c r="T2503" s="239"/>
      <c r="U2503" s="73"/>
      <c r="W2503" s="175"/>
      <c r="X2503" s="10"/>
      <c r="Y2503" s="10"/>
      <c r="Z2503" s="75"/>
      <c r="AA2503" s="76"/>
      <c r="AB2503" s="10"/>
      <c r="AC2503" s="7"/>
      <c r="AD2503" s="7"/>
      <c r="AI2503" s="7"/>
      <c r="AJ2503" s="226"/>
      <c r="AK2503" s="7"/>
      <c r="AL2503" s="5"/>
      <c r="AS2503" s="84"/>
      <c r="AU2503" s="5"/>
      <c r="AV2503" s="111"/>
    </row>
    <row r="2504" ht="45" hidden="1" customHeight="1">
      <c r="A2504" s="69">
        <v>45440</v>
      </c>
      <c r="B2504" s="3" t="s">
        <v>190</v>
      </c>
      <c r="C2504" s="4" t="s">
        <v>7699</v>
      </c>
      <c r="D2504" s="244" t="s">
        <v>7700</v>
      </c>
      <c r="E2504" s="2" t="s">
        <v>63</v>
      </c>
      <c r="F2504" s="6" t="s">
        <v>172</v>
      </c>
      <c r="G2504" s="5" t="s">
        <v>173</v>
      </c>
      <c r="H2504" s="2" t="s">
        <v>57</v>
      </c>
      <c r="I2504" s="94" t="s">
        <v>7701</v>
      </c>
      <c r="J2504" s="7">
        <v>1</v>
      </c>
      <c r="K2504" s="70"/>
      <c r="L2504" s="9">
        <v>1</v>
      </c>
      <c r="M2504" s="3">
        <v>2094</v>
      </c>
      <c r="N2504" s="6">
        <v>2024</v>
      </c>
      <c r="O2504" s="10">
        <v>45372</v>
      </c>
      <c r="P2504" s="246" t="s">
        <v>7702</v>
      </c>
      <c r="Q2504" s="10">
        <v>45434</v>
      </c>
      <c r="R2504" s="6">
        <v>2020</v>
      </c>
      <c r="S2504" s="3" t="s">
        <v>283</v>
      </c>
      <c r="T2504" s="239"/>
      <c r="U2504" s="73"/>
      <c r="W2504" s="175"/>
      <c r="X2504" s="10"/>
      <c r="Y2504" s="10"/>
      <c r="Z2504" s="75"/>
      <c r="AA2504" s="76"/>
      <c r="AB2504" s="10"/>
      <c r="AC2504" s="7"/>
      <c r="AD2504" s="7"/>
      <c r="AI2504" s="7"/>
      <c r="AJ2504" s="226"/>
      <c r="AK2504" s="7"/>
      <c r="AL2504" s="5"/>
      <c r="AS2504" s="84"/>
      <c r="AU2504" s="5"/>
      <c r="AV2504" s="111"/>
    </row>
    <row r="2505" ht="45" hidden="1" customHeight="1">
      <c r="A2505" s="69">
        <v>45441</v>
      </c>
      <c r="B2505" s="3" t="s">
        <v>190</v>
      </c>
      <c r="C2505" s="4" t="s">
        <v>7703</v>
      </c>
      <c r="D2505" s="244" t="s">
        <v>7704</v>
      </c>
      <c r="E2505" s="2" t="s">
        <v>63</v>
      </c>
      <c r="F2505" s="6" t="s">
        <v>428</v>
      </c>
      <c r="G2505" s="5" t="s">
        <v>2082</v>
      </c>
      <c r="H2505" s="2" t="s">
        <v>51</v>
      </c>
      <c r="I2505" s="94" t="s">
        <v>7705</v>
      </c>
      <c r="J2505" s="7">
        <v>1</v>
      </c>
      <c r="K2505" s="70"/>
      <c r="L2505" s="9">
        <v>1</v>
      </c>
      <c r="M2505" s="3">
        <v>2095</v>
      </c>
      <c r="N2505" s="6">
        <v>2024</v>
      </c>
      <c r="O2505" s="10">
        <v>45428</v>
      </c>
      <c r="P2505" s="246" t="s">
        <v>7706</v>
      </c>
      <c r="Q2505" s="10">
        <v>45440</v>
      </c>
      <c r="R2505" s="6">
        <v>2020</v>
      </c>
      <c r="S2505" s="3" t="s">
        <v>283</v>
      </c>
      <c r="T2505" s="239"/>
      <c r="U2505" s="73"/>
      <c r="W2505" s="175"/>
      <c r="X2505" s="10"/>
      <c r="Y2505" s="10"/>
      <c r="Z2505" s="75"/>
      <c r="AA2505" s="76"/>
      <c r="AB2505" s="10"/>
      <c r="AC2505" s="7"/>
      <c r="AD2505" s="7"/>
      <c r="AI2505" s="7"/>
      <c r="AJ2505" s="226"/>
      <c r="AK2505" s="7"/>
      <c r="AL2505" s="5"/>
      <c r="AS2505" s="84"/>
      <c r="AU2505" s="5"/>
      <c r="AV2505" s="111"/>
    </row>
    <row r="2506" ht="45" hidden="1" customHeight="1">
      <c r="A2506" s="69">
        <v>45453</v>
      </c>
      <c r="B2506" s="3" t="s">
        <v>190</v>
      </c>
      <c r="C2506" s="4" t="s">
        <v>7707</v>
      </c>
      <c r="D2506" s="244" t="s">
        <v>7708</v>
      </c>
      <c r="E2506" s="2" t="s">
        <v>83</v>
      </c>
      <c r="F2506" s="6" t="s">
        <v>704</v>
      </c>
      <c r="G2506" s="5" t="s">
        <v>7709</v>
      </c>
      <c r="H2506" s="2" t="s">
        <v>57</v>
      </c>
      <c r="I2506" s="94" t="s">
        <v>7710</v>
      </c>
      <c r="J2506" s="7">
        <v>1</v>
      </c>
      <c r="K2506" s="70"/>
      <c r="L2506" s="9">
        <v>1</v>
      </c>
      <c r="M2506" s="3">
        <v>2096</v>
      </c>
      <c r="N2506" s="6">
        <v>2024</v>
      </c>
      <c r="O2506" s="10">
        <v>45407</v>
      </c>
      <c r="P2506" s="246" t="s">
        <v>7711</v>
      </c>
      <c r="Q2506" s="10">
        <v>45449</v>
      </c>
      <c r="R2506" s="6">
        <v>2020</v>
      </c>
      <c r="S2506" s="3" t="s">
        <v>283</v>
      </c>
      <c r="T2506" s="239"/>
      <c r="U2506" s="73"/>
      <c r="W2506" s="175"/>
      <c r="X2506" s="10"/>
      <c r="Y2506" s="10"/>
      <c r="Z2506" s="75"/>
      <c r="AA2506" s="76"/>
      <c r="AB2506" s="10"/>
      <c r="AC2506" s="7"/>
      <c r="AD2506" s="7"/>
      <c r="AI2506" s="7"/>
      <c r="AJ2506" s="226"/>
      <c r="AK2506" s="7"/>
      <c r="AL2506" s="5"/>
      <c r="AS2506" s="84"/>
      <c r="AU2506" s="5"/>
      <c r="AV2506" s="111"/>
    </row>
    <row r="2507" ht="45" hidden="1" customHeight="1">
      <c r="A2507" s="69">
        <v>45467</v>
      </c>
      <c r="B2507" s="3" t="s">
        <v>190</v>
      </c>
      <c r="C2507" s="4" t="s">
        <v>7712</v>
      </c>
      <c r="D2507" s="5" t="s">
        <v>7713</v>
      </c>
      <c r="E2507" s="2" t="s">
        <v>63</v>
      </c>
      <c r="F2507" s="6" t="s">
        <v>172</v>
      </c>
      <c r="G2507" s="5" t="s">
        <v>173</v>
      </c>
      <c r="H2507" s="2" t="s">
        <v>491</v>
      </c>
      <c r="I2507" s="94" t="s">
        <v>7714</v>
      </c>
      <c r="J2507" s="7">
        <v>1</v>
      </c>
      <c r="K2507" s="70"/>
      <c r="L2507" s="9">
        <v>1</v>
      </c>
      <c r="M2507" s="3">
        <v>2097</v>
      </c>
      <c r="N2507" s="6">
        <v>2024</v>
      </c>
      <c r="O2507" s="10">
        <v>45463</v>
      </c>
      <c r="P2507" s="246" t="s">
        <v>7715</v>
      </c>
      <c r="Q2507" s="10">
        <v>45469</v>
      </c>
      <c r="R2507" s="6">
        <v>2020</v>
      </c>
      <c r="S2507" s="3" t="s">
        <v>283</v>
      </c>
      <c r="T2507" s="239"/>
      <c r="U2507" s="73"/>
      <c r="W2507" s="175"/>
      <c r="X2507" s="10"/>
      <c r="Y2507" s="10"/>
      <c r="Z2507" s="75"/>
      <c r="AA2507" s="76"/>
      <c r="AB2507" s="10"/>
      <c r="AC2507" s="7"/>
      <c r="AD2507" s="7"/>
      <c r="AI2507" s="7"/>
      <c r="AJ2507" s="226"/>
      <c r="AK2507" s="7"/>
      <c r="AL2507" s="5"/>
      <c r="AS2507" s="84"/>
      <c r="AU2507" s="5"/>
      <c r="AV2507" s="111"/>
    </row>
    <row r="2508" ht="45" hidden="1" customHeight="1">
      <c r="A2508" s="69">
        <v>45482</v>
      </c>
      <c r="B2508" s="3" t="s">
        <v>190</v>
      </c>
      <c r="C2508" s="4" t="s">
        <v>7716</v>
      </c>
      <c r="D2508" s="5" t="s">
        <v>7717</v>
      </c>
      <c r="E2508" s="2" t="s">
        <v>63</v>
      </c>
      <c r="F2508" s="6" t="s">
        <v>6816</v>
      </c>
      <c r="G2508" s="5" t="s">
        <v>69</v>
      </c>
      <c r="H2508" s="2" t="s">
        <v>68</v>
      </c>
      <c r="I2508" s="94" t="s">
        <v>7718</v>
      </c>
      <c r="K2508" s="70"/>
      <c r="L2508" s="9">
        <v>1</v>
      </c>
      <c r="M2508" s="3">
        <v>2098</v>
      </c>
      <c r="N2508" s="6">
        <v>2024</v>
      </c>
      <c r="O2508" s="10">
        <v>43356</v>
      </c>
      <c r="P2508" s="246"/>
      <c r="Q2508" s="10">
        <v>45476</v>
      </c>
      <c r="R2508" s="6">
        <v>2020</v>
      </c>
      <c r="S2508" s="3" t="s">
        <v>283</v>
      </c>
      <c r="T2508" s="239"/>
      <c r="U2508" s="73"/>
      <c r="W2508" s="175"/>
      <c r="X2508" s="10"/>
      <c r="Y2508" s="10"/>
      <c r="Z2508" s="75"/>
      <c r="AA2508" s="76"/>
      <c r="AB2508" s="10"/>
      <c r="AC2508" s="7"/>
      <c r="AD2508" s="7"/>
      <c r="AI2508" s="7"/>
      <c r="AJ2508" s="226"/>
      <c r="AK2508" s="7"/>
      <c r="AL2508" s="5"/>
      <c r="AS2508" s="84"/>
      <c r="AU2508" s="5"/>
      <c r="AV2508" s="111"/>
    </row>
    <row r="2509" ht="45" hidden="1" customHeight="1">
      <c r="A2509" s="69">
        <v>45498</v>
      </c>
      <c r="B2509" s="3" t="s">
        <v>190</v>
      </c>
      <c r="C2509" s="4" t="s">
        <v>7719</v>
      </c>
      <c r="D2509" s="5" t="s">
        <v>7720</v>
      </c>
      <c r="E2509" s="2" t="s">
        <v>63</v>
      </c>
      <c r="F2509" s="6" t="s">
        <v>428</v>
      </c>
      <c r="G2509" s="5" t="s">
        <v>2082</v>
      </c>
      <c r="H2509" s="2" t="s">
        <v>57</v>
      </c>
      <c r="I2509" s="94" t="s">
        <v>115</v>
      </c>
      <c r="J2509" s="7">
        <v>1</v>
      </c>
      <c r="K2509" s="70"/>
      <c r="L2509" s="9">
        <v>1</v>
      </c>
      <c r="M2509" s="3">
        <v>2099</v>
      </c>
      <c r="N2509" s="6">
        <v>2024</v>
      </c>
      <c r="O2509" s="10">
        <v>45401</v>
      </c>
      <c r="P2509" s="246" t="s">
        <v>7721</v>
      </c>
      <c r="Q2509" s="10">
        <v>45498</v>
      </c>
      <c r="R2509" s="6">
        <v>2020</v>
      </c>
      <c r="S2509" s="3" t="s">
        <v>283</v>
      </c>
      <c r="T2509" s="239"/>
      <c r="U2509" s="73"/>
      <c r="W2509" s="175"/>
      <c r="X2509" s="10"/>
      <c r="Y2509" s="10"/>
      <c r="Z2509" s="75"/>
      <c r="AA2509" s="76"/>
      <c r="AB2509" s="10"/>
      <c r="AC2509" s="7"/>
      <c r="AD2509" s="7"/>
      <c r="AI2509" s="7"/>
      <c r="AJ2509" s="226"/>
      <c r="AK2509" s="7"/>
      <c r="AL2509" s="5"/>
      <c r="AS2509" s="84"/>
      <c r="AU2509" s="5"/>
      <c r="AV2509" s="111"/>
    </row>
    <row r="2510" ht="45" hidden="1" customHeight="1">
      <c r="A2510" s="69">
        <v>45499</v>
      </c>
      <c r="B2510" s="3" t="s">
        <v>190</v>
      </c>
      <c r="C2510" s="4" t="s">
        <v>7722</v>
      </c>
      <c r="D2510" s="5" t="s">
        <v>7723</v>
      </c>
      <c r="E2510" s="2" t="s">
        <v>83</v>
      </c>
      <c r="F2510" s="6" t="s">
        <v>179</v>
      </c>
      <c r="G2510" s="5" t="s">
        <v>7724</v>
      </c>
      <c r="H2510" s="2" t="s">
        <v>57</v>
      </c>
      <c r="I2510" s="94" t="s">
        <v>7725</v>
      </c>
      <c r="J2510" s="7">
        <v>1</v>
      </c>
      <c r="K2510" s="70"/>
      <c r="L2510" s="9">
        <v>1</v>
      </c>
      <c r="M2510" s="3">
        <v>2100</v>
      </c>
      <c r="N2510" s="6">
        <v>2024</v>
      </c>
      <c r="O2510" s="10">
        <v>40496</v>
      </c>
      <c r="P2510" s="246" t="s">
        <v>7726</v>
      </c>
      <c r="Q2510" s="10">
        <v>45498</v>
      </c>
      <c r="R2510" s="6">
        <v>2020</v>
      </c>
      <c r="S2510" s="3" t="s">
        <v>283</v>
      </c>
      <c r="T2510" s="239"/>
      <c r="U2510" s="73"/>
      <c r="W2510" s="175"/>
      <c r="X2510" s="10"/>
      <c r="Y2510" s="10"/>
      <c r="Z2510" s="75"/>
      <c r="AA2510" s="76"/>
      <c r="AB2510" s="10"/>
      <c r="AC2510" s="7"/>
      <c r="AD2510" s="7"/>
      <c r="AI2510" s="7"/>
      <c r="AJ2510" s="226"/>
      <c r="AK2510" s="7"/>
      <c r="AL2510" s="5"/>
      <c r="AS2510" s="84"/>
      <c r="AU2510" s="5"/>
      <c r="AV2510" s="111"/>
    </row>
    <row r="2511" ht="45" hidden="1" customHeight="1">
      <c r="A2511" s="69">
        <v>45497</v>
      </c>
      <c r="B2511" s="3" t="s">
        <v>190</v>
      </c>
      <c r="C2511" s="4" t="s">
        <v>7727</v>
      </c>
      <c r="D2511" s="5" t="s">
        <v>7728</v>
      </c>
      <c r="E2511" s="2" t="s">
        <v>83</v>
      </c>
      <c r="F2511" s="6" t="s">
        <v>704</v>
      </c>
      <c r="G2511" s="5" t="s">
        <v>996</v>
      </c>
      <c r="H2511" s="2" t="s">
        <v>57</v>
      </c>
      <c r="I2511" s="94" t="s">
        <v>7729</v>
      </c>
      <c r="J2511" s="7">
        <v>1</v>
      </c>
      <c r="K2511" s="70"/>
      <c r="L2511" s="9">
        <v>1</v>
      </c>
      <c r="M2511" s="3">
        <v>2101</v>
      </c>
      <c r="N2511" s="6">
        <v>2024</v>
      </c>
      <c r="O2511" s="10" t="s">
        <v>7730</v>
      </c>
      <c r="P2511" s="246" t="s">
        <v>7731</v>
      </c>
      <c r="Q2511" s="10">
        <v>45511</v>
      </c>
      <c r="R2511" s="6">
        <v>2020</v>
      </c>
      <c r="S2511" s="3" t="s">
        <v>283</v>
      </c>
      <c r="T2511" s="239"/>
      <c r="U2511" s="73"/>
      <c r="W2511" s="175"/>
      <c r="X2511" s="10"/>
      <c r="Y2511" s="10"/>
      <c r="Z2511" s="75"/>
      <c r="AA2511" s="76"/>
      <c r="AB2511" s="10"/>
      <c r="AC2511" s="7"/>
      <c r="AD2511" s="7"/>
      <c r="AI2511" s="7"/>
      <c r="AJ2511" s="226"/>
      <c r="AK2511" s="7"/>
      <c r="AL2511" s="5"/>
      <c r="AS2511" s="84"/>
      <c r="AU2511" s="5"/>
      <c r="AV2511" s="111"/>
    </row>
    <row r="2512" ht="45" hidden="1" customHeight="1">
      <c r="A2512" s="69">
        <v>45512</v>
      </c>
      <c r="B2512" s="3" t="s">
        <v>190</v>
      </c>
      <c r="C2512" s="4" t="s">
        <v>7732</v>
      </c>
      <c r="D2512" s="5" t="s">
        <v>7733</v>
      </c>
      <c r="E2512" s="2" t="s">
        <v>63</v>
      </c>
      <c r="F2512" s="6" t="s">
        <v>83</v>
      </c>
      <c r="G2512" s="5" t="s">
        <v>2448</v>
      </c>
      <c r="H2512" s="2" t="s">
        <v>181</v>
      </c>
      <c r="I2512" s="94" t="s">
        <v>7734</v>
      </c>
      <c r="J2512" s="7">
        <v>1</v>
      </c>
      <c r="K2512" s="70"/>
      <c r="L2512" s="9">
        <v>1</v>
      </c>
      <c r="M2512" s="3">
        <v>2102</v>
      </c>
      <c r="N2512" s="6">
        <v>2024</v>
      </c>
      <c r="O2512" s="10">
        <v>45462</v>
      </c>
      <c r="P2512" s="246" t="s">
        <v>7735</v>
      </c>
      <c r="Q2512" s="10">
        <v>45517</v>
      </c>
      <c r="R2512" s="6">
        <v>2020</v>
      </c>
      <c r="S2512" s="3" t="s">
        <v>283</v>
      </c>
      <c r="T2512" s="239"/>
      <c r="U2512" s="73"/>
      <c r="W2512" s="175"/>
      <c r="X2512" s="10"/>
      <c r="Y2512" s="10"/>
      <c r="Z2512" s="75"/>
      <c r="AA2512" s="76"/>
      <c r="AB2512" s="10"/>
      <c r="AC2512" s="7"/>
      <c r="AD2512" s="7"/>
      <c r="AI2512" s="7"/>
      <c r="AJ2512" s="226"/>
      <c r="AK2512" s="7"/>
      <c r="AL2512" s="5"/>
      <c r="AS2512" s="84"/>
      <c r="AU2512" s="5"/>
      <c r="AV2512" s="111"/>
    </row>
    <row r="2513" ht="45" hidden="1" customHeight="1">
      <c r="A2513" s="69">
        <v>45526</v>
      </c>
      <c r="B2513" s="3" t="s">
        <v>190</v>
      </c>
      <c r="C2513" s="4" t="s">
        <v>7736</v>
      </c>
      <c r="D2513" s="5" t="s">
        <v>7737</v>
      </c>
      <c r="E2513" s="2" t="s">
        <v>63</v>
      </c>
      <c r="F2513" s="6" t="s">
        <v>172</v>
      </c>
      <c r="G2513" s="5" t="s">
        <v>173</v>
      </c>
      <c r="H2513" s="2" t="s">
        <v>491</v>
      </c>
      <c r="I2513" s="94" t="s">
        <v>7738</v>
      </c>
      <c r="J2513" s="7">
        <v>1</v>
      </c>
      <c r="K2513" s="70"/>
      <c r="L2513" s="9">
        <v>1</v>
      </c>
      <c r="M2513" s="3">
        <v>2103</v>
      </c>
      <c r="N2513" s="6">
        <v>2024</v>
      </c>
      <c r="O2513" s="10">
        <v>45517</v>
      </c>
      <c r="P2513" s="246" t="s">
        <v>7739</v>
      </c>
      <c r="Q2513" s="10">
        <v>45527</v>
      </c>
      <c r="R2513" s="6">
        <v>2020</v>
      </c>
      <c r="S2513" s="3" t="s">
        <v>283</v>
      </c>
      <c r="T2513" s="239"/>
      <c r="U2513" s="73"/>
      <c r="W2513" s="175"/>
      <c r="X2513" s="10"/>
      <c r="Y2513" s="10"/>
      <c r="Z2513" s="75"/>
      <c r="AA2513" s="76"/>
      <c r="AB2513" s="10"/>
      <c r="AC2513" s="7"/>
      <c r="AD2513" s="7"/>
      <c r="AI2513" s="7"/>
      <c r="AJ2513" s="226"/>
      <c r="AK2513" s="7"/>
      <c r="AL2513" s="5"/>
      <c r="AS2513" s="84"/>
      <c r="AU2513" s="5"/>
      <c r="AV2513" s="111"/>
    </row>
    <row r="2514" ht="45" hidden="1" customHeight="1">
      <c r="A2514" s="69">
        <v>45519</v>
      </c>
      <c r="B2514" s="3" t="s">
        <v>190</v>
      </c>
      <c r="C2514" s="4" t="s">
        <v>7740</v>
      </c>
      <c r="D2514" s="5" t="s">
        <v>7741</v>
      </c>
      <c r="E2514" s="2" t="s">
        <v>63</v>
      </c>
      <c r="F2514" s="6" t="s">
        <v>172</v>
      </c>
      <c r="G2514" s="5" t="s">
        <v>173</v>
      </c>
      <c r="H2514" s="2" t="s">
        <v>508</v>
      </c>
      <c r="I2514" s="94" t="s">
        <v>7742</v>
      </c>
      <c r="J2514" s="7">
        <v>1</v>
      </c>
      <c r="K2514" s="70"/>
      <c r="L2514" s="9">
        <v>1</v>
      </c>
      <c r="M2514" s="3">
        <v>2104</v>
      </c>
      <c r="N2514" s="6">
        <v>2024</v>
      </c>
      <c r="O2514" s="10">
        <v>45517</v>
      </c>
      <c r="P2514" s="246" t="s">
        <v>7739</v>
      </c>
      <c r="Q2514" s="10">
        <v>45527</v>
      </c>
      <c r="R2514" s="6">
        <v>2020</v>
      </c>
      <c r="S2514" s="3" t="s">
        <v>283</v>
      </c>
      <c r="T2514" s="239"/>
      <c r="U2514" s="73"/>
      <c r="W2514" s="175"/>
      <c r="X2514" s="10"/>
      <c r="Y2514" s="10"/>
      <c r="Z2514" s="75"/>
      <c r="AA2514" s="76"/>
      <c r="AB2514" s="10"/>
      <c r="AC2514" s="7"/>
      <c r="AD2514" s="7"/>
      <c r="AI2514" s="7"/>
      <c r="AJ2514" s="226"/>
      <c r="AK2514" s="7"/>
      <c r="AL2514" s="5"/>
      <c r="AS2514" s="84"/>
      <c r="AU2514" s="5"/>
      <c r="AV2514" s="111"/>
    </row>
    <row r="2515" ht="45" hidden="1" customHeight="1">
      <c r="A2515" s="69">
        <v>45526</v>
      </c>
      <c r="B2515" s="3" t="s">
        <v>190</v>
      </c>
      <c r="C2515" s="4" t="s">
        <v>7743</v>
      </c>
      <c r="D2515" s="5" t="s">
        <v>7744</v>
      </c>
      <c r="E2515" s="2" t="s">
        <v>48</v>
      </c>
      <c r="F2515" s="6" t="s">
        <v>564</v>
      </c>
      <c r="G2515" s="5" t="s">
        <v>7745</v>
      </c>
      <c r="H2515" s="2" t="s">
        <v>491</v>
      </c>
      <c r="I2515" s="94" t="s">
        <v>7746</v>
      </c>
      <c r="J2515" s="7">
        <v>1</v>
      </c>
      <c r="K2515" s="70"/>
      <c r="L2515" s="9">
        <v>1</v>
      </c>
      <c r="M2515" s="3">
        <v>2105</v>
      </c>
      <c r="N2515" s="6">
        <v>2024</v>
      </c>
      <c r="O2515" s="10">
        <v>45112</v>
      </c>
      <c r="P2515" s="246" t="s">
        <v>7747</v>
      </c>
      <c r="Q2515" s="10">
        <v>45531</v>
      </c>
      <c r="R2515" s="6">
        <v>2020</v>
      </c>
      <c r="S2515" s="3" t="s">
        <v>283</v>
      </c>
      <c r="T2515" s="239"/>
      <c r="U2515" s="73"/>
      <c r="W2515" s="175"/>
      <c r="X2515" s="10"/>
      <c r="Y2515" s="10"/>
      <c r="Z2515" s="75"/>
      <c r="AA2515" s="76"/>
      <c r="AB2515" s="10"/>
      <c r="AC2515" s="7"/>
      <c r="AD2515" s="7"/>
      <c r="AI2515" s="7"/>
      <c r="AJ2515" s="226"/>
      <c r="AK2515" s="7"/>
      <c r="AL2515" s="5"/>
      <c r="AS2515" s="84"/>
      <c r="AU2515" s="5"/>
      <c r="AV2515" s="111"/>
    </row>
    <row r="2516" ht="45" hidden="1" customHeight="1">
      <c r="A2516" s="69">
        <v>45531</v>
      </c>
      <c r="B2516" s="3" t="s">
        <v>190</v>
      </c>
      <c r="C2516" s="4" t="s">
        <v>7748</v>
      </c>
      <c r="D2516" s="5" t="s">
        <v>7749</v>
      </c>
      <c r="E2516" s="2" t="s">
        <v>63</v>
      </c>
      <c r="F2516" s="6" t="s">
        <v>354</v>
      </c>
      <c r="G2516" s="5" t="s">
        <v>7750</v>
      </c>
      <c r="H2516" s="2" t="s">
        <v>57</v>
      </c>
      <c r="I2516" s="94" t="s">
        <v>7751</v>
      </c>
      <c r="J2516" s="7">
        <v>1</v>
      </c>
      <c r="K2516" s="70"/>
      <c r="L2516" s="9">
        <v>1</v>
      </c>
      <c r="M2516" s="3">
        <v>2106</v>
      </c>
      <c r="N2516" s="6">
        <v>2024</v>
      </c>
      <c r="O2516" s="10">
        <v>45530</v>
      </c>
      <c r="P2516" s="246" t="s">
        <v>7752</v>
      </c>
      <c r="Q2516" s="10">
        <v>45533</v>
      </c>
      <c r="R2516" s="6">
        <v>2020</v>
      </c>
      <c r="S2516" s="3" t="s">
        <v>283</v>
      </c>
      <c r="T2516" s="239"/>
      <c r="U2516" s="73"/>
      <c r="W2516" s="175"/>
      <c r="X2516" s="10"/>
      <c r="Y2516" s="10"/>
      <c r="Z2516" s="75"/>
      <c r="AA2516" s="76"/>
      <c r="AB2516" s="10"/>
      <c r="AC2516" s="7"/>
      <c r="AD2516" s="7"/>
      <c r="AI2516" s="7"/>
      <c r="AJ2516" s="226"/>
      <c r="AK2516" s="7"/>
      <c r="AL2516" s="5"/>
      <c r="AS2516" s="84"/>
      <c r="AU2516" s="5"/>
      <c r="AV2516" s="111"/>
    </row>
    <row r="2517" ht="45" hidden="1" customHeight="1">
      <c r="A2517" s="69">
        <v>45540</v>
      </c>
      <c r="B2517" s="3" t="s">
        <v>190</v>
      </c>
      <c r="C2517" s="4" t="s">
        <v>7753</v>
      </c>
      <c r="D2517" s="5" t="s">
        <v>7754</v>
      </c>
      <c r="E2517" s="2" t="s">
        <v>83</v>
      </c>
      <c r="F2517" s="6" t="s">
        <v>931</v>
      </c>
      <c r="G2517" s="5" t="s">
        <v>7755</v>
      </c>
      <c r="H2517" s="2" t="s">
        <v>288</v>
      </c>
      <c r="I2517" s="94" t="s">
        <v>7756</v>
      </c>
      <c r="J2517" s="7">
        <v>1</v>
      </c>
      <c r="K2517" s="70"/>
      <c r="L2517" s="9">
        <v>1</v>
      </c>
      <c r="M2517" s="3">
        <v>2107</v>
      </c>
      <c r="N2517" s="6">
        <v>2024</v>
      </c>
      <c r="O2517" s="10">
        <v>45478</v>
      </c>
      <c r="P2517" s="246" t="s">
        <v>7757</v>
      </c>
      <c r="Q2517" s="10" t="s">
        <v>7758</v>
      </c>
      <c r="R2517" s="6">
        <v>2020</v>
      </c>
      <c r="S2517" s="3" t="s">
        <v>283</v>
      </c>
      <c r="T2517" s="239"/>
      <c r="U2517" s="73"/>
      <c r="W2517" s="175"/>
      <c r="X2517" s="10"/>
      <c r="Y2517" s="10"/>
      <c r="Z2517" s="75"/>
      <c r="AA2517" s="76"/>
      <c r="AB2517" s="10"/>
      <c r="AC2517" s="7"/>
      <c r="AD2517" s="7"/>
      <c r="AI2517" s="7"/>
      <c r="AJ2517" s="226"/>
      <c r="AK2517" s="7"/>
      <c r="AL2517" s="5"/>
      <c r="AS2517" s="84"/>
      <c r="AU2517" s="5"/>
      <c r="AV2517" s="111"/>
    </row>
    <row r="2518" ht="45" hidden="1" customHeight="1">
      <c r="A2518" s="69"/>
      <c r="B2518" s="3" t="s">
        <v>190</v>
      </c>
      <c r="C2518" s="4" t="s">
        <v>7753</v>
      </c>
      <c r="D2518" s="5" t="s">
        <v>7759</v>
      </c>
      <c r="E2518" s="2" t="s">
        <v>63</v>
      </c>
      <c r="F2518" s="6" t="s">
        <v>172</v>
      </c>
      <c r="G2518" s="5" t="s">
        <v>173</v>
      </c>
      <c r="H2518" s="2" t="s">
        <v>501</v>
      </c>
      <c r="I2518" s="94" t="s">
        <v>7760</v>
      </c>
      <c r="J2518" s="7">
        <v>1</v>
      </c>
      <c r="K2518" s="70"/>
      <c r="L2518" s="9">
        <v>1</v>
      </c>
      <c r="M2518" s="3">
        <v>2108</v>
      </c>
      <c r="N2518" s="6">
        <v>2024</v>
      </c>
      <c r="O2518" s="10">
        <v>45509</v>
      </c>
      <c r="P2518" s="246" t="s">
        <v>7739</v>
      </c>
      <c r="Q2518" s="10">
        <v>45547</v>
      </c>
      <c r="R2518" s="6">
        <v>2020</v>
      </c>
      <c r="S2518" s="3" t="s">
        <v>283</v>
      </c>
      <c r="T2518" s="239"/>
      <c r="U2518" s="73"/>
      <c r="W2518" s="175"/>
      <c r="X2518" s="10"/>
      <c r="Y2518" s="10"/>
      <c r="Z2518" s="75"/>
      <c r="AA2518" s="76"/>
      <c r="AB2518" s="10"/>
      <c r="AC2518" s="7"/>
      <c r="AD2518" s="7"/>
      <c r="AI2518" s="7"/>
      <c r="AJ2518" s="226"/>
      <c r="AK2518" s="7"/>
      <c r="AL2518" s="5"/>
      <c r="AS2518" s="84"/>
      <c r="AU2518" s="5"/>
      <c r="AV2518" s="111"/>
    </row>
    <row r="2519" ht="45" hidden="1" customHeight="1">
      <c r="A2519" s="69">
        <v>45343</v>
      </c>
      <c r="B2519" s="3" t="s">
        <v>1926</v>
      </c>
      <c r="C2519" s="4" t="s">
        <v>7761</v>
      </c>
      <c r="D2519" s="5" t="s">
        <v>7762</v>
      </c>
      <c r="E2519" s="2" t="s">
        <v>48</v>
      </c>
      <c r="F2519" s="6" t="s">
        <v>564</v>
      </c>
      <c r="G2519" s="5" t="s">
        <v>565</v>
      </c>
      <c r="H2519" s="2" t="s">
        <v>57</v>
      </c>
      <c r="I2519" s="94" t="s">
        <v>7763</v>
      </c>
      <c r="J2519" s="7">
        <v>1</v>
      </c>
      <c r="K2519" s="70"/>
      <c r="L2519" s="9">
        <v>1</v>
      </c>
      <c r="M2519" s="3">
        <v>2109</v>
      </c>
      <c r="N2519" s="6">
        <v>2024</v>
      </c>
      <c r="O2519" s="10">
        <v>45330</v>
      </c>
      <c r="P2519" s="246" t="s">
        <v>7764</v>
      </c>
      <c r="Q2519" s="10">
        <v>45548</v>
      </c>
      <c r="R2519" s="6">
        <v>2020</v>
      </c>
      <c r="S2519" s="3" t="s">
        <v>283</v>
      </c>
      <c r="T2519" s="239"/>
      <c r="U2519" s="73"/>
      <c r="W2519" s="175"/>
      <c r="X2519" s="10"/>
      <c r="Y2519" s="10"/>
      <c r="Z2519" s="75"/>
      <c r="AA2519" s="76"/>
      <c r="AB2519" s="10"/>
      <c r="AC2519" s="7"/>
      <c r="AD2519" s="7"/>
      <c r="AI2519" s="7"/>
      <c r="AJ2519" s="226"/>
      <c r="AK2519" s="7"/>
      <c r="AL2519" s="5"/>
      <c r="AS2519" s="84"/>
      <c r="AU2519" s="5"/>
      <c r="AV2519" s="111"/>
    </row>
    <row r="2520" ht="45" hidden="1" customHeight="1">
      <c r="A2520" s="69">
        <v>45552</v>
      </c>
      <c r="B2520" s="3" t="s">
        <v>190</v>
      </c>
      <c r="C2520" s="4" t="s">
        <v>7765</v>
      </c>
      <c r="D2520" s="5" t="s">
        <v>7766</v>
      </c>
      <c r="E2520" s="2" t="s">
        <v>63</v>
      </c>
      <c r="F2520" s="6" t="s">
        <v>428</v>
      </c>
      <c r="G2520" s="5" t="s">
        <v>7767</v>
      </c>
      <c r="H2520" s="2" t="s">
        <v>57</v>
      </c>
      <c r="I2520" s="94" t="s">
        <v>7768</v>
      </c>
      <c r="J2520" s="7">
        <v>1</v>
      </c>
      <c r="K2520" s="70"/>
      <c r="L2520" s="9">
        <v>1</v>
      </c>
      <c r="M2520" s="3">
        <v>2110</v>
      </c>
      <c r="N2520" s="6">
        <v>2024</v>
      </c>
      <c r="O2520" s="10">
        <v>45465</v>
      </c>
      <c r="P2520" s="246" t="s">
        <v>7769</v>
      </c>
      <c r="Q2520" s="10">
        <v>45558</v>
      </c>
      <c r="R2520" s="6">
        <v>2020</v>
      </c>
      <c r="S2520" s="3" t="s">
        <v>283</v>
      </c>
      <c r="T2520" s="239"/>
      <c r="U2520" s="73"/>
      <c r="W2520" s="175"/>
      <c r="X2520" s="10"/>
      <c r="Y2520" s="10"/>
      <c r="Z2520" s="75"/>
      <c r="AA2520" s="76"/>
      <c r="AB2520" s="10"/>
      <c r="AC2520" s="7"/>
      <c r="AD2520" s="7"/>
      <c r="AI2520" s="7"/>
      <c r="AJ2520" s="226"/>
      <c r="AK2520" s="7"/>
      <c r="AL2520" s="5"/>
      <c r="AS2520" s="84"/>
      <c r="AU2520" s="5"/>
      <c r="AV2520" s="111"/>
    </row>
    <row r="2521" ht="45" hidden="1" customHeight="1">
      <c r="A2521" s="69">
        <v>45553</v>
      </c>
      <c r="B2521" s="3" t="s">
        <v>190</v>
      </c>
      <c r="C2521" s="4" t="s">
        <v>7765</v>
      </c>
      <c r="D2521" s="5" t="s">
        <v>7770</v>
      </c>
      <c r="E2521" s="2" t="s">
        <v>48</v>
      </c>
      <c r="F2521" s="6" t="s">
        <v>140</v>
      </c>
      <c r="G2521" s="5" t="s">
        <v>7771</v>
      </c>
      <c r="H2521" s="2" t="s">
        <v>508</v>
      </c>
      <c r="I2521" s="94" t="s">
        <v>7772</v>
      </c>
      <c r="J2521" s="7">
        <v>1</v>
      </c>
      <c r="K2521" s="70"/>
      <c r="L2521" s="9">
        <v>1</v>
      </c>
      <c r="M2521" s="3">
        <v>2111</v>
      </c>
      <c r="N2521" s="6">
        <v>2024</v>
      </c>
      <c r="O2521" s="10">
        <v>45545</v>
      </c>
      <c r="P2521" s="246" t="s">
        <v>7773</v>
      </c>
      <c r="Q2521" s="10">
        <v>45558</v>
      </c>
      <c r="R2521" s="6">
        <v>2020</v>
      </c>
      <c r="S2521" s="3" t="s">
        <v>283</v>
      </c>
      <c r="T2521" s="239"/>
      <c r="U2521" s="73"/>
      <c r="W2521" s="175"/>
      <c r="X2521" s="10"/>
      <c r="Y2521" s="10"/>
      <c r="Z2521" s="75"/>
      <c r="AA2521" s="76"/>
      <c r="AB2521" s="10"/>
      <c r="AC2521" s="7"/>
      <c r="AD2521" s="7"/>
      <c r="AI2521" s="7"/>
      <c r="AJ2521" s="226"/>
      <c r="AK2521" s="7"/>
      <c r="AL2521" s="5"/>
      <c r="AS2521" s="84"/>
      <c r="AU2521" s="5"/>
      <c r="AV2521" s="111"/>
    </row>
    <row r="2522" ht="45" hidden="1" customHeight="1">
      <c r="A2522" s="69"/>
      <c r="I2522" s="94"/>
      <c r="K2522" s="70"/>
      <c r="P2522" s="246"/>
      <c r="T2522" s="239"/>
      <c r="U2522" s="73"/>
      <c r="W2522" s="175"/>
      <c r="X2522" s="10"/>
      <c r="Y2522" s="10"/>
      <c r="Z2522" s="75"/>
      <c r="AA2522" s="76"/>
      <c r="AB2522" s="10"/>
      <c r="AC2522" s="7"/>
      <c r="AD2522" s="7"/>
      <c r="AI2522" s="7"/>
      <c r="AJ2522" s="226"/>
      <c r="AK2522" s="7"/>
      <c r="AL2522" s="5"/>
      <c r="AS2522" s="84"/>
      <c r="AU2522" s="5"/>
      <c r="AV2522" s="111"/>
    </row>
    <row r="2523" ht="45" hidden="1" customHeight="1">
      <c r="A2523" s="69"/>
      <c r="I2523" s="94"/>
      <c r="K2523" s="70"/>
      <c r="P2523" s="246"/>
      <c r="T2523" s="239"/>
      <c r="U2523" s="73"/>
      <c r="W2523" s="175"/>
      <c r="X2523" s="10"/>
      <c r="Y2523" s="10"/>
      <c r="Z2523" s="75"/>
      <c r="AA2523" s="76"/>
      <c r="AB2523" s="10"/>
      <c r="AC2523" s="7"/>
      <c r="AD2523" s="7"/>
      <c r="AI2523" s="7"/>
      <c r="AJ2523" s="226"/>
      <c r="AK2523" s="7"/>
      <c r="AL2523" s="5"/>
      <c r="AS2523" s="84"/>
      <c r="AU2523" s="5"/>
      <c r="AV2523" s="111"/>
    </row>
    <row r="2524" ht="45" hidden="1" customHeight="1">
      <c r="A2524" s="69"/>
      <c r="I2524" s="94"/>
      <c r="K2524" s="70"/>
      <c r="P2524" s="246"/>
      <c r="T2524" s="239"/>
      <c r="U2524" s="73"/>
      <c r="W2524" s="175"/>
      <c r="X2524" s="10"/>
      <c r="Y2524" s="10"/>
      <c r="Z2524" s="75"/>
      <c r="AA2524" s="76"/>
      <c r="AB2524" s="10"/>
      <c r="AC2524" s="7"/>
      <c r="AD2524" s="7"/>
      <c r="AI2524" s="7"/>
      <c r="AJ2524" s="226"/>
      <c r="AK2524" s="7"/>
      <c r="AL2524" s="5"/>
      <c r="AS2524" s="84"/>
      <c r="AU2524" s="5"/>
      <c r="AV2524" s="111"/>
    </row>
    <row r="2525" ht="45" hidden="1" customHeight="1">
      <c r="A2525" s="69"/>
      <c r="I2525" s="94"/>
      <c r="K2525" s="70"/>
      <c r="P2525" s="246"/>
      <c r="T2525" s="239"/>
      <c r="U2525" s="73"/>
      <c r="W2525" s="175"/>
      <c r="X2525" s="10"/>
      <c r="Y2525" s="10"/>
      <c r="Z2525" s="75"/>
      <c r="AA2525" s="76"/>
      <c r="AB2525" s="10"/>
      <c r="AC2525" s="7"/>
      <c r="AD2525" s="7"/>
      <c r="AI2525" s="7"/>
      <c r="AJ2525" s="226"/>
      <c r="AK2525" s="7"/>
      <c r="AL2525" s="5"/>
      <c r="AS2525" s="84"/>
      <c r="AU2525" s="5"/>
      <c r="AV2525" s="111"/>
    </row>
    <row r="2526" ht="45" hidden="1" customHeight="1">
      <c r="A2526" s="69"/>
      <c r="I2526" s="94"/>
      <c r="K2526" s="70"/>
      <c r="P2526" s="246"/>
      <c r="T2526" s="239"/>
      <c r="U2526" s="73"/>
      <c r="W2526" s="175"/>
      <c r="X2526" s="10"/>
      <c r="Y2526" s="10"/>
      <c r="Z2526" s="75"/>
      <c r="AA2526" s="76"/>
      <c r="AB2526" s="10"/>
      <c r="AC2526" s="7"/>
      <c r="AD2526" s="7"/>
      <c r="AI2526" s="7"/>
      <c r="AJ2526" s="226"/>
      <c r="AK2526" s="7"/>
      <c r="AL2526" s="5"/>
      <c r="AS2526" s="84"/>
      <c r="AU2526" s="5"/>
      <c r="AV2526" s="111"/>
    </row>
    <row r="2527" ht="45" hidden="1" customHeight="1">
      <c r="A2527" s="69"/>
      <c r="D2527" s="85"/>
      <c r="I2527" s="94"/>
      <c r="K2527" s="70"/>
      <c r="P2527" s="246"/>
      <c r="T2527" s="239"/>
      <c r="U2527" s="73"/>
      <c r="W2527" s="175"/>
      <c r="X2527" s="10"/>
      <c r="Y2527" s="10"/>
      <c r="Z2527" s="75"/>
      <c r="AA2527" s="76"/>
      <c r="AB2527" s="10"/>
      <c r="AC2527" s="7"/>
      <c r="AD2527" s="7"/>
      <c r="AI2527" s="7"/>
      <c r="AJ2527" s="226"/>
      <c r="AK2527" s="7"/>
      <c r="AL2527" s="5"/>
      <c r="AS2527" s="84"/>
      <c r="AU2527" s="5"/>
      <c r="AV2527" s="111"/>
    </row>
    <row r="2528" ht="45" hidden="1" customHeight="1">
      <c r="A2528" s="247"/>
      <c r="B2528" s="3" t="s">
        <v>47</v>
      </c>
      <c r="C2528" s="248" t="s">
        <v>7774</v>
      </c>
      <c r="D2528" s="85" t="s">
        <v>3590</v>
      </c>
      <c r="E2528" s="2" t="s">
        <v>694</v>
      </c>
      <c r="F2528" s="6" t="s">
        <v>695</v>
      </c>
      <c r="G2528" s="5" t="s">
        <v>696</v>
      </c>
      <c r="H2528" s="2" t="s">
        <v>51</v>
      </c>
      <c r="I2528" s="3" t="s">
        <v>7775</v>
      </c>
      <c r="J2528" s="6">
        <v>1</v>
      </c>
      <c r="K2528" s="5"/>
      <c r="L2528" s="2"/>
      <c r="M2528" s="3" t="s">
        <v>7776</v>
      </c>
      <c r="N2528" s="249">
        <v>1950</v>
      </c>
      <c r="O2528" s="250">
        <v>1950</v>
      </c>
      <c r="P2528" s="251"/>
      <c r="Q2528" s="250"/>
      <c r="S2528" s="3" t="s">
        <v>939</v>
      </c>
      <c r="T2528" s="6"/>
      <c r="U2528" s="73"/>
      <c r="W2528" s="2" t="s">
        <v>7777</v>
      </c>
      <c r="X2528" s="249" t="s">
        <v>56</v>
      </c>
      <c r="Y2528" s="249" t="s">
        <v>57</v>
      </c>
      <c r="Z2528" s="252" t="s">
        <v>58</v>
      </c>
      <c r="AA2528" s="74" t="s">
        <v>62</v>
      </c>
      <c r="AB2528" s="249" t="s">
        <v>62</v>
      </c>
      <c r="AC2528" s="249" t="s">
        <v>62</v>
      </c>
      <c r="AD2528" s="249" t="s">
        <v>62</v>
      </c>
      <c r="AE2528" s="249" t="s">
        <v>62</v>
      </c>
      <c r="AF2528" s="249" t="s">
        <v>62</v>
      </c>
      <c r="AG2528" s="249"/>
      <c r="AH2528" s="249" t="s">
        <v>62</v>
      </c>
      <c r="AI2528" s="249" t="s">
        <v>62</v>
      </c>
      <c r="AJ2528" s="253"/>
      <c r="AK2528" s="249" t="s">
        <v>62</v>
      </c>
      <c r="AL2528" s="252" t="s">
        <v>62</v>
      </c>
      <c r="AM2528" s="74" t="s">
        <v>62</v>
      </c>
      <c r="AN2528" s="249" t="s">
        <v>62</v>
      </c>
      <c r="AO2528" s="249" t="s">
        <v>62</v>
      </c>
      <c r="AP2528" s="249" t="s">
        <v>62</v>
      </c>
      <c r="AQ2528" s="252" t="s">
        <v>62</v>
      </c>
      <c r="AW2528" s="6">
        <f t="shared" ref="AW2471:AW2533" ca="1" si="41">IF(N2528&lt;&gt;0,(YEAR(TODAY())-N2528),(""))</f>
        <v>75</v>
      </c>
    </row>
    <row r="2529" ht="45" customHeight="1">
      <c r="A2529" s="69"/>
      <c r="B2529" s="3" t="s">
        <v>47</v>
      </c>
      <c r="D2529" s="85"/>
      <c r="E2529" s="2" t="s">
        <v>1074</v>
      </c>
      <c r="F2529" s="6" t="s">
        <v>2092</v>
      </c>
      <c r="G2529" s="5" t="s">
        <v>2099</v>
      </c>
      <c r="H2529" s="2" t="s">
        <v>51</v>
      </c>
      <c r="I2529" s="3" t="s">
        <v>7778</v>
      </c>
      <c r="J2529" s="7">
        <v>1</v>
      </c>
      <c r="K2529" s="70" t="s">
        <v>53</v>
      </c>
      <c r="L2529" s="9">
        <v>1</v>
      </c>
      <c r="M2529" s="3" t="s">
        <v>7779</v>
      </c>
      <c r="N2529" s="6">
        <v>1957</v>
      </c>
      <c r="P2529" s="71"/>
      <c r="R2529" s="6">
        <v>1950</v>
      </c>
      <c r="S2529" s="3" t="s">
        <v>54</v>
      </c>
      <c r="T2529" s="72"/>
      <c r="U2529" s="73"/>
      <c r="W2529" s="2" t="s">
        <v>6598</v>
      </c>
      <c r="X2529" s="10" t="s">
        <v>56</v>
      </c>
      <c r="Y2529" s="10" t="s">
        <v>57</v>
      </c>
      <c r="Z2529" s="75" t="s">
        <v>58</v>
      </c>
      <c r="AA2529" s="76"/>
      <c r="AB2529" s="77">
        <v>27732</v>
      </c>
      <c r="AC2529" s="77">
        <v>27732</v>
      </c>
      <c r="AD2529" s="10"/>
      <c r="AG2529" s="7">
        <v>1975</v>
      </c>
      <c r="AH2529" s="7">
        <v>1970</v>
      </c>
      <c r="AI2529" s="7"/>
      <c r="AJ2529" s="73"/>
      <c r="AK2529" s="7"/>
      <c r="AL2529" s="16"/>
      <c r="AM2529" s="2" t="s">
        <v>59</v>
      </c>
      <c r="AO2529" s="6" t="s">
        <v>59</v>
      </c>
      <c r="AQ2529" s="5" t="s">
        <v>73</v>
      </c>
      <c r="AU2529" s="16" t="s">
        <v>7780</v>
      </c>
      <c r="AW2529" s="6">
        <f t="shared" ca="1" si="41"/>
        <v>68</v>
      </c>
    </row>
    <row r="2530" ht="45" hidden="1" customHeight="1">
      <c r="A2530" s="69"/>
      <c r="B2530" s="3" t="s">
        <v>47</v>
      </c>
      <c r="C2530" s="4" t="s">
        <v>1739</v>
      </c>
      <c r="D2530" s="85"/>
      <c r="E2530" s="2" t="s">
        <v>83</v>
      </c>
      <c r="F2530" s="6" t="s">
        <v>179</v>
      </c>
      <c r="G2530" s="5" t="s">
        <v>2236</v>
      </c>
      <c r="H2530" s="2" t="s">
        <v>51</v>
      </c>
      <c r="I2530" s="96" t="s">
        <v>7781</v>
      </c>
      <c r="J2530" s="7">
        <v>1</v>
      </c>
      <c r="K2530" s="70"/>
      <c r="L2530" s="9">
        <v>1</v>
      </c>
      <c r="M2530" s="3" t="s">
        <v>7782</v>
      </c>
      <c r="N2530" s="6">
        <v>1959</v>
      </c>
      <c r="P2530" s="71"/>
      <c r="R2530" s="6">
        <v>1950</v>
      </c>
      <c r="S2530" s="3" t="s">
        <v>236</v>
      </c>
      <c r="T2530" s="72"/>
      <c r="U2530" s="73"/>
      <c r="W2530" s="175"/>
      <c r="X2530" s="10" t="s">
        <v>56</v>
      </c>
      <c r="Y2530" s="10" t="s">
        <v>57</v>
      </c>
      <c r="Z2530" s="75" t="s">
        <v>58</v>
      </c>
      <c r="AA2530" s="76"/>
      <c r="AB2530" s="77"/>
      <c r="AC2530" s="77"/>
      <c r="AD2530" s="10"/>
      <c r="AI2530" s="7"/>
      <c r="AJ2530" s="95">
        <v>38044</v>
      </c>
      <c r="AK2530" s="7">
        <v>2000</v>
      </c>
      <c r="AL2530" s="16"/>
      <c r="AW2530" s="6">
        <f t="shared" ca="1" si="41"/>
        <v>66</v>
      </c>
    </row>
    <row r="2531" ht="45" hidden="1" customHeight="1" outlineLevel="1">
      <c r="A2531" s="69"/>
      <c r="B2531" s="3" t="s">
        <v>47</v>
      </c>
      <c r="D2531" s="85" t="s">
        <v>7783</v>
      </c>
      <c r="E2531" s="2" t="s">
        <v>63</v>
      </c>
      <c r="F2531" s="6" t="s">
        <v>172</v>
      </c>
      <c r="G2531" s="5" t="s">
        <v>2477</v>
      </c>
      <c r="H2531" s="2" t="s">
        <v>51</v>
      </c>
      <c r="I2531" s="3" t="s">
        <v>7784</v>
      </c>
      <c r="J2531" s="7">
        <v>1</v>
      </c>
      <c r="K2531" s="104"/>
      <c r="L2531" s="9">
        <v>1</v>
      </c>
      <c r="M2531" s="3" t="s">
        <v>7785</v>
      </c>
      <c r="N2531" s="6">
        <v>1962</v>
      </c>
      <c r="P2531" s="71"/>
      <c r="R2531" s="6">
        <v>1960</v>
      </c>
      <c r="S2531" s="3" t="s">
        <v>236</v>
      </c>
      <c r="T2531" s="72"/>
      <c r="U2531" s="10">
        <v>43959</v>
      </c>
      <c r="W2531" s="175"/>
      <c r="X2531" s="10" t="s">
        <v>56</v>
      </c>
      <c r="Y2531" s="10" t="s">
        <v>57</v>
      </c>
      <c r="Z2531" s="75" t="s">
        <v>58</v>
      </c>
      <c r="AA2531" s="76"/>
      <c r="AB2531" s="77"/>
      <c r="AC2531" s="77"/>
      <c r="AD2531" s="6"/>
      <c r="AI2531" s="7"/>
      <c r="AJ2531" s="10">
        <v>43962</v>
      </c>
      <c r="AK2531" s="7">
        <v>2020</v>
      </c>
      <c r="AL2531" s="16"/>
      <c r="AW2531" s="6">
        <f t="shared" ca="1" si="41"/>
        <v>63</v>
      </c>
    </row>
    <row r="2532" ht="45" hidden="1" customHeight="1" outlineLevel="1">
      <c r="A2532" s="69"/>
      <c r="B2532" s="3" t="s">
        <v>47</v>
      </c>
      <c r="C2532" s="4" t="s">
        <v>2959</v>
      </c>
      <c r="D2532" s="85" t="s">
        <v>7786</v>
      </c>
      <c r="E2532" s="2" t="s">
        <v>63</v>
      </c>
      <c r="F2532" s="6" t="s">
        <v>172</v>
      </c>
      <c r="G2532" s="5" t="s">
        <v>2477</v>
      </c>
      <c r="H2532" s="2" t="s">
        <v>51</v>
      </c>
      <c r="I2532" s="3" t="s">
        <v>7787</v>
      </c>
      <c r="J2532" s="7">
        <v>1</v>
      </c>
      <c r="K2532" s="104"/>
      <c r="L2532" s="9">
        <v>1</v>
      </c>
      <c r="M2532" s="3" t="s">
        <v>7788</v>
      </c>
      <c r="N2532" s="6">
        <v>1962</v>
      </c>
      <c r="P2532" s="71"/>
      <c r="R2532" s="6">
        <v>1960</v>
      </c>
      <c r="S2532" s="3" t="s">
        <v>236</v>
      </c>
      <c r="T2532" s="72"/>
      <c r="U2532" s="10">
        <v>43839</v>
      </c>
      <c r="W2532" s="175"/>
      <c r="X2532" s="10" t="s">
        <v>56</v>
      </c>
      <c r="Y2532" s="10" t="s">
        <v>57</v>
      </c>
      <c r="Z2532" s="75" t="s">
        <v>58</v>
      </c>
      <c r="AA2532" s="76"/>
      <c r="AB2532" s="77"/>
      <c r="AC2532" s="77"/>
      <c r="AD2532" s="6"/>
      <c r="AI2532" s="7"/>
      <c r="AJ2532" s="10">
        <v>43845</v>
      </c>
      <c r="AK2532" s="7">
        <v>2020</v>
      </c>
      <c r="AL2532" s="16"/>
      <c r="AW2532" s="6">
        <f t="shared" ca="1" si="41"/>
        <v>63</v>
      </c>
    </row>
    <row r="2533" ht="45" customHeight="1" outlineLevel="1">
      <c r="A2533" s="69"/>
      <c r="B2533" s="3" t="s">
        <v>47</v>
      </c>
      <c r="E2533" s="2" t="s">
        <v>63</v>
      </c>
      <c r="F2533" s="6" t="s">
        <v>172</v>
      </c>
      <c r="G2533" s="5" t="s">
        <v>2477</v>
      </c>
      <c r="H2533" s="2" t="s">
        <v>51</v>
      </c>
      <c r="I2533" s="3" t="s">
        <v>7789</v>
      </c>
      <c r="J2533" s="7">
        <v>1</v>
      </c>
      <c r="K2533" s="70" t="s">
        <v>53</v>
      </c>
      <c r="L2533" s="9">
        <v>1</v>
      </c>
      <c r="M2533" s="3" t="s">
        <v>7790</v>
      </c>
      <c r="N2533" s="6">
        <v>1962</v>
      </c>
      <c r="P2533" s="71"/>
      <c r="R2533" s="6">
        <v>1960</v>
      </c>
      <c r="S2533" s="3" t="s">
        <v>54</v>
      </c>
      <c r="T2533" s="72"/>
      <c r="U2533" s="73"/>
      <c r="W2533" s="2" t="s">
        <v>6611</v>
      </c>
      <c r="X2533" s="10" t="s">
        <v>56</v>
      </c>
      <c r="Y2533" s="10" t="s">
        <v>57</v>
      </c>
      <c r="Z2533" s="75" t="s">
        <v>58</v>
      </c>
      <c r="AA2533" s="76"/>
      <c r="AB2533" s="77">
        <v>30732</v>
      </c>
      <c r="AC2533" s="77">
        <v>30732</v>
      </c>
      <c r="AD2533" s="10"/>
      <c r="AE2533" s="7">
        <v>1983</v>
      </c>
      <c r="AF2533" s="7">
        <v>103</v>
      </c>
      <c r="AG2533" s="7">
        <v>1984</v>
      </c>
      <c r="AH2533" s="7">
        <v>1980</v>
      </c>
      <c r="AI2533" s="7"/>
      <c r="AJ2533" s="73"/>
      <c r="AK2533" s="7"/>
      <c r="AL2533" s="16"/>
      <c r="AM2533" s="2" t="s">
        <v>59</v>
      </c>
      <c r="AW2533" s="6">
        <f t="shared" ca="1" si="41"/>
        <v>63</v>
      </c>
    </row>
    <row r="2534" ht="45" hidden="1" customHeight="1">
      <c r="A2534" s="254" t="s">
        <v>7791</v>
      </c>
      <c r="B2534" s="255"/>
      <c r="C2534" s="256"/>
      <c r="D2534" s="257"/>
      <c r="E2534" s="254"/>
      <c r="F2534" s="255"/>
      <c r="G2534" s="257"/>
      <c r="H2534" s="254"/>
      <c r="I2534" s="255"/>
      <c r="J2534" s="255"/>
      <c r="K2534" s="257"/>
      <c r="L2534" s="254"/>
      <c r="M2534" s="255"/>
      <c r="N2534" s="255"/>
      <c r="O2534" s="258"/>
      <c r="P2534" s="255"/>
      <c r="Q2534" s="258"/>
      <c r="R2534" s="255"/>
      <c r="S2534" s="255"/>
      <c r="T2534" s="255"/>
      <c r="U2534" s="259"/>
      <c r="V2534" s="260"/>
      <c r="W2534" s="254"/>
      <c r="X2534" s="255"/>
      <c r="Y2534" s="255"/>
      <c r="Z2534" s="257"/>
      <c r="AA2534" s="254"/>
      <c r="AB2534" s="255"/>
      <c r="AC2534" s="255"/>
      <c r="AD2534" s="255"/>
      <c r="AE2534" s="261"/>
      <c r="AF2534" s="261"/>
      <c r="AG2534" s="255"/>
      <c r="AH2534" s="255"/>
      <c r="AI2534" s="255"/>
      <c r="AJ2534" s="259"/>
      <c r="AK2534" s="255"/>
      <c r="AL2534" s="257"/>
      <c r="AM2534" s="254"/>
      <c r="AN2534" s="255"/>
      <c r="AO2534" s="255"/>
      <c r="AP2534" s="255"/>
      <c r="AQ2534" s="257"/>
      <c r="AR2534" s="254"/>
      <c r="AS2534" s="255"/>
      <c r="AT2534" s="255"/>
      <c r="AU2534" s="257"/>
      <c r="AV2534" s="262"/>
      <c r="AW2534" s="6"/>
    </row>
    <row r="2535" s="263" customFormat="1" ht="45" hidden="1" customHeight="1">
      <c r="A2535" s="264" t="s">
        <v>7792</v>
      </c>
      <c r="B2535" s="264"/>
      <c r="C2535" s="264"/>
      <c r="D2535" s="265"/>
      <c r="E2535" s="266" t="s">
        <v>4</v>
      </c>
      <c r="F2535" s="267" t="s">
        <v>5</v>
      </c>
      <c r="G2535" s="265"/>
      <c r="H2535" s="266" t="s">
        <v>25</v>
      </c>
      <c r="I2535" s="191"/>
      <c r="J2535" s="268" t="s">
        <v>7793</v>
      </c>
      <c r="K2535" s="269" t="s">
        <v>7794</v>
      </c>
      <c r="L2535" s="264" t="s">
        <v>7795</v>
      </c>
      <c r="M2535" s="191"/>
      <c r="N2535" s="14"/>
      <c r="O2535" s="270"/>
      <c r="P2535" s="271"/>
      <c r="Q2535" s="270"/>
      <c r="R2535" s="14"/>
      <c r="S2535" s="268" t="s">
        <v>18</v>
      </c>
      <c r="T2535" s="268" t="s">
        <v>7796</v>
      </c>
      <c r="U2535" s="272"/>
      <c r="V2535" s="273"/>
      <c r="W2535" s="13"/>
      <c r="X2535" s="267" t="s">
        <v>23</v>
      </c>
      <c r="Y2535" s="268" t="s">
        <v>24</v>
      </c>
      <c r="Z2535" s="269" t="s">
        <v>25</v>
      </c>
      <c r="AA2535" s="13"/>
      <c r="AB2535" s="14"/>
      <c r="AC2535" s="14"/>
      <c r="AD2535" s="14"/>
      <c r="AE2535" s="7"/>
      <c r="AF2535" s="7"/>
      <c r="AG2535" s="268" t="s">
        <v>7797</v>
      </c>
      <c r="AH2535" s="268"/>
      <c r="AI2535" s="268"/>
      <c r="AJ2535" s="274"/>
      <c r="AK2535" s="268"/>
      <c r="AL2535" s="275"/>
      <c r="AM2535" s="264" t="s">
        <v>38</v>
      </c>
      <c r="AN2535" s="264"/>
      <c r="AO2535" s="268" t="s">
        <v>40</v>
      </c>
      <c r="AP2535" s="268"/>
      <c r="AQ2535" s="269" t="s">
        <v>42</v>
      </c>
      <c r="AR2535" s="264" t="s">
        <v>43</v>
      </c>
      <c r="AS2535" s="268" t="s">
        <v>44</v>
      </c>
      <c r="AT2535" s="242"/>
      <c r="AU2535" s="275"/>
      <c r="AV2535" s="276"/>
      <c r="AW2535" s="242"/>
    </row>
    <row r="2536" s="263" customFormat="1" ht="45" customHeight="1">
      <c r="A2536" s="2">
        <f>COUNTIFS($B$2:$B$2533,B2536,$L$2:$L$2533,1)</f>
        <v>1651</v>
      </c>
      <c r="B2536" s="194" t="s">
        <v>47</v>
      </c>
      <c r="C2536" s="4" t="s">
        <v>7798</v>
      </c>
      <c r="D2536" s="265"/>
      <c r="E2536" s="2" t="s">
        <v>1074</v>
      </c>
      <c r="F2536" s="6" t="s">
        <v>7799</v>
      </c>
      <c r="G2536" s="265"/>
      <c r="H2536" s="2" t="s">
        <v>3994</v>
      </c>
      <c r="I2536" s="191"/>
      <c r="J2536" s="7">
        <f>SUBTOTAL(9,J2:J2533)</f>
        <v>1286</v>
      </c>
      <c r="K2536" s="104" t="s">
        <v>53</v>
      </c>
      <c r="L2536" s="9">
        <f>SUBTOTAL(9,L2:L2533)</f>
        <v>902</v>
      </c>
      <c r="M2536" s="191"/>
      <c r="N2536" s="14"/>
      <c r="O2536" s="270"/>
      <c r="P2536" s="271"/>
      <c r="Q2536" s="270"/>
      <c r="R2536" s="14"/>
      <c r="S2536" s="191" t="s">
        <v>283</v>
      </c>
      <c r="T2536" s="191" t="s">
        <v>998</v>
      </c>
      <c r="U2536" s="73"/>
      <c r="V2536" s="12"/>
      <c r="W2536" s="13"/>
      <c r="X2536" s="7" t="s">
        <v>56</v>
      </c>
      <c r="Y2536" s="7" t="s">
        <v>288</v>
      </c>
      <c r="Z2536" s="219" t="s">
        <v>2228</v>
      </c>
      <c r="AA2536" s="13"/>
      <c r="AB2536" s="14"/>
      <c r="AC2536" s="14"/>
      <c r="AD2536" s="14"/>
      <c r="AE2536" s="7"/>
      <c r="AF2536" s="7"/>
      <c r="AG2536" s="7"/>
      <c r="AH2536" s="178" t="s">
        <v>1748</v>
      </c>
      <c r="AI2536" s="178" t="s">
        <v>53</v>
      </c>
      <c r="AJ2536" s="277"/>
      <c r="AK2536" s="178"/>
      <c r="AL2536" s="275"/>
      <c r="AM2536" s="2" t="s">
        <v>53</v>
      </c>
      <c r="AN2536" s="84" t="s">
        <v>7800</v>
      </c>
      <c r="AO2536" s="6" t="s">
        <v>53</v>
      </c>
      <c r="AP2536" s="84" t="s">
        <v>7800</v>
      </c>
      <c r="AQ2536" s="5" t="s">
        <v>73</v>
      </c>
      <c r="AR2536" s="2" t="s">
        <v>73</v>
      </c>
      <c r="AS2536" s="6" t="s">
        <v>73</v>
      </c>
      <c r="AT2536" s="242"/>
      <c r="AU2536" s="275"/>
      <c r="AV2536" s="276"/>
      <c r="AW2536" s="242"/>
    </row>
    <row r="2537" s="263" customFormat="1" ht="45" customHeight="1">
      <c r="A2537" s="2">
        <f>COUNTIFS($B$2:$B$2533,B2537,$L$2:$L$2533,1)</f>
        <v>377</v>
      </c>
      <c r="B2537" s="194" t="s">
        <v>190</v>
      </c>
      <c r="C2537" s="4" t="s">
        <v>7801</v>
      </c>
      <c r="D2537" s="265"/>
      <c r="E2537" s="2" t="s">
        <v>694</v>
      </c>
      <c r="F2537" s="6" t="s">
        <v>3727</v>
      </c>
      <c r="G2537" s="265"/>
      <c r="H2537" s="2" t="s">
        <v>4337</v>
      </c>
      <c r="I2537" s="191"/>
      <c r="J2537" s="7">
        <v>1</v>
      </c>
      <c r="K2537" s="104" t="s">
        <v>1978</v>
      </c>
      <c r="L2537" s="9">
        <v>1</v>
      </c>
      <c r="M2537" s="191"/>
      <c r="N2537" s="14"/>
      <c r="O2537" s="270"/>
      <c r="P2537" s="271"/>
      <c r="Q2537" s="270"/>
      <c r="R2537" s="14"/>
      <c r="S2537" s="191" t="s">
        <v>1980</v>
      </c>
      <c r="T2537" s="191" t="s">
        <v>1136</v>
      </c>
      <c r="U2537" s="73"/>
      <c r="V2537" s="12"/>
      <c r="W2537" s="13"/>
      <c r="X2537" s="7" t="s">
        <v>504</v>
      </c>
      <c r="Y2537" s="7" t="s">
        <v>68</v>
      </c>
      <c r="Z2537" s="219" t="s">
        <v>58</v>
      </c>
      <c r="AA2537" s="13"/>
      <c r="AB2537" s="14"/>
      <c r="AC2537" s="14"/>
      <c r="AD2537" s="14"/>
      <c r="AE2537" s="7"/>
      <c r="AF2537" s="7"/>
      <c r="AG2537" s="178">
        <v>1930</v>
      </c>
      <c r="AH2537" s="278">
        <f>COUNTIFS($AH$2:$AH$2533,AG2537,$K$2:$K$2533,$AH$2536)</f>
        <v>0</v>
      </c>
      <c r="AI2537" s="278">
        <f>COUNTIFS($AH$2:$AH$2533,AG2537,$K$2:$K$2533,$AI$2536)</f>
        <v>279</v>
      </c>
      <c r="AJ2537" s="279"/>
      <c r="AK2537" s="278"/>
      <c r="AL2537" s="275"/>
      <c r="AM2537" s="2" t="s">
        <v>100</v>
      </c>
      <c r="AN2537" s="84" t="s">
        <v>7802</v>
      </c>
      <c r="AO2537" s="6" t="s">
        <v>100</v>
      </c>
      <c r="AP2537" s="84" t="s">
        <v>7802</v>
      </c>
      <c r="AQ2537" s="5" t="s">
        <v>104</v>
      </c>
      <c r="AR2537" s="2" t="s">
        <v>104</v>
      </c>
      <c r="AS2537" s="6" t="s">
        <v>104</v>
      </c>
      <c r="AT2537" s="242"/>
      <c r="AU2537" s="275"/>
      <c r="AV2537" s="276"/>
      <c r="AW2537" s="242"/>
    </row>
    <row r="2538" s="263" customFormat="1" ht="45" customHeight="1">
      <c r="A2538" s="2">
        <f>COUNTIFS($B$2:$B$2533,B2538,$L$2:$L$2533,1)</f>
        <v>58</v>
      </c>
      <c r="B2538" s="194" t="s">
        <v>1926</v>
      </c>
      <c r="C2538" s="4" t="s">
        <v>7803</v>
      </c>
      <c r="D2538" s="265"/>
      <c r="E2538" s="2" t="s">
        <v>63</v>
      </c>
      <c r="F2538" s="6" t="s">
        <v>1230</v>
      </c>
      <c r="G2538" s="265"/>
      <c r="H2538" s="2" t="s">
        <v>382</v>
      </c>
      <c r="I2538" s="191"/>
      <c r="J2538" s="7"/>
      <c r="K2538" s="104" t="s">
        <v>1748</v>
      </c>
      <c r="L2538" s="9"/>
      <c r="M2538" s="191"/>
      <c r="N2538" s="14"/>
      <c r="O2538" s="270"/>
      <c r="P2538" s="271"/>
      <c r="Q2538" s="270"/>
      <c r="R2538" s="14"/>
      <c r="S2538" s="191" t="s">
        <v>1749</v>
      </c>
      <c r="T2538" s="191" t="s">
        <v>3250</v>
      </c>
      <c r="U2538" s="73"/>
      <c r="V2538" s="12"/>
      <c r="W2538" s="13"/>
      <c r="X2538" s="7" t="s">
        <v>4339</v>
      </c>
      <c r="Y2538" s="7" t="s">
        <v>57</v>
      </c>
      <c r="Z2538" s="219" t="s">
        <v>1700</v>
      </c>
      <c r="AA2538" s="13"/>
      <c r="AB2538" s="14"/>
      <c r="AC2538" s="14"/>
      <c r="AD2538" s="14"/>
      <c r="AE2538" s="7"/>
      <c r="AF2538" s="7"/>
      <c r="AG2538" s="178">
        <v>1940</v>
      </c>
      <c r="AH2538" s="278">
        <f>COUNTIFS($AH$2:$AH$2533,AG2538,$K$2:$K$2533,$AH$2536)</f>
        <v>0</v>
      </c>
      <c r="AI2538" s="278">
        <f>COUNTIFS($AH$2:$AH$2533,AG2538,$K$2:$K$2533,$AI$2536)</f>
        <v>188</v>
      </c>
      <c r="AJ2538" s="279"/>
      <c r="AK2538" s="278"/>
      <c r="AL2538" s="275"/>
      <c r="AM2538" s="2" t="s">
        <v>48</v>
      </c>
      <c r="AN2538" s="84" t="s">
        <v>7804</v>
      </c>
      <c r="AO2538" s="6" t="s">
        <v>48</v>
      </c>
      <c r="AP2538" s="84" t="s">
        <v>7804</v>
      </c>
      <c r="AQ2538" s="5"/>
      <c r="AR2538" s="87" t="s">
        <v>7805</v>
      </c>
      <c r="AS2538" s="88"/>
      <c r="AT2538" s="280"/>
      <c r="AU2538" s="281"/>
      <c r="AV2538" s="282"/>
      <c r="AW2538" s="242"/>
    </row>
    <row r="2539" s="263" customFormat="1" ht="45" hidden="1" customHeight="1">
      <c r="A2539" s="2">
        <f>COUNTIFS($B$2:$B$2533,B2539,$L$2:$L$2533,1)</f>
        <v>0</v>
      </c>
      <c r="B2539" s="194" t="s">
        <v>7806</v>
      </c>
      <c r="C2539" s="4" t="s">
        <v>7807</v>
      </c>
      <c r="D2539" s="265"/>
      <c r="E2539" s="2" t="s">
        <v>48</v>
      </c>
      <c r="F2539" s="6" t="s">
        <v>2495</v>
      </c>
      <c r="G2539" s="265"/>
      <c r="H2539" s="2" t="s">
        <v>88</v>
      </c>
      <c r="I2539" s="191"/>
      <c r="J2539" s="7"/>
      <c r="K2539" s="104" t="s">
        <v>127</v>
      </c>
      <c r="L2539" s="9"/>
      <c r="M2539" s="191"/>
      <c r="N2539" s="14"/>
      <c r="O2539" s="10"/>
      <c r="P2539" s="11"/>
      <c r="Q2539" s="10"/>
      <c r="R2539" s="14"/>
      <c r="S2539" s="191" t="s">
        <v>2102</v>
      </c>
      <c r="T2539" s="191"/>
      <c r="U2539" s="73"/>
      <c r="V2539" s="12"/>
      <c r="W2539" s="13"/>
      <c r="X2539" s="7" t="s">
        <v>91</v>
      </c>
      <c r="Y2539" s="7" t="s">
        <v>523</v>
      </c>
      <c r="Z2539" s="219" t="s">
        <v>4498</v>
      </c>
      <c r="AA2539" s="13"/>
      <c r="AB2539" s="14"/>
      <c r="AC2539" s="14"/>
      <c r="AD2539" s="14"/>
      <c r="AE2539" s="7"/>
      <c r="AF2539" s="7"/>
      <c r="AG2539" s="178">
        <v>1950</v>
      </c>
      <c r="AH2539" s="278">
        <f>COUNTIFS($AH$2:$AH$2533,AG2539,$K$2:$K$2533,$AH$2536)</f>
        <v>1</v>
      </c>
      <c r="AI2539" s="278">
        <f>COUNTIFS($AH$2:$AH$2533,AG2539,$K$2:$K$2533,$AI$2536)</f>
        <v>165</v>
      </c>
      <c r="AJ2539" s="279"/>
      <c r="AK2539" s="278"/>
      <c r="AL2539" s="275"/>
      <c r="AM2539" s="2" t="s">
        <v>59</v>
      </c>
      <c r="AN2539" s="84" t="s">
        <v>7808</v>
      </c>
      <c r="AO2539" s="6" t="s">
        <v>59</v>
      </c>
      <c r="AP2539" s="84" t="s">
        <v>7808</v>
      </c>
      <c r="AQ2539" s="275"/>
      <c r="AR2539" s="283"/>
      <c r="AS2539" s="242"/>
      <c r="AT2539" s="242"/>
      <c r="AU2539" s="275"/>
      <c r="AV2539" s="276"/>
      <c r="AW2539" s="242"/>
    </row>
    <row r="2540" s="263" customFormat="1" ht="45" hidden="1" customHeight="1">
      <c r="A2540" s="2">
        <f>COUNTIFS($B$2:$B$2533,B2540,$L$2:$L$2533,1)</f>
        <v>11</v>
      </c>
      <c r="B2540" s="194" t="s">
        <v>1743</v>
      </c>
      <c r="C2540" s="4" t="s">
        <v>7809</v>
      </c>
      <c r="D2540" s="265"/>
      <c r="E2540" s="2" t="s">
        <v>83</v>
      </c>
      <c r="F2540" s="6" t="s">
        <v>1593</v>
      </c>
      <c r="G2540" s="265"/>
      <c r="H2540" s="2" t="s">
        <v>68</v>
      </c>
      <c r="I2540" s="191"/>
      <c r="J2540" s="7"/>
      <c r="K2540" s="8"/>
      <c r="L2540" s="9"/>
      <c r="M2540" s="191"/>
      <c r="N2540" s="14"/>
      <c r="O2540" s="10"/>
      <c r="P2540" s="11"/>
      <c r="Q2540" s="10"/>
      <c r="R2540" s="14"/>
      <c r="S2540" s="191" t="s">
        <v>54</v>
      </c>
      <c r="T2540" s="191"/>
      <c r="U2540" s="73"/>
      <c r="V2540" s="12"/>
      <c r="W2540" s="13"/>
      <c r="X2540" s="7" t="s">
        <v>213</v>
      </c>
      <c r="Y2540" s="6" t="s">
        <v>494</v>
      </c>
      <c r="Z2540" s="219" t="s">
        <v>237</v>
      </c>
      <c r="AA2540" s="13"/>
      <c r="AB2540" s="14"/>
      <c r="AC2540" s="14"/>
      <c r="AD2540" s="14"/>
      <c r="AE2540" s="7"/>
      <c r="AF2540" s="7"/>
      <c r="AG2540" s="178">
        <v>1960</v>
      </c>
      <c r="AH2540" s="278">
        <f>COUNTIFS($AH$2:$AH$2533,AG2540,$K$2:$K$2533,$AH$2536)</f>
        <v>0</v>
      </c>
      <c r="AI2540" s="278">
        <f>COUNTIFS($AH$2:$AH$2533,AG2540,$K$2:$K$2533,$AI$2536)</f>
        <v>152</v>
      </c>
      <c r="AJ2540" s="279"/>
      <c r="AK2540" s="278"/>
      <c r="AL2540" s="275"/>
      <c r="AM2540" s="2" t="s">
        <v>136</v>
      </c>
      <c r="AN2540" s="84" t="s">
        <v>7810</v>
      </c>
      <c r="AO2540" s="6" t="s">
        <v>136</v>
      </c>
      <c r="AP2540" s="84" t="s">
        <v>7810</v>
      </c>
      <c r="AQ2540" s="275"/>
      <c r="AR2540" s="283"/>
      <c r="AS2540" s="242"/>
      <c r="AT2540" s="242"/>
      <c r="AU2540" s="275"/>
      <c r="AV2540" s="276"/>
      <c r="AW2540" s="242"/>
    </row>
    <row r="2541" s="263" customFormat="1" ht="45" hidden="1" customHeight="1">
      <c r="A2541" s="2">
        <f>COUNTIFS($B$2:$B$2533,B2541,$L$2:$L$2533,1)</f>
        <v>0</v>
      </c>
      <c r="B2541" s="72" t="s">
        <v>7811</v>
      </c>
      <c r="C2541" s="116" t="s">
        <v>7812</v>
      </c>
      <c r="D2541" s="265"/>
      <c r="E2541" s="13"/>
      <c r="F2541" s="6" t="s">
        <v>172</v>
      </c>
      <c r="G2541" s="265"/>
      <c r="H2541" s="2" t="s">
        <v>257</v>
      </c>
      <c r="I2541" s="191"/>
      <c r="J2541" s="7"/>
      <c r="K2541" s="8"/>
      <c r="L2541" s="9"/>
      <c r="M2541" s="191"/>
      <c r="N2541" s="14"/>
      <c r="O2541" s="10"/>
      <c r="P2541" s="11"/>
      <c r="Q2541" s="10"/>
      <c r="R2541" s="14"/>
      <c r="S2541" s="191" t="s">
        <v>195</v>
      </c>
      <c r="T2541" s="191"/>
      <c r="U2541" s="73"/>
      <c r="V2541" s="12"/>
      <c r="W2541" s="13"/>
      <c r="X2541" s="7"/>
      <c r="Y2541" s="7" t="s">
        <v>181</v>
      </c>
      <c r="Z2541" s="219" t="s">
        <v>4870</v>
      </c>
      <c r="AA2541" s="13"/>
      <c r="AB2541" s="14"/>
      <c r="AC2541" s="14"/>
      <c r="AD2541" s="14"/>
      <c r="AE2541" s="7"/>
      <c r="AF2541" s="7"/>
      <c r="AG2541" s="178">
        <v>1970</v>
      </c>
      <c r="AH2541" s="278">
        <f>COUNTIFS($AH$2:$AH$2533,AG2541,$K$2:$K$2533,$AH$2536)</f>
        <v>0</v>
      </c>
      <c r="AI2541" s="278">
        <f>COUNTIFS($AH$2:$AH$2533,AG2541,$K$2:$K$2533,$AI$2536)</f>
        <v>78</v>
      </c>
      <c r="AJ2541" s="279"/>
      <c r="AK2541" s="278"/>
      <c r="AL2541" s="275"/>
      <c r="AM2541" s="2"/>
      <c r="AN2541" s="6"/>
      <c r="AO2541" s="6"/>
      <c r="AP2541" s="6"/>
      <c r="AQ2541" s="275"/>
      <c r="AR2541" s="283"/>
      <c r="AS2541" s="242"/>
      <c r="AT2541" s="242"/>
      <c r="AU2541" s="275"/>
      <c r="AV2541" s="276"/>
      <c r="AW2541" s="242"/>
    </row>
    <row r="2542" s="263" customFormat="1" ht="45" hidden="1" customHeight="1">
      <c r="A2542" s="2">
        <f>COUNTIFS($B$2:$B$2533,B2542,$L$2:$L$2533,1)</f>
        <v>1</v>
      </c>
      <c r="B2542" s="194" t="s">
        <v>3996</v>
      </c>
      <c r="C2542" s="4" t="s">
        <v>7813</v>
      </c>
      <c r="D2542" s="265"/>
      <c r="E2542" s="13"/>
      <c r="F2542" s="6" t="s">
        <v>428</v>
      </c>
      <c r="G2542" s="265"/>
      <c r="H2542" s="2" t="s">
        <v>288</v>
      </c>
      <c r="I2542" s="191"/>
      <c r="J2542" s="7"/>
      <c r="K2542" s="8"/>
      <c r="L2542" s="9"/>
      <c r="M2542" s="191"/>
      <c r="N2542" s="14"/>
      <c r="O2542" s="10"/>
      <c r="P2542" s="11"/>
      <c r="Q2542" s="10"/>
      <c r="R2542" s="14"/>
      <c r="S2542" s="191" t="s">
        <v>5758</v>
      </c>
      <c r="T2542" s="191"/>
      <c r="U2542" s="73"/>
      <c r="V2542" s="12"/>
      <c r="W2542" s="13"/>
      <c r="X2542" s="7"/>
      <c r="Y2542" s="7" t="s">
        <v>4501</v>
      </c>
      <c r="Z2542" s="219" t="s">
        <v>905</v>
      </c>
      <c r="AA2542" s="13"/>
      <c r="AB2542" s="14"/>
      <c r="AC2542" s="14"/>
      <c r="AD2542" s="14"/>
      <c r="AE2542" s="7"/>
      <c r="AF2542" s="7"/>
      <c r="AG2542" s="178">
        <v>1980</v>
      </c>
      <c r="AH2542" s="278">
        <f>COUNTIFS($AH$2:$AH$2533,AG2542,$K$2:$K$2533,$AH$2536)</f>
        <v>0</v>
      </c>
      <c r="AI2542" s="278">
        <f>COUNTIFS($AH$2:$AH$2533,AG2542,$K$2:$K$2533,$AI$2536)</f>
        <v>96</v>
      </c>
      <c r="AJ2542" s="279"/>
      <c r="AK2542" s="278"/>
      <c r="AL2542" s="275"/>
      <c r="AM2542" s="2"/>
      <c r="AN2542" s="268" t="s">
        <v>7814</v>
      </c>
      <c r="AO2542" s="6"/>
      <c r="AP2542" s="268" t="s">
        <v>41</v>
      </c>
      <c r="AQ2542" s="275"/>
      <c r="AR2542" s="283"/>
      <c r="AS2542" s="242"/>
      <c r="AT2542" s="242"/>
      <c r="AU2542" s="275"/>
      <c r="AV2542" s="276"/>
      <c r="AW2542" s="242"/>
    </row>
    <row r="2543" s="263" customFormat="1" ht="45" hidden="1" customHeight="1">
      <c r="A2543" s="2">
        <f>COUNTIFS($B$2:$B$2533,B2543,$L$2:$L$2533,1)</f>
        <v>14</v>
      </c>
      <c r="B2543" s="3" t="s">
        <v>60</v>
      </c>
      <c r="C2543" s="4" t="s">
        <v>7815</v>
      </c>
      <c r="D2543" s="265"/>
      <c r="E2543" s="13"/>
      <c r="F2543" s="6" t="s">
        <v>2154</v>
      </c>
      <c r="G2543" s="265"/>
      <c r="H2543" s="2" t="s">
        <v>57</v>
      </c>
      <c r="I2543" s="191"/>
      <c r="J2543" s="7"/>
      <c r="K2543" s="8"/>
      <c r="L2543" s="9"/>
      <c r="M2543" s="191"/>
      <c r="N2543" s="14"/>
      <c r="O2543" s="10"/>
      <c r="P2543" s="11"/>
      <c r="Q2543" s="10"/>
      <c r="R2543" s="14"/>
      <c r="S2543" s="191" t="s">
        <v>939</v>
      </c>
      <c r="T2543" s="191"/>
      <c r="U2543" s="73"/>
      <c r="V2543" s="12"/>
      <c r="W2543" s="13"/>
      <c r="X2543" s="7"/>
      <c r="Y2543" s="7" t="s">
        <v>511</v>
      </c>
      <c r="Z2543" s="219" t="s">
        <v>260</v>
      </c>
      <c r="AA2543" s="13"/>
      <c r="AB2543" s="14"/>
      <c r="AC2543" s="14"/>
      <c r="AD2543" s="14"/>
      <c r="AE2543" s="7"/>
      <c r="AF2543" s="7"/>
      <c r="AG2543" s="178">
        <v>1990</v>
      </c>
      <c r="AH2543" s="278">
        <f>COUNTIFS($AH$2:$AH$2533,AG2543,$K$2:$K$2533,$AH$2536)</f>
        <v>0</v>
      </c>
      <c r="AI2543" s="278">
        <f>COUNTIFS($AH$2:$AH$2533,AG2543,$K$2:$K$2533,$AI$2536)</f>
        <v>34</v>
      </c>
      <c r="AJ2543" s="279"/>
      <c r="AK2543" s="278"/>
      <c r="AL2543" s="275"/>
      <c r="AM2543" s="2"/>
      <c r="AN2543" s="6" t="s">
        <v>73</v>
      </c>
      <c r="AO2543" s="242"/>
      <c r="AP2543" s="6" t="s">
        <v>73</v>
      </c>
      <c r="AQ2543" s="5"/>
      <c r="AR2543" s="2"/>
      <c r="AS2543" s="6"/>
      <c r="AT2543" s="6"/>
      <c r="AU2543" s="5"/>
      <c r="AV2543" s="111"/>
      <c r="AW2543" s="6"/>
    </row>
    <row r="2544" s="263" customFormat="1" ht="45" hidden="1" customHeight="1">
      <c r="A2544" s="2">
        <f>COUNTIFS($B$2:$B$2533,B2544,$L$2:$L$2533,1)</f>
        <v>1</v>
      </c>
      <c r="B2544" s="3" t="s">
        <v>1974</v>
      </c>
      <c r="C2544" s="4" t="s">
        <v>7816</v>
      </c>
      <c r="D2544" s="265"/>
      <c r="E2544" s="13"/>
      <c r="F2544" s="6" t="s">
        <v>931</v>
      </c>
      <c r="G2544" s="265"/>
      <c r="H2544" s="2" t="s">
        <v>51</v>
      </c>
      <c r="I2544" s="191"/>
      <c r="J2544" s="7"/>
      <c r="K2544" s="8"/>
      <c r="L2544" s="9"/>
      <c r="M2544" s="191"/>
      <c r="N2544" s="14"/>
      <c r="O2544" s="10"/>
      <c r="P2544" s="11"/>
      <c r="Q2544" s="10"/>
      <c r="R2544" s="14"/>
      <c r="S2544" s="191" t="s">
        <v>236</v>
      </c>
      <c r="T2544" s="191"/>
      <c r="U2544" s="73"/>
      <c r="V2544" s="12"/>
      <c r="W2544" s="13"/>
      <c r="X2544" s="7"/>
      <c r="Y2544" s="7" t="s">
        <v>501</v>
      </c>
      <c r="Z2544" s="219" t="s">
        <v>7817</v>
      </c>
      <c r="AA2544" s="13"/>
      <c r="AB2544" s="14"/>
      <c r="AC2544" s="14"/>
      <c r="AD2544" s="14"/>
      <c r="AE2544" s="7"/>
      <c r="AF2544" s="7"/>
      <c r="AG2544" s="178">
        <v>2000</v>
      </c>
      <c r="AH2544" s="278">
        <f>COUNTIFS($AH$2:$AH$2533,AG2544,$K$2:$K$2533,$AH$2536)</f>
        <v>0</v>
      </c>
      <c r="AI2544" s="278">
        <f>COUNTIFS($AH$2:$AH$2533,AG2544,$K$2:$K$2533,$AI$2536)</f>
        <v>47</v>
      </c>
      <c r="AJ2544" s="284"/>
      <c r="AK2544" s="278"/>
      <c r="AL2544" s="275"/>
      <c r="AM2544" s="2"/>
      <c r="AN2544" s="6" t="s">
        <v>104</v>
      </c>
      <c r="AO2544" s="242"/>
      <c r="AP2544" s="6" t="s">
        <v>104</v>
      </c>
      <c r="AQ2544" s="5"/>
      <c r="AR2544" s="2"/>
      <c r="AS2544" s="6"/>
      <c r="AT2544" s="6"/>
      <c r="AU2544" s="5"/>
      <c r="AV2544" s="111"/>
      <c r="AW2544" s="6"/>
    </row>
    <row r="2545" s="263" customFormat="1" ht="45" hidden="1" customHeight="1">
      <c r="A2545" s="2">
        <f>COUNTIFS($B$2:$B$2533,B2545,$L$2:$L$2533,1)</f>
        <v>0</v>
      </c>
      <c r="B2545" s="3" t="s">
        <v>7818</v>
      </c>
      <c r="C2545" s="4" t="s">
        <v>7819</v>
      </c>
      <c r="D2545" s="265"/>
      <c r="E2545" s="13"/>
      <c r="F2545" s="6" t="s">
        <v>1075</v>
      </c>
      <c r="G2545" s="265"/>
      <c r="H2545" s="2" t="s">
        <v>491</v>
      </c>
      <c r="I2545" s="191"/>
      <c r="J2545" s="7"/>
      <c r="K2545" s="8"/>
      <c r="L2545" s="9"/>
      <c r="M2545" s="191"/>
      <c r="N2545" s="14"/>
      <c r="O2545" s="10"/>
      <c r="P2545" s="11"/>
      <c r="Q2545" s="10"/>
      <c r="R2545" s="14"/>
      <c r="S2545" s="191" t="s">
        <v>5957</v>
      </c>
      <c r="T2545" s="191"/>
      <c r="U2545" s="73"/>
      <c r="V2545" s="12"/>
      <c r="W2545" s="13"/>
      <c r="X2545" s="7"/>
      <c r="Y2545" s="7" t="s">
        <v>214</v>
      </c>
      <c r="Z2545" s="219" t="s">
        <v>7820</v>
      </c>
      <c r="AA2545" s="13"/>
      <c r="AB2545" s="14"/>
      <c r="AC2545" s="14"/>
      <c r="AD2545" s="14"/>
      <c r="AE2545" s="7"/>
      <c r="AF2545" s="7"/>
      <c r="AG2545" s="178">
        <v>2010</v>
      </c>
      <c r="AH2545" s="278">
        <f>COUNTIFS($AH$2:$AH$2533,AG2545,$K$2:$K$2533,$AH$2536)</f>
        <v>0</v>
      </c>
      <c r="AI2545" s="278">
        <f>COUNTIFS($AH$2:$AH$2533,AG2545,$K$2:$K$2533,$AI$2536)</f>
        <v>155</v>
      </c>
      <c r="AJ2545" s="279"/>
      <c r="AK2545" s="278"/>
      <c r="AL2545" s="275"/>
      <c r="AM2545" s="2"/>
      <c r="AN2545" s="6"/>
      <c r="AO2545" s="6"/>
      <c r="AP2545" s="6"/>
      <c r="AQ2545" s="5"/>
      <c r="AR2545" s="2"/>
      <c r="AS2545" s="6"/>
      <c r="AT2545" s="6"/>
      <c r="AU2545" s="5"/>
      <c r="AV2545" s="111"/>
      <c r="AW2545" s="6"/>
    </row>
    <row r="2546" s="263" customFormat="1" ht="45" hidden="1" customHeight="1">
      <c r="A2546" s="254">
        <f>SUBTOTAL(9,A2536:A2545)</f>
        <v>2086</v>
      </c>
      <c r="B2546" s="285" t="s">
        <v>7821</v>
      </c>
      <c r="C2546" s="285"/>
      <c r="D2546" s="265"/>
      <c r="E2546" s="13"/>
      <c r="F2546" s="6" t="s">
        <v>354</v>
      </c>
      <c r="G2546" s="265"/>
      <c r="H2546" s="2" t="s">
        <v>501</v>
      </c>
      <c r="I2546" s="191"/>
      <c r="J2546" s="7"/>
      <c r="K2546" s="8"/>
      <c r="L2546" s="9"/>
      <c r="M2546" s="191"/>
      <c r="N2546" s="14"/>
      <c r="O2546" s="10"/>
      <c r="P2546" s="11"/>
      <c r="Q2546" s="10"/>
      <c r="R2546" s="14"/>
      <c r="S2546" s="191" t="s">
        <v>128</v>
      </c>
      <c r="T2546" s="191"/>
      <c r="U2546" s="73"/>
      <c r="V2546" s="12"/>
      <c r="W2546" s="13"/>
      <c r="X2546" s="7"/>
      <c r="Y2546" s="7" t="s">
        <v>980</v>
      </c>
      <c r="Z2546" s="219" t="s">
        <v>7822</v>
      </c>
      <c r="AA2546" s="13"/>
      <c r="AB2546" s="14"/>
      <c r="AC2546" s="14"/>
      <c r="AD2546" s="14"/>
      <c r="AE2546" s="7"/>
      <c r="AF2546" s="7"/>
      <c r="AG2546" s="234" t="s">
        <v>7823</v>
      </c>
      <c r="AH2546" s="278">
        <f>COUNTIFS($AH$2:$AH$2533,AG2546,$K$2:$K$2533,$AH$2536)</f>
        <v>0</v>
      </c>
      <c r="AI2546" s="278">
        <f>COUNTIFS($AH$2:$AH$2533,AG2546,$K$2:$K$2533,$AI$2536)</f>
        <v>0</v>
      </c>
      <c r="AJ2546" s="279"/>
      <c r="AK2546" s="278"/>
      <c r="AL2546" s="275"/>
      <c r="AM2546" s="2"/>
      <c r="AN2546" s="6"/>
      <c r="AO2546" s="6"/>
      <c r="AP2546" s="6"/>
      <c r="AQ2546" s="5"/>
      <c r="AR2546" s="2"/>
      <c r="AS2546" s="6"/>
      <c r="AT2546" s="6"/>
      <c r="AU2546" s="5"/>
      <c r="AV2546" s="111"/>
      <c r="AW2546" s="6"/>
    </row>
    <row r="2547" s="263" customFormat="1" ht="45" hidden="1" customHeight="1">
      <c r="A2547" s="233"/>
      <c r="B2547" s="191"/>
      <c r="C2547" s="286"/>
      <c r="D2547" s="265"/>
      <c r="E2547" s="13"/>
      <c r="F2547" s="6" t="s">
        <v>179</v>
      </c>
      <c r="G2547" s="265"/>
      <c r="H2547" s="2" t="s">
        <v>508</v>
      </c>
      <c r="I2547" s="191"/>
      <c r="J2547" s="7"/>
      <c r="K2547" s="8"/>
      <c r="L2547" s="9"/>
      <c r="M2547" s="191"/>
      <c r="N2547" s="14"/>
      <c r="O2547" s="10"/>
      <c r="P2547" s="11"/>
      <c r="Q2547" s="10"/>
      <c r="R2547" s="14"/>
      <c r="S2547" s="191" t="s">
        <v>60</v>
      </c>
      <c r="T2547" s="191"/>
      <c r="U2547" s="73"/>
      <c r="V2547" s="12"/>
      <c r="W2547" s="13"/>
      <c r="X2547" s="7"/>
      <c r="Y2547" s="7" t="s">
        <v>92</v>
      </c>
      <c r="Z2547" s="219" t="s">
        <v>7824</v>
      </c>
      <c r="AA2547" s="13"/>
      <c r="AB2547" s="14"/>
      <c r="AC2547" s="14"/>
      <c r="AD2547" s="14"/>
      <c r="AE2547" s="7"/>
      <c r="AF2547" s="7"/>
      <c r="AG2547" s="287" t="s">
        <v>7825</v>
      </c>
      <c r="AH2547" s="287">
        <f>SUM(AH2537:AH2546)</f>
        <v>1</v>
      </c>
      <c r="AI2547" s="287">
        <f>SUM(AI2537:AI2546)</f>
        <v>1194</v>
      </c>
      <c r="AJ2547" s="288"/>
      <c r="AK2547" s="287"/>
      <c r="AL2547" s="275"/>
      <c r="AM2547" s="2"/>
      <c r="AN2547" s="6"/>
      <c r="AO2547" s="6"/>
      <c r="AP2547" s="6"/>
      <c r="AQ2547" s="5"/>
      <c r="AR2547" s="2"/>
      <c r="AS2547" s="6"/>
      <c r="AT2547" s="6"/>
      <c r="AU2547" s="5"/>
      <c r="AV2547" s="111"/>
      <c r="AW2547" s="6"/>
    </row>
    <row r="2548" s="263" customFormat="1" ht="45" hidden="1" customHeight="1">
      <c r="A2548" s="254" t="s">
        <v>7826</v>
      </c>
      <c r="B2548" s="254"/>
      <c r="C2548" s="254"/>
      <c r="D2548" s="265"/>
      <c r="E2548" s="13"/>
      <c r="F2548" s="6" t="s">
        <v>3867</v>
      </c>
      <c r="G2548" s="265"/>
      <c r="H2548" s="2" t="s">
        <v>4501</v>
      </c>
      <c r="I2548" s="191"/>
      <c r="J2548" s="7"/>
      <c r="K2548" s="8"/>
      <c r="L2548" s="9"/>
      <c r="M2548" s="191"/>
      <c r="N2548" s="14"/>
      <c r="O2548" s="10"/>
      <c r="P2548" s="11"/>
      <c r="Q2548" s="10"/>
      <c r="R2548" s="14"/>
      <c r="S2548" s="191" t="s">
        <v>3999</v>
      </c>
      <c r="T2548" s="191"/>
      <c r="U2548" s="73"/>
      <c r="V2548" s="12"/>
      <c r="W2548" s="13"/>
      <c r="X2548" s="7"/>
      <c r="Y2548" s="7" t="s">
        <v>385</v>
      </c>
      <c r="Z2548" s="219" t="s">
        <v>7827</v>
      </c>
      <c r="AA2548" s="13"/>
      <c r="AB2548" s="14"/>
      <c r="AC2548" s="14"/>
      <c r="AD2548" s="14"/>
      <c r="AE2548" s="7"/>
      <c r="AF2548" s="7"/>
      <c r="AG2548" s="6"/>
      <c r="AH2548" s="6"/>
      <c r="AI2548" s="6"/>
      <c r="AJ2548" s="73"/>
      <c r="AK2548" s="6"/>
      <c r="AL2548" s="5"/>
      <c r="AM2548" s="2"/>
      <c r="AN2548" s="6"/>
      <c r="AO2548" s="6"/>
      <c r="AP2548" s="6"/>
      <c r="AQ2548" s="5"/>
      <c r="AR2548" s="2"/>
      <c r="AS2548" s="6"/>
      <c r="AT2548" s="6"/>
      <c r="AU2548" s="5"/>
      <c r="AV2548" s="111"/>
      <c r="AW2548" s="6"/>
    </row>
    <row r="2549" s="263" customFormat="1" ht="45" hidden="1" customHeight="1">
      <c r="A2549" s="2">
        <f>A2538+A2539+A2540+A2541+A2544+A2545</f>
        <v>70</v>
      </c>
      <c r="B2549" s="6" t="s">
        <v>7828</v>
      </c>
      <c r="C2549" s="4"/>
      <c r="D2549" s="265"/>
      <c r="E2549" s="13"/>
      <c r="F2549" s="6" t="s">
        <v>2026</v>
      </c>
      <c r="G2549" s="265"/>
      <c r="H2549" s="2" t="s">
        <v>181</v>
      </c>
      <c r="I2549" s="191"/>
      <c r="J2549" s="7"/>
      <c r="K2549" s="8"/>
      <c r="L2549" s="9"/>
      <c r="M2549" s="191"/>
      <c r="N2549" s="14"/>
      <c r="O2549" s="10"/>
      <c r="P2549" s="11"/>
      <c r="Q2549" s="10"/>
      <c r="R2549" s="14"/>
      <c r="S2549" s="191"/>
      <c r="T2549" s="191"/>
      <c r="U2549" s="73"/>
      <c r="V2549" s="12"/>
      <c r="W2549" s="13"/>
      <c r="X2549" s="7"/>
      <c r="Y2549" s="7"/>
      <c r="Z2549" s="219" t="s">
        <v>7829</v>
      </c>
      <c r="AA2549" s="13"/>
      <c r="AB2549" s="14"/>
      <c r="AC2549" s="14"/>
      <c r="AD2549" s="14"/>
      <c r="AE2549" s="7"/>
      <c r="AF2549" s="7"/>
      <c r="AG2549" s="6"/>
      <c r="AH2549" s="6"/>
      <c r="AI2549" s="6"/>
      <c r="AJ2549" s="73"/>
      <c r="AK2549" s="6"/>
      <c r="AL2549" s="5"/>
      <c r="AM2549" s="2"/>
      <c r="AN2549" s="6"/>
      <c r="AO2549" s="6"/>
      <c r="AP2549" s="6"/>
      <c r="AQ2549" s="5"/>
      <c r="AR2549" s="2"/>
      <c r="AS2549" s="6"/>
      <c r="AT2549" s="6"/>
      <c r="AU2549" s="5"/>
      <c r="AV2549" s="111"/>
      <c r="AW2549" s="6"/>
    </row>
    <row r="2550" s="263" customFormat="1" ht="45" hidden="1" customHeight="1">
      <c r="A2550" s="2">
        <f>A2537</f>
        <v>377</v>
      </c>
      <c r="B2550" s="6" t="s">
        <v>7830</v>
      </c>
      <c r="C2550" s="4"/>
      <c r="D2550" s="265"/>
      <c r="E2550" s="13"/>
      <c r="F2550" s="6" t="s">
        <v>2092</v>
      </c>
      <c r="G2550" s="265"/>
      <c r="H2550" s="2" t="s">
        <v>977</v>
      </c>
      <c r="I2550" s="191"/>
      <c r="J2550" s="7"/>
      <c r="K2550" s="8"/>
      <c r="L2550" s="9"/>
      <c r="M2550" s="191"/>
      <c r="N2550" s="14"/>
      <c r="O2550" s="10"/>
      <c r="P2550" s="11"/>
      <c r="Q2550" s="10"/>
      <c r="R2550" s="14"/>
      <c r="S2550" s="191"/>
      <c r="T2550" s="191"/>
      <c r="U2550" s="73"/>
      <c r="V2550" s="12"/>
      <c r="W2550" s="13"/>
      <c r="X2550" s="7"/>
      <c r="Y2550" s="7"/>
      <c r="Z2550" s="219" t="s">
        <v>7831</v>
      </c>
      <c r="AA2550" s="13"/>
      <c r="AB2550" s="14"/>
      <c r="AC2550" s="14"/>
      <c r="AD2550" s="14"/>
      <c r="AE2550" s="7"/>
      <c r="AF2550" s="7"/>
      <c r="AG2550" s="6"/>
      <c r="AH2550" s="6"/>
      <c r="AI2550" s="6"/>
      <c r="AJ2550" s="73"/>
      <c r="AK2550" s="6"/>
      <c r="AL2550" s="5"/>
      <c r="AM2550" s="2"/>
      <c r="AN2550" s="6"/>
      <c r="AO2550" s="6"/>
      <c r="AP2550" s="6"/>
      <c r="AQ2550" s="5"/>
      <c r="AR2550" s="2"/>
      <c r="AS2550" s="6"/>
      <c r="AT2550" s="6"/>
      <c r="AU2550" s="5"/>
      <c r="AV2550" s="111"/>
      <c r="AW2550" s="6"/>
    </row>
    <row r="2551" s="263" customFormat="1" ht="45" hidden="1" customHeight="1">
      <c r="A2551" s="2">
        <f>A2542</f>
        <v>1</v>
      </c>
      <c r="B2551" s="84" t="s">
        <v>7832</v>
      </c>
      <c r="C2551" s="84"/>
      <c r="D2551" s="265"/>
      <c r="E2551" s="13"/>
      <c r="F2551" s="6" t="s">
        <v>695</v>
      </c>
      <c r="G2551" s="265"/>
      <c r="H2551" s="2" t="s">
        <v>3735</v>
      </c>
      <c r="I2551" s="191"/>
      <c r="J2551" s="7"/>
      <c r="K2551" s="8"/>
      <c r="L2551" s="9"/>
      <c r="M2551" s="191"/>
      <c r="N2551" s="14"/>
      <c r="O2551" s="10"/>
      <c r="P2551" s="11"/>
      <c r="Q2551" s="10"/>
      <c r="R2551" s="14"/>
      <c r="S2551" s="191"/>
      <c r="T2551" s="191"/>
      <c r="U2551" s="73"/>
      <c r="V2551" s="12"/>
      <c r="W2551" s="13"/>
      <c r="X2551" s="7"/>
      <c r="Y2551" s="7"/>
      <c r="Z2551" s="219" t="s">
        <v>7833</v>
      </c>
      <c r="AA2551" s="13"/>
      <c r="AB2551" s="14"/>
      <c r="AC2551" s="14"/>
      <c r="AD2551" s="14"/>
      <c r="AE2551" s="7"/>
      <c r="AF2551" s="7"/>
      <c r="AG2551" s="6"/>
      <c r="AH2551" s="6"/>
      <c r="AI2551" s="6"/>
      <c r="AJ2551" s="73"/>
      <c r="AK2551" s="6"/>
      <c r="AL2551" s="5"/>
      <c r="AM2551" s="2"/>
      <c r="AN2551" s="6"/>
      <c r="AO2551" s="6"/>
      <c r="AP2551" s="6"/>
      <c r="AQ2551" s="5"/>
      <c r="AR2551" s="2"/>
      <c r="AS2551" s="6"/>
      <c r="AT2551" s="6"/>
      <c r="AU2551" s="5"/>
      <c r="AV2551" s="111"/>
      <c r="AW2551" s="6"/>
    </row>
    <row r="2552" s="263" customFormat="1" ht="45" hidden="1" customHeight="1">
      <c r="A2552" s="233"/>
      <c r="B2552" s="191"/>
      <c r="C2552" s="286"/>
      <c r="D2552" s="265"/>
      <c r="E2552" s="13"/>
      <c r="F2552" s="6" t="s">
        <v>217</v>
      </c>
      <c r="G2552" s="265"/>
      <c r="H2552" s="2"/>
      <c r="I2552" s="191"/>
      <c r="J2552" s="7"/>
      <c r="K2552" s="8"/>
      <c r="L2552" s="9"/>
      <c r="M2552" s="191"/>
      <c r="N2552" s="14"/>
      <c r="O2552" s="10"/>
      <c r="P2552" s="11"/>
      <c r="Q2552" s="10"/>
      <c r="R2552" s="14"/>
      <c r="S2552" s="191"/>
      <c r="T2552" s="191"/>
      <c r="U2552" s="73"/>
      <c r="V2552" s="12"/>
      <c r="W2552" s="13"/>
      <c r="X2552" s="7"/>
      <c r="Y2552" s="7"/>
      <c r="Z2552" s="219" t="s">
        <v>7834</v>
      </c>
      <c r="AA2552" s="13"/>
      <c r="AB2552" s="14"/>
      <c r="AC2552" s="14"/>
      <c r="AD2552" s="14"/>
      <c r="AE2552" s="7"/>
      <c r="AF2552" s="7"/>
      <c r="AG2552" s="6"/>
      <c r="AH2552" s="6"/>
      <c r="AI2552" s="6"/>
      <c r="AJ2552" s="73"/>
      <c r="AK2552" s="6"/>
      <c r="AL2552" s="5"/>
      <c r="AM2552" s="2"/>
      <c r="AN2552" s="6"/>
      <c r="AO2552" s="6"/>
      <c r="AP2552" s="6"/>
      <c r="AQ2552" s="5"/>
      <c r="AR2552" s="2"/>
      <c r="AS2552" s="6"/>
      <c r="AT2552" s="6"/>
      <c r="AU2552" s="5"/>
      <c r="AV2552" s="111"/>
      <c r="AW2552" s="6"/>
    </row>
    <row r="2553" s="263" customFormat="1" ht="45" hidden="1" customHeight="1">
      <c r="A2553" s="233"/>
      <c r="B2553" s="191"/>
      <c r="C2553" s="286"/>
      <c r="D2553" s="265"/>
      <c r="E2553" s="13"/>
      <c r="F2553" s="6" t="s">
        <v>6816</v>
      </c>
      <c r="G2553" s="219"/>
      <c r="H2553" s="9"/>
      <c r="I2553" s="191"/>
      <c r="J2553" s="7"/>
      <c r="K2553" s="8"/>
      <c r="L2553" s="9"/>
      <c r="M2553" s="234"/>
      <c r="N2553" s="14"/>
      <c r="O2553" s="10"/>
      <c r="P2553" s="11"/>
      <c r="Q2553" s="10"/>
      <c r="R2553" s="14"/>
      <c r="S2553" s="234"/>
      <c r="T2553" s="234"/>
      <c r="U2553" s="73"/>
      <c r="V2553" s="12"/>
      <c r="W2553" s="13"/>
      <c r="X2553" s="7"/>
      <c r="Y2553" s="7"/>
      <c r="Z2553" s="219" t="s">
        <v>7835</v>
      </c>
      <c r="AA2553" s="13"/>
      <c r="AB2553" s="14"/>
      <c r="AC2553" s="14"/>
      <c r="AD2553" s="14"/>
      <c r="AE2553" s="7"/>
      <c r="AF2553" s="7"/>
      <c r="AG2553" s="6"/>
      <c r="AH2553" s="6"/>
      <c r="AI2553" s="6"/>
      <c r="AJ2553" s="73"/>
      <c r="AK2553" s="6"/>
      <c r="AL2553" s="5"/>
      <c r="AM2553" s="2"/>
      <c r="AN2553" s="6"/>
      <c r="AO2553" s="6"/>
      <c r="AP2553" s="6"/>
      <c r="AQ2553" s="5"/>
      <c r="AR2553" s="2"/>
      <c r="AS2553" s="6"/>
      <c r="AT2553" s="6"/>
      <c r="AU2553" s="5"/>
      <c r="AV2553" s="111"/>
      <c r="AW2553" s="6"/>
    </row>
    <row r="2554" s="263" customFormat="1" ht="45" hidden="1" customHeight="1">
      <c r="A2554" s="233"/>
      <c r="B2554" s="191"/>
      <c r="C2554" s="286"/>
      <c r="D2554" s="265"/>
      <c r="E2554" s="13"/>
      <c r="F2554" s="6" t="s">
        <v>898</v>
      </c>
      <c r="G2554" s="219"/>
      <c r="H2554" s="9"/>
      <c r="I2554" s="191"/>
      <c r="J2554" s="7"/>
      <c r="K2554" s="8"/>
      <c r="L2554" s="9"/>
      <c r="M2554" s="234"/>
      <c r="N2554" s="14"/>
      <c r="O2554" s="10"/>
      <c r="P2554" s="11"/>
      <c r="Q2554" s="10"/>
      <c r="R2554" s="14"/>
      <c r="S2554" s="234"/>
      <c r="T2554" s="234"/>
      <c r="U2554" s="73"/>
      <c r="V2554" s="12"/>
      <c r="W2554" s="13"/>
      <c r="X2554" s="7"/>
      <c r="Y2554" s="7"/>
      <c r="Z2554" s="219" t="s">
        <v>7835</v>
      </c>
      <c r="AA2554" s="13"/>
      <c r="AB2554" s="14"/>
      <c r="AC2554" s="14"/>
      <c r="AD2554" s="14"/>
      <c r="AE2554" s="7"/>
      <c r="AF2554" s="7"/>
      <c r="AG2554" s="6"/>
      <c r="AH2554" s="6"/>
      <c r="AI2554" s="6"/>
      <c r="AJ2554" s="73"/>
      <c r="AK2554" s="6"/>
      <c r="AL2554" s="5"/>
      <c r="AM2554" s="2"/>
      <c r="AN2554" s="6"/>
      <c r="AO2554" s="6"/>
      <c r="AP2554" s="6"/>
      <c r="AQ2554" s="5"/>
      <c r="AR2554" s="2"/>
      <c r="AS2554" s="6"/>
      <c r="AT2554" s="6"/>
      <c r="AU2554" s="5"/>
      <c r="AV2554" s="111"/>
      <c r="AW2554" s="6"/>
    </row>
    <row r="2555" s="263" customFormat="1" ht="45" hidden="1" customHeight="1">
      <c r="A2555" s="233"/>
      <c r="B2555" s="191"/>
      <c r="C2555" s="286"/>
      <c r="D2555" s="265"/>
      <c r="E2555" s="13"/>
      <c r="F2555" s="6" t="s">
        <v>3376</v>
      </c>
      <c r="G2555" s="219"/>
      <c r="H2555" s="9"/>
      <c r="I2555" s="191"/>
      <c r="J2555" s="7"/>
      <c r="K2555" s="8"/>
      <c r="L2555" s="9"/>
      <c r="M2555" s="234"/>
      <c r="N2555" s="14"/>
      <c r="O2555" s="10"/>
      <c r="P2555" s="11"/>
      <c r="Q2555" s="10"/>
      <c r="R2555" s="14"/>
      <c r="S2555" s="234"/>
      <c r="T2555" s="234"/>
      <c r="U2555" s="73"/>
      <c r="V2555" s="12"/>
      <c r="W2555" s="13"/>
      <c r="X2555" s="7"/>
      <c r="Y2555" s="7"/>
      <c r="Z2555" s="219" t="s">
        <v>7836</v>
      </c>
      <c r="AA2555" s="13"/>
      <c r="AB2555" s="14"/>
      <c r="AC2555" s="14"/>
      <c r="AD2555" s="14"/>
      <c r="AE2555" s="7"/>
      <c r="AF2555" s="7"/>
      <c r="AG2555" s="6"/>
      <c r="AH2555" s="6"/>
      <c r="AI2555" s="6"/>
      <c r="AJ2555" s="73"/>
      <c r="AK2555" s="6"/>
      <c r="AL2555" s="5"/>
      <c r="AM2555" s="2"/>
      <c r="AN2555" s="6"/>
      <c r="AO2555" s="6"/>
      <c r="AP2555" s="6"/>
      <c r="AQ2555" s="5"/>
      <c r="AR2555" s="2"/>
      <c r="AS2555" s="6"/>
      <c r="AT2555" s="6"/>
      <c r="AU2555" s="5"/>
      <c r="AV2555" s="111"/>
      <c r="AW2555" s="6"/>
    </row>
    <row r="2556" s="263" customFormat="1" ht="45" hidden="1" customHeight="1">
      <c r="A2556" s="233"/>
      <c r="B2556" s="191"/>
      <c r="C2556" s="286"/>
      <c r="D2556" s="265"/>
      <c r="E2556" s="13"/>
      <c r="F2556" s="6" t="s">
        <v>140</v>
      </c>
      <c r="G2556" s="219"/>
      <c r="H2556" s="9"/>
      <c r="I2556" s="191"/>
      <c r="J2556" s="7"/>
      <c r="K2556" s="8"/>
      <c r="L2556" s="9"/>
      <c r="M2556" s="234"/>
      <c r="N2556" s="14"/>
      <c r="O2556" s="10"/>
      <c r="P2556" s="11"/>
      <c r="Q2556" s="10"/>
      <c r="R2556" s="14"/>
      <c r="S2556" s="234"/>
      <c r="T2556" s="234"/>
      <c r="U2556" s="73"/>
      <c r="V2556" s="12"/>
      <c r="W2556" s="13"/>
      <c r="X2556" s="7"/>
      <c r="Y2556" s="7"/>
      <c r="Z2556" s="219" t="s">
        <v>7837</v>
      </c>
      <c r="AA2556" s="13"/>
      <c r="AB2556" s="14"/>
      <c r="AC2556" s="14"/>
      <c r="AD2556" s="14"/>
      <c r="AE2556" s="7"/>
      <c r="AF2556" s="7"/>
      <c r="AG2556" s="6"/>
      <c r="AH2556" s="6"/>
      <c r="AI2556" s="6"/>
      <c r="AJ2556" s="73"/>
      <c r="AK2556" s="6"/>
      <c r="AL2556" s="5"/>
      <c r="AM2556" s="2"/>
      <c r="AN2556" s="6"/>
      <c r="AO2556" s="6"/>
      <c r="AP2556" s="6"/>
      <c r="AQ2556" s="5"/>
      <c r="AR2556" s="2"/>
      <c r="AS2556" s="6"/>
      <c r="AT2556" s="6"/>
      <c r="AU2556" s="5"/>
      <c r="AV2556" s="111"/>
      <c r="AW2556" s="6"/>
    </row>
    <row r="2557" s="263" customFormat="1" ht="45" hidden="1" customHeight="1">
      <c r="A2557" s="233"/>
      <c r="B2557" s="191"/>
      <c r="C2557" s="286"/>
      <c r="D2557" s="265"/>
      <c r="E2557" s="13"/>
      <c r="F2557" s="6" t="s">
        <v>84</v>
      </c>
      <c r="G2557" s="219"/>
      <c r="H2557" s="9"/>
      <c r="I2557" s="191"/>
      <c r="J2557" s="7"/>
      <c r="K2557" s="8"/>
      <c r="L2557" s="9"/>
      <c r="M2557" s="234"/>
      <c r="N2557" s="14"/>
      <c r="O2557" s="10"/>
      <c r="P2557" s="11"/>
      <c r="Q2557" s="10"/>
      <c r="R2557" s="14"/>
      <c r="S2557" s="234"/>
      <c r="T2557" s="234"/>
      <c r="U2557" s="73"/>
      <c r="V2557" s="12"/>
      <c r="W2557" s="13"/>
      <c r="X2557" s="7"/>
      <c r="Y2557" s="7"/>
      <c r="Z2557" s="219" t="s">
        <v>7838</v>
      </c>
      <c r="AA2557" s="13"/>
      <c r="AB2557" s="14"/>
      <c r="AC2557" s="14"/>
      <c r="AD2557" s="14"/>
      <c r="AE2557" s="7"/>
      <c r="AF2557" s="7"/>
      <c r="AG2557" s="6"/>
      <c r="AH2557" s="6"/>
      <c r="AI2557" s="6"/>
      <c r="AJ2557" s="73"/>
      <c r="AK2557" s="6"/>
      <c r="AL2557" s="5"/>
      <c r="AM2557" s="2"/>
      <c r="AN2557" s="6"/>
      <c r="AO2557" s="6"/>
      <c r="AP2557" s="6"/>
      <c r="AQ2557" s="5"/>
      <c r="AR2557" s="2"/>
      <c r="AS2557" s="6"/>
      <c r="AT2557" s="6"/>
      <c r="AU2557" s="5"/>
      <c r="AV2557" s="111"/>
      <c r="AW2557" s="6"/>
    </row>
    <row r="2558" s="263" customFormat="1" ht="45" hidden="1" customHeight="1">
      <c r="A2558" s="233"/>
      <c r="B2558" s="191"/>
      <c r="C2558" s="286"/>
      <c r="D2558" s="265"/>
      <c r="E2558" s="13"/>
      <c r="F2558" s="6" t="s">
        <v>1480</v>
      </c>
      <c r="G2558" s="219"/>
      <c r="H2558" s="9"/>
      <c r="I2558" s="191"/>
      <c r="J2558" s="7"/>
      <c r="K2558" s="8"/>
      <c r="L2558" s="9"/>
      <c r="M2558" s="234"/>
      <c r="N2558" s="14"/>
      <c r="O2558" s="10"/>
      <c r="P2558" s="11"/>
      <c r="Q2558" s="10"/>
      <c r="R2558" s="14"/>
      <c r="S2558" s="234"/>
      <c r="T2558" s="234"/>
      <c r="U2558" s="73"/>
      <c r="V2558" s="12"/>
      <c r="W2558" s="13"/>
      <c r="X2558" s="7"/>
      <c r="Y2558" s="7"/>
      <c r="Z2558" s="219" t="s">
        <v>7839</v>
      </c>
      <c r="AA2558" s="13"/>
      <c r="AB2558" s="14"/>
      <c r="AC2558" s="14"/>
      <c r="AD2558" s="14"/>
      <c r="AE2558" s="7"/>
      <c r="AF2558" s="7"/>
      <c r="AG2558" s="6"/>
      <c r="AH2558" s="6"/>
      <c r="AI2558" s="6"/>
      <c r="AJ2558" s="73"/>
      <c r="AK2558" s="6"/>
      <c r="AL2558" s="5"/>
      <c r="AM2558" s="2"/>
      <c r="AN2558" s="6"/>
      <c r="AO2558" s="6"/>
      <c r="AP2558" s="6"/>
      <c r="AQ2558" s="5"/>
      <c r="AR2558" s="2"/>
      <c r="AS2558" s="6"/>
      <c r="AT2558" s="6"/>
      <c r="AU2558" s="5"/>
      <c r="AV2558" s="111"/>
      <c r="AW2558" s="6"/>
    </row>
    <row r="2559" s="263" customFormat="1" ht="45" hidden="1" customHeight="1">
      <c r="A2559" s="233"/>
      <c r="B2559" s="191"/>
      <c r="C2559" s="286"/>
      <c r="D2559" s="265"/>
      <c r="E2559" s="13"/>
      <c r="F2559" s="6" t="s">
        <v>1487</v>
      </c>
      <c r="G2559" s="265"/>
      <c r="H2559" s="13"/>
      <c r="I2559" s="191"/>
      <c r="J2559" s="7"/>
      <c r="K2559" s="8"/>
      <c r="L2559" s="9"/>
      <c r="M2559" s="191"/>
      <c r="N2559" s="14"/>
      <c r="O2559" s="10"/>
      <c r="P2559" s="11"/>
      <c r="Q2559" s="10"/>
      <c r="R2559" s="14"/>
      <c r="S2559" s="191"/>
      <c r="T2559" s="191"/>
      <c r="U2559" s="73"/>
      <c r="V2559" s="12"/>
      <c r="W2559" s="13"/>
      <c r="X2559" s="14"/>
      <c r="Y2559" s="14"/>
      <c r="Z2559" s="265" t="s">
        <v>7840</v>
      </c>
      <c r="AA2559" s="13"/>
      <c r="AB2559" s="14"/>
      <c r="AC2559" s="14"/>
      <c r="AD2559" s="14"/>
      <c r="AE2559" s="7"/>
      <c r="AF2559" s="7"/>
      <c r="AG2559" s="6"/>
      <c r="AH2559" s="6"/>
      <c r="AI2559" s="6"/>
      <c r="AJ2559" s="73"/>
      <c r="AK2559" s="6"/>
      <c r="AL2559" s="5"/>
      <c r="AM2559" s="2"/>
      <c r="AN2559" s="6"/>
      <c r="AO2559" s="6"/>
      <c r="AP2559" s="6"/>
      <c r="AQ2559" s="5"/>
      <c r="AR2559" s="2"/>
      <c r="AS2559" s="6"/>
      <c r="AT2559" s="6"/>
      <c r="AU2559" s="5"/>
      <c r="AV2559" s="111"/>
      <c r="AW2559" s="6"/>
    </row>
    <row r="2560" s="263" customFormat="1" ht="45" hidden="1" customHeight="1">
      <c r="A2560" s="13"/>
      <c r="B2560" s="14"/>
      <c r="C2560" s="289"/>
      <c r="D2560" s="265"/>
      <c r="E2560" s="13"/>
      <c r="F2560" s="6" t="s">
        <v>5199</v>
      </c>
      <c r="G2560" s="265"/>
      <c r="H2560" s="13"/>
      <c r="I2560" s="191"/>
      <c r="J2560" s="7"/>
      <c r="K2560" s="8"/>
      <c r="L2560" s="9"/>
      <c r="M2560" s="191"/>
      <c r="N2560" s="14"/>
      <c r="O2560" s="10"/>
      <c r="P2560" s="11"/>
      <c r="Q2560" s="10"/>
      <c r="R2560" s="14"/>
      <c r="S2560" s="191"/>
      <c r="T2560" s="191"/>
      <c r="U2560" s="73"/>
      <c r="V2560" s="12"/>
      <c r="W2560" s="13"/>
      <c r="X2560" s="14"/>
      <c r="Y2560" s="14"/>
      <c r="Z2560" s="265" t="s">
        <v>6583</v>
      </c>
      <c r="AA2560" s="13"/>
      <c r="AB2560" s="14"/>
      <c r="AC2560" s="14"/>
      <c r="AD2560" s="14"/>
      <c r="AE2560" s="7"/>
      <c r="AF2560" s="7"/>
      <c r="AG2560" s="6"/>
      <c r="AH2560" s="6"/>
      <c r="AI2560" s="6"/>
      <c r="AJ2560" s="73"/>
      <c r="AK2560" s="6"/>
      <c r="AL2560" s="5"/>
      <c r="AM2560" s="2"/>
      <c r="AN2560" s="6"/>
      <c r="AO2560" s="6"/>
      <c r="AP2560" s="6"/>
      <c r="AQ2560" s="5"/>
      <c r="AR2560" s="2"/>
      <c r="AS2560" s="6"/>
      <c r="AT2560" s="6"/>
      <c r="AU2560" s="5"/>
      <c r="AV2560" s="111"/>
      <c r="AW2560" s="6"/>
    </row>
    <row r="2561" s="263" customFormat="1" ht="45" hidden="1" customHeight="1">
      <c r="A2561" s="13"/>
      <c r="B2561" s="14"/>
      <c r="C2561" s="289"/>
      <c r="D2561" s="265"/>
      <c r="E2561" s="13"/>
      <c r="F2561" s="6" t="s">
        <v>49</v>
      </c>
      <c r="G2561" s="265"/>
      <c r="H2561" s="13"/>
      <c r="I2561" s="191"/>
      <c r="J2561" s="7"/>
      <c r="K2561" s="8"/>
      <c r="L2561" s="9"/>
      <c r="M2561" s="191"/>
      <c r="N2561" s="14"/>
      <c r="O2561" s="10"/>
      <c r="P2561" s="11"/>
      <c r="Q2561" s="10"/>
      <c r="R2561" s="14"/>
      <c r="S2561" s="191"/>
      <c r="T2561" s="191"/>
      <c r="U2561" s="73"/>
      <c r="V2561" s="12"/>
      <c r="W2561" s="13"/>
      <c r="X2561" s="14"/>
      <c r="Y2561" s="14"/>
      <c r="Z2561" s="265" t="s">
        <v>6895</v>
      </c>
      <c r="AA2561" s="13"/>
      <c r="AB2561" s="14"/>
      <c r="AC2561" s="14"/>
      <c r="AD2561" s="14"/>
      <c r="AE2561" s="7"/>
      <c r="AF2561" s="7"/>
      <c r="AG2561" s="6"/>
      <c r="AH2561" s="6"/>
      <c r="AI2561" s="6"/>
      <c r="AJ2561" s="73"/>
      <c r="AK2561" s="6"/>
      <c r="AL2561" s="5"/>
      <c r="AM2561" s="2"/>
      <c r="AN2561" s="6"/>
      <c r="AO2561" s="6"/>
      <c r="AP2561" s="6"/>
      <c r="AQ2561" s="5"/>
      <c r="AR2561" s="2"/>
      <c r="AS2561" s="6"/>
      <c r="AT2561" s="6"/>
      <c r="AU2561" s="5"/>
      <c r="AV2561" s="111"/>
      <c r="AW2561" s="6"/>
    </row>
    <row r="2562" s="263" customFormat="1" ht="45" hidden="1" customHeight="1">
      <c r="A2562" s="13"/>
      <c r="B2562" s="191"/>
      <c r="C2562" s="289"/>
      <c r="D2562" s="265"/>
      <c r="E2562" s="13"/>
      <c r="F2562" s="6" t="s">
        <v>564</v>
      </c>
      <c r="G2562" s="265"/>
      <c r="H2562" s="13"/>
      <c r="I2562" s="191"/>
      <c r="J2562" s="7"/>
      <c r="K2562" s="8"/>
      <c r="L2562" s="9"/>
      <c r="M2562" s="191"/>
      <c r="N2562" s="14"/>
      <c r="O2562" s="10"/>
      <c r="P2562" s="11"/>
      <c r="Q2562" s="10"/>
      <c r="R2562" s="14"/>
      <c r="S2562" s="191"/>
      <c r="T2562" s="191"/>
      <c r="U2562" s="73"/>
      <c r="V2562" s="12"/>
      <c r="W2562" s="13"/>
      <c r="X2562" s="14"/>
      <c r="Y2562" s="14"/>
      <c r="Z2562" s="265" t="s">
        <v>7841</v>
      </c>
      <c r="AA2562" s="13"/>
      <c r="AB2562" s="14"/>
      <c r="AC2562" s="14"/>
      <c r="AD2562" s="14"/>
      <c r="AE2562" s="7"/>
      <c r="AF2562" s="7"/>
      <c r="AG2562" s="6"/>
      <c r="AH2562" s="6"/>
      <c r="AI2562" s="6"/>
      <c r="AJ2562" s="73"/>
      <c r="AK2562" s="6"/>
      <c r="AL2562" s="5"/>
      <c r="AM2562" s="2"/>
      <c r="AN2562" s="6"/>
      <c r="AO2562" s="6"/>
      <c r="AP2562" s="6"/>
      <c r="AQ2562" s="5"/>
      <c r="AR2562" s="2"/>
      <c r="AS2562" s="6"/>
      <c r="AT2562" s="6"/>
      <c r="AU2562" s="5"/>
      <c r="AV2562" s="111"/>
      <c r="AW2562" s="6"/>
    </row>
    <row r="2563" s="263" customFormat="1" ht="45" hidden="1" customHeight="1">
      <c r="A2563" s="13"/>
      <c r="B2563" s="191"/>
      <c r="C2563" s="289"/>
      <c r="D2563" s="265"/>
      <c r="E2563" s="13"/>
      <c r="F2563" s="6" t="s">
        <v>83</v>
      </c>
      <c r="G2563" s="265"/>
      <c r="H2563" s="13"/>
      <c r="I2563" s="191"/>
      <c r="J2563" s="7"/>
      <c r="K2563" s="8"/>
      <c r="L2563" s="9"/>
      <c r="M2563" s="191"/>
      <c r="N2563" s="14"/>
      <c r="O2563" s="10"/>
      <c r="P2563" s="11"/>
      <c r="Q2563" s="10"/>
      <c r="R2563" s="14"/>
      <c r="S2563" s="191"/>
      <c r="T2563" s="191"/>
      <c r="U2563" s="73"/>
      <c r="V2563" s="12"/>
      <c r="W2563" s="13"/>
      <c r="X2563" s="14"/>
      <c r="Y2563" s="14"/>
      <c r="Z2563" s="265" t="s">
        <v>7842</v>
      </c>
      <c r="AA2563" s="13"/>
      <c r="AB2563" s="14"/>
      <c r="AC2563" s="14"/>
      <c r="AD2563" s="14"/>
      <c r="AE2563" s="7"/>
      <c r="AF2563" s="7"/>
      <c r="AG2563" s="6"/>
      <c r="AH2563" s="6"/>
      <c r="AI2563" s="6"/>
      <c r="AJ2563" s="73"/>
      <c r="AK2563" s="6"/>
      <c r="AL2563" s="5"/>
      <c r="AM2563" s="2"/>
      <c r="AN2563" s="6"/>
      <c r="AO2563" s="6"/>
      <c r="AP2563" s="6"/>
      <c r="AQ2563" s="5"/>
      <c r="AR2563" s="2"/>
      <c r="AS2563" s="6"/>
      <c r="AT2563" s="6"/>
      <c r="AU2563" s="5"/>
      <c r="AV2563" s="111"/>
      <c r="AW2563" s="6"/>
    </row>
    <row r="2564" s="263" customFormat="1" ht="45" hidden="1" customHeight="1">
      <c r="A2564" s="13"/>
      <c r="B2564" s="191"/>
      <c r="C2564" s="289"/>
      <c r="D2564" s="265"/>
      <c r="E2564" s="13"/>
      <c r="F2564" s="6" t="s">
        <v>704</v>
      </c>
      <c r="G2564" s="265"/>
      <c r="H2564" s="13"/>
      <c r="I2564" s="191"/>
      <c r="J2564" s="7"/>
      <c r="K2564" s="8"/>
      <c r="L2564" s="9"/>
      <c r="M2564" s="191"/>
      <c r="N2564" s="14"/>
      <c r="O2564" s="10"/>
      <c r="P2564" s="11"/>
      <c r="Q2564" s="10"/>
      <c r="R2564" s="14"/>
      <c r="S2564" s="191"/>
      <c r="T2564" s="191"/>
      <c r="U2564" s="73"/>
      <c r="V2564" s="12"/>
      <c r="W2564" s="13"/>
      <c r="X2564" s="14"/>
      <c r="Y2564" s="14"/>
      <c r="Z2564" s="265" t="s">
        <v>7843</v>
      </c>
      <c r="AA2564" s="13"/>
      <c r="AB2564" s="14"/>
      <c r="AC2564" s="14"/>
      <c r="AD2564" s="14"/>
      <c r="AE2564" s="7"/>
      <c r="AF2564" s="7"/>
      <c r="AG2564" s="6"/>
      <c r="AH2564" s="6"/>
      <c r="AI2564" s="6"/>
      <c r="AJ2564" s="73"/>
      <c r="AK2564" s="6"/>
      <c r="AL2564" s="5"/>
      <c r="AM2564" s="2"/>
      <c r="AN2564" s="6"/>
      <c r="AO2564" s="6"/>
      <c r="AP2564" s="6"/>
      <c r="AQ2564" s="5"/>
      <c r="AR2564" s="2"/>
      <c r="AS2564" s="6"/>
      <c r="AT2564" s="6"/>
      <c r="AU2564" s="5"/>
      <c r="AV2564" s="111"/>
      <c r="AW2564" s="6"/>
    </row>
    <row r="2565" s="263" customFormat="1" ht="45" hidden="1" customHeight="1">
      <c r="A2565" s="13"/>
      <c r="B2565" s="191"/>
      <c r="C2565" s="289"/>
      <c r="D2565" s="265"/>
      <c r="E2565" s="13"/>
      <c r="F2565" s="6" t="s">
        <v>3842</v>
      </c>
      <c r="G2565" s="265"/>
      <c r="H2565" s="13"/>
      <c r="I2565" s="191"/>
      <c r="J2565" s="7"/>
      <c r="K2565" s="8"/>
      <c r="L2565" s="9"/>
      <c r="M2565" s="191"/>
      <c r="N2565" s="14"/>
      <c r="O2565" s="10"/>
      <c r="P2565" s="11"/>
      <c r="Q2565" s="10"/>
      <c r="R2565" s="14"/>
      <c r="S2565" s="191"/>
      <c r="T2565" s="191"/>
      <c r="U2565" s="73"/>
      <c r="V2565" s="12"/>
      <c r="W2565" s="13"/>
      <c r="X2565" s="14"/>
      <c r="Y2565" s="14"/>
      <c r="Z2565" s="265" t="s">
        <v>7844</v>
      </c>
      <c r="AA2565" s="13"/>
      <c r="AB2565" s="14"/>
      <c r="AC2565" s="14"/>
      <c r="AD2565" s="14"/>
      <c r="AE2565" s="7"/>
      <c r="AF2565" s="7"/>
      <c r="AG2565" s="6"/>
      <c r="AH2565" s="6"/>
      <c r="AI2565" s="6"/>
      <c r="AJ2565" s="73"/>
      <c r="AK2565" s="6"/>
      <c r="AL2565" s="5"/>
      <c r="AM2565" s="2"/>
      <c r="AN2565" s="6"/>
      <c r="AO2565" s="6"/>
      <c r="AP2565" s="6"/>
      <c r="AQ2565" s="5"/>
      <c r="AR2565" s="2"/>
      <c r="AS2565" s="6"/>
      <c r="AT2565" s="6"/>
      <c r="AU2565" s="5"/>
      <c r="AV2565" s="111"/>
      <c r="AW2565" s="6"/>
    </row>
    <row r="2566" s="263" customFormat="1" ht="45" hidden="1" customHeight="1">
      <c r="A2566" s="2"/>
      <c r="B2566" s="191"/>
      <c r="C2566" s="289"/>
      <c r="D2566" s="265"/>
      <c r="E2566" s="13"/>
      <c r="F2566" s="6"/>
      <c r="G2566" s="265"/>
      <c r="H2566" s="13"/>
      <c r="I2566" s="191"/>
      <c r="J2566" s="7"/>
      <c r="K2566" s="8"/>
      <c r="L2566" s="9"/>
      <c r="M2566" s="191"/>
      <c r="N2566" s="14"/>
      <c r="O2566" s="10"/>
      <c r="P2566" s="11"/>
      <c r="Q2566" s="10"/>
      <c r="R2566" s="14"/>
      <c r="S2566" s="191"/>
      <c r="T2566" s="191"/>
      <c r="U2566" s="73"/>
      <c r="V2566" s="12"/>
      <c r="W2566" s="13"/>
      <c r="X2566" s="14"/>
      <c r="Y2566" s="14"/>
      <c r="Z2566" s="265" t="s">
        <v>7845</v>
      </c>
      <c r="AA2566" s="13"/>
      <c r="AB2566" s="14"/>
      <c r="AC2566" s="14"/>
      <c r="AD2566" s="14"/>
      <c r="AE2566" s="7"/>
      <c r="AF2566" s="7"/>
      <c r="AG2566" s="6"/>
      <c r="AH2566" s="6"/>
      <c r="AI2566" s="6"/>
      <c r="AJ2566" s="73"/>
      <c r="AK2566" s="6"/>
      <c r="AL2566" s="5"/>
      <c r="AM2566" s="2"/>
      <c r="AN2566" s="6"/>
      <c r="AO2566" s="6"/>
      <c r="AP2566" s="6"/>
      <c r="AQ2566" s="5"/>
      <c r="AR2566" s="2"/>
      <c r="AS2566" s="6"/>
      <c r="AT2566" s="6"/>
      <c r="AU2566" s="5"/>
      <c r="AV2566" s="111"/>
      <c r="AW2566" s="6"/>
    </row>
    <row r="2567" s="263" customFormat="1" ht="45" hidden="1" customHeight="1">
      <c r="A2567" s="13"/>
      <c r="B2567" s="191"/>
      <c r="C2567" s="289"/>
      <c r="D2567" s="265"/>
      <c r="E2567" s="13"/>
      <c r="F2567" s="6"/>
      <c r="G2567" s="265"/>
      <c r="H2567" s="13"/>
      <c r="I2567" s="191"/>
      <c r="J2567" s="7"/>
      <c r="K2567" s="8"/>
      <c r="L2567" s="9"/>
      <c r="M2567" s="191"/>
      <c r="N2567" s="14"/>
      <c r="O2567" s="10"/>
      <c r="P2567" s="11"/>
      <c r="Q2567" s="10"/>
      <c r="R2567" s="14"/>
      <c r="S2567" s="191"/>
      <c r="T2567" s="191"/>
      <c r="U2567" s="73"/>
      <c r="V2567" s="12"/>
      <c r="W2567" s="13"/>
      <c r="X2567" s="14"/>
      <c r="Y2567" s="14"/>
      <c r="Z2567" s="265" t="s">
        <v>7846</v>
      </c>
      <c r="AA2567" s="13"/>
      <c r="AB2567" s="14"/>
      <c r="AC2567" s="14"/>
      <c r="AD2567" s="14"/>
      <c r="AE2567" s="7"/>
      <c r="AF2567" s="7"/>
      <c r="AG2567" s="6"/>
      <c r="AH2567" s="6"/>
      <c r="AI2567" s="6"/>
      <c r="AJ2567" s="73"/>
      <c r="AK2567" s="6"/>
      <c r="AL2567" s="5"/>
      <c r="AM2567" s="2"/>
      <c r="AN2567" s="6"/>
      <c r="AO2567" s="6"/>
      <c r="AP2567" s="6"/>
      <c r="AQ2567" s="5"/>
      <c r="AR2567" s="2"/>
      <c r="AS2567" s="6"/>
      <c r="AT2567" s="6"/>
      <c r="AU2567" s="5"/>
      <c r="AV2567" s="111"/>
      <c r="AW2567" s="6"/>
    </row>
    <row r="2568" s="263" customFormat="1" ht="45" hidden="1" customHeight="1">
      <c r="A2568" s="13"/>
      <c r="B2568" s="191"/>
      <c r="C2568" s="289"/>
      <c r="D2568" s="265"/>
      <c r="E2568" s="13"/>
      <c r="F2568" s="14"/>
      <c r="G2568" s="265"/>
      <c r="H2568" s="13"/>
      <c r="I2568" s="191"/>
      <c r="J2568" s="7"/>
      <c r="K2568" s="8"/>
      <c r="L2568" s="9"/>
      <c r="M2568" s="191"/>
      <c r="N2568" s="14"/>
      <c r="O2568" s="10"/>
      <c r="P2568" s="11"/>
      <c r="Q2568" s="10"/>
      <c r="R2568" s="14"/>
      <c r="S2568" s="191"/>
      <c r="T2568" s="191"/>
      <c r="U2568" s="73"/>
      <c r="V2568" s="12"/>
      <c r="W2568" s="13"/>
      <c r="X2568" s="14"/>
      <c r="Y2568" s="14"/>
      <c r="Z2568" s="265" t="s">
        <v>7847</v>
      </c>
      <c r="AA2568" s="13"/>
      <c r="AB2568" s="14"/>
      <c r="AC2568" s="14"/>
      <c r="AD2568" s="14"/>
      <c r="AE2568" s="7"/>
      <c r="AF2568" s="7"/>
      <c r="AG2568" s="6"/>
      <c r="AH2568" s="6"/>
      <c r="AI2568" s="6"/>
      <c r="AJ2568" s="73"/>
      <c r="AK2568" s="6"/>
      <c r="AL2568" s="5"/>
      <c r="AM2568" s="2"/>
      <c r="AN2568" s="6"/>
      <c r="AO2568" s="6"/>
      <c r="AP2568" s="6"/>
      <c r="AQ2568" s="5"/>
      <c r="AR2568" s="2"/>
      <c r="AS2568" s="6"/>
      <c r="AT2568" s="6"/>
      <c r="AU2568" s="5"/>
      <c r="AV2568" s="111"/>
      <c r="AW2568" s="6"/>
    </row>
    <row r="2569" ht="45" hidden="1" customHeight="1">
      <c r="A2569" s="13"/>
      <c r="B2569" s="191"/>
      <c r="C2569" s="289"/>
      <c r="D2569" s="265"/>
      <c r="E2569" s="13"/>
      <c r="F2569" s="14"/>
      <c r="G2569" s="265"/>
      <c r="H2569" s="13"/>
      <c r="I2569" s="191"/>
      <c r="M2569" s="191"/>
      <c r="N2569" s="14"/>
      <c r="R2569" s="14"/>
      <c r="S2569" s="191"/>
      <c r="T2569" s="191"/>
      <c r="U2569" s="73"/>
      <c r="W2569" s="13"/>
      <c r="X2569" s="14"/>
      <c r="Y2569" s="14"/>
      <c r="Z2569" s="265" t="s">
        <v>7835</v>
      </c>
      <c r="AG2569" s="6"/>
      <c r="AH2569" s="6"/>
      <c r="AJ2569" s="73"/>
      <c r="AL2569" s="5"/>
      <c r="AU2569" s="5"/>
      <c r="AV2569" s="111"/>
    </row>
    <row r="2570" ht="45" hidden="1" customHeight="1">
      <c r="A2570" s="13"/>
      <c r="B2570" s="191"/>
      <c r="C2570" s="289"/>
      <c r="D2570" s="265"/>
      <c r="E2570" s="13"/>
      <c r="F2570" s="14"/>
      <c r="G2570" s="265"/>
      <c r="H2570" s="13"/>
      <c r="I2570" s="191"/>
      <c r="M2570" s="191"/>
      <c r="N2570" s="14"/>
      <c r="R2570" s="14"/>
      <c r="S2570" s="191"/>
      <c r="T2570" s="191"/>
      <c r="U2570" s="73"/>
      <c r="W2570" s="13"/>
      <c r="X2570" s="14"/>
      <c r="Y2570" s="14"/>
      <c r="Z2570" s="265" t="s">
        <v>7848</v>
      </c>
      <c r="AG2570" s="6"/>
      <c r="AH2570" s="6"/>
      <c r="AJ2570" s="73"/>
      <c r="AL2570" s="5"/>
      <c r="AU2570" s="5"/>
      <c r="AV2570" s="111"/>
    </row>
    <row r="2571" ht="45" hidden="1" customHeight="1">
      <c r="A2571" s="13"/>
      <c r="B2571" s="191"/>
      <c r="C2571" s="289"/>
      <c r="D2571" s="265"/>
      <c r="E2571" s="13"/>
      <c r="F2571" s="14"/>
      <c r="G2571" s="265"/>
      <c r="H2571" s="13"/>
      <c r="I2571" s="191"/>
      <c r="M2571" s="191"/>
      <c r="N2571" s="14"/>
      <c r="R2571" s="14"/>
      <c r="S2571" s="191"/>
      <c r="T2571" s="191"/>
      <c r="U2571" s="73"/>
      <c r="W2571" s="13"/>
      <c r="X2571" s="14"/>
      <c r="Y2571" s="14"/>
      <c r="Z2571" s="265" t="s">
        <v>7837</v>
      </c>
      <c r="AG2571" s="6"/>
      <c r="AH2571" s="6"/>
      <c r="AJ2571" s="73"/>
      <c r="AL2571" s="5"/>
      <c r="AU2571" s="5"/>
      <c r="AV2571" s="111"/>
    </row>
    <row r="2572" ht="45" hidden="1" customHeight="1">
      <c r="A2572" s="13"/>
      <c r="B2572" s="191"/>
      <c r="C2572" s="289"/>
      <c r="D2572" s="265"/>
      <c r="E2572" s="13"/>
      <c r="F2572" s="14"/>
      <c r="G2572" s="265"/>
      <c r="H2572" s="13"/>
      <c r="I2572" s="191"/>
      <c r="M2572" s="191"/>
      <c r="N2572" s="14"/>
      <c r="R2572" s="14"/>
      <c r="S2572" s="191"/>
      <c r="T2572" s="191"/>
      <c r="U2572" s="73"/>
      <c r="W2572" s="13"/>
      <c r="X2572" s="14"/>
      <c r="Y2572" s="14"/>
      <c r="Z2572" s="265" t="s">
        <v>7838</v>
      </c>
      <c r="AG2572" s="6"/>
      <c r="AH2572" s="6"/>
      <c r="AJ2572" s="73"/>
      <c r="AL2572" s="5"/>
      <c r="AU2572" s="5"/>
      <c r="AV2572" s="111"/>
    </row>
    <row r="2573" ht="45" hidden="1" customHeight="1">
      <c r="A2573" s="13"/>
      <c r="B2573" s="191"/>
      <c r="C2573" s="289"/>
      <c r="D2573" s="265"/>
      <c r="E2573" s="13"/>
      <c r="F2573" s="14"/>
      <c r="G2573" s="265"/>
      <c r="H2573" s="13"/>
      <c r="M2573" s="191"/>
      <c r="S2573" s="191"/>
      <c r="T2573" s="191"/>
      <c r="U2573" s="73"/>
      <c r="W2573" s="13"/>
      <c r="X2573" s="14"/>
      <c r="Y2573" s="14"/>
      <c r="Z2573" s="265" t="s">
        <v>7839</v>
      </c>
      <c r="AG2573" s="6"/>
      <c r="AH2573" s="6"/>
      <c r="AJ2573" s="73"/>
      <c r="AL2573" s="5"/>
      <c r="AU2573" s="5"/>
      <c r="AV2573" s="111"/>
    </row>
    <row r="2574" ht="45" customHeight="1">
      <c r="A2574" s="13"/>
      <c r="B2574" s="191"/>
      <c r="C2574" s="289"/>
      <c r="D2574" s="265"/>
      <c r="E2574" s="13"/>
      <c r="F2574" s="14"/>
      <c r="G2574" s="265"/>
      <c r="H2574" s="13"/>
      <c r="W2574" s="13"/>
      <c r="AG2574" s="6"/>
      <c r="AH2574" s="6"/>
      <c r="AL2574" s="240"/>
    </row>
    <row r="2575" ht="45" customHeight="1">
      <c r="A2575" s="13"/>
      <c r="B2575" s="191"/>
      <c r="C2575" s="289"/>
      <c r="D2575" s="265"/>
      <c r="E2575" s="13"/>
      <c r="H2575" s="13"/>
      <c r="W2575" s="13"/>
      <c r="AG2575" s="6"/>
      <c r="AH2575" s="6"/>
      <c r="AL2575" s="240"/>
    </row>
    <row r="2576" ht="45" customHeight="1">
      <c r="A2576" s="13"/>
      <c r="B2576" s="191"/>
      <c r="C2576" s="289"/>
      <c r="D2576" s="265"/>
      <c r="E2576" s="13"/>
      <c r="H2576" s="13"/>
      <c r="W2576" s="13"/>
      <c r="AG2576" s="6"/>
      <c r="AH2576" s="6"/>
      <c r="AL2576" s="240"/>
    </row>
    <row r="2577" ht="45" customHeight="1">
      <c r="A2577" s="13"/>
      <c r="B2577" s="191"/>
      <c r="C2577" s="289"/>
      <c r="D2577" s="265"/>
      <c r="E2577" s="13"/>
      <c r="H2577" s="13"/>
      <c r="W2577" s="13"/>
    </row>
    <row r="2578" ht="45" customHeight="1">
      <c r="A2578" s="13"/>
      <c r="B2578" s="191"/>
      <c r="C2578" s="289"/>
      <c r="D2578" s="265"/>
      <c r="E2578" s="13"/>
      <c r="H2578" s="13"/>
      <c r="W2578" s="13"/>
    </row>
    <row r="2579" ht="45" customHeight="1">
      <c r="A2579" s="13"/>
      <c r="B2579" s="191"/>
      <c r="C2579" s="289"/>
      <c r="D2579" s="265"/>
      <c r="E2579" s="13"/>
      <c r="H2579" s="13"/>
      <c r="W2579" s="13"/>
    </row>
    <row r="2580" ht="45" customHeight="1">
      <c r="A2580" s="13"/>
      <c r="B2580" s="191"/>
      <c r="C2580" s="289"/>
      <c r="D2580" s="265"/>
      <c r="E2580" s="13"/>
      <c r="H2580" s="13"/>
      <c r="W2580" s="13"/>
    </row>
    <row r="2581" ht="45" customHeight="1">
      <c r="A2581" s="13"/>
      <c r="B2581" s="191"/>
      <c r="C2581" s="289"/>
      <c r="D2581" s="265"/>
      <c r="E2581" s="13"/>
      <c r="H2581" s="13"/>
      <c r="W2581" s="13"/>
    </row>
    <row r="2582" ht="45" customHeight="1">
      <c r="A2582" s="13"/>
      <c r="B2582" s="191"/>
      <c r="C2582" s="289"/>
      <c r="D2582" s="265"/>
      <c r="E2582" s="13"/>
      <c r="H2582" s="13"/>
      <c r="W2582" s="13"/>
    </row>
    <row r="2583" ht="45" customHeight="1">
      <c r="A2583" s="13"/>
      <c r="B2583" s="191"/>
      <c r="C2583" s="289"/>
      <c r="D2583" s="265"/>
      <c r="E2583" s="13"/>
      <c r="H2583" s="13"/>
      <c r="W2583" s="13"/>
    </row>
    <row r="2584" ht="45" customHeight="1">
      <c r="A2584" s="13"/>
      <c r="B2584" s="191"/>
      <c r="C2584" s="289"/>
      <c r="D2584" s="265"/>
      <c r="H2584" s="13"/>
      <c r="W2584" s="13"/>
    </row>
    <row r="2585" ht="45" customHeight="1">
      <c r="A2585" s="13"/>
      <c r="B2585" s="191"/>
      <c r="C2585" s="289"/>
      <c r="D2585" s="265"/>
      <c r="W2585" s="13"/>
    </row>
    <row r="2586" ht="45" customHeight="1">
      <c r="A2586" s="13"/>
      <c r="B2586" s="191"/>
      <c r="C2586" s="289"/>
      <c r="D2586" s="265"/>
      <c r="W2586" s="13"/>
    </row>
    <row r="2587" ht="45" customHeight="1">
      <c r="A2587" s="13"/>
      <c r="B2587" s="191"/>
      <c r="C2587" s="289"/>
      <c r="D2587" s="265"/>
      <c r="P2587" s="71"/>
      <c r="W2587" s="13"/>
    </row>
  </sheetData>
  <autoFilter ref="A1:AW2573">
    <filterColumn colId="10">
      <filters>
        <filter val="T"/>
        <filter val="TA"/>
        <filter val="TP"/>
      </filters>
    </filterColumn>
  </autoFilter>
  <mergeCells count="7">
    <mergeCell ref="A2535:C2535"/>
    <mergeCell ref="AG2535:AI2535"/>
    <mergeCell ref="AM2535:AN2535"/>
    <mergeCell ref="AO2535:AP2535"/>
    <mergeCell ref="B2546:C2546"/>
    <mergeCell ref="A2548:C2548"/>
    <mergeCell ref="B2551:C2551"/>
  </mergeCells>
  <hyperlinks>
    <hyperlink r:id="rId1" ref="D2449"/>
  </hyperlinks>
  <printOptions headings="0" gridLines="0" horizontalCentered="0" verticalCentered="0"/>
  <pageMargins left="0.25" right="0.25" top="0.75" bottom="0.75" header="0.51181102362204689" footer="0.51181102362204689"/>
  <pageSetup paperSize="9" scale="100" fitToWidth="1" fitToHeight="0" pageOrder="downThenOver" orientation="landscape" usePrinterDefaults="1" blackAndWhite="0" draft="0" cellComments="none" useFirstPageNumber="0" errors="displayed" horizontalDpi="300" verticalDpi="300" copies="1"/>
  <headerFooter/>
  <drawing r:id="rId2"/>
  <extLst>
    <ext xmlns:x14="http://schemas.microsoft.com/office/spreadsheetml/2009/9/main" uri="{78C0D931-6437-407d-A8EE-F0AAD7539E65}">
      <x14:conditionalFormattings>
        <x14:conditionalFormatting xmlns:xm="http://schemas.microsoft.com/office/excel/2006/main">
          <x14:cfRule type="duplicateValues" priority="2" aboveAverage="0" rank="0" text="" id="{00430078-005E-45AD-97F2-00060064004D}">
            <x14:dxf>
              <font>
                <color rgb="FF9C0006"/>
              </font>
              <fill>
                <patternFill patternType="solid">
                  <fgColor rgb="FFFFC7CE"/>
                  <bgColor rgb="FFFFC7CE"/>
                </patternFill>
              </fill>
            </x14:dxf>
          </x14:cfRule>
          <xm:sqref>M838</xm:sqref>
        </x14:conditionalFormatting>
        <x14:conditionalFormatting xmlns:xm="http://schemas.microsoft.com/office/excel/2006/main">
          <x14:cfRule type="duplicateValues" priority="3" aboveAverage="0" rank="0" text="" id="{00F9008A-0096-4DE7-BE27-00E700C4001A}">
            <x14:dxf>
              <font>
                <color rgb="FF9C0006"/>
              </font>
              <fill>
                <patternFill patternType="solid">
                  <fgColor rgb="FFFFC7CE"/>
                  <bgColor rgb="FFFFC7CE"/>
                </patternFill>
              </fill>
            </x14:dxf>
          </x14:cfRule>
          <xm:sqref>M838</xm:sqref>
        </x14:conditionalFormatting>
        <x14:conditionalFormatting xmlns:xm="http://schemas.microsoft.com/office/excel/2006/main">
          <x14:cfRule type="duplicateValues" priority="4" aboveAverage="0" rank="0" text="" id="{00B000DC-0059-4FDB-9080-00F600A20003}">
            <x14:dxf>
              <font>
                <color rgb="FF9C0006"/>
              </font>
              <fill>
                <patternFill patternType="solid">
                  <fgColor rgb="FFFFC7CE"/>
                  <bgColor rgb="FFFFC7CE"/>
                </patternFill>
              </fill>
            </x14:dxf>
          </x14:cfRule>
          <xm:sqref>M838</xm:sqref>
        </x14:conditionalFormatting>
        <x14:conditionalFormatting xmlns:xm="http://schemas.microsoft.com/office/excel/2006/main">
          <x14:cfRule type="duplicateValues" priority="5" aboveAverage="0" rank="0" text="" id="{001900F8-00CF-4DCC-A402-006A0031003B}">
            <x14:dxf>
              <font>
                <color rgb="FF9C0006"/>
              </font>
              <fill>
                <patternFill patternType="solid">
                  <fgColor rgb="FFFFC7CE"/>
                  <bgColor rgb="FFFFC7CE"/>
                </patternFill>
              </fill>
            </x14:dxf>
          </x14:cfRule>
          <xm:sqref>M838</xm:sqref>
        </x14:conditionalFormatting>
        <x14:conditionalFormatting xmlns:xm="http://schemas.microsoft.com/office/excel/2006/main">
          <x14:cfRule type="duplicateValues" priority="6" aboveAverage="0" rank="0" text="" id="{00760023-00EF-495C-8EDB-007700FE0033}">
            <x14:dxf>
              <font>
                <color rgb="FF9C0006"/>
              </font>
              <fill>
                <patternFill patternType="solid">
                  <fgColor rgb="FFFFC7CE"/>
                  <bgColor rgb="FFFFC7CE"/>
                </patternFill>
              </fill>
            </x14:dxf>
          </x14:cfRule>
          <xm:sqref>M2480 M2527 M2484 M2488 M2492</xm:sqref>
        </x14:conditionalFormatting>
        <x14:conditionalFormatting xmlns:xm="http://schemas.microsoft.com/office/excel/2006/main">
          <x14:cfRule type="duplicateValues" priority="7" aboveAverage="0" rank="0" text="" id="{00A40094-00F1-4FA1-BB86-0067000A00B3}">
            <x14:dxf>
              <font>
                <color rgb="FF9C0006"/>
              </font>
              <fill>
                <patternFill patternType="solid">
                  <fgColor rgb="FFFFC7CE"/>
                  <bgColor rgb="FFFFC7CE"/>
                </patternFill>
              </fill>
            </x14:dxf>
          </x14:cfRule>
          <xm:sqref>M2420:M2479 M2481:M2483 M2485:M2487 M2489:M2491 M2493:M2526</xm:sqref>
        </x14:conditionalFormatting>
        <x14:conditionalFormatting xmlns:xm="http://schemas.microsoft.com/office/excel/2006/main">
          <x14:cfRule type="duplicateValues" priority="8" aboveAverage="0" rank="0" text="" id="{001F001F-00D7-44E4-88B6-00FB008A0093}">
            <x14:dxf>
              <font>
                <color rgb="FF9C0006"/>
              </font>
              <fill>
                <patternFill patternType="solid">
                  <fgColor rgb="FFFFC7CE"/>
                  <bgColor rgb="FFFFC7CE"/>
                </patternFill>
              </fill>
            </x14:dxf>
          </x14:cfRule>
          <xm:sqref>M2389</xm:sqref>
        </x14:conditionalFormatting>
        <x14:conditionalFormatting xmlns:xm="http://schemas.microsoft.com/office/excel/2006/main">
          <x14:cfRule type="duplicateValues" priority="9" aboveAverage="0" rank="0" text="" id="{008B00EE-00CA-4F58-83BA-00D200890009}">
            <x14:dxf>
              <font>
                <color rgb="FF9C0006"/>
              </font>
              <fill>
                <patternFill patternType="solid">
                  <fgColor rgb="FFFFC7CE"/>
                  <bgColor rgb="FFFFC7CE"/>
                </patternFill>
              </fill>
            </x14:dxf>
          </x14:cfRule>
          <xm:sqref>M2391:M2419</xm:sqref>
        </x14:conditionalFormatting>
        <x14:conditionalFormatting xmlns:xm="http://schemas.microsoft.com/office/excel/2006/main">
          <x14:cfRule type="duplicateValues" priority="10" aboveAverage="0" rank="0" text="" id="{0007009A-008F-4654-810F-006C006500C8}">
            <x14:dxf>
              <font>
                <color rgb="FF9C0006"/>
              </font>
              <fill>
                <patternFill patternType="solid">
                  <fgColor rgb="FFFFC7CE"/>
                  <bgColor rgb="FFFFC7CE"/>
                </patternFill>
              </fill>
            </x14:dxf>
          </x14:cfRule>
          <xm:sqref>M1499</xm:sqref>
        </x14:conditionalFormatting>
        <x14:conditionalFormatting xmlns:xm="http://schemas.microsoft.com/office/excel/2006/main">
          <x14:cfRule type="duplicateValues" priority="11" aboveAverage="0" rank="0" text="" id="{008600DF-0036-4FF3-A41F-00A20001009A}">
            <x14:dxf>
              <font>
                <color rgb="FF9C0006"/>
              </font>
              <fill>
                <patternFill patternType="solid">
                  <fgColor rgb="FFFFC7CE"/>
                  <bgColor rgb="FFFFC7CE"/>
                </patternFill>
              </fill>
            </x14:dxf>
          </x14:cfRule>
          <xm:sqref>M1079</xm:sqref>
        </x14:conditionalFormatting>
        <x14:conditionalFormatting xmlns:xm="http://schemas.microsoft.com/office/excel/2006/main">
          <x14:cfRule type="duplicateValues" priority="12" aboveAverage="0" rank="0" text="" id="{00BB00C4-0015-4DB2-A7BA-00F500DB00C0}">
            <x14:dxf>
              <font>
                <color rgb="FF9C0006"/>
              </font>
              <fill>
                <patternFill patternType="solid">
                  <fgColor rgb="FFFFC7CE"/>
                  <bgColor rgb="FFFFC7CE"/>
                </patternFill>
              </fill>
            </x14:dxf>
          </x14:cfRule>
          <xm:sqref>M1079</xm:sqref>
        </x14:conditionalFormatting>
        <x14:conditionalFormatting xmlns:xm="http://schemas.microsoft.com/office/excel/2006/main">
          <x14:cfRule type="duplicateValues" priority="13" aboveAverage="0" rank="0" text="" id="{00280082-007E-4960-AECE-00900096009E}">
            <x14:dxf>
              <font>
                <color rgb="FF9C0006"/>
              </font>
              <fill>
                <patternFill patternType="solid">
                  <fgColor rgb="FFFFC7CE"/>
                  <bgColor rgb="FFFFC7CE"/>
                </patternFill>
              </fill>
            </x14:dxf>
          </x14:cfRule>
          <xm:sqref>M1079</xm:sqref>
        </x14:conditionalFormatting>
        <x14:conditionalFormatting xmlns:xm="http://schemas.microsoft.com/office/excel/2006/main">
          <x14:cfRule type="duplicateValues" priority="14" aboveAverage="0" rank="0" text="" id="{0018003F-00E6-497E-A28F-004C00EE00E3}">
            <x14:dxf>
              <font>
                <color rgb="FF9C0006"/>
              </font>
              <fill>
                <patternFill patternType="solid">
                  <fgColor rgb="FFFFC7CE"/>
                  <bgColor rgb="FFFFC7CE"/>
                </patternFill>
              </fill>
            </x14:dxf>
          </x14:cfRule>
          <xm:sqref>M1079</xm:sqref>
        </x14:conditionalFormatting>
        <x14:conditionalFormatting xmlns:xm="http://schemas.microsoft.com/office/excel/2006/main">
          <x14:cfRule type="duplicateValues" priority="15" aboveAverage="0" rank="0" text="" id="{00D70061-0032-4817-BBA5-005300E100E7}">
            <x14:dxf>
              <font>
                <color rgb="FF9C0006"/>
              </font>
              <fill>
                <patternFill patternType="solid">
                  <fgColor rgb="FFFFC7CE"/>
                  <bgColor rgb="FFFFC7CE"/>
                </patternFill>
              </fill>
            </x14:dxf>
          </x14:cfRule>
          <xm:sqref>M1542</xm:sqref>
        </x14:conditionalFormatting>
        <x14:conditionalFormatting xmlns:xm="http://schemas.microsoft.com/office/excel/2006/main">
          <x14:cfRule type="duplicateValues" priority="16" aboveAverage="0" rank="0" text="" id="{000A007B-0040-4C6B-9795-007C0056000D}">
            <x14:dxf>
              <font>
                <color rgb="FF9C0006"/>
              </font>
              <fill>
                <patternFill patternType="solid">
                  <fgColor rgb="FFFFC7CE"/>
                  <bgColor rgb="FFFFC7CE"/>
                </patternFill>
              </fill>
            </x14:dxf>
          </x14:cfRule>
          <xm:sqref>M1542</xm:sqref>
        </x14:conditionalFormatting>
        <x14:conditionalFormatting xmlns:xm="http://schemas.microsoft.com/office/excel/2006/main">
          <x14:cfRule type="duplicateValues" priority="17" aboveAverage="0" rank="0" text="" id="{006E005E-0083-468A-81F8-0001000C00D6}">
            <x14:dxf>
              <font>
                <color rgb="FF9C0006"/>
              </font>
              <fill>
                <patternFill patternType="solid">
                  <fgColor rgb="FFFFC7CE"/>
                  <bgColor rgb="FFFFC7CE"/>
                </patternFill>
              </fill>
            </x14:dxf>
          </x14:cfRule>
          <xm:sqref>M1542</xm:sqref>
        </x14:conditionalFormatting>
        <x14:conditionalFormatting xmlns:xm="http://schemas.microsoft.com/office/excel/2006/main">
          <x14:cfRule type="duplicateValues" priority="18" aboveAverage="0" rank="0" text="" id="{00770008-00E4-4990-8263-00A500AA0072}">
            <x14:dxf>
              <font>
                <color rgb="FF9C0006"/>
              </font>
              <fill>
                <patternFill patternType="solid">
                  <fgColor rgb="FFFFC7CE"/>
                  <bgColor rgb="FFFFC7CE"/>
                </patternFill>
              </fill>
            </x14:dxf>
          </x14:cfRule>
          <xm:sqref>M1542</xm:sqref>
        </x14:conditionalFormatting>
        <x14:conditionalFormatting xmlns:xm="http://schemas.microsoft.com/office/excel/2006/main">
          <x14:cfRule type="duplicateValues" priority="19" aboveAverage="0" rank="0" text="" id="{009B00B4-00B3-438D-A11B-0052005B00C5}">
            <x14:dxf>
              <font>
                <color rgb="FF9C0006"/>
              </font>
              <fill>
                <patternFill patternType="solid">
                  <fgColor rgb="FFFFC7CE"/>
                  <bgColor rgb="FFFFC7CE"/>
                </patternFill>
              </fill>
            </x14:dxf>
          </x14:cfRule>
          <xm:sqref>M2193</xm:sqref>
        </x14:conditionalFormatting>
        <x14:conditionalFormatting xmlns:xm="http://schemas.microsoft.com/office/excel/2006/main">
          <x14:cfRule type="duplicateValues" priority="20" aboveAverage="0" rank="0" text="" id="{0046007F-00D6-4C70-A61E-005B00300009}">
            <x14:dxf>
              <font>
                <color rgb="FF9C0006"/>
              </font>
              <fill>
                <patternFill patternType="solid">
                  <fgColor rgb="FFFFC7CE"/>
                  <bgColor rgb="FFFFC7CE"/>
                </patternFill>
              </fill>
            </x14:dxf>
          </x14:cfRule>
          <xm:sqref>M2193</xm:sqref>
        </x14:conditionalFormatting>
        <x14:conditionalFormatting xmlns:xm="http://schemas.microsoft.com/office/excel/2006/main">
          <x14:cfRule type="duplicateValues" priority="21" aboveAverage="0" rank="0" text="" id="{007500DB-00DA-4503-B660-007C008000E2}">
            <x14:dxf>
              <font>
                <color rgb="FF9C0006"/>
              </font>
              <fill>
                <patternFill patternType="solid">
                  <fgColor rgb="FFFFC7CE"/>
                  <bgColor rgb="FFFFC7CE"/>
                </patternFill>
              </fill>
            </x14:dxf>
          </x14:cfRule>
          <xm:sqref>M2193</xm:sqref>
        </x14:conditionalFormatting>
        <x14:conditionalFormatting xmlns:xm="http://schemas.microsoft.com/office/excel/2006/main">
          <x14:cfRule type="duplicateValues" priority="22" aboveAverage="0" rank="0" text="" id="{002A008B-006D-4865-901A-006500800084}">
            <x14:dxf>
              <font>
                <color rgb="FF9C0006"/>
              </font>
              <fill>
                <patternFill patternType="solid">
                  <fgColor rgb="FFFFC7CE"/>
                  <bgColor rgb="FFFFC7CE"/>
                </patternFill>
              </fill>
            </x14:dxf>
          </x14:cfRule>
          <xm:sqref>M2193</xm:sqref>
        </x14:conditionalFormatting>
        <x14:conditionalFormatting xmlns:xm="http://schemas.microsoft.com/office/excel/2006/main">
          <x14:cfRule type="duplicateValues" priority="23" aboveAverage="0" rank="0" text="" id="{009A00F1-00BB-4990-8E39-000700DD00C8}">
            <x14:dxf>
              <font>
                <color rgb="FF9C0006"/>
              </font>
              <fill>
                <patternFill patternType="solid">
                  <fgColor rgb="FFFFC7CE"/>
                  <bgColor rgb="FFFFC7CE"/>
                </patternFill>
              </fill>
            </x14:dxf>
          </x14:cfRule>
          <xm:sqref>M2032</xm:sqref>
        </x14:conditionalFormatting>
        <x14:conditionalFormatting xmlns:xm="http://schemas.microsoft.com/office/excel/2006/main">
          <x14:cfRule type="duplicateValues" priority="24" aboveAverage="0" rank="0" text="" id="{000500A1-008E-4422-B339-000F004C00EB}">
            <x14:dxf>
              <font>
                <color rgb="FF9C0006"/>
              </font>
              <fill>
                <patternFill patternType="solid">
                  <fgColor rgb="FFFFC7CE"/>
                  <bgColor rgb="FFFFC7CE"/>
                </patternFill>
              </fill>
            </x14:dxf>
          </x14:cfRule>
          <xm:sqref>M2032</xm:sqref>
        </x14:conditionalFormatting>
        <x14:conditionalFormatting xmlns:xm="http://schemas.microsoft.com/office/excel/2006/main">
          <x14:cfRule type="duplicateValues" priority="25" aboveAverage="0" rank="0" text="" id="{007B0087-004D-4EF7-B574-0072001D000E}">
            <x14:dxf>
              <font>
                <color rgb="FF9C0006"/>
              </font>
              <fill>
                <patternFill patternType="solid">
                  <fgColor rgb="FFFFC7CE"/>
                  <bgColor rgb="FFFFC7CE"/>
                </patternFill>
              </fill>
            </x14:dxf>
          </x14:cfRule>
          <xm:sqref>M2032</xm:sqref>
        </x14:conditionalFormatting>
        <x14:conditionalFormatting xmlns:xm="http://schemas.microsoft.com/office/excel/2006/main">
          <x14:cfRule type="duplicateValues" priority="26" aboveAverage="0" rank="0" text="" id="{0022005D-001A-405A-BF36-008F00EC00CD}">
            <x14:dxf>
              <font>
                <color rgb="FF9C0006"/>
              </font>
              <fill>
                <patternFill patternType="solid">
                  <fgColor rgb="FFFFC7CE"/>
                  <bgColor rgb="FFFFC7CE"/>
                </patternFill>
              </fill>
            </x14:dxf>
          </x14:cfRule>
          <xm:sqref>M2032</xm:sqref>
        </x14:conditionalFormatting>
        <x14:conditionalFormatting xmlns:xm="http://schemas.microsoft.com/office/excel/2006/main">
          <x14:cfRule type="duplicateValues" priority="27" aboveAverage="0" rank="0" text="" id="{000A0022-0069-4F1F-9A24-0078006400F8}">
            <x14:dxf>
              <font>
                <color rgb="FF9C0006"/>
              </font>
              <fill>
                <patternFill patternType="solid">
                  <fgColor rgb="FFFFC7CE"/>
                  <bgColor rgb="FFFFC7CE"/>
                </patternFill>
              </fill>
            </x14:dxf>
          </x14:cfRule>
          <xm:sqref>M2371</xm:sqref>
        </x14:conditionalFormatting>
        <x14:conditionalFormatting xmlns:xm="http://schemas.microsoft.com/office/excel/2006/main">
          <x14:cfRule type="duplicateValues" priority="28" aboveAverage="0" rank="0" text="" id="{00CD00DD-0006-4DBF-A5CC-0065003100B5}">
            <x14:dxf>
              <font>
                <color rgb="FF9C0006"/>
              </font>
              <fill>
                <patternFill patternType="solid">
                  <fgColor rgb="FFFFC7CE"/>
                  <bgColor rgb="FFFFC7CE"/>
                </patternFill>
              </fill>
            </x14:dxf>
          </x14:cfRule>
          <xm:sqref>M2344</xm:sqref>
        </x14:conditionalFormatting>
        <x14:conditionalFormatting xmlns:xm="http://schemas.microsoft.com/office/excel/2006/main">
          <x14:cfRule type="duplicateValues" priority="29" aboveAverage="0" rank="0" text="" id="{00690095-0066-479C-B9B5-00DF004F0023}">
            <x14:dxf>
              <font>
                <color rgb="FF9C0006"/>
              </font>
              <fill>
                <patternFill patternType="solid">
                  <fgColor rgb="FFFFC7CE"/>
                  <bgColor rgb="FFFFC7CE"/>
                </patternFill>
              </fill>
            </x14:dxf>
          </x14:cfRule>
          <xm:sqref>M2345</xm:sqref>
        </x14:conditionalFormatting>
        <x14:conditionalFormatting xmlns:xm="http://schemas.microsoft.com/office/excel/2006/main">
          <x14:cfRule type="duplicateValues" priority="30" aboveAverage="0" rank="0" text="" id="{003600CF-00F9-483E-BCAC-009C00240052}">
            <x14:dxf>
              <font>
                <color rgb="FF9C0006"/>
              </font>
              <fill>
                <patternFill patternType="solid">
                  <fgColor rgb="FFFFC7CE"/>
                  <bgColor rgb="FFFFC7CE"/>
                </patternFill>
              </fill>
            </x14:dxf>
          </x14:cfRule>
          <xm:sqref>M2346</xm:sqref>
        </x14:conditionalFormatting>
        <x14:conditionalFormatting xmlns:xm="http://schemas.microsoft.com/office/excel/2006/main">
          <x14:cfRule type="duplicateValues" priority="31" aboveAverage="0" rank="0" text="" id="{00660086-00E1-47B1-A3C8-00BF0047005D}">
            <x14:dxf>
              <font>
                <color rgb="FF9C0006"/>
              </font>
              <fill>
                <patternFill patternType="solid">
                  <fgColor rgb="FFFFC7CE"/>
                  <bgColor rgb="FFFFC7CE"/>
                </patternFill>
              </fill>
            </x14:dxf>
          </x14:cfRule>
          <xm:sqref>M1968:M1969</xm:sqref>
        </x14:conditionalFormatting>
        <x14:conditionalFormatting xmlns:xm="http://schemas.microsoft.com/office/excel/2006/main">
          <x14:cfRule type="duplicateValues" priority="32" aboveAverage="0" rank="0" text="" id="{001400A0-001B-41F1-A6CD-003E00EB0013}">
            <x14:dxf>
              <font>
                <color rgb="FF9C0006"/>
              </font>
              <fill>
                <patternFill patternType="solid">
                  <fgColor rgb="FFFFC7CE"/>
                  <bgColor rgb="FFFFC7CE"/>
                </patternFill>
              </fill>
            </x14:dxf>
          </x14:cfRule>
          <xm:sqref>M1968:M1969</xm:sqref>
        </x14:conditionalFormatting>
        <x14:conditionalFormatting xmlns:xm="http://schemas.microsoft.com/office/excel/2006/main">
          <x14:cfRule type="duplicateValues" priority="33" aboveAverage="0" rank="0" text="" id="{00370070-00C3-4AE5-BB85-002E007F006A}">
            <x14:dxf>
              <font>
                <color rgb="FF9C0006"/>
              </font>
              <fill>
                <patternFill patternType="solid">
                  <fgColor rgb="FFFFC7CE"/>
                  <bgColor rgb="FFFFC7CE"/>
                </patternFill>
              </fill>
            </x14:dxf>
          </x14:cfRule>
          <xm:sqref>M1968:M1969</xm:sqref>
        </x14:conditionalFormatting>
        <x14:conditionalFormatting xmlns:xm="http://schemas.microsoft.com/office/excel/2006/main">
          <x14:cfRule type="duplicateValues" priority="34" aboveAverage="0" rank="0" text="" id="{0062005C-00B3-4305-AAEE-00E4000C00E7}">
            <x14:dxf>
              <font>
                <color rgb="FF9C0006"/>
              </font>
              <fill>
                <patternFill patternType="solid">
                  <fgColor rgb="FFFFC7CE"/>
                  <bgColor rgb="FFFFC7CE"/>
                </patternFill>
              </fill>
            </x14:dxf>
          </x14:cfRule>
          <xm:sqref>M1968:M1969</xm:sqref>
        </x14:conditionalFormatting>
        <x14:conditionalFormatting xmlns:xm="http://schemas.microsoft.com/office/excel/2006/main">
          <x14:cfRule type="duplicateValues" priority="35" aboveAverage="0" rank="0" text="" id="{000F0012-0064-4DFC-B659-00DE001B00FA}">
            <x14:dxf>
              <font>
                <color rgb="FF9C0006"/>
              </font>
              <fill>
                <patternFill patternType="solid">
                  <fgColor rgb="FFFFC7CE"/>
                  <bgColor rgb="FFFFC7CE"/>
                </patternFill>
              </fill>
            </x14:dxf>
          </x14:cfRule>
          <xm:sqref>M2223:M2286 M2290:M2291</xm:sqref>
        </x14:conditionalFormatting>
        <x14:conditionalFormatting xmlns:xm="http://schemas.microsoft.com/office/excel/2006/main">
          <x14:cfRule type="duplicateValues" priority="36" aboveAverage="0" rank="0" text="" id="{00D60054-0082-446C-822A-00E20050004F}">
            <x14:dxf>
              <font>
                <color rgb="FF9C0006"/>
              </font>
              <fill>
                <patternFill patternType="solid">
                  <fgColor rgb="FFFFC7CE"/>
                  <bgColor rgb="FFFFC7CE"/>
                </patternFill>
              </fill>
            </x14:dxf>
          </x14:cfRule>
          <xm:sqref>M2040</xm:sqref>
        </x14:conditionalFormatting>
        <x14:conditionalFormatting xmlns:xm="http://schemas.microsoft.com/office/excel/2006/main">
          <x14:cfRule type="duplicateValues" priority="37" aboveAverage="0" rank="0" text="" id="{002C001D-004D-4C45-9CBF-00DD00820001}">
            <x14:dxf>
              <font>
                <color rgb="FF9C0006"/>
              </font>
              <fill>
                <patternFill patternType="solid">
                  <fgColor rgb="FFFFC7CE"/>
                  <bgColor rgb="FFFFC7CE"/>
                </patternFill>
              </fill>
            </x14:dxf>
          </x14:cfRule>
          <xm:sqref>M2040</xm:sqref>
        </x14:conditionalFormatting>
        <x14:conditionalFormatting xmlns:xm="http://schemas.microsoft.com/office/excel/2006/main">
          <x14:cfRule type="duplicateValues" priority="38" aboveAverage="0" rank="0" text="" id="{00AF00C0-00AD-48B4-AC53-005100010059}">
            <x14:dxf>
              <font>
                <color rgb="FF9C0006"/>
              </font>
              <fill>
                <patternFill patternType="solid">
                  <fgColor rgb="FFFFC7CE"/>
                  <bgColor rgb="FFFFC7CE"/>
                </patternFill>
              </fill>
            </x14:dxf>
          </x14:cfRule>
          <xm:sqref>M2040</xm:sqref>
        </x14:conditionalFormatting>
        <x14:conditionalFormatting xmlns:xm="http://schemas.microsoft.com/office/excel/2006/main">
          <x14:cfRule type="duplicateValues" priority="39" aboveAverage="0" rank="0" text="" id="{005100D4-006C-4E02-BE64-005A009E00C8}">
            <x14:dxf>
              <font>
                <color rgb="FF9C0006"/>
              </font>
              <fill>
                <patternFill patternType="solid">
                  <fgColor rgb="FFFFC7CE"/>
                  <bgColor rgb="FFFFC7CE"/>
                </patternFill>
              </fill>
            </x14:dxf>
          </x14:cfRule>
          <xm:sqref>M2040</xm:sqref>
        </x14:conditionalFormatting>
        <x14:conditionalFormatting xmlns:xm="http://schemas.microsoft.com/office/excel/2006/main">
          <x14:cfRule type="duplicateValues" priority="40" aboveAverage="0" rank="0" text="" id="{003900FF-00E5-4038-85B5-009100B600BD}">
            <x14:dxf>
              <font>
                <color rgb="FF9C0006"/>
              </font>
              <fill>
                <patternFill patternType="solid">
                  <fgColor rgb="FFFFC7CE"/>
                  <bgColor rgb="FFFFC7CE"/>
                </patternFill>
              </fill>
            </x14:dxf>
          </x14:cfRule>
          <xm:sqref>M1296</xm:sqref>
        </x14:conditionalFormatting>
        <x14:conditionalFormatting xmlns:xm="http://schemas.microsoft.com/office/excel/2006/main">
          <x14:cfRule type="duplicateValues" priority="41" aboveAverage="0" rank="0" text="" id="{008200D8-003D-4F29-A852-001F00DC0067}">
            <x14:dxf>
              <font>
                <color rgb="FF9C0006"/>
              </font>
              <fill>
                <patternFill patternType="solid">
                  <fgColor rgb="FFFFC7CE"/>
                  <bgColor rgb="FFFFC7CE"/>
                </patternFill>
              </fill>
            </x14:dxf>
          </x14:cfRule>
          <xm:sqref>M1296</xm:sqref>
        </x14:conditionalFormatting>
        <x14:conditionalFormatting xmlns:xm="http://schemas.microsoft.com/office/excel/2006/main">
          <x14:cfRule type="duplicateValues" priority="42" aboveAverage="0" rank="0" text="" id="{009F00A2-00A0-4DD7-89B7-00E00029003E}">
            <x14:dxf>
              <font>
                <color rgb="FF9C0006"/>
              </font>
              <fill>
                <patternFill patternType="solid">
                  <fgColor rgb="FFFFC7CE"/>
                  <bgColor rgb="FFFFC7CE"/>
                </patternFill>
              </fill>
            </x14:dxf>
          </x14:cfRule>
          <xm:sqref>M1296</xm:sqref>
        </x14:conditionalFormatting>
        <x14:conditionalFormatting xmlns:xm="http://schemas.microsoft.com/office/excel/2006/main">
          <x14:cfRule type="duplicateValues" priority="43" aboveAverage="0" rank="0" text="" id="{00260091-0039-4969-B68C-006400FC003E}">
            <x14:dxf>
              <font>
                <color rgb="FF9C0006"/>
              </font>
              <fill>
                <patternFill patternType="solid">
                  <fgColor rgb="FFFFC7CE"/>
                  <bgColor rgb="FFFFC7CE"/>
                </patternFill>
              </fill>
            </x14:dxf>
          </x14:cfRule>
          <xm:sqref>M1296</xm:sqref>
        </x14:conditionalFormatting>
        <x14:conditionalFormatting xmlns:xm="http://schemas.microsoft.com/office/excel/2006/main">
          <x14:cfRule type="duplicateValues" priority="44" aboveAverage="0" rank="0" text="" id="{006E0061-004E-4507-9938-004F002200EF}">
            <x14:dxf>
              <font>
                <color rgb="FF9C0006"/>
              </font>
              <fill>
                <patternFill patternType="solid">
                  <fgColor rgb="FFFFC7CE"/>
                  <bgColor rgb="FFFFC7CE"/>
                </patternFill>
              </fill>
            </x14:dxf>
          </x14:cfRule>
          <xm:sqref>M1297</xm:sqref>
        </x14:conditionalFormatting>
        <x14:conditionalFormatting xmlns:xm="http://schemas.microsoft.com/office/excel/2006/main">
          <x14:cfRule type="duplicateValues" priority="45" aboveAverage="0" rank="0" text="" id="{00FC00D7-00F2-46BE-A5D1-001A0081002B}">
            <x14:dxf>
              <font>
                <color rgb="FF9C0006"/>
              </font>
              <fill>
                <patternFill patternType="solid">
                  <fgColor rgb="FFFFC7CE"/>
                  <bgColor rgb="FFFFC7CE"/>
                </patternFill>
              </fill>
            </x14:dxf>
          </x14:cfRule>
          <xm:sqref>M1297</xm:sqref>
        </x14:conditionalFormatting>
        <x14:conditionalFormatting xmlns:xm="http://schemas.microsoft.com/office/excel/2006/main">
          <x14:cfRule type="duplicateValues" priority="46" aboveAverage="0" rank="0" text="" id="{00960092-0091-4D58-9D4C-00EF00B7001C}">
            <x14:dxf>
              <font>
                <color rgb="FF9C0006"/>
              </font>
              <fill>
                <patternFill patternType="solid">
                  <fgColor rgb="FFFFC7CE"/>
                  <bgColor rgb="FFFFC7CE"/>
                </patternFill>
              </fill>
            </x14:dxf>
          </x14:cfRule>
          <xm:sqref>M1297</xm:sqref>
        </x14:conditionalFormatting>
        <x14:conditionalFormatting xmlns:xm="http://schemas.microsoft.com/office/excel/2006/main">
          <x14:cfRule type="duplicateValues" priority="47" aboveAverage="0" rank="0" text="" id="{001F001D-0068-4A30-B13F-00D700F7008E}">
            <x14:dxf>
              <font>
                <color rgb="FF9C0006"/>
              </font>
              <fill>
                <patternFill patternType="solid">
                  <fgColor rgb="FFFFC7CE"/>
                  <bgColor rgb="FFFFC7CE"/>
                </patternFill>
              </fill>
            </x14:dxf>
          </x14:cfRule>
          <xm:sqref>M1297</xm:sqref>
        </x14:conditionalFormatting>
        <x14:conditionalFormatting xmlns:xm="http://schemas.microsoft.com/office/excel/2006/main">
          <x14:cfRule type="duplicateValues" priority="48" aboveAverage="0" rank="0" text="" id="{00E50001-00A9-46BA-85C2-0047006C008B}">
            <x14:dxf>
              <font>
                <color rgb="FF9C0006"/>
              </font>
              <fill>
                <patternFill patternType="solid">
                  <fgColor rgb="FFFFC7CE"/>
                  <bgColor rgb="FFFFC7CE"/>
                </patternFill>
              </fill>
            </x14:dxf>
          </x14:cfRule>
          <xm:sqref>M1567:M1568</xm:sqref>
        </x14:conditionalFormatting>
        <x14:conditionalFormatting xmlns:xm="http://schemas.microsoft.com/office/excel/2006/main">
          <x14:cfRule type="duplicateValues" priority="49" aboveAverage="0" rank="0" text="" id="{002A00E4-0011-490E-A8A9-003A001B002A}">
            <x14:dxf>
              <font>
                <color rgb="FF9C0006"/>
              </font>
              <fill>
                <patternFill patternType="solid">
                  <fgColor rgb="FFFFC7CE"/>
                  <bgColor rgb="FFFFC7CE"/>
                </patternFill>
              </fill>
            </x14:dxf>
          </x14:cfRule>
          <xm:sqref>M1567:M1568</xm:sqref>
        </x14:conditionalFormatting>
        <x14:conditionalFormatting xmlns:xm="http://schemas.microsoft.com/office/excel/2006/main">
          <x14:cfRule type="duplicateValues" priority="50" aboveAverage="0" rank="0" text="" id="{00F300B7-00AF-4865-B4CD-001D00D400C8}">
            <x14:dxf>
              <font>
                <color rgb="FF9C0006"/>
              </font>
              <fill>
                <patternFill patternType="solid">
                  <fgColor rgb="FFFFC7CE"/>
                  <bgColor rgb="FFFFC7CE"/>
                </patternFill>
              </fill>
            </x14:dxf>
          </x14:cfRule>
          <xm:sqref>M1567:M1568</xm:sqref>
        </x14:conditionalFormatting>
        <x14:conditionalFormatting xmlns:xm="http://schemas.microsoft.com/office/excel/2006/main">
          <x14:cfRule type="duplicateValues" priority="51" aboveAverage="0" rank="0" text="" id="{008100F6-0007-46F6-8111-00EA008E00A6}">
            <x14:dxf>
              <font>
                <color rgb="FF9C0006"/>
              </font>
              <fill>
                <patternFill patternType="solid">
                  <fgColor rgb="FFFFC7CE"/>
                  <bgColor rgb="FFFFC7CE"/>
                </patternFill>
              </fill>
            </x14:dxf>
          </x14:cfRule>
          <xm:sqref>M1567:M1568</xm:sqref>
        </x14:conditionalFormatting>
        <x14:conditionalFormatting xmlns:xm="http://schemas.microsoft.com/office/excel/2006/main">
          <x14:cfRule type="duplicateValues" priority="52" aboveAverage="0" rank="0" text="" id="{00100013-0015-46E6-9E90-0014003D0073}">
            <x14:dxf>
              <font>
                <color rgb="FF9C0006"/>
              </font>
              <fill>
                <patternFill patternType="solid">
                  <fgColor rgb="FFFFC7CE"/>
                  <bgColor rgb="FFFFC7CE"/>
                </patternFill>
              </fill>
            </x14:dxf>
          </x14:cfRule>
          <xm:sqref>M771</xm:sqref>
        </x14:conditionalFormatting>
        <x14:conditionalFormatting xmlns:xm="http://schemas.microsoft.com/office/excel/2006/main">
          <x14:cfRule type="duplicateValues" priority="53" aboveAverage="0" rank="0" text="" id="{00270068-00DD-465E-8121-00F8004D0030}">
            <x14:dxf>
              <font>
                <color rgb="FF9C0006"/>
              </font>
              <fill>
                <patternFill patternType="solid">
                  <fgColor rgb="FFFFC7CE"/>
                  <bgColor rgb="FFFFC7CE"/>
                </patternFill>
              </fill>
            </x14:dxf>
          </x14:cfRule>
          <xm:sqref>M771</xm:sqref>
        </x14:conditionalFormatting>
        <x14:conditionalFormatting xmlns:xm="http://schemas.microsoft.com/office/excel/2006/main">
          <x14:cfRule type="duplicateValues" priority="54" aboveAverage="0" rank="0" text="" id="{00DB000A-00FE-4C35-B705-0047008500B1}">
            <x14:dxf>
              <font>
                <color rgb="FF9C0006"/>
              </font>
              <fill>
                <patternFill patternType="solid">
                  <fgColor rgb="FFFFC7CE"/>
                  <bgColor rgb="FFFFC7CE"/>
                </patternFill>
              </fill>
            </x14:dxf>
          </x14:cfRule>
          <xm:sqref>M771</xm:sqref>
        </x14:conditionalFormatting>
        <x14:conditionalFormatting xmlns:xm="http://schemas.microsoft.com/office/excel/2006/main">
          <x14:cfRule type="duplicateValues" priority="55" aboveAverage="0" rank="0" text="" id="{006F0004-00A8-43FC-8FE3-00B200F4008C}">
            <x14:dxf>
              <font>
                <color rgb="FF9C0006"/>
              </font>
              <fill>
                <patternFill patternType="solid">
                  <fgColor rgb="FFFFC7CE"/>
                  <bgColor rgb="FFFFC7CE"/>
                </patternFill>
              </fill>
            </x14:dxf>
          </x14:cfRule>
          <xm:sqref>M97:M98</xm:sqref>
        </x14:conditionalFormatting>
        <x14:conditionalFormatting xmlns:xm="http://schemas.microsoft.com/office/excel/2006/main">
          <x14:cfRule type="duplicateValues" priority="56" aboveAverage="0" rank="0" text="" id="{005E00DC-00B1-4C2D-AED1-009D001800E5}">
            <x14:dxf>
              <font>
                <color rgb="FF9C0006"/>
              </font>
              <fill>
                <patternFill patternType="solid">
                  <fgColor rgb="FFFFC7CE"/>
                  <bgColor rgb="FFFFC7CE"/>
                </patternFill>
              </fill>
            </x14:dxf>
          </x14:cfRule>
          <xm:sqref>M97:M98</xm:sqref>
        </x14:conditionalFormatting>
        <x14:conditionalFormatting xmlns:xm="http://schemas.microsoft.com/office/excel/2006/main">
          <x14:cfRule type="duplicateValues" priority="57" aboveAverage="0" rank="0" text="" id="{00630084-0005-46B2-8808-009C00D500FE}">
            <x14:dxf>
              <font>
                <color rgb="FF9C0006"/>
              </font>
              <fill>
                <patternFill patternType="solid">
                  <fgColor rgb="FFFFC7CE"/>
                  <bgColor rgb="FFFFC7CE"/>
                </patternFill>
              </fill>
            </x14:dxf>
          </x14:cfRule>
          <xm:sqref>M97:M98</xm:sqref>
        </x14:conditionalFormatting>
        <x14:conditionalFormatting xmlns:xm="http://schemas.microsoft.com/office/excel/2006/main">
          <x14:cfRule type="duplicateValues" priority="58" aboveAverage="0" rank="0" text="" id="{0056009B-0083-44CA-8C10-007900CB008A}">
            <x14:dxf>
              <font>
                <color rgb="FF9C0006"/>
              </font>
              <fill>
                <patternFill patternType="solid">
                  <fgColor rgb="FFFFC7CE"/>
                  <bgColor rgb="FFFFC7CE"/>
                </patternFill>
              </fill>
            </x14:dxf>
          </x14:cfRule>
          <xm:sqref>M1532</xm:sqref>
        </x14:conditionalFormatting>
        <x14:conditionalFormatting xmlns:xm="http://schemas.microsoft.com/office/excel/2006/main">
          <x14:cfRule type="duplicateValues" priority="59" aboveAverage="0" rank="0" text="" id="{00DA00E3-00DE-43F5-94F2-00D9004D0078}">
            <x14:dxf>
              <font>
                <color rgb="FF9C0006"/>
              </font>
              <fill>
                <patternFill patternType="solid">
                  <fgColor rgb="FFFFC7CE"/>
                  <bgColor rgb="FFFFC7CE"/>
                </patternFill>
              </fill>
            </x14:dxf>
          </x14:cfRule>
          <xm:sqref>M1532</xm:sqref>
        </x14:conditionalFormatting>
        <x14:conditionalFormatting xmlns:xm="http://schemas.microsoft.com/office/excel/2006/main">
          <x14:cfRule type="duplicateValues" priority="60" aboveAverage="0" rank="0" text="" id="{00300082-0083-4932-9A6B-00A6008100F6}">
            <x14:dxf>
              <font>
                <color rgb="FF9C0006"/>
              </font>
              <fill>
                <patternFill patternType="solid">
                  <fgColor rgb="FFFFC7CE"/>
                  <bgColor rgb="FFFFC7CE"/>
                </patternFill>
              </fill>
            </x14:dxf>
          </x14:cfRule>
          <xm:sqref>M1532</xm:sqref>
        </x14:conditionalFormatting>
        <x14:conditionalFormatting xmlns:xm="http://schemas.microsoft.com/office/excel/2006/main">
          <x14:cfRule type="duplicateValues" priority="61" aboveAverage="0" rank="0" text="" id="{00AE006D-0011-4823-A467-008D001E0058}">
            <x14:dxf>
              <font>
                <color rgb="FF9C0006"/>
              </font>
              <fill>
                <patternFill patternType="solid">
                  <fgColor rgb="FFFFC7CE"/>
                  <bgColor rgb="FFFFC7CE"/>
                </patternFill>
              </fill>
            </x14:dxf>
          </x14:cfRule>
          <xm:sqref>M769</xm:sqref>
        </x14:conditionalFormatting>
        <x14:conditionalFormatting xmlns:xm="http://schemas.microsoft.com/office/excel/2006/main">
          <x14:cfRule type="duplicateValues" priority="62" aboveAverage="0" rank="0" text="" id="{00E200FD-0008-4E6A-967A-006D00E600DD}">
            <x14:dxf>
              <font>
                <color rgb="FF9C0006"/>
              </font>
              <fill>
                <patternFill patternType="solid">
                  <fgColor rgb="FFFFC7CE"/>
                  <bgColor rgb="FFFFC7CE"/>
                </patternFill>
              </fill>
            </x14:dxf>
          </x14:cfRule>
          <xm:sqref>M769</xm:sqref>
        </x14:conditionalFormatting>
        <x14:conditionalFormatting xmlns:xm="http://schemas.microsoft.com/office/excel/2006/main">
          <x14:cfRule type="duplicateValues" priority="63" aboveAverage="0" rank="0" text="" id="{00AB0025-0039-47B5-9BAB-005600D70055}">
            <x14:dxf>
              <font>
                <color rgb="FF9C0006"/>
              </font>
              <fill>
                <patternFill patternType="solid">
                  <fgColor rgb="FFFFC7CE"/>
                  <bgColor rgb="FFFFC7CE"/>
                </patternFill>
              </fill>
            </x14:dxf>
          </x14:cfRule>
          <xm:sqref>M769</xm:sqref>
        </x14:conditionalFormatting>
        <x14:conditionalFormatting xmlns:xm="http://schemas.microsoft.com/office/excel/2006/main">
          <x14:cfRule type="duplicateValues" priority="64" aboveAverage="0" rank="0" text="" id="{00A6001D-0051-454E-B054-00CF00CB00BA}">
            <x14:dxf>
              <font>
                <color rgb="FF9C0006"/>
              </font>
              <fill>
                <patternFill patternType="solid">
                  <fgColor rgb="FFFFC7CE"/>
                  <bgColor rgb="FFFFC7CE"/>
                </patternFill>
              </fill>
            </x14:dxf>
          </x14:cfRule>
          <xm:sqref>M2083</xm:sqref>
        </x14:conditionalFormatting>
        <x14:conditionalFormatting xmlns:xm="http://schemas.microsoft.com/office/excel/2006/main">
          <x14:cfRule type="duplicateValues" priority="65" aboveAverage="0" rank="0" text="" id="{00990041-001D-49BC-9F20-00B000AA0070}">
            <x14:dxf>
              <font>
                <color rgb="FF9C0006"/>
              </font>
              <fill>
                <patternFill patternType="solid">
                  <fgColor rgb="FFFFC7CE"/>
                  <bgColor rgb="FFFFC7CE"/>
                </patternFill>
              </fill>
            </x14:dxf>
          </x14:cfRule>
          <xm:sqref>M2083</xm:sqref>
        </x14:conditionalFormatting>
        <x14:conditionalFormatting xmlns:xm="http://schemas.microsoft.com/office/excel/2006/main">
          <x14:cfRule type="duplicateValues" priority="66" aboveAverage="0" rank="0" text="" id="{000D0050-003D-46B7-BF13-004000AF0004}">
            <x14:dxf>
              <font>
                <color rgb="FF9C0006"/>
              </font>
              <fill>
                <patternFill patternType="solid">
                  <fgColor rgb="FFFFC7CE"/>
                  <bgColor rgb="FFFFC7CE"/>
                </patternFill>
              </fill>
            </x14:dxf>
          </x14:cfRule>
          <xm:sqref>M2083</xm:sqref>
        </x14:conditionalFormatting>
        <x14:conditionalFormatting xmlns:xm="http://schemas.microsoft.com/office/excel/2006/main">
          <x14:cfRule type="duplicateValues" priority="67" aboveAverage="0" rank="0" text="" id="{009A0075-007C-4EDF-A7DB-005700A60014}">
            <x14:dxf>
              <font>
                <color rgb="FF9C0006"/>
              </font>
              <fill>
                <patternFill patternType="solid">
                  <fgColor rgb="FFFFC7CE"/>
                  <bgColor rgb="FFFFC7CE"/>
                </patternFill>
              </fill>
            </x14:dxf>
          </x14:cfRule>
          <xm:sqref>M1817</xm:sqref>
        </x14:conditionalFormatting>
        <x14:conditionalFormatting xmlns:xm="http://schemas.microsoft.com/office/excel/2006/main">
          <x14:cfRule type="duplicateValues" priority="68" aboveAverage="0" rank="0" text="" id="{0006003D-00A3-4796-80E2-008600440048}">
            <x14:dxf>
              <font>
                <color rgb="FF9C0006"/>
              </font>
              <fill>
                <patternFill patternType="solid">
                  <fgColor rgb="FFFFC7CE"/>
                  <bgColor rgb="FFFFC7CE"/>
                </patternFill>
              </fill>
            </x14:dxf>
          </x14:cfRule>
          <xm:sqref>M1817</xm:sqref>
        </x14:conditionalFormatting>
        <x14:conditionalFormatting xmlns:xm="http://schemas.microsoft.com/office/excel/2006/main">
          <x14:cfRule type="duplicateValues" priority="69" aboveAverage="0" rank="0" text="" id="{000F00A3-00DB-4E0B-BA53-009900ED004E}">
            <x14:dxf>
              <font>
                <color rgb="FF9C0006"/>
              </font>
              <fill>
                <patternFill patternType="solid">
                  <fgColor rgb="FFFFC7CE"/>
                  <bgColor rgb="FFFFC7CE"/>
                </patternFill>
              </fill>
            </x14:dxf>
          </x14:cfRule>
          <xm:sqref>M1817</xm:sqref>
        </x14:conditionalFormatting>
        <x14:conditionalFormatting xmlns:xm="http://schemas.microsoft.com/office/excel/2006/main">
          <x14:cfRule type="duplicateValues" priority="70" aboveAverage="0" rank="0" text="" id="{0035004E-00CD-4D20-A777-007D00E3008A}">
            <x14:dxf>
              <font>
                <color rgb="FF9C0006"/>
              </font>
              <fill>
                <patternFill patternType="solid">
                  <fgColor rgb="FFFFC7CE"/>
                  <bgColor rgb="FFFFC7CE"/>
                </patternFill>
              </fill>
            </x14:dxf>
          </x14:cfRule>
          <xm:sqref>M1550</xm:sqref>
        </x14:conditionalFormatting>
        <x14:conditionalFormatting xmlns:xm="http://schemas.microsoft.com/office/excel/2006/main">
          <x14:cfRule type="duplicateValues" priority="71" aboveAverage="0" rank="0" text="" id="{006A00EC-0073-4D22-9A4A-00FE00A60073}">
            <x14:dxf>
              <font>
                <color rgb="FF9C0006"/>
              </font>
              <fill>
                <patternFill patternType="solid">
                  <fgColor rgb="FFFFC7CE"/>
                  <bgColor rgb="FFFFC7CE"/>
                </patternFill>
              </fill>
            </x14:dxf>
          </x14:cfRule>
          <xm:sqref>M1550</xm:sqref>
        </x14:conditionalFormatting>
        <x14:conditionalFormatting xmlns:xm="http://schemas.microsoft.com/office/excel/2006/main">
          <x14:cfRule type="duplicateValues" priority="72" aboveAverage="0" rank="0" text="" id="{00640054-003E-4116-A2D2-0001007300B8}">
            <x14:dxf>
              <font>
                <color rgb="FF9C0006"/>
              </font>
              <fill>
                <patternFill patternType="solid">
                  <fgColor rgb="FFFFC7CE"/>
                  <bgColor rgb="FFFFC7CE"/>
                </patternFill>
              </fill>
            </x14:dxf>
          </x14:cfRule>
          <xm:sqref>M1550</xm:sqref>
        </x14:conditionalFormatting>
        <x14:conditionalFormatting xmlns:xm="http://schemas.microsoft.com/office/excel/2006/main">
          <x14:cfRule type="duplicateValues" priority="73" aboveAverage="0" rank="0" text="" id="{00520045-0011-4EC8-A2BB-006E00ED002B}">
            <x14:dxf>
              <font>
                <color rgb="FF9C0006"/>
              </font>
              <fill>
                <patternFill patternType="solid">
                  <fgColor rgb="FFFFC7CE"/>
                  <bgColor rgb="FFFFC7CE"/>
                </patternFill>
              </fill>
            </x14:dxf>
          </x14:cfRule>
          <xm:sqref>M938</xm:sqref>
        </x14:conditionalFormatting>
        <x14:conditionalFormatting xmlns:xm="http://schemas.microsoft.com/office/excel/2006/main">
          <x14:cfRule type="duplicateValues" priority="74" aboveAverage="0" rank="0" text="" id="{0002004A-00E2-4B8F-B2CC-009400C200F4}">
            <x14:dxf>
              <font>
                <color rgb="FF9C0006"/>
              </font>
              <fill>
                <patternFill patternType="solid">
                  <fgColor rgb="FFFFC7CE"/>
                  <bgColor rgb="FFFFC7CE"/>
                </patternFill>
              </fill>
            </x14:dxf>
          </x14:cfRule>
          <xm:sqref>M938</xm:sqref>
        </x14:conditionalFormatting>
        <x14:conditionalFormatting xmlns:xm="http://schemas.microsoft.com/office/excel/2006/main">
          <x14:cfRule type="duplicateValues" priority="75" aboveAverage="0" rank="0" text="" id="{00740015-0041-46BC-9C5D-005500480088}">
            <x14:dxf>
              <font>
                <color rgb="FF9C0006"/>
              </font>
              <fill>
                <patternFill patternType="solid">
                  <fgColor rgb="FFFFC7CE"/>
                  <bgColor rgb="FFFFC7CE"/>
                </patternFill>
              </fill>
            </x14:dxf>
          </x14:cfRule>
          <xm:sqref>M938</xm:sqref>
        </x14:conditionalFormatting>
        <x14:conditionalFormatting xmlns:xm="http://schemas.microsoft.com/office/excel/2006/main">
          <x14:cfRule type="duplicateValues" priority="76" aboveAverage="0" rank="0" text="" id="{0080002F-0016-4A54-A49B-00C2001600B4}">
            <x14:dxf>
              <font>
                <color rgb="FF9C0006"/>
              </font>
              <fill>
                <patternFill patternType="solid">
                  <fgColor rgb="FFFFC7CE"/>
                  <bgColor rgb="FFFFC7CE"/>
                </patternFill>
              </fill>
            </x14:dxf>
          </x14:cfRule>
          <xm:sqref>M931</xm:sqref>
        </x14:conditionalFormatting>
        <x14:conditionalFormatting xmlns:xm="http://schemas.microsoft.com/office/excel/2006/main">
          <x14:cfRule type="duplicateValues" priority="77" aboveAverage="0" rank="0" text="" id="{00A4001E-00FC-41AF-9A03-00B6009E0003}">
            <x14:dxf>
              <font>
                <color rgb="FF9C0006"/>
              </font>
              <fill>
                <patternFill patternType="solid">
                  <fgColor rgb="FFFFC7CE"/>
                  <bgColor rgb="FFFFC7CE"/>
                </patternFill>
              </fill>
            </x14:dxf>
          </x14:cfRule>
          <xm:sqref>M931</xm:sqref>
        </x14:conditionalFormatting>
        <x14:conditionalFormatting xmlns:xm="http://schemas.microsoft.com/office/excel/2006/main">
          <x14:cfRule type="duplicateValues" priority="78" aboveAverage="0" rank="0" text="" id="{001D0050-0003-4E95-9677-00B900B200BE}">
            <x14:dxf>
              <font>
                <color rgb="FF9C0006"/>
              </font>
              <fill>
                <patternFill patternType="solid">
                  <fgColor rgb="FFFFC7CE"/>
                  <bgColor rgb="FFFFC7CE"/>
                </patternFill>
              </fill>
            </x14:dxf>
          </x14:cfRule>
          <xm:sqref>M931</xm:sqref>
        </x14:conditionalFormatting>
        <x14:conditionalFormatting xmlns:xm="http://schemas.microsoft.com/office/excel/2006/main">
          <x14:cfRule type="duplicateValues" priority="79" aboveAverage="0" rank="0" text="" id="{009B007B-00DE-42E7-9D46-00C800A5004B}">
            <x14:dxf>
              <font>
                <color rgb="FF9C0006"/>
              </font>
              <fill>
                <patternFill patternType="solid">
                  <fgColor rgb="FFFFC7CE"/>
                  <bgColor rgb="FFFFC7CE"/>
                </patternFill>
              </fill>
            </x14:dxf>
          </x14:cfRule>
          <xm:sqref>M849</xm:sqref>
        </x14:conditionalFormatting>
        <x14:conditionalFormatting xmlns:xm="http://schemas.microsoft.com/office/excel/2006/main">
          <x14:cfRule type="duplicateValues" priority="80" aboveAverage="0" rank="0" text="" id="{005700C9-0096-4653-B984-0066003D00F4}">
            <x14:dxf>
              <font>
                <color rgb="FF9C0006"/>
              </font>
              <fill>
                <patternFill patternType="solid">
                  <fgColor rgb="FFFFC7CE"/>
                  <bgColor rgb="FFFFC7CE"/>
                </patternFill>
              </fill>
            </x14:dxf>
          </x14:cfRule>
          <xm:sqref>M849</xm:sqref>
        </x14:conditionalFormatting>
        <x14:conditionalFormatting xmlns:xm="http://schemas.microsoft.com/office/excel/2006/main">
          <x14:cfRule type="duplicateValues" priority="81" aboveAverage="0" rank="0" text="" id="{003A0087-0041-4A7B-9B7C-0023007F0034}">
            <x14:dxf>
              <font>
                <color rgb="FF9C0006"/>
              </font>
              <fill>
                <patternFill patternType="solid">
                  <fgColor rgb="FFFFC7CE"/>
                  <bgColor rgb="FFFFC7CE"/>
                </patternFill>
              </fill>
            </x14:dxf>
          </x14:cfRule>
          <xm:sqref>M849</xm:sqref>
        </x14:conditionalFormatting>
        <x14:conditionalFormatting xmlns:xm="http://schemas.microsoft.com/office/excel/2006/main">
          <x14:cfRule type="duplicateValues" priority="82" aboveAverage="0" rank="0" text="" id="{008F00A6-00D8-4343-A945-0088004000F4}">
            <x14:dxf>
              <font>
                <color rgb="FF9C0006"/>
              </font>
              <fill>
                <patternFill patternType="solid">
                  <fgColor rgb="FFFFC7CE"/>
                  <bgColor rgb="FFFFC7CE"/>
                </patternFill>
              </fill>
            </x14:dxf>
          </x14:cfRule>
          <xm:sqref>M742</xm:sqref>
        </x14:conditionalFormatting>
        <x14:conditionalFormatting xmlns:xm="http://schemas.microsoft.com/office/excel/2006/main">
          <x14:cfRule type="duplicateValues" priority="83" aboveAverage="0" rank="0" text="" id="{00410000-0012-484D-B9AD-0096006F007E}">
            <x14:dxf>
              <font>
                <color rgb="FF9C0006"/>
              </font>
              <fill>
                <patternFill patternType="solid">
                  <fgColor rgb="FFFFC7CE"/>
                  <bgColor rgb="FFFFC7CE"/>
                </patternFill>
              </fill>
            </x14:dxf>
          </x14:cfRule>
          <xm:sqref>M742</xm:sqref>
        </x14:conditionalFormatting>
        <x14:conditionalFormatting xmlns:xm="http://schemas.microsoft.com/office/excel/2006/main">
          <x14:cfRule type="duplicateValues" priority="84" aboveAverage="0" rank="0" text="" id="{003100FA-0053-46FD-977A-008A0067004F}">
            <x14:dxf>
              <font>
                <color rgb="FF9C0006"/>
              </font>
              <fill>
                <patternFill patternType="solid">
                  <fgColor rgb="FFFFC7CE"/>
                  <bgColor rgb="FFFFC7CE"/>
                </patternFill>
              </fill>
            </x14:dxf>
          </x14:cfRule>
          <xm:sqref>M742</xm:sqref>
        </x14:conditionalFormatting>
        <x14:conditionalFormatting xmlns:xm="http://schemas.microsoft.com/office/excel/2006/main">
          <x14:cfRule type="duplicateValues" priority="85" aboveAverage="0" rank="0" text="" id="{00520088-009C-4A5E-843E-0014001D00D3}">
            <x14:dxf>
              <font>
                <color rgb="FF9C0006"/>
              </font>
              <fill>
                <patternFill patternType="solid">
                  <fgColor rgb="FFFFC7CE"/>
                  <bgColor rgb="FFFFC7CE"/>
                </patternFill>
              </fill>
            </x14:dxf>
          </x14:cfRule>
          <xm:sqref>M539</xm:sqref>
        </x14:conditionalFormatting>
        <x14:conditionalFormatting xmlns:xm="http://schemas.microsoft.com/office/excel/2006/main">
          <x14:cfRule type="duplicateValues" priority="86" aboveAverage="0" rank="0" text="" id="{006700AF-0082-4DE9-AD16-00DB001000DC}">
            <x14:dxf>
              <font>
                <color rgb="FF9C0006"/>
              </font>
              <fill>
                <patternFill patternType="solid">
                  <fgColor rgb="FFFFC7CE"/>
                  <bgColor rgb="FFFFC7CE"/>
                </patternFill>
              </fill>
            </x14:dxf>
          </x14:cfRule>
          <xm:sqref>M539</xm:sqref>
        </x14:conditionalFormatting>
        <x14:conditionalFormatting xmlns:xm="http://schemas.microsoft.com/office/excel/2006/main">
          <x14:cfRule type="duplicateValues" priority="87" aboveAverage="0" rank="0" text="" id="{00A7007F-00CC-4C57-88F8-00CC004500F1}">
            <x14:dxf>
              <font>
                <color rgb="FF9C0006"/>
              </font>
              <fill>
                <patternFill patternType="solid">
                  <fgColor rgb="FFFFC7CE"/>
                  <bgColor rgb="FFFFC7CE"/>
                </patternFill>
              </fill>
            </x14:dxf>
          </x14:cfRule>
          <xm:sqref>M539</xm:sqref>
        </x14:conditionalFormatting>
        <x14:conditionalFormatting xmlns:xm="http://schemas.microsoft.com/office/excel/2006/main">
          <x14:cfRule type="duplicateValues" priority="88" aboveAverage="0" rank="0" text="" id="{00300061-0044-455D-80F1-004A000A0033}">
            <x14:dxf>
              <font>
                <color rgb="FF9C0006"/>
              </font>
              <fill>
                <patternFill patternType="solid">
                  <fgColor rgb="FFFFC7CE"/>
                  <bgColor rgb="FFFFC7CE"/>
                </patternFill>
              </fill>
            </x14:dxf>
          </x14:cfRule>
          <xm:sqref>M538</xm:sqref>
        </x14:conditionalFormatting>
        <x14:conditionalFormatting xmlns:xm="http://schemas.microsoft.com/office/excel/2006/main">
          <x14:cfRule type="duplicateValues" priority="89" aboveAverage="0" rank="0" text="" id="{00EE0012-0007-4C12-A434-007F00760061}">
            <x14:dxf>
              <font>
                <color rgb="FF9C0006"/>
              </font>
              <fill>
                <patternFill patternType="solid">
                  <fgColor rgb="FFFFC7CE"/>
                  <bgColor rgb="FFFFC7CE"/>
                </patternFill>
              </fill>
            </x14:dxf>
          </x14:cfRule>
          <xm:sqref>M538</xm:sqref>
        </x14:conditionalFormatting>
        <x14:conditionalFormatting xmlns:xm="http://schemas.microsoft.com/office/excel/2006/main">
          <x14:cfRule type="duplicateValues" priority="90" aboveAverage="0" rank="0" text="" id="{00600068-00BD-4C6F-A176-000E00ED0018}">
            <x14:dxf>
              <font>
                <color rgb="FF9C0006"/>
              </font>
              <fill>
                <patternFill patternType="solid">
                  <fgColor rgb="FFFFC7CE"/>
                  <bgColor rgb="FFFFC7CE"/>
                </patternFill>
              </fill>
            </x14:dxf>
          </x14:cfRule>
          <xm:sqref>M538</xm:sqref>
        </x14:conditionalFormatting>
        <x14:conditionalFormatting xmlns:xm="http://schemas.microsoft.com/office/excel/2006/main">
          <x14:cfRule type="duplicateValues" priority="91" aboveAverage="0" rank="0" text="" id="{00340001-001E-4500-916A-009E00340003}">
            <x14:dxf>
              <font>
                <color rgb="FF9C0006"/>
              </font>
              <fill>
                <patternFill patternType="solid">
                  <fgColor rgb="FFFFC7CE"/>
                  <bgColor rgb="FFFFC7CE"/>
                </patternFill>
              </fill>
            </x14:dxf>
          </x14:cfRule>
          <xm:sqref>M535</xm:sqref>
        </x14:conditionalFormatting>
        <x14:conditionalFormatting xmlns:xm="http://schemas.microsoft.com/office/excel/2006/main">
          <x14:cfRule type="duplicateValues" priority="92" aboveAverage="0" rank="0" text="" id="{00F000B6-00C6-468F-9DAC-0064004B0028}">
            <x14:dxf>
              <font>
                <color rgb="FF9C0006"/>
              </font>
              <fill>
                <patternFill patternType="solid">
                  <fgColor rgb="FFFFC7CE"/>
                  <bgColor rgb="FFFFC7CE"/>
                </patternFill>
              </fill>
            </x14:dxf>
          </x14:cfRule>
          <xm:sqref>M535</xm:sqref>
        </x14:conditionalFormatting>
        <x14:conditionalFormatting xmlns:xm="http://schemas.microsoft.com/office/excel/2006/main">
          <x14:cfRule type="duplicateValues" priority="93" aboveAverage="0" rank="0" text="" id="{0054003C-00C2-4E3C-A6DA-00B00035003C}">
            <x14:dxf>
              <font>
                <color rgb="FF9C0006"/>
              </font>
              <fill>
                <patternFill patternType="solid">
                  <fgColor rgb="FFFFC7CE"/>
                  <bgColor rgb="FFFFC7CE"/>
                </patternFill>
              </fill>
            </x14:dxf>
          </x14:cfRule>
          <xm:sqref>M535</xm:sqref>
        </x14:conditionalFormatting>
        <x14:conditionalFormatting xmlns:xm="http://schemas.microsoft.com/office/excel/2006/main">
          <x14:cfRule type="duplicateValues" priority="94" aboveAverage="0" rank="0" text="" id="{000B007F-00BD-4108-B8FE-0055004B00AF}">
            <x14:dxf>
              <font>
                <color rgb="FF9C0006"/>
              </font>
              <fill>
                <patternFill patternType="solid">
                  <fgColor rgb="FFFFC7CE"/>
                  <bgColor rgb="FFFFC7CE"/>
                </patternFill>
              </fill>
            </x14:dxf>
          </x14:cfRule>
          <xm:sqref>M466</xm:sqref>
        </x14:conditionalFormatting>
        <x14:conditionalFormatting xmlns:xm="http://schemas.microsoft.com/office/excel/2006/main">
          <x14:cfRule type="duplicateValues" priority="95" aboveAverage="0" rank="0" text="" id="{00640026-0067-4B3C-B3AB-0066001E00F1}">
            <x14:dxf>
              <font>
                <color rgb="FF9C0006"/>
              </font>
              <fill>
                <patternFill patternType="solid">
                  <fgColor rgb="FFFFC7CE"/>
                  <bgColor rgb="FFFFC7CE"/>
                </patternFill>
              </fill>
            </x14:dxf>
          </x14:cfRule>
          <xm:sqref>M466</xm:sqref>
        </x14:conditionalFormatting>
        <x14:conditionalFormatting xmlns:xm="http://schemas.microsoft.com/office/excel/2006/main">
          <x14:cfRule type="duplicateValues" priority="96" aboveAverage="0" rank="0" text="" id="{008C0033-009F-4D50-BD10-00E9008A00B3}">
            <x14:dxf>
              <font>
                <color rgb="FF9C0006"/>
              </font>
              <fill>
                <patternFill patternType="solid">
                  <fgColor rgb="FFFFC7CE"/>
                  <bgColor rgb="FFFFC7CE"/>
                </patternFill>
              </fill>
            </x14:dxf>
          </x14:cfRule>
          <xm:sqref>M466</xm:sqref>
        </x14:conditionalFormatting>
        <x14:conditionalFormatting xmlns:xm="http://schemas.microsoft.com/office/excel/2006/main">
          <x14:cfRule type="duplicateValues" priority="97" aboveAverage="0" rank="0" text="" id="{00540065-0017-48A5-B1A3-00DA00E300D4}">
            <x14:dxf>
              <font>
                <color rgb="FF9C0006"/>
              </font>
              <fill>
                <patternFill patternType="solid">
                  <fgColor rgb="FFFFC7CE"/>
                  <bgColor rgb="FFFFC7CE"/>
                </patternFill>
              </fill>
            </x14:dxf>
          </x14:cfRule>
          <xm:sqref>M380</xm:sqref>
        </x14:conditionalFormatting>
        <x14:conditionalFormatting xmlns:xm="http://schemas.microsoft.com/office/excel/2006/main">
          <x14:cfRule type="duplicateValues" priority="98" aboveAverage="0" rank="0" text="" id="{006A0076-00F3-4678-90A6-007300BB0062}">
            <x14:dxf>
              <font>
                <color rgb="FF9C0006"/>
              </font>
              <fill>
                <patternFill patternType="solid">
                  <fgColor rgb="FFFFC7CE"/>
                  <bgColor rgb="FFFFC7CE"/>
                </patternFill>
              </fill>
            </x14:dxf>
          </x14:cfRule>
          <xm:sqref>M380</xm:sqref>
        </x14:conditionalFormatting>
        <x14:conditionalFormatting xmlns:xm="http://schemas.microsoft.com/office/excel/2006/main">
          <x14:cfRule type="duplicateValues" priority="99" aboveAverage="0" rank="0" text="" id="{00F600B1-0082-4843-82AC-005C00DC0011}">
            <x14:dxf>
              <font>
                <color rgb="FF9C0006"/>
              </font>
              <fill>
                <patternFill patternType="solid">
                  <fgColor rgb="FFFFC7CE"/>
                  <bgColor rgb="FFFFC7CE"/>
                </patternFill>
              </fill>
            </x14:dxf>
          </x14:cfRule>
          <xm:sqref>M380</xm:sqref>
        </x14:conditionalFormatting>
        <x14:conditionalFormatting xmlns:xm="http://schemas.microsoft.com/office/excel/2006/main">
          <x14:cfRule type="duplicateValues" priority="100" aboveAverage="0" rank="0" text="" id="{000E00E9-006C-423A-9285-0039009A000C}">
            <x14:dxf>
              <font>
                <color rgb="FF9C0006"/>
              </font>
              <fill>
                <patternFill patternType="solid">
                  <fgColor rgb="FFFFC7CE"/>
                  <bgColor rgb="FFFFC7CE"/>
                </patternFill>
              </fill>
            </x14:dxf>
          </x14:cfRule>
          <xm:sqref>M369</xm:sqref>
        </x14:conditionalFormatting>
        <x14:conditionalFormatting xmlns:xm="http://schemas.microsoft.com/office/excel/2006/main">
          <x14:cfRule type="duplicateValues" priority="101" aboveAverage="0" rank="0" text="" id="{003D0048-0085-4DDB-A148-001F00C4004F}">
            <x14:dxf>
              <font>
                <color rgb="FF9C0006"/>
              </font>
              <fill>
                <patternFill patternType="solid">
                  <fgColor rgb="FFFFC7CE"/>
                  <bgColor rgb="FFFFC7CE"/>
                </patternFill>
              </fill>
            </x14:dxf>
          </x14:cfRule>
          <xm:sqref>M369</xm:sqref>
        </x14:conditionalFormatting>
        <x14:conditionalFormatting xmlns:xm="http://schemas.microsoft.com/office/excel/2006/main">
          <x14:cfRule type="duplicateValues" priority="102" aboveAverage="0" rank="0" text="" id="{00C00022-001D-47AF-BE86-00A700BC0040}">
            <x14:dxf>
              <font>
                <color rgb="FF9C0006"/>
              </font>
              <fill>
                <patternFill patternType="solid">
                  <fgColor rgb="FFFFC7CE"/>
                  <bgColor rgb="FFFFC7CE"/>
                </patternFill>
              </fill>
            </x14:dxf>
          </x14:cfRule>
          <xm:sqref>M369</xm:sqref>
        </x14:conditionalFormatting>
        <x14:conditionalFormatting xmlns:xm="http://schemas.microsoft.com/office/excel/2006/main">
          <x14:cfRule type="duplicateValues" priority="103" aboveAverage="0" rank="0" text="" id="{000D0033-00BE-4E00-83BE-000D007E00F9}">
            <x14:dxf>
              <font>
                <color rgb="FF9C0006"/>
              </font>
              <fill>
                <patternFill patternType="solid">
                  <fgColor rgb="FFFFC7CE"/>
                  <bgColor rgb="FFFFC7CE"/>
                </patternFill>
              </fill>
            </x14:dxf>
          </x14:cfRule>
          <xm:sqref>M366</xm:sqref>
        </x14:conditionalFormatting>
        <x14:conditionalFormatting xmlns:xm="http://schemas.microsoft.com/office/excel/2006/main">
          <x14:cfRule type="duplicateValues" priority="104" aboveAverage="0" rank="0" text="" id="{002700A1-0053-4FD8-B255-006A006C0058}">
            <x14:dxf>
              <font>
                <color rgb="FF9C0006"/>
              </font>
              <fill>
                <patternFill patternType="solid">
                  <fgColor rgb="FFFFC7CE"/>
                  <bgColor rgb="FFFFC7CE"/>
                </patternFill>
              </fill>
            </x14:dxf>
          </x14:cfRule>
          <xm:sqref>M366</xm:sqref>
        </x14:conditionalFormatting>
        <x14:conditionalFormatting xmlns:xm="http://schemas.microsoft.com/office/excel/2006/main">
          <x14:cfRule type="duplicateValues" priority="105" aboveAverage="0" rank="0" text="" id="{0085002F-0064-4045-8551-001B00C00017}">
            <x14:dxf>
              <font>
                <color rgb="FF9C0006"/>
              </font>
              <fill>
                <patternFill patternType="solid">
                  <fgColor rgb="FFFFC7CE"/>
                  <bgColor rgb="FFFFC7CE"/>
                </patternFill>
              </fill>
            </x14:dxf>
          </x14:cfRule>
          <xm:sqref>M366</xm:sqref>
        </x14:conditionalFormatting>
        <x14:conditionalFormatting xmlns:xm="http://schemas.microsoft.com/office/excel/2006/main">
          <x14:cfRule type="duplicateValues" priority="106" aboveAverage="0" rank="0" text="" id="{00EE008F-0060-41F4-B1D8-003E00D70020}">
            <x14:dxf>
              <font>
                <color rgb="FF9C0006"/>
              </font>
              <fill>
                <patternFill patternType="solid">
                  <fgColor rgb="FFFFC7CE"/>
                  <bgColor rgb="FFFFC7CE"/>
                </patternFill>
              </fill>
            </x14:dxf>
          </x14:cfRule>
          <xm:sqref>M334</xm:sqref>
        </x14:conditionalFormatting>
        <x14:conditionalFormatting xmlns:xm="http://schemas.microsoft.com/office/excel/2006/main">
          <x14:cfRule type="duplicateValues" priority="107" aboveAverage="0" rank="0" text="" id="{00B200EC-005E-485A-83AC-002B009C00DF}">
            <x14:dxf>
              <font>
                <color rgb="FF9C0006"/>
              </font>
              <fill>
                <patternFill patternType="solid">
                  <fgColor rgb="FFFFC7CE"/>
                  <bgColor rgb="FFFFC7CE"/>
                </patternFill>
              </fill>
            </x14:dxf>
          </x14:cfRule>
          <xm:sqref>M334</xm:sqref>
        </x14:conditionalFormatting>
        <x14:conditionalFormatting xmlns:xm="http://schemas.microsoft.com/office/excel/2006/main">
          <x14:cfRule type="duplicateValues" priority="108" aboveAverage="0" rank="0" text="" id="{00C100CB-00E6-44AA-AD6C-0045005600CB}">
            <x14:dxf>
              <font>
                <color rgb="FF9C0006"/>
              </font>
              <fill>
                <patternFill patternType="solid">
                  <fgColor rgb="FFFFC7CE"/>
                  <bgColor rgb="FFFFC7CE"/>
                </patternFill>
              </fill>
            </x14:dxf>
          </x14:cfRule>
          <xm:sqref>M334</xm:sqref>
        </x14:conditionalFormatting>
        <x14:conditionalFormatting xmlns:xm="http://schemas.microsoft.com/office/excel/2006/main">
          <x14:cfRule type="duplicateValues" priority="109" aboveAverage="0" rank="0" text="" id="{006A0071-00E3-414A-BE8B-00B400E600A6}">
            <x14:dxf>
              <font>
                <color rgb="FF9C0006"/>
              </font>
              <fill>
                <patternFill patternType="solid">
                  <fgColor rgb="FFFFC7CE"/>
                  <bgColor rgb="FFFFC7CE"/>
                </patternFill>
              </fill>
            </x14:dxf>
          </x14:cfRule>
          <xm:sqref>M156</xm:sqref>
        </x14:conditionalFormatting>
        <x14:conditionalFormatting xmlns:xm="http://schemas.microsoft.com/office/excel/2006/main">
          <x14:cfRule type="duplicateValues" priority="110" aboveAverage="0" rank="0" text="" id="{00EF009D-00C8-4610-BB5D-003900AF00BA}">
            <x14:dxf>
              <font>
                <color rgb="FF9C0006"/>
              </font>
              <fill>
                <patternFill patternType="solid">
                  <fgColor rgb="FFFFC7CE"/>
                  <bgColor rgb="FFFFC7CE"/>
                </patternFill>
              </fill>
            </x14:dxf>
          </x14:cfRule>
          <xm:sqref>M156</xm:sqref>
        </x14:conditionalFormatting>
        <x14:conditionalFormatting xmlns:xm="http://schemas.microsoft.com/office/excel/2006/main">
          <x14:cfRule type="duplicateValues" priority="111" aboveAverage="0" rank="0" text="" id="{00F10071-00BB-4A26-B7C6-00CE00C80064}">
            <x14:dxf>
              <font>
                <color rgb="FF9C0006"/>
              </font>
              <fill>
                <patternFill patternType="solid">
                  <fgColor rgb="FFFFC7CE"/>
                  <bgColor rgb="FFFFC7CE"/>
                </patternFill>
              </fill>
            </x14:dxf>
          </x14:cfRule>
          <xm:sqref>M156</xm:sqref>
        </x14:conditionalFormatting>
        <x14:conditionalFormatting xmlns:xm="http://schemas.microsoft.com/office/excel/2006/main">
          <x14:cfRule type="duplicateValues" priority="112" aboveAverage="0" rank="0" text="" id="{0042007D-0060-4F9C-8352-009500B60011}">
            <x14:dxf>
              <font>
                <color rgb="FF9C0006"/>
              </font>
              <fill>
                <patternFill patternType="solid">
                  <fgColor rgb="FFFFC7CE"/>
                  <bgColor rgb="FFFFC7CE"/>
                </patternFill>
              </fill>
            </x14:dxf>
          </x14:cfRule>
          <xm:sqref>M1186</xm:sqref>
        </x14:conditionalFormatting>
        <x14:conditionalFormatting xmlns:xm="http://schemas.microsoft.com/office/excel/2006/main">
          <x14:cfRule type="duplicateValues" priority="113" aboveAverage="0" rank="0" text="" id="{00CF00FB-00A0-4514-A895-002E00310046}">
            <x14:dxf>
              <font>
                <color rgb="FF9C0006"/>
              </font>
              <fill>
                <patternFill patternType="solid">
                  <fgColor rgb="FFFFC7CE"/>
                  <bgColor rgb="FFFFC7CE"/>
                </patternFill>
              </fill>
            </x14:dxf>
          </x14:cfRule>
          <xm:sqref>M1186</xm:sqref>
        </x14:conditionalFormatting>
        <x14:conditionalFormatting xmlns:xm="http://schemas.microsoft.com/office/excel/2006/main">
          <x14:cfRule type="duplicateValues" priority="114" aboveAverage="0" rank="0" text="" id="{0062004E-001B-4CFD-B493-007E0035004F}">
            <x14:dxf>
              <font>
                <color rgb="FF9C0006"/>
              </font>
              <fill>
                <patternFill patternType="solid">
                  <fgColor rgb="FFFFC7CE"/>
                  <bgColor rgb="FFFFC7CE"/>
                </patternFill>
              </fill>
            </x14:dxf>
          </x14:cfRule>
          <xm:sqref>M1186</xm:sqref>
        </x14:conditionalFormatting>
        <x14:conditionalFormatting xmlns:xm="http://schemas.microsoft.com/office/excel/2006/main">
          <x14:cfRule type="duplicateValues" priority="115" aboveAverage="0" rank="0" text="" id="{00E900FB-0091-48D8-9C5B-0020001D00E3}">
            <x14:dxf>
              <font>
                <color rgb="FF9C0006"/>
              </font>
              <fill>
                <patternFill patternType="solid">
                  <fgColor rgb="FFFFC7CE"/>
                  <bgColor rgb="FFFFC7CE"/>
                </patternFill>
              </fill>
            </x14:dxf>
          </x14:cfRule>
          <xm:sqref>M2111:M2117</xm:sqref>
        </x14:conditionalFormatting>
        <x14:conditionalFormatting xmlns:xm="http://schemas.microsoft.com/office/excel/2006/main">
          <x14:cfRule type="duplicateValues" priority="116" aboveAverage="0" rank="0" text="" id="{00360026-0022-4EF0-8F6A-00A500900047}">
            <x14:dxf>
              <font>
                <color rgb="FF9C0006"/>
              </font>
              <fill>
                <patternFill patternType="solid">
                  <fgColor rgb="FFFFC7CE"/>
                  <bgColor rgb="FFFFC7CE"/>
                </patternFill>
              </fill>
            </x14:dxf>
          </x14:cfRule>
          <xm:sqref>M2111:M2117</xm:sqref>
        </x14:conditionalFormatting>
        <x14:conditionalFormatting xmlns:xm="http://schemas.microsoft.com/office/excel/2006/main">
          <x14:cfRule type="duplicateValues" priority="117" aboveAverage="0" rank="0" text="" id="{00440036-00C3-4CF4-ABF6-00C700540053}">
            <x14:dxf>
              <font>
                <color rgb="FF9C0006"/>
              </font>
              <fill>
                <patternFill patternType="solid">
                  <fgColor rgb="FFFFC7CE"/>
                  <bgColor rgb="FFFFC7CE"/>
                </patternFill>
              </fill>
            </x14:dxf>
          </x14:cfRule>
          <xm:sqref>M2111:M2117</xm:sqref>
        </x14:conditionalFormatting>
        <x14:conditionalFormatting xmlns:xm="http://schemas.microsoft.com/office/excel/2006/main">
          <x14:cfRule type="duplicateValues" priority="118" aboveAverage="0" rank="0" text="" id="{00B20057-00F2-49CF-A691-00A300B400F8}">
            <x14:dxf>
              <font>
                <color rgb="FF9C0006"/>
              </font>
              <fill>
                <patternFill patternType="solid">
                  <fgColor rgb="FFFFC7CE"/>
                  <bgColor rgb="FFFFC7CE"/>
                </patternFill>
              </fill>
            </x14:dxf>
          </x14:cfRule>
          <xm:sqref>M555</xm:sqref>
        </x14:conditionalFormatting>
        <x14:conditionalFormatting xmlns:xm="http://schemas.microsoft.com/office/excel/2006/main">
          <x14:cfRule type="duplicateValues" priority="119" aboveAverage="0" rank="0" text="" id="{005100D0-00B7-4B09-8079-00BC0078000F}">
            <x14:dxf>
              <font>
                <color rgb="FF9C0006"/>
              </font>
              <fill>
                <patternFill patternType="solid">
                  <fgColor rgb="FFFFC7CE"/>
                  <bgColor rgb="FFFFC7CE"/>
                </patternFill>
              </fill>
            </x14:dxf>
          </x14:cfRule>
          <xm:sqref>M555</xm:sqref>
        </x14:conditionalFormatting>
        <x14:conditionalFormatting xmlns:xm="http://schemas.microsoft.com/office/excel/2006/main">
          <x14:cfRule type="duplicateValues" priority="120" aboveAverage="0" rank="0" text="" id="{00EA006D-005A-4B97-92BC-003400750047}">
            <x14:dxf>
              <font>
                <color rgb="FF9C0006"/>
              </font>
              <fill>
                <patternFill patternType="solid">
                  <fgColor rgb="FFFFC7CE"/>
                  <bgColor rgb="FFFFC7CE"/>
                </patternFill>
              </fill>
            </x14:dxf>
          </x14:cfRule>
          <xm:sqref>M555</xm:sqref>
        </x14:conditionalFormatting>
        <x14:conditionalFormatting xmlns:xm="http://schemas.microsoft.com/office/excel/2006/main">
          <x14:cfRule type="duplicateValues" priority="121" aboveAverage="0" rank="0" text="" id="{00F000E7-0088-4BF8-BFC6-0052003500AF}">
            <x14:dxf>
              <font>
                <color rgb="FF9C0006"/>
              </font>
              <fill>
                <patternFill patternType="solid">
                  <fgColor rgb="FFFFC7CE"/>
                  <bgColor rgb="FFFFC7CE"/>
                </patternFill>
              </fill>
            </x14:dxf>
          </x14:cfRule>
          <xm:sqref>M2107</xm:sqref>
        </x14:conditionalFormatting>
        <x14:conditionalFormatting xmlns:xm="http://schemas.microsoft.com/office/excel/2006/main">
          <x14:cfRule type="duplicateValues" priority="122" aboveAverage="0" rank="0" text="" id="{008C00BF-003D-417D-9C30-00E5008B003D}">
            <x14:dxf>
              <font>
                <color rgb="FF9C0006"/>
              </font>
              <fill>
                <patternFill patternType="solid">
                  <fgColor rgb="FFFFC7CE"/>
                  <bgColor rgb="FFFFC7CE"/>
                </patternFill>
              </fill>
            </x14:dxf>
          </x14:cfRule>
          <xm:sqref>M2107</xm:sqref>
        </x14:conditionalFormatting>
        <x14:conditionalFormatting xmlns:xm="http://schemas.microsoft.com/office/excel/2006/main">
          <x14:cfRule type="duplicateValues" priority="123" aboveAverage="0" rank="0" text="" id="{0079000F-0043-4832-A13A-0073007B00B5}">
            <x14:dxf>
              <font>
                <color rgb="FF9C0006"/>
              </font>
              <fill>
                <patternFill patternType="solid">
                  <fgColor rgb="FFFFC7CE"/>
                  <bgColor rgb="FFFFC7CE"/>
                </patternFill>
              </fill>
            </x14:dxf>
          </x14:cfRule>
          <xm:sqref>M2107</xm:sqref>
        </x14:conditionalFormatting>
        <x14:conditionalFormatting xmlns:xm="http://schemas.microsoft.com/office/excel/2006/main">
          <x14:cfRule type="duplicateValues" priority="124" aboveAverage="0" rank="0" text="" id="{004D003B-001D-449E-BE4A-00B0004400B9}">
            <x14:dxf>
              <font>
                <color rgb="FF9C0006"/>
              </font>
              <fill>
                <patternFill patternType="solid">
                  <fgColor rgb="FFFFC7CE"/>
                  <bgColor rgb="FFFFC7CE"/>
                </patternFill>
              </fill>
            </x14:dxf>
          </x14:cfRule>
          <xm:sqref>M2106</xm:sqref>
        </x14:conditionalFormatting>
        <x14:conditionalFormatting xmlns:xm="http://schemas.microsoft.com/office/excel/2006/main">
          <x14:cfRule type="duplicateValues" priority="125" aboveAverage="0" rank="0" text="" id="{0052003A-00D8-4915-8954-00F1008D0052}">
            <x14:dxf>
              <font>
                <color rgb="FF9C0006"/>
              </font>
              <fill>
                <patternFill patternType="solid">
                  <fgColor rgb="FFFFC7CE"/>
                  <bgColor rgb="FFFFC7CE"/>
                </patternFill>
              </fill>
            </x14:dxf>
          </x14:cfRule>
          <xm:sqref>M2106</xm:sqref>
        </x14:conditionalFormatting>
        <x14:conditionalFormatting xmlns:xm="http://schemas.microsoft.com/office/excel/2006/main">
          <x14:cfRule type="duplicateValues" priority="126" aboveAverage="0" rank="0" text="" id="{0012006C-001E-485D-B70B-005F00200063}">
            <x14:dxf>
              <font>
                <color rgb="FF9C0006"/>
              </font>
              <fill>
                <patternFill patternType="solid">
                  <fgColor rgb="FFFFC7CE"/>
                  <bgColor rgb="FFFFC7CE"/>
                </patternFill>
              </fill>
            </x14:dxf>
          </x14:cfRule>
          <xm:sqref>M2106</xm:sqref>
        </x14:conditionalFormatting>
        <x14:conditionalFormatting xmlns:xm="http://schemas.microsoft.com/office/excel/2006/main">
          <x14:cfRule type="duplicateValues" priority="127" aboveAverage="0" rank="0" text="" id="{00DC0044-00E0-4D23-A4DA-00D000DF0099}">
            <x14:dxf>
              <font>
                <color rgb="FF9C0006"/>
              </font>
              <fill>
                <patternFill patternType="solid">
                  <fgColor rgb="FFFFC7CE"/>
                  <bgColor rgb="FFFFC7CE"/>
                </patternFill>
              </fill>
            </x14:dxf>
          </x14:cfRule>
          <xm:sqref>M812</xm:sqref>
        </x14:conditionalFormatting>
        <x14:conditionalFormatting xmlns:xm="http://schemas.microsoft.com/office/excel/2006/main">
          <x14:cfRule type="duplicateValues" priority="128" aboveAverage="0" rank="0" text="" id="{00640010-0067-4111-AAC0-002C00F40024}">
            <x14:dxf>
              <font>
                <color rgb="FF9C0006"/>
              </font>
              <fill>
                <patternFill patternType="solid">
                  <fgColor rgb="FFFFC7CE"/>
                  <bgColor rgb="FFFFC7CE"/>
                </patternFill>
              </fill>
            </x14:dxf>
          </x14:cfRule>
          <xm:sqref>M812</xm:sqref>
        </x14:conditionalFormatting>
        <x14:conditionalFormatting xmlns:xm="http://schemas.microsoft.com/office/excel/2006/main">
          <x14:cfRule type="duplicateValues" priority="129" aboveAverage="0" rank="0" text="" id="{003D005C-00E9-4BD9-9635-00AE000100F4}">
            <x14:dxf>
              <font>
                <color rgb="FF9C0006"/>
              </font>
              <fill>
                <patternFill patternType="solid">
                  <fgColor rgb="FFFFC7CE"/>
                  <bgColor rgb="FFFFC7CE"/>
                </patternFill>
              </fill>
            </x14:dxf>
          </x14:cfRule>
          <xm:sqref>M812</xm:sqref>
        </x14:conditionalFormatting>
        <x14:conditionalFormatting xmlns:xm="http://schemas.microsoft.com/office/excel/2006/main">
          <x14:cfRule type="duplicateValues" priority="130" aboveAverage="0" rank="0" text="" id="{00720078-008A-44D9-87B2-001D00BB0009}">
            <x14:dxf>
              <font>
                <color rgb="FF9C0006"/>
              </font>
              <fill>
                <patternFill patternType="solid">
                  <fgColor rgb="FFFFC7CE"/>
                  <bgColor rgb="FFFFC7CE"/>
                </patternFill>
              </fill>
            </x14:dxf>
          </x14:cfRule>
          <xm:sqref>M1154</xm:sqref>
        </x14:conditionalFormatting>
        <x14:conditionalFormatting xmlns:xm="http://schemas.microsoft.com/office/excel/2006/main">
          <x14:cfRule type="duplicateValues" priority="131" aboveAverage="0" rank="0" text="" id="{004C0068-0081-4B28-A702-003D00480069}">
            <x14:dxf>
              <font>
                <color rgb="FF9C0006"/>
              </font>
              <fill>
                <patternFill patternType="solid">
                  <fgColor rgb="FFFFC7CE"/>
                  <bgColor rgb="FFFFC7CE"/>
                </patternFill>
              </fill>
            </x14:dxf>
          </x14:cfRule>
          <xm:sqref>M1154</xm:sqref>
        </x14:conditionalFormatting>
        <x14:conditionalFormatting xmlns:xm="http://schemas.microsoft.com/office/excel/2006/main">
          <x14:cfRule type="duplicateValues" priority="132" aboveAverage="0" rank="0" text="" id="{00F100EB-001F-4BFC-B7BB-000F00950075}">
            <x14:dxf>
              <font>
                <color rgb="FF9C0006"/>
              </font>
              <fill>
                <patternFill patternType="solid">
                  <fgColor rgb="FFFFC7CE"/>
                  <bgColor rgb="FFFFC7CE"/>
                </patternFill>
              </fill>
            </x14:dxf>
          </x14:cfRule>
          <xm:sqref>M1154</xm:sqref>
        </x14:conditionalFormatting>
        <x14:conditionalFormatting xmlns:xm="http://schemas.microsoft.com/office/excel/2006/main">
          <x14:cfRule type="duplicateValues" priority="133" aboveAverage="0" rank="0" text="" id="{008B0036-0057-4882-B77A-00FB00990020}">
            <x14:dxf>
              <font>
                <color rgb="FF9C0006"/>
              </font>
              <fill>
                <patternFill patternType="solid">
                  <fgColor rgb="FFFFC7CE"/>
                  <bgColor rgb="FFFFC7CE"/>
                </patternFill>
              </fill>
            </x14:dxf>
          </x14:cfRule>
          <xm:sqref>M2018</xm:sqref>
        </x14:conditionalFormatting>
        <x14:conditionalFormatting xmlns:xm="http://schemas.microsoft.com/office/excel/2006/main">
          <x14:cfRule type="duplicateValues" priority="134" aboveAverage="0" rank="0" text="" id="{0047005F-0069-46DE-9EC0-00F100540013}">
            <x14:dxf>
              <font>
                <color rgb="FF9C0006"/>
              </font>
              <fill>
                <patternFill patternType="solid">
                  <fgColor rgb="FFFFC7CE"/>
                  <bgColor rgb="FFFFC7CE"/>
                </patternFill>
              </fill>
            </x14:dxf>
          </x14:cfRule>
          <xm:sqref>M2018</xm:sqref>
        </x14:conditionalFormatting>
        <x14:conditionalFormatting xmlns:xm="http://schemas.microsoft.com/office/excel/2006/main">
          <x14:cfRule type="duplicateValues" priority="135" aboveAverage="0" rank="0" text="" id="{00930027-003C-421E-9437-00D4009C00B2}">
            <x14:dxf>
              <font>
                <color rgb="FF9C0006"/>
              </font>
              <fill>
                <patternFill patternType="solid">
                  <fgColor rgb="FFFFC7CE"/>
                  <bgColor rgb="FFFFC7CE"/>
                </patternFill>
              </fill>
            </x14:dxf>
          </x14:cfRule>
          <xm:sqref>M2018</xm:sqref>
        </x14:conditionalFormatting>
        <x14:conditionalFormatting xmlns:xm="http://schemas.microsoft.com/office/excel/2006/main">
          <x14:cfRule type="duplicateValues" priority="136" aboveAverage="0" rank="0" text="" id="{007500BF-0005-4955-8014-001A003600D1}">
            <x14:dxf>
              <font>
                <color rgb="FF9C0006"/>
              </font>
              <fill>
                <patternFill patternType="solid">
                  <fgColor rgb="FFFFC7CE"/>
                  <bgColor rgb="FFFFC7CE"/>
                </patternFill>
              </fill>
            </x14:dxf>
          </x14:cfRule>
          <xm:sqref>M659</xm:sqref>
        </x14:conditionalFormatting>
        <x14:conditionalFormatting xmlns:xm="http://schemas.microsoft.com/office/excel/2006/main">
          <x14:cfRule type="duplicateValues" priority="137" aboveAverage="0" rank="0" text="" id="{002400AD-00A5-4E11-93AE-006E00BA009F}">
            <x14:dxf>
              <font>
                <color rgb="FF9C0006"/>
              </font>
              <fill>
                <patternFill patternType="solid">
                  <fgColor rgb="FFFFC7CE"/>
                  <bgColor rgb="FFFFC7CE"/>
                </patternFill>
              </fill>
            </x14:dxf>
          </x14:cfRule>
          <xm:sqref>M659</xm:sqref>
        </x14:conditionalFormatting>
        <x14:conditionalFormatting xmlns:xm="http://schemas.microsoft.com/office/excel/2006/main">
          <x14:cfRule type="duplicateValues" priority="138" aboveAverage="0" rank="0" text="" id="{00BA001E-0070-4108-8CF1-0011009E00F9}">
            <x14:dxf>
              <font>
                <color rgb="FF9C0006"/>
              </font>
              <fill>
                <patternFill patternType="solid">
                  <fgColor rgb="FFFFC7CE"/>
                  <bgColor rgb="FFFFC7CE"/>
                </patternFill>
              </fill>
            </x14:dxf>
          </x14:cfRule>
          <xm:sqref>M659</xm:sqref>
        </x14:conditionalFormatting>
        <x14:conditionalFormatting xmlns:xm="http://schemas.microsoft.com/office/excel/2006/main">
          <x14:cfRule type="duplicateValues" priority="139" aboveAverage="0" rank="0" text="" id="{000000BE-00BB-442F-A8F5-009400F2000C}">
            <x14:dxf>
              <font>
                <color rgb="FF9C0006"/>
              </font>
              <fill>
                <patternFill patternType="solid">
                  <fgColor rgb="FFFFC7CE"/>
                  <bgColor rgb="FFFFC7CE"/>
                </patternFill>
              </fill>
            </x14:dxf>
          </x14:cfRule>
          <xm:sqref>M658</xm:sqref>
        </x14:conditionalFormatting>
        <x14:conditionalFormatting xmlns:xm="http://schemas.microsoft.com/office/excel/2006/main">
          <x14:cfRule type="duplicateValues" priority="140" aboveAverage="0" rank="0" text="" id="{007D00BB-008D-4ADE-B4C0-00CE00D800F1}">
            <x14:dxf>
              <font>
                <color rgb="FF9C0006"/>
              </font>
              <fill>
                <patternFill patternType="solid">
                  <fgColor rgb="FFFFC7CE"/>
                  <bgColor rgb="FFFFC7CE"/>
                </patternFill>
              </fill>
            </x14:dxf>
          </x14:cfRule>
          <xm:sqref>M658</xm:sqref>
        </x14:conditionalFormatting>
        <x14:conditionalFormatting xmlns:xm="http://schemas.microsoft.com/office/excel/2006/main">
          <x14:cfRule type="duplicateValues" priority="141" aboveAverage="0" rank="0" text="" id="{00C8007D-004B-4BCF-A42D-009E002A0047}">
            <x14:dxf>
              <font>
                <color rgb="FF9C0006"/>
              </font>
              <fill>
                <patternFill patternType="solid">
                  <fgColor rgb="FFFFC7CE"/>
                  <bgColor rgb="FFFFC7CE"/>
                </patternFill>
              </fill>
            </x14:dxf>
          </x14:cfRule>
          <xm:sqref>M658</xm:sqref>
        </x14:conditionalFormatting>
        <x14:conditionalFormatting xmlns:xm="http://schemas.microsoft.com/office/excel/2006/main">
          <x14:cfRule type="duplicateValues" priority="142" aboveAverage="0" rank="0" text="" id="{000B00AC-00BD-44FE-BA40-009F008E00EA}">
            <x14:dxf>
              <font>
                <color rgb="FF9C0006"/>
              </font>
              <fill>
                <patternFill patternType="solid">
                  <fgColor rgb="FFFFC7CE"/>
                  <bgColor rgb="FFFFC7CE"/>
                </patternFill>
              </fill>
            </x14:dxf>
          </x14:cfRule>
          <xm:sqref>M1892</xm:sqref>
        </x14:conditionalFormatting>
        <x14:conditionalFormatting xmlns:xm="http://schemas.microsoft.com/office/excel/2006/main">
          <x14:cfRule type="duplicateValues" priority="143" aboveAverage="0" rank="0" text="" id="{00ED00DF-00F3-4FFC-81EF-0035004000B0}">
            <x14:dxf>
              <font>
                <color rgb="FF9C0006"/>
              </font>
              <fill>
                <patternFill patternType="solid">
                  <fgColor rgb="FFFFC7CE"/>
                  <bgColor rgb="FFFFC7CE"/>
                </patternFill>
              </fill>
            </x14:dxf>
          </x14:cfRule>
          <xm:sqref>M1892</xm:sqref>
        </x14:conditionalFormatting>
        <x14:conditionalFormatting xmlns:xm="http://schemas.microsoft.com/office/excel/2006/main">
          <x14:cfRule type="duplicateValues" priority="144" aboveAverage="0" rank="0" text="" id="{00830027-00EF-473B-A945-003400AE00CC}">
            <x14:dxf>
              <font>
                <color rgb="FF9C0006"/>
              </font>
              <fill>
                <patternFill patternType="solid">
                  <fgColor rgb="FFFFC7CE"/>
                  <bgColor rgb="FFFFC7CE"/>
                </patternFill>
              </fill>
            </x14:dxf>
          </x14:cfRule>
          <xm:sqref>M1892</xm:sqref>
        </x14:conditionalFormatting>
        <x14:conditionalFormatting xmlns:xm="http://schemas.microsoft.com/office/excel/2006/main">
          <x14:cfRule type="duplicateValues" priority="145" aboveAverage="0" rank="0" text="" id="{00FB00B0-0059-4B11-8114-00DC00C50019}">
            <x14:dxf>
              <font>
                <color rgb="FF9C0006"/>
              </font>
              <fill>
                <patternFill patternType="solid">
                  <fgColor rgb="FFFFC7CE"/>
                  <bgColor rgb="FFFFC7CE"/>
                </patternFill>
              </fill>
            </x14:dxf>
          </x14:cfRule>
          <xm:sqref>M2535:M65723 M2108:M2110 M1:M96 M661:M741 M1155:M1185 M813:M837 M556:M657 O2535:Q2538 M157:M333 M335:M365 M367:M368 M370:M379 M381:M465 M467:M534 M536:M537 M540:M554 M743:M768 M850:M930 M932:M937 M939:M1078 M1513:M1531 M1818:M1891 M2084:M2105 M770 M1533:M1541 M99:M155 M772:M811 M2118:M2192 M1569:M1816 M2019:M2031 M1298:M1343 M2041:M2082 M2529:M2533 M1970:M2017 M845:M848 M1893:M1967 M1551:M1566 M2033:M2039 M2194:M2222 M1543:M1549 M1080:M1153 M1187:M1295 M839:M843</xm:sqref>
        </x14:conditionalFormatting>
        <x14:conditionalFormatting xmlns:xm="http://schemas.microsoft.com/office/excel/2006/main">
          <x14:cfRule type="duplicateValues" priority="146" aboveAverage="0" rank="0" text="" id="{00BD00F1-0099-4A0D-89AB-00ED004F00E8}">
            <x14:dxf>
              <font>
                <color rgb="FF9C0006"/>
              </font>
              <fill>
                <patternFill patternType="solid">
                  <fgColor rgb="FFFFC7CE"/>
                  <bgColor rgb="FFFFC7CE"/>
                </patternFill>
              </fill>
            </x14:dxf>
          </x14:cfRule>
          <xm:sqref>D2568:G2574 W2568:W2574</xm:sqref>
        </x14:conditionalFormatting>
        <x14:conditionalFormatting xmlns:xm="http://schemas.microsoft.com/office/excel/2006/main">
          <x14:cfRule type="duplicateValues" priority="147" aboveAverage="0" rank="0" text="" id="{00E600C3-007B-431A-8693-009C002700D9}">
            <x14:dxf>
              <font>
                <color rgb="FF9C0006"/>
              </font>
              <fill>
                <patternFill patternType="solid">
                  <fgColor rgb="FFFFC7CE"/>
                  <bgColor rgb="FFFFC7CE"/>
                </patternFill>
              </fill>
            </x14:dxf>
          </x14:cfRule>
          <xm:sqref>M1068</xm:sqref>
        </x14:conditionalFormatting>
        <x14:conditionalFormatting xmlns:xm="http://schemas.microsoft.com/office/excel/2006/main">
          <x14:cfRule type="duplicateValues" priority="148" aboveAverage="0" rank="0" text="" id="{000000E8-00B7-4EE6-B9CB-009000F70029}">
            <x14:dxf>
              <font>
                <color rgb="FF9C0006"/>
              </font>
              <fill>
                <patternFill patternType="solid">
                  <fgColor rgb="FFFFC7CE"/>
                  <bgColor rgb="FFFFC7CE"/>
                </patternFill>
              </fill>
            </x14:dxf>
          </x14:cfRule>
          <xm:sqref>M1068</xm:sqref>
        </x14:conditionalFormatting>
        <x14:conditionalFormatting xmlns:xm="http://schemas.microsoft.com/office/excel/2006/main">
          <x14:cfRule type="duplicateValues" priority="149" aboveAverage="0" rank="0" text="" id="{00050089-0099-411D-9D15-00E800C4007D}">
            <x14:dxf>
              <font>
                <color rgb="FF9C0006"/>
              </font>
              <fill>
                <patternFill patternType="solid">
                  <fgColor rgb="FFFFC7CE"/>
                  <bgColor rgb="FFFFC7CE"/>
                </patternFill>
              </fill>
            </x14:dxf>
          </x14:cfRule>
          <xm:sqref>M314</xm:sqref>
        </x14:conditionalFormatting>
        <x14:conditionalFormatting xmlns:xm="http://schemas.microsoft.com/office/excel/2006/main">
          <x14:cfRule type="duplicateValues" priority="150" aboveAverage="0" rank="0" text="" id="{00E800B2-00DD-450F-9487-00EC007600E8}">
            <x14:dxf>
              <font>
                <color rgb="FF9C0006"/>
              </font>
              <fill>
                <patternFill patternType="solid">
                  <fgColor rgb="FFFFC7CE"/>
                  <bgColor rgb="FFFFC7CE"/>
                </patternFill>
              </fill>
            </x14:dxf>
          </x14:cfRule>
          <xm:sqref>M314</xm:sqref>
        </x14:conditionalFormatting>
        <x14:conditionalFormatting xmlns:xm="http://schemas.microsoft.com/office/excel/2006/main">
          <x14:cfRule type="duplicateValues" priority="151" aboveAverage="0" rank="0" text="" id="{00F30005-0081-41CA-B5C3-00BE004E0004}">
            <x14:dxf>
              <font>
                <color rgb="FF9C0006"/>
              </font>
              <fill>
                <patternFill patternType="solid">
                  <fgColor rgb="FFFFC7CE"/>
                  <bgColor rgb="FFFFC7CE"/>
                </patternFill>
              </fill>
            </x14:dxf>
          </x14:cfRule>
          <xm:sqref>M231</xm:sqref>
        </x14:conditionalFormatting>
        <x14:conditionalFormatting xmlns:xm="http://schemas.microsoft.com/office/excel/2006/main">
          <x14:cfRule type="duplicateValues" priority="152" aboveAverage="0" rank="0" text="" id="{00CA005E-0040-414D-9CA2-005800960078}">
            <x14:dxf>
              <font>
                <color rgb="FF9C0006"/>
              </font>
              <fill>
                <patternFill patternType="solid">
                  <fgColor rgb="FFFFC7CE"/>
                  <bgColor rgb="FFFFC7CE"/>
                </patternFill>
              </fill>
            </x14:dxf>
          </x14:cfRule>
          <xm:sqref>M231</xm:sqref>
        </x14:conditionalFormatting>
        <x14:conditionalFormatting xmlns:xm="http://schemas.microsoft.com/office/excel/2006/main">
          <x14:cfRule type="duplicateValues" priority="153" aboveAverage="0" rank="0" text="" id="{00C80027-00E1-44E0-8023-005800470004}">
            <x14:dxf>
              <font>
                <color rgb="FF9C0006"/>
              </font>
              <fill>
                <patternFill patternType="solid">
                  <fgColor rgb="FFFFC7CE"/>
                  <bgColor rgb="FFFFC7CE"/>
                </patternFill>
              </fill>
            </x14:dxf>
          </x14:cfRule>
          <xm:sqref>M179</xm:sqref>
        </x14:conditionalFormatting>
        <x14:conditionalFormatting xmlns:xm="http://schemas.microsoft.com/office/excel/2006/main">
          <x14:cfRule type="duplicateValues" priority="154" aboveAverage="0" rank="0" text="" id="{00F5004F-0070-4EF1-83D3-00BE00130057}">
            <x14:dxf>
              <font>
                <color rgb="FF9C0006"/>
              </font>
              <fill>
                <patternFill patternType="solid">
                  <fgColor rgb="FFFFC7CE"/>
                  <bgColor rgb="FFFFC7CE"/>
                </patternFill>
              </fill>
            </x14:dxf>
          </x14:cfRule>
          <xm:sqref>M179</xm:sqref>
        </x14:conditionalFormatting>
        <x14:conditionalFormatting xmlns:xm="http://schemas.microsoft.com/office/excel/2006/main">
          <x14:cfRule type="duplicateValues" priority="155" aboveAverage="0" rank="0" text="" id="{0006007C-001A-4B8E-BBA5-0014000D00BF}">
            <x14:dxf>
              <font>
                <color rgb="FF9C0006"/>
              </font>
              <fill>
                <patternFill patternType="solid">
                  <fgColor rgb="FFFFC7CE"/>
                  <bgColor rgb="FFFFC7CE"/>
                </patternFill>
              </fill>
            </x14:dxf>
          </x14:cfRule>
          <xm:sqref>M164</xm:sqref>
        </x14:conditionalFormatting>
        <x14:conditionalFormatting xmlns:xm="http://schemas.microsoft.com/office/excel/2006/main">
          <x14:cfRule type="duplicateValues" priority="156" aboveAverage="0" rank="0" text="" id="{001A00C8-00C3-4715-B1A9-006400D500B0}">
            <x14:dxf>
              <font>
                <color rgb="FF9C0006"/>
              </font>
              <fill>
                <patternFill patternType="solid">
                  <fgColor rgb="FFFFC7CE"/>
                  <bgColor rgb="FFFFC7CE"/>
                </patternFill>
              </fill>
            </x14:dxf>
          </x14:cfRule>
          <xm:sqref>M164</xm:sqref>
        </x14:conditionalFormatting>
        <x14:conditionalFormatting xmlns:xm="http://schemas.microsoft.com/office/excel/2006/main">
          <x14:cfRule type="duplicateValues" priority="157" aboveAverage="0" rank="0" text="" id="{005900B2-0063-4D02-AC97-003C0020000A}">
            <x14:dxf>
              <font>
                <color rgb="FF9C0006"/>
              </font>
              <fill>
                <patternFill patternType="solid">
                  <fgColor rgb="FFFFC7CE"/>
                  <bgColor rgb="FFFFC7CE"/>
                </patternFill>
              </fill>
            </x14:dxf>
          </x14:cfRule>
          <xm:sqref>M2100:M2105</xm:sqref>
        </x14:conditionalFormatting>
        <x14:conditionalFormatting xmlns:xm="http://schemas.microsoft.com/office/excel/2006/main">
          <x14:cfRule type="duplicateValues" priority="158" aboveAverage="0" rank="0" text="" id="{00A0005D-000F-4FE1-A59B-00C000700077}">
            <x14:dxf>
              <font>
                <color rgb="FF9C0006"/>
              </font>
              <fill>
                <patternFill patternType="solid">
                  <fgColor rgb="FFFFC7CE"/>
                  <bgColor rgb="FFFFC7CE"/>
                </patternFill>
              </fill>
            </x14:dxf>
          </x14:cfRule>
          <xm:sqref>M2100:M2105</xm:sqref>
        </x14:conditionalFormatting>
        <x14:conditionalFormatting xmlns:xm="http://schemas.microsoft.com/office/excel/2006/main">
          <x14:cfRule type="duplicateValues" priority="159" aboveAverage="0" rank="0" text="" id="{003C00B0-00A5-498C-87ED-00290072001C}">
            <x14:dxf>
              <font>
                <color rgb="FF9C0006"/>
              </font>
              <fill>
                <patternFill patternType="solid">
                  <fgColor rgb="FFFFC7CE"/>
                  <bgColor rgb="FFFFC7CE"/>
                </patternFill>
              </fill>
            </x14:dxf>
          </x14:cfRule>
          <xm:sqref>M20</xm:sqref>
        </x14:conditionalFormatting>
        <x14:conditionalFormatting xmlns:xm="http://schemas.microsoft.com/office/excel/2006/main">
          <x14:cfRule type="duplicateValues" priority="160" aboveAverage="0" rank="0" text="" id="{00E100AA-0001-42D7-A756-00390014007A}">
            <x14:dxf>
              <font>
                <color rgb="FF9C0006"/>
              </font>
              <fill>
                <patternFill patternType="solid">
                  <fgColor rgb="FFFFC7CE"/>
                  <bgColor rgb="FFFFC7CE"/>
                </patternFill>
              </fill>
            </x14:dxf>
          </x14:cfRule>
          <xm:sqref>M20</xm:sqref>
        </x14:conditionalFormatting>
        <x14:conditionalFormatting xmlns:xm="http://schemas.microsoft.com/office/excel/2006/main">
          <x14:cfRule type="duplicateValues" priority="161" aboveAverage="0" rank="0" text="" id="{00C0007D-007E-4249-B50A-00CB00E60022}">
            <x14:dxf>
              <font>
                <color rgb="FF9C0006"/>
              </font>
              <fill>
                <patternFill patternType="solid">
                  <fgColor rgb="FFFFC7CE"/>
                  <bgColor rgb="FFFFC7CE"/>
                </patternFill>
              </fill>
            </x14:dxf>
          </x14:cfRule>
          <xm:sqref>M28</xm:sqref>
        </x14:conditionalFormatting>
        <x14:conditionalFormatting xmlns:xm="http://schemas.microsoft.com/office/excel/2006/main">
          <x14:cfRule type="duplicateValues" priority="162" aboveAverage="0" rank="0" text="" id="{0068006F-0086-4E4C-97CE-0028003D00EE}">
            <x14:dxf>
              <font>
                <color rgb="FF9C0006"/>
              </font>
              <fill>
                <patternFill patternType="solid">
                  <fgColor rgb="FFFFC7CE"/>
                  <bgColor rgb="FFFFC7CE"/>
                </patternFill>
              </fill>
            </x14:dxf>
          </x14:cfRule>
          <xm:sqref>M28</xm:sqref>
        </x14:conditionalFormatting>
        <x14:conditionalFormatting xmlns:xm="http://schemas.microsoft.com/office/excel/2006/main">
          <x14:cfRule type="duplicateValues" priority="163" aboveAverage="0" rank="0" text="" id="{00B800C0-00C2-443E-8F87-0012009800F8}">
            <x14:dxf>
              <font>
                <color rgb="FF9C0006"/>
              </font>
              <fill>
                <patternFill patternType="solid">
                  <fgColor rgb="FFFFC7CE"/>
                  <bgColor rgb="FFFFC7CE"/>
                </patternFill>
              </fill>
            </x14:dxf>
          </x14:cfRule>
          <xm:sqref>M177</xm:sqref>
        </x14:conditionalFormatting>
        <x14:conditionalFormatting xmlns:xm="http://schemas.microsoft.com/office/excel/2006/main">
          <x14:cfRule type="duplicateValues" priority="164" aboveAverage="0" rank="0" text="" id="{001D0090-00F2-4CFB-95D0-004800F900D7}">
            <x14:dxf>
              <font>
                <color rgb="FF9C0006"/>
              </font>
              <fill>
                <patternFill patternType="solid">
                  <fgColor rgb="FFFFC7CE"/>
                  <bgColor rgb="FFFFC7CE"/>
                </patternFill>
              </fill>
            </x14:dxf>
          </x14:cfRule>
          <xm:sqref>M177</xm:sqref>
        </x14:conditionalFormatting>
        <x14:conditionalFormatting xmlns:xm="http://schemas.microsoft.com/office/excel/2006/main">
          <x14:cfRule type="duplicateValues" priority="165" aboveAverage="0" rank="0" text="" id="{00C800E2-00BE-4ED9-8DBE-0041005B00D8}">
            <x14:dxf>
              <font>
                <color rgb="FF9C0006"/>
              </font>
              <fill>
                <patternFill patternType="solid">
                  <fgColor rgb="FFFFC7CE"/>
                  <bgColor rgb="FFFFC7CE"/>
                </patternFill>
              </fill>
            </x14:dxf>
          </x14:cfRule>
          <xm:sqref>H2555:H2584</xm:sqref>
        </x14:conditionalFormatting>
        <x14:conditionalFormatting xmlns:xm="http://schemas.microsoft.com/office/excel/2006/main">
          <x14:cfRule type="duplicateValues" priority="166" aboveAverage="0" rank="0" text="" id="{008900B1-0007-4691-A95D-0097000B00FC}">
            <x14:dxf>
              <font>
                <color rgb="FF9C0006"/>
              </font>
              <fill>
                <patternFill patternType="solid">
                  <fgColor rgb="FFFFC7CE"/>
                  <bgColor rgb="FFFFC7CE"/>
                </patternFill>
              </fill>
            </x14:dxf>
          </x14:cfRule>
          <xm:sqref>H2555:H2584</xm:sqref>
        </x14:conditionalFormatting>
        <x14:conditionalFormatting xmlns:xm="http://schemas.microsoft.com/office/excel/2006/main">
          <x14:cfRule type="duplicateValues" priority="167" aboveAverage="0" rank="0" text="" id="{005D0096-00CD-4F86-B276-000D00C3009F}">
            <x14:dxf>
              <font>
                <color rgb="FF9C0006"/>
              </font>
              <fill>
                <patternFill patternType="solid">
                  <fgColor rgb="FFFFC7CE"/>
                  <bgColor rgb="FFFFC7CE"/>
                </patternFill>
              </fill>
            </x14:dxf>
          </x14:cfRule>
          <xm:sqref>M2535:M65723 M2108:M2110 M1:M19 M21:M27 M178 M165:M176 M29:M96 M180:M230 M232:M313 M315:M333 M1069:M1078 M661:M741 M1155:M1185 M813:M837 M556:M657 O2535:Q2538 M157:M163 M335:M365 M367:M368 M370:M379 M381:M465 M467:M534 M536:M537 M540:M554 M743:M768 M850:M930 M932:M937 M939:M1067 M1513:M1531 M1818:M1891 M2084:M2099 M770 M1533:M1541 M99:M155 M772:M811 M2118:M2192 M1569:M1816 M2019:M2031 M1298:M1343 M2041:M2082 M2529:M2533 M1970:M2017 M845:M848 M1893:M1967 M1551:M1566 M2033:M2039 M2194:M2222 M1543:M1549 M1080:M1153 M1187:M1295 M839:M843</xm:sqref>
        </x14:conditionalFormatting>
        <x14:conditionalFormatting xmlns:xm="http://schemas.microsoft.com/office/excel/2006/main">
          <x14:cfRule type="duplicateValues" priority="168" aboveAverage="0" rank="0" text="" id="{00A900DE-009B-45D1-B1EA-000B00DE00C6}">
            <x14:dxf>
              <font>
                <color rgb="FF9C0006"/>
              </font>
              <fill>
                <patternFill patternType="solid">
                  <fgColor rgb="FFFFC7CE"/>
                  <bgColor rgb="FFFFC7CE"/>
                </patternFill>
              </fill>
            </x14:dxf>
          </x14:cfRule>
          <xm:sqref>M703</xm:sqref>
        </x14:conditionalFormatting>
        <x14:conditionalFormatting xmlns:xm="http://schemas.microsoft.com/office/excel/2006/main">
          <x14:cfRule type="duplicateValues" priority="169" aboveAverage="0" rank="0" text="" id="{00DA0098-00AE-4CDE-910E-00CB001F00F7}">
            <x14:dxf>
              <font>
                <color rgb="FF9C0006"/>
              </font>
              <fill>
                <patternFill patternType="solid">
                  <fgColor rgb="FFFFC7CE"/>
                  <bgColor rgb="FFFFC7CE"/>
                </patternFill>
              </fill>
            </x14:dxf>
          </x14:cfRule>
          <xm:sqref>M702</xm:sqref>
        </x14:conditionalFormatting>
        <x14:conditionalFormatting xmlns:xm="http://schemas.microsoft.com/office/excel/2006/main">
          <x14:cfRule type="duplicateValues" priority="170" aboveAverage="0" rank="0" text="" id="{00D600D3-00D3-4337-B2BC-0022003000B9}">
            <x14:dxf>
              <font>
                <color rgb="FF9C0006"/>
              </font>
              <fill>
                <patternFill patternType="solid">
                  <fgColor rgb="FFFFC7CE"/>
                  <bgColor rgb="FFFFC7CE"/>
                </patternFill>
              </fill>
            </x14:dxf>
          </x14:cfRule>
          <xm:sqref>M701</xm:sqref>
        </x14:conditionalFormatting>
        <x14:conditionalFormatting xmlns:xm="http://schemas.microsoft.com/office/excel/2006/main">
          <x14:cfRule type="duplicateValues" priority="171" aboveAverage="0" rank="0" text="" id="{0073007A-004A-45AD-995A-00B400E00097}">
            <x14:dxf>
              <font>
                <color rgb="FF9C0006"/>
              </font>
              <fill>
                <patternFill patternType="solid">
                  <fgColor rgb="FFFFC7CE"/>
                  <bgColor rgb="FFFFC7CE"/>
                </patternFill>
              </fill>
            </x14:dxf>
          </x14:cfRule>
          <xm:sqref>M700</xm:sqref>
        </x14:conditionalFormatting>
        <x14:conditionalFormatting xmlns:xm="http://schemas.microsoft.com/office/excel/2006/main">
          <x14:cfRule type="duplicateValues" priority="172" aboveAverage="0" rank="0" text="" id="{001800A3-0013-4C21-A303-003500850028}">
            <x14:dxf>
              <font>
                <color rgb="FF9C0006"/>
              </font>
              <fill>
                <patternFill patternType="solid">
                  <fgColor rgb="FFFFC7CE"/>
                  <bgColor rgb="FFFFC7CE"/>
                </patternFill>
              </fill>
            </x14:dxf>
          </x14:cfRule>
          <xm:sqref>M696</xm:sqref>
        </x14:conditionalFormatting>
        <x14:conditionalFormatting xmlns:xm="http://schemas.microsoft.com/office/excel/2006/main">
          <x14:cfRule type="duplicateValues" priority="173" aboveAverage="0" rank="0" text="" id="{00D500EB-0081-4E1C-9BE9-00E8006E0033}">
            <x14:dxf>
              <font>
                <color rgb="FF9C0006"/>
              </font>
              <fill>
                <patternFill patternType="solid">
                  <fgColor rgb="FFFFC7CE"/>
                  <bgColor rgb="FFFFC7CE"/>
                </patternFill>
              </fill>
            </x14:dxf>
          </x14:cfRule>
          <xm:sqref>M697</xm:sqref>
        </x14:conditionalFormatting>
        <x14:conditionalFormatting xmlns:xm="http://schemas.microsoft.com/office/excel/2006/main">
          <x14:cfRule type="duplicateValues" priority="174" aboveAverage="0" rank="0" text="" id="{007800BE-00F2-44E1-83DA-001F000D00B1}">
            <x14:dxf>
              <font>
                <color rgb="FF9C0006"/>
              </font>
              <fill>
                <patternFill patternType="solid">
                  <fgColor rgb="FFFFC7CE"/>
                  <bgColor rgb="FFFFC7CE"/>
                </patternFill>
              </fill>
            </x14:dxf>
          </x14:cfRule>
          <xm:sqref>M698</xm:sqref>
        </x14:conditionalFormatting>
        <x14:conditionalFormatting xmlns:xm="http://schemas.microsoft.com/office/excel/2006/main">
          <x14:cfRule type="duplicateValues" priority="175" aboveAverage="0" rank="0" text="" id="{00E500F3-000F-4BBC-B1BE-0095007200D2}">
            <x14:dxf>
              <font>
                <color rgb="FF9C0006"/>
              </font>
              <fill>
                <patternFill patternType="solid">
                  <fgColor rgb="FFFFC7CE"/>
                  <bgColor rgb="FFFFC7CE"/>
                </patternFill>
              </fill>
            </x14:dxf>
          </x14:cfRule>
          <xm:sqref>M2535:M65723 M2108:M2110 M699 M1:M19 M178 M21:M27 M165:M176 M29:M96 M180:M230 M232:M313 M315:M333 M704:M741 M1069:M1078 M661:M695 M1155:M1185 M813:M837 M556:M657 O2535:Q2538 M157:M163 M335:M365 M367:M368 M370:M379 M381:M465 M467:M534 M536:M537 M540:M554 M743:M768 M850:M930 M932:M937 M939:M1067 M1513:M1531 M1818:M1891 M2084:M2099 M770 M1533:M1541 M99:M155 M772:M811 M2118:M2192 M1569:M1816 M2019:M2031 M1298:M1343 M2041:M2082 M2529:M2533 M1970:M2017 M845:M848 M1893:M1967 M1551:M1566 M2033:M2039 M2194:M2222 M1543:M1549 M1080:M1153 M1187:M1295 M839:M843</xm:sqref>
        </x14:conditionalFormatting>
        <x14:conditionalFormatting xmlns:xm="http://schemas.microsoft.com/office/excel/2006/main">
          <x14:cfRule type="duplicateValues" priority="176" aboveAverage="0" rank="0" text="" id="{006E00CD-0081-483B-ADB9-00DE00280094}">
            <x14:dxf>
              <font>
                <color rgb="FF9C0006"/>
              </font>
              <fill>
                <patternFill patternType="solid">
                  <fgColor rgb="FFFFC7CE"/>
                  <bgColor rgb="FFFFC7CE"/>
                </patternFill>
              </fill>
            </x14:dxf>
          </x14:cfRule>
          <xm:sqref>M1344:M1498 M1500:M1512</xm:sqref>
        </x14:conditionalFormatting>
        <x14:conditionalFormatting xmlns:xm="http://schemas.microsoft.com/office/excel/2006/main">
          <x14:cfRule type="duplicateValues" priority="177" aboveAverage="0" rank="0" text="" id="{00E800E2-006A-4637-B4C5-007F00B600F0}">
            <x14:dxf>
              <font>
                <color rgb="FF9C0006"/>
              </font>
              <fill>
                <patternFill patternType="solid">
                  <fgColor rgb="FFFFC7CE"/>
                  <bgColor rgb="FFFFC7CE"/>
                </patternFill>
              </fill>
            </x14:dxf>
          </x14:cfRule>
          <xm:sqref>M2528 M2292:M2343 M2347:M2370 M2372:M2388 M2390</xm:sqref>
        </x14:conditionalFormatting>
        <x14:conditionalFormatting xmlns:xm="http://schemas.microsoft.com/office/excel/2006/main">
          <x14:cfRule type="duplicateValues" priority="178" aboveAverage="0" rank="0" text="" id="{00C600D1-008E-4EF4-89A5-00D000010078}">
            <x14:dxf>
              <font>
                <color rgb="FF9C0006"/>
              </font>
              <fill>
                <patternFill patternType="solid">
                  <fgColor rgb="FFFFC7CE"/>
                  <bgColor rgb="FFFFC7CE"/>
                </patternFill>
              </fill>
            </x14:dxf>
          </x14:cfRule>
          <xm:sqref>M2529:M65723 M1:M659 M1298:M1343 M2041:M2192 M1970:M2031 M661:M837 M845:M1078 M1569:M1967 M1513:M1541 M2033:M2039 M2194:M2222 M1543:M1566 M1080:M1295 M839:M843</xm:sqref>
        </x14:conditionalFormatting>
        <x14:conditionalFormatting xmlns:xm="http://schemas.microsoft.com/office/excel/2006/main">
          <x14:cfRule type="duplicateValues" priority="179" aboveAverage="0" rank="0" text="" id="{000900A2-0039-4E75-B5C6-004600660001}">
            <x14:dxf>
              <font>
                <color rgb="FF9C0006"/>
              </font>
              <fill>
                <patternFill patternType="solid">
                  <fgColor rgb="FFFFC7CE"/>
                  <bgColor rgb="FFFFC7CE"/>
                </patternFill>
              </fill>
            </x14:dxf>
          </x14:cfRule>
          <xm:sqref>M2287:M2289</xm:sqref>
        </x14:conditionalFormatting>
      </x14:conditionalFormattings>
    </ext>
    <ext xmlns:x14="http://schemas.microsoft.com/office/spreadsheetml/2009/9/main" uri="{CCE6A557-97BC-4b89-ADB6-D9C93CAAB3DF}">
      <x14:dataValidations xmlns:xm="http://schemas.microsoft.com/office/excel/2006/main" count="68" disablePrompts="0">
        <x14:dataValidation xr:uid="{00F2000B-008C-4402-BA5E-00BF00810061}" type="list" allowBlank="1" errorStyle="stop" imeMode="noControl" operator="between" showDropDown="0" showErrorMessage="1" showInputMessage="1">
          <x14:formula1>
            <xm:f>$AM$2537:$AM$2541</xm:f>
          </x14:formula1>
          <x14:formula2>
            <xm:f>0</xm:f>
          </x14:formula2>
          <xm:sqref>AO1830</xm:sqref>
        </x14:dataValidation>
        <x14:dataValidation xr:uid="{006D0061-00E1-4FF5-BF80-00FF008A0042}" type="list" allowBlank="1" errorStyle="stop" imeMode="noControl" operator="between" showDropDown="0" showErrorMessage="1" showInputMessage="1">
          <x14:formula1>
            <xm:f>$AO$2537:$AO$2541</xm:f>
          </x14:formula1>
          <x14:formula2>
            <xm:f>0</xm:f>
          </x14:formula2>
          <xm:sqref>AO2:AO843 AO845:AO1078 AO1080:AO1498 AO1500:AO1541 AO1543:AO1829 AO1831:AO1967 AO1970:AO2031 AO2033:AO2192 AO2194:AO2222 AO2529:AO2533</xm:sqref>
        </x14:dataValidation>
        <x14:dataValidation xr:uid="{00C1009D-0097-44C0-9742-00C6003100E2}" type="list" allowBlank="1" errorStyle="stop" imeMode="noControl" operator="between" showDropDown="0" showErrorMessage="1" showInputMessage="1">
          <x14:formula1>
            <xm:f>$AQ$2537:$AQ$2538</xm:f>
          </x14:formula1>
          <x14:formula2>
            <xm:f>0</xm:f>
          </x14:formula2>
          <xm:sqref>AQ2:AQ436 AQ439:AQ445 AQ450 AQ453:AQ454 AQ456:AQ843 AQ845:AQ925 AQ927:AQ1078 AQ1080:AQ1498 AQ1500:AQ1541 AQ1543:AQ1852 AQ1855 AQ1857:AQ1863 AQ1872 AQ1875:AQ1877 AQ1882:AQ1890 AQ1898:AQ1967 AQ1970:AQ2031 AQ2033:AQ2192 AQ2194:AQ2222 AQ2529:AQ2533</xm:sqref>
        </x14:dataValidation>
        <x14:dataValidation xr:uid="{007D007B-0021-431C-9781-007E00E300FD}" type="list" allowBlank="1" errorStyle="stop" imeMode="noControl" operator="between" showDropDown="0" showErrorMessage="1" showInputMessage="1">
          <x14:formula1>
            <xm:f>$AN$2544:$AN$2545</xm:f>
          </x14:formula1>
          <x14:formula2>
            <xm:f>0</xm:f>
          </x14:formula2>
          <xm:sqref>AP1853:AQ1854 AP1856:AQ1856 AP1864:AQ1871 AP1873:AQ1874 AP1891:AQ1897</xm:sqref>
        </x14:dataValidation>
        <x14:dataValidation xr:uid="{00090097-0024-47C7-87C0-0019003A00A2}" type="list" allowBlank="1" errorStyle="stop" imeMode="noControl" operator="between" showDropDown="0" showErrorMessage="1" showInputMessage="1">
          <x14:formula1>
            <xm:f>$AP$2544:$AP$2545</xm:f>
          </x14:formula1>
          <x14:formula2>
            <xm:f>0</xm:f>
          </x14:formula2>
          <xm:sqref>AP2:AP450 AQ437:AQ438 AQ446:AQ449 AP451:AQ452 AP453:AP456 AQ455 AP457:AP843 AP845:AP927 AQ926 AP928:AP1078 AP1080:AP1498 AP1500:AP1541 AP1543:AP1852 AP1855 AP1857:AP1863 AP1872 AP1875:AP1882 AQ1878:AQ1881 AP1883:AP1890 AP1898:AP1967 AP1970:AP2031 AP2033:AP2192 AP2194:AP2222 AP2529:AP2533</xm:sqref>
        </x14:dataValidation>
        <x14:dataValidation xr:uid="{00590011-00E4-4F77-9D70-0083009600AF}" type="list" allowBlank="1" errorStyle="stop" imeMode="noControl" operator="between" showDropDown="0" showErrorMessage="1" showInputMessage="1">
          <x14:formula1>
            <xm:f>$E$2537:$E$2541</xm:f>
          </x14:formula1>
          <x14:formula2>
            <xm:f>0</xm:f>
          </x14:formula2>
          <xm:sqref>E2:E659 E661:E843 E845:E1078 E1080:E1498 E1500:E1541 E1543:E2031 E2033:E2192 E2194:E2533</xm:sqref>
        </x14:dataValidation>
        <x14:dataValidation xr:uid="{006B0097-00CD-486E-BDD7-003000D70016}" type="list" allowBlank="1" errorStyle="stop" imeMode="noControl" operator="between" showDropDown="0" showErrorMessage="1" showInputMessage="1">
          <x14:formula1>
            <xm:f>$K$2537:$K$2541</xm:f>
          </x14:formula1>
          <x14:formula2>
            <xm:f>0</xm:f>
          </x14:formula2>
          <xm:sqref>K2:K379 K381:K659 K661:K843 K845:K930 K932:K1078 K1080:K1498 K1500:K1541 K1543:K1967 K1970:K2031 K2033:K2192 K2194:K2222 K2252 K2341 K2529:K2533</xm:sqref>
        </x14:dataValidation>
        <x14:dataValidation xr:uid="{00D80049-0058-4C36-A04A-00DD001500B0}" type="list" allowBlank="1" errorStyle="stop" imeMode="noControl" operator="between" showDropDown="0" showErrorMessage="1" showInputMessage="1">
          <x14:formula1>
            <xm:f>$B$2554:$B$2563</xm:f>
          </x14:formula1>
          <x14:formula2>
            <xm:f>0</xm:f>
          </x14:formula2>
          <xm:sqref>B156</xm:sqref>
        </x14:dataValidation>
        <x14:dataValidation xr:uid="{00360063-0014-4987-8DE3-007D00620093}" type="list" allowBlank="1" errorStyle="stop" imeMode="noControl" operator="between" showDropDown="0" showErrorMessage="1" showInputMessage="1">
          <x14:formula1>
            <xm:f>$B$2553:$B$2562</xm:f>
          </x14:formula1>
          <x14:formula2>
            <xm:f>0</xm:f>
          </x14:formula2>
          <xm:sqref>B186</xm:sqref>
        </x14:dataValidation>
        <x14:dataValidation xr:uid="{00E1007A-00EB-4BCB-8B7D-00DA00E600AA}" type="list" allowBlank="1" errorStyle="stop" imeMode="noControl" operator="between" showDropDown="0" showErrorMessage="1" showInputMessage="1">
          <x14:formula1>
            <xm:f>$B$2552:$B$2561</xm:f>
          </x14:formula1>
          <x14:formula2>
            <xm:f>0</xm:f>
          </x14:formula2>
          <xm:sqref>B334</xm:sqref>
        </x14:dataValidation>
        <x14:dataValidation xr:uid="{0027009B-004E-4377-B906-00B700AA00C2}" type="list" allowBlank="1" errorStyle="stop" imeMode="noControl" operator="between" showDropDown="0" showErrorMessage="1" showInputMessage="1">
          <x14:formula1>
            <xm:f>$B$2551:$B$2560</xm:f>
          </x14:formula1>
          <x14:formula2>
            <xm:f>0</xm:f>
          </x14:formula2>
          <xm:sqref>B366</xm:sqref>
        </x14:dataValidation>
        <x14:dataValidation xr:uid="{00630072-003C-42D0-A11D-00F300780063}" type="list" allowBlank="1" errorStyle="stop" imeMode="noControl" operator="between" showDropDown="0" showErrorMessage="1" showInputMessage="1">
          <x14:formula1>
            <xm:f>$B$2550:$B$2559</xm:f>
          </x14:formula1>
          <x14:formula2>
            <xm:f>0</xm:f>
          </x14:formula2>
          <xm:sqref>B369</xm:sqref>
        </x14:dataValidation>
        <x14:dataValidation xr:uid="{00AD005C-0021-4C03-9B7A-00BD00EF009F}" type="list" allowBlank="1" errorStyle="stop" imeMode="noControl" operator="between" showDropDown="0" showErrorMessage="1" showInputMessage="1">
          <x14:formula1>
            <xm:f>$B$2549:$B$2558</xm:f>
          </x14:formula1>
          <x14:formula2>
            <xm:f>0</xm:f>
          </x14:formula2>
          <xm:sqref>B380</xm:sqref>
        </x14:dataValidation>
        <x14:dataValidation xr:uid="{00E300B3-0049-4F21-ABCF-00CE00360007}" type="list" allowBlank="1" errorStyle="stop" imeMode="noControl" operator="between" showDropDown="0" showErrorMessage="1" showInputMessage="1">
          <x14:formula1>
            <xm:f>$U$2549:$U$2553</xm:f>
          </x14:formula1>
          <x14:formula2>
            <xm:f>0</xm:f>
          </x14:formula2>
          <xm:sqref>K380</xm:sqref>
        </x14:dataValidation>
        <x14:dataValidation xr:uid="{001C0092-00AE-44B8-9945-0013006A00F3}" type="list" allowBlank="1" errorStyle="stop" imeMode="noControl" operator="between" showDropDown="0" showErrorMessage="1" showInputMessage="1">
          <x14:formula1>
            <xm:f>$B$2547:$B$2556</xm:f>
          </x14:formula1>
          <x14:formula2>
            <xm:f>0</xm:f>
          </x14:formula2>
          <xm:sqref>B535</xm:sqref>
        </x14:dataValidation>
        <x14:dataValidation xr:uid="{0061005A-0028-42C2-9428-00B600860026}" type="list" allowBlank="1" errorStyle="stop" imeMode="noControl" operator="between" showDropDown="0" showErrorMessage="1" showInputMessage="1">
          <x14:formula1>
            <xm:f>$B$2546:$B$2555</xm:f>
          </x14:formula1>
          <x14:formula2>
            <xm:f>0</xm:f>
          </x14:formula2>
          <xm:sqref>B538</xm:sqref>
        </x14:dataValidation>
        <x14:dataValidation xr:uid="{004000C9-00E3-4738-BF72-008700170018}" type="list" allowBlank="1" errorStyle="stop" imeMode="noControl" operator="between" showDropDown="0" showErrorMessage="1" showInputMessage="1">
          <x14:formula1>
            <xm:f>$F$2554:$F$2584</xm:f>
          </x14:formula1>
          <x14:formula2>
            <xm:f>0</xm:f>
          </x14:formula2>
          <xm:sqref>F156</xm:sqref>
        </x14:dataValidation>
        <x14:dataValidation xr:uid="{00D4001D-00C6-45E0-B73E-001200970019}" type="list" allowBlank="1" errorStyle="stop" imeMode="noControl" operator="between" showDropDown="0" showErrorMessage="1" showInputMessage="1">
          <x14:formula1>
            <xm:f>$F$2552:$F$2582</xm:f>
          </x14:formula1>
          <x14:formula2>
            <xm:f>0</xm:f>
          </x14:formula2>
          <xm:sqref>F334</xm:sqref>
        </x14:dataValidation>
        <x14:dataValidation xr:uid="{00040005-00D1-44DE-89C5-003F00300030}" type="list" allowBlank="1" errorStyle="stop" imeMode="noControl" operator="between" showDropDown="0" showErrorMessage="1" showInputMessage="1">
          <x14:formula1>
            <xm:f>$F$2551:$F$2581</xm:f>
          </x14:formula1>
          <x14:formula2>
            <xm:f>0</xm:f>
          </x14:formula2>
          <xm:sqref>F366</xm:sqref>
        </x14:dataValidation>
        <x14:dataValidation xr:uid="{00FB007B-0055-42E3-944D-00FB00BB0057}" type="list" allowBlank="1" errorStyle="stop" imeMode="noControl" operator="between" showDropDown="0" showErrorMessage="1" showInputMessage="1">
          <x14:formula1>
            <xm:f>$F$2550:$F$2580</xm:f>
          </x14:formula1>
          <x14:formula2>
            <xm:f>0</xm:f>
          </x14:formula2>
          <xm:sqref>F369</xm:sqref>
        </x14:dataValidation>
        <x14:dataValidation xr:uid="{000000E5-00E0-48E6-8AAA-00170003006C}" type="list" allowBlank="1" errorStyle="stop" imeMode="noControl" operator="between" showDropDown="0" showErrorMessage="1" showInputMessage="1">
          <x14:formula1>
            <xm:f>$F$2547:$F$2577</xm:f>
          </x14:formula1>
          <x14:formula2>
            <xm:f>0</xm:f>
          </x14:formula2>
          <xm:sqref>F535</xm:sqref>
        </x14:dataValidation>
        <x14:dataValidation xr:uid="{00EE002C-0058-4ABD-AAA3-003A00F70077}" type="list" allowBlank="1" errorStyle="stop" imeMode="noControl" operator="between" showDropDown="0" showErrorMessage="1" showInputMessage="1">
          <x14:formula1>
            <xm:f>$F$2546:$F$2576</xm:f>
          </x14:formula1>
          <x14:formula2>
            <xm:f>0</xm:f>
          </x14:formula2>
          <xm:sqref>F538</xm:sqref>
        </x14:dataValidation>
        <x14:dataValidation xr:uid="{0094006B-00DC-443C-8BDE-00D7006B0088}" type="list" allowBlank="1" errorStyle="stop" imeMode="noControl" operator="between" showDropDown="0" showErrorMessage="1" showInputMessage="1">
          <x14:formula1>
            <xm:f>$K$2539:$K$2543</xm:f>
          </x14:formula1>
          <x14:formula2>
            <xm:f>0</xm:f>
          </x14:formula2>
          <xm:sqref>K2223:K2251 K2253:K2291</xm:sqref>
        </x14:dataValidation>
        <x14:dataValidation xr:uid="{00280076-0029-4EBB-B174-00AE00660097}" type="list" allowBlank="1" errorStyle="stop" imeMode="noControl" operator="between" showDropDown="0" showErrorMessage="1" showInputMessage="1">
          <x14:formula1>
            <xm:f>$AP$2546:$AP$2547</xm:f>
          </x14:formula1>
          <x14:formula2>
            <xm:f>0</xm:f>
          </x14:formula2>
          <xm:sqref>AP2223:AP2291</xm:sqref>
        </x14:dataValidation>
        <x14:dataValidation xr:uid="{00E40013-00B2-466D-B78E-00CD008D002C}" type="list" allowBlank="1" errorStyle="stop" imeMode="noControl" operator="between" showDropDown="0" showErrorMessage="1" showInputMessage="1">
          <x14:formula1>
            <xm:f>$AQ$2539:$AQ$2540</xm:f>
          </x14:formula1>
          <x14:formula2>
            <xm:f>0</xm:f>
          </x14:formula2>
          <xm:sqref>AQ2223:AQ2291</xm:sqref>
        </x14:dataValidation>
        <x14:dataValidation xr:uid="{002E0055-0068-47A5-8815-003C004D00A9}" type="list" allowBlank="1" errorStyle="stop" imeMode="noControl" operator="between" showDropDown="0" showErrorMessage="1" showInputMessage="1">
          <x14:formula1>
            <xm:f>$AO$2539:$AO$2543</xm:f>
          </x14:formula1>
          <x14:formula2>
            <xm:f>0</xm:f>
          </x14:formula2>
          <xm:sqref>AO2223:AO2291</xm:sqref>
        </x14:dataValidation>
        <x14:dataValidation xr:uid="{009F00A4-0000-4D08-AC62-0095002C00D3}" type="list" allowBlank="1" errorStyle="stop" imeMode="noControl" operator="between" showDropDown="0" showErrorMessage="1" showInputMessage="1">
          <x14:formula1>
            <xm:f>$AP$2537:$AP$2538</xm:f>
          </x14:formula1>
          <x14:formula2>
            <xm:f>0</xm:f>
          </x14:formula2>
          <xm:sqref>AP1968:AP1969</xm:sqref>
        </x14:dataValidation>
        <x14:dataValidation xr:uid="{00A8004A-008F-477B-8077-001900520067}" type="list" allowBlank="1" error="Selecione uma opção dentre as disponíveis na lista da célula." errorStyle="stop" errorTitle="Opção indisponível" imeMode="noControl" operator="between" showDropDown="0" showErrorMessage="1" showInputMessage="1">
          <x14:formula1>
            <xm:f>$X$2537:$X$2541</xm:f>
          </x14:formula1>
          <x14:formula2>
            <xm:f>0</xm:f>
          </x14:formula2>
          <xm:sqref>X2:X659 X661:X843 X845:X1078 X1080:X1498 X1500:X1541 X1543:X2031 X2033:X2192 X2194:X2533</xm:sqref>
        </x14:dataValidation>
        <x14:dataValidation xr:uid="{0073006E-00CE-4BC9-8463-00BB0017001C}" type="list" allowBlank="1" error="Selecione uma opção dentre as disponíveis na lista da célula." errorStyle="stop" errorTitle="Opção indisponível" imeMode="noControl" operator="between" showDropDown="0" showErrorMessage="1" showInputMessage="0">
          <x14:formula1>
            <xm:f>$AM$2537:$AM$2541</xm:f>
          </x14:formula1>
          <x14:formula2>
            <xm:f>0</xm:f>
          </x14:formula2>
          <xm:sqref>AM2:AM659 AM661:AM843 AM845:AM1078 AM1080:AM1498 AM1500:AM1541 AM1543:AM1560 AM1562:AM2031 AM2033:AM2192 AM2194:AM2533</xm:sqref>
        </x14:dataValidation>
        <x14:dataValidation xr:uid="{00E600EF-002F-4D13-8A21-00DA00AA001B}" type="list" allowBlank="1" error="Selecione uma opção dentre as disponíveis na lista da célula." errorStyle="stop" errorTitle="Opção indisponível" imeMode="noControl" operator="between" showDropDown="0" showErrorMessage="1" showInputMessage="0">
          <x14:formula1>
            <xm:f>$AN$2544:$AN$2545</xm:f>
          </x14:formula1>
          <x14:formula2>
            <xm:f>0</xm:f>
          </x14:formula2>
          <xm:sqref>AN2:AN659 AN661:AN843 AN845:AN1078 AN1080:AN1498 AN1500:AN1541 AN1543:AN2031 AN2033:AN2192 AN2194:AN2533</xm:sqref>
        </x14:dataValidation>
        <x14:dataValidation xr:uid="{00EB0002-009A-4F84-A9C9-00F60084005B}" type="list" allowBlank="1" errorStyle="stop" imeMode="noControl" operator="between" showDropDown="0" showErrorMessage="1" showInputMessage="1">
          <x14:formula1>
            <xm:f>$B$2537:$B$2546</xm:f>
          </x14:formula1>
          <x14:formula2>
            <xm:f>0</xm:f>
          </x14:formula2>
          <xm:sqref>B2:B155 B157:B185 B187:B333 B335:B365 B367:B368 B370:B379 B381:B534 B536:B537 B539:B659 B661:B843 B845:B848 B850:B1064 B1066:B1078 B1080:B1541 B1543:B1668 B1670:B1967 B1970:B2031 B2033:B2192 B2194:B2223 B2225:B2226 B2228 B2230 B2233 B2237:B2238 B2242:B2533</xm:sqref>
        </x14:dataValidation>
        <x14:dataValidation xr:uid="{00C70010-0058-4FAB-AFEA-000E001B00EC}" type="list" allowBlank="1" errorStyle="stop" imeMode="noControl" operator="between" showDropDown="0" showErrorMessage="1" showInputMessage="1">
          <x14:formula1>
            <xm:f>$B$2543:$B$2552</xm:f>
          </x14:formula1>
          <x14:formula2>
            <xm:f>0</xm:f>
          </x14:formula2>
          <xm:sqref>B849</xm:sqref>
        </x14:dataValidation>
        <x14:dataValidation xr:uid="{00B400AC-00BF-4999-B44E-005100CB0070}" type="list" allowBlank="1" errorStyle="stop" imeMode="noControl" operator="between" showDropDown="0" showErrorMessage="1" showInputMessage="1">
          <x14:formula1>
            <xm:f>$U$2542:$U$2546</xm:f>
          </x14:formula1>
          <x14:formula2>
            <xm:f>0</xm:f>
          </x14:formula2>
          <xm:sqref>K931</xm:sqref>
        </x14:dataValidation>
        <x14:dataValidation xr:uid="{00100063-0064-49B5-81A9-007500860069}" type="list" allowBlank="1" errorStyle="stop" imeMode="noControl" operator="between" showDropDown="0" showErrorMessage="1" showInputMessage="1">
          <x14:formula1>
            <xm:f>$F$2537:$F$2566</xm:f>
          </x14:formula1>
          <x14:formula2>
            <xm:f>0</xm:f>
          </x14:formula2>
          <xm:sqref>F2:F155 F157:F333 F335:F365 F367:F368 F370:F534 F536:F537 F540:F659 F661:F741 F743:F843 F845:F848 F850:F930 F932:F937 F939:F991 F993:F1064 F1066:F1078 F1080:F1459 F1461:F1479 F1481:F1498 F1500:F1541 F1543:F1549 F1551:F1967 F1970:F2031 F2033:F2082 F2084:F2192 F2194:F2222 F2239 F2244 F2246 F2251:F2291 F2297:F2298 F2529:F2533</xm:sqref>
        </x14:dataValidation>
        <x14:dataValidation xr:uid="{00E00058-0075-48F4-806C-0073005900E8}" type="list" allowBlank="1" errorStyle="stop" imeMode="noControl" operator="between" showDropDown="0" showErrorMessage="1" showInputMessage="1">
          <x14:formula1>
            <xm:f>$F$2545:$F$2575</xm:f>
          </x14:formula1>
          <x14:formula2>
            <xm:f>0</xm:f>
          </x14:formula2>
          <xm:sqref>F539</xm:sqref>
        </x14:dataValidation>
        <x14:dataValidation xr:uid="{002F0003-0058-46BF-AB93-004800660091}" type="list" allowBlank="1" errorStyle="stop" imeMode="noControl" operator="between" showDropDown="0" showErrorMessage="1" showInputMessage="1">
          <x14:formula1>
            <xm:f>$F$2544:$F$2574</xm:f>
          </x14:formula1>
          <x14:formula2>
            <xm:f>0</xm:f>
          </x14:formula2>
          <xm:sqref>F742</xm:sqref>
        </x14:dataValidation>
        <x14:dataValidation xr:uid="{007D0071-0015-4713-B4D1-006800540023}" type="list" allowBlank="1" errorStyle="stop" imeMode="noControl" operator="between" showDropDown="0" showErrorMessage="1" showInputMessage="1">
          <x14:formula1>
            <xm:f>$F$2543:$F$2573</xm:f>
          </x14:formula1>
          <x14:formula2>
            <xm:f>0</xm:f>
          </x14:formula2>
          <xm:sqref>F849</xm:sqref>
        </x14:dataValidation>
        <x14:dataValidation xr:uid="{00330061-005C-464B-AFF5-00F900E6009B}" type="list" allowBlank="1" errorStyle="stop" imeMode="noControl" operator="between" showDropDown="0" showErrorMessage="1" showInputMessage="1">
          <x14:formula1>
            <xm:f>$F$2542:$F$2572</xm:f>
          </x14:formula1>
          <x14:formula2>
            <xm:f>0</xm:f>
          </x14:formula2>
          <xm:sqref>F931</xm:sqref>
        </x14:dataValidation>
        <x14:dataValidation xr:uid="{00DB008A-00F9-474A-8512-00A000D500B6}" type="list" allowBlank="1" errorStyle="stop" imeMode="noControl" operator="between" showDropDown="0" showErrorMessage="1" showInputMessage="1">
          <x14:formula1>
            <xm:f>$F$2541:$F$2571</xm:f>
          </x14:formula1>
          <x14:formula2>
            <xm:f>0</xm:f>
          </x14:formula2>
          <xm:sqref>F938</xm:sqref>
        </x14:dataValidation>
        <x14:dataValidation xr:uid="{004F004D-001B-4E2B-976E-001700D3005F}" type="list" allowBlank="1" errorStyle="stop" imeMode="noControl" operator="between" showDropDown="0" showErrorMessage="1" showInputMessage="1">
          <x14:formula1>
            <xm:f>$F$2540:$F$2570</xm:f>
          </x14:formula1>
          <x14:formula2>
            <xm:f>0</xm:f>
          </x14:formula2>
          <xm:sqref>F1460</xm:sqref>
        </x14:dataValidation>
        <x14:dataValidation xr:uid="{00660000-007C-43CB-BE97-000B00B6006F}" type="list" allowBlank="1" errorStyle="stop" imeMode="noControl" operator="between" showDropDown="0" showErrorMessage="1" showInputMessage="1">
          <x14:formula1>
            <xm:f>$F$2539:$F$2569</xm:f>
          </x14:formula1>
          <x14:formula2>
            <xm:f>0</xm:f>
          </x14:formula2>
          <xm:sqref>F1480</xm:sqref>
        </x14:dataValidation>
        <x14:dataValidation xr:uid="{000C00E1-0019-4C56-A625-00B700F90063}" type="list" allowBlank="1" errorStyle="stop" imeMode="noControl" operator="between" showDropDown="0" showErrorMessage="1" showInputMessage="1">
          <x14:formula1>
            <xm:f>$F$2538:$F$2568</xm:f>
          </x14:formula1>
          <x14:formula2>
            <xm:f>0</xm:f>
          </x14:formula2>
          <xm:sqref>F992 F1550</xm:sqref>
        </x14:dataValidation>
        <x14:dataValidation xr:uid="{00DA0014-0040-437B-BE4B-00B6008200EE}" type="list" allowBlank="1" errorStyle="stop" imeMode="noControl" operator="between" showDropDown="0" showErrorMessage="1" showInputMessage="1">
          <x14:formula1>
            <xm:f>$F$2536:$F$2565</xm:f>
          </x14:formula1>
          <x14:formula2>
            <xm:f>0</xm:f>
          </x14:formula2>
          <xm:sqref>F2083</xm:sqref>
        </x14:dataValidation>
        <x14:dataValidation xr:uid="{00B6008E-0046-4346-B415-00F9002B0013}" type="list" allowBlank="1" errorStyle="stop" imeMode="noControl" operator="between" showDropDown="0" showErrorMessage="1" showInputMessage="1">
          <x14:formula1>
            <xm:f>$S$2537:$S$2549</xm:f>
          </x14:formula1>
          <x14:formula2>
            <xm:f>0</xm:f>
          </x14:formula2>
          <xm:sqref>S2:S659 S661:S843 S845:S1078 S1080:S1494 S1496:S1498 S1500:S1541 S1543:S1967 S1970:S2031 S2033:S2192 S2194:S2222 S2230 S2238 S2249 S2251:S2533</xm:sqref>
        </x14:dataValidation>
        <x14:dataValidation xr:uid="{0079002E-0039-4F16-862B-0039009900FC}" type="list" allowBlank="1" errorStyle="stop" imeMode="noControl" operator="between" showDropDown="0" showErrorMessage="1" showInputMessage="1">
          <x14:formula1>
            <xm:f>$S$2539:$S$2551</xm:f>
          </x14:formula1>
          <x14:formula2>
            <xm:f>0</xm:f>
          </x14:formula2>
          <xm:sqref>S2223:S2229 S2231:S2237 S2239:S2248 S2250</xm:sqref>
        </x14:dataValidation>
        <x14:dataValidation xr:uid="{00EC0094-0008-44FE-9ADD-002700E50032}" type="list" allowBlank="1" errorStyle="stop" imeMode="noControl" operator="between" showDropDown="0" showErrorMessage="1" showInputMessage="1">
          <x14:formula1>
            <xm:f>$F$2539:$F$2568</xm:f>
          </x14:formula1>
          <x14:formula2>
            <xm:f>0</xm:f>
          </x14:formula2>
          <xm:sqref>F2223:F2238 F2240:F2243 F2245 F2247:F2250 F2292:F2296 F2299:F2528</xm:sqref>
        </x14:dataValidation>
        <x14:dataValidation xr:uid="{009E00E0-0039-418B-B69F-0025004A008A}" type="list" allowBlank="1" errorStyle="stop" imeMode="noControl" operator="between" showDropDown="0" showErrorMessage="1" showInputMessage="1">
          <x14:formula1>
            <xm:f>$B$2539:$B$2548</xm:f>
          </x14:formula1>
          <x14:formula2>
            <xm:f>0</xm:f>
          </x14:formula2>
          <xm:sqref>B2224 B2227 B2229 B2231:B2232 B2234:B2236 B2239:B2241</xm:sqref>
        </x14:dataValidation>
        <x14:dataValidation xr:uid="{001C0061-006B-411F-895E-00DD00D90064}" type="list" allowBlank="1" error="Selecione uma opção dentre as disponíveis na lista da célula." errorStyle="stop" errorTitle="Opção indisponível" imeMode="noControl" operator="between" showDropDown="0" showErrorMessage="1" showInputMessage="0">
          <x14:formula1>
            <xm:f>$Y$2537:$Y$2549</xm:f>
          </x14:formula1>
          <x14:formula2>
            <xm:f>0</xm:f>
          </x14:formula2>
          <xm:sqref>Y2:Y659 Y661:Y843 Y845:Y1078 Y1080:Y1498 Y1500:Y1541 Y1543:Y2031 Y2033:Y2192 Y2194:Y2533</xm:sqref>
        </x14:dataValidation>
        <x14:dataValidation xr:uid="{00050094-0011-44D3-85FB-00E3009A0005}" type="list" allowBlank="1" error="Selecione uma opção dentre as disponíveis na lista da célula." errorStyle="stop" errorTitle="Opção indisponível" imeMode="noControl" operator="between" showDropDown="0" showErrorMessage="1" showInputMessage="0">
          <x14:formula1>
            <xm:f>$Z$2537:$Z$2574</xm:f>
          </x14:formula1>
          <x14:formula2>
            <xm:f>0</xm:f>
          </x14:formula2>
          <xm:sqref>Z2:Z659 Z661:Z843 Z845:Z1078 Z1080:Z1498 Z1500:Z1541 Z1543:Z2031 Z2033:Z2192 Z2194:Z2533</xm:sqref>
        </x14:dataValidation>
        <x14:dataValidation xr:uid="{004E00E2-0022-43C3-AD13-008E00BB00F7}" type="list" allowBlank="1" error="Selecione uma das opções na lista." errorStyle="stop" errorTitle="Entrada inválida!" imeMode="noControl" operator="between" showDropDown="0" showErrorMessage="1" showInputMessage="0">
          <x14:formula1>
            <xm:f>$T$2537:$T$2540</xm:f>
          </x14:formula1>
          <x14:formula2>
            <xm:f>0</xm:f>
          </x14:formula2>
          <xm:sqref>T2:T659 T661:T843 T845:T1078 T1080:T1541 T1543:T2031 T2033:T2192 T2194:T2533</xm:sqref>
        </x14:dataValidation>
        <x14:dataValidation xr:uid="{00A40096-0033-4D40-BB29-00530007006D}" type="list" allowBlank="1" errorStyle="stop" imeMode="noControl" operator="between" showDropDown="0" showErrorMessage="1" showInputMessage="1">
          <x14:formula1>
            <xm:f>$H$2537:$H$2552</xm:f>
          </x14:formula1>
          <x14:formula2>
            <xm:f>0</xm:f>
          </x14:formula2>
          <xm:sqref>H2:H659 H661:H843 AW844:XFD844 H845:H1078 H1080:H1498 H1500:H1541 H1543:H2031 H2033:H2192 H2194:H2533</xm:sqref>
        </x14:dataValidation>
        <x14:dataValidation xr:uid="{00E40048-00B0-41DF-A8D2-004F0074000C}" type="list" allowBlank="1" errorStyle="stop" imeMode="noControl" operator="between" showDropDown="0" showErrorMessage="1" showInputMessage="1">
          <x14:formula1>
            <xm:f>$AK$2541:$AK$2545</xm:f>
          </x14:formula1>
          <x14:formula2>
            <xm:f>0</xm:f>
          </x14:formula2>
          <xm:sqref>AK2293:AK2294 AK2296:AK2298 AK2300:AK2308 AK2310 AK2314:AK2315 AK2319 AK2323:AK2324 AK2326 AK2329:AK2334 AK2337:AK2339 AK2341:AK2342 AK2344 AK2346:AK2350 AK2352 AK2354 AK2361 AK2363:AK2364 AK2366:AK2367 AK2369:AK2374 AK2383 AK2386 AK2388 AK2390:AK2391 AK2394 AK2398 AK2528</xm:sqref>
        </x14:dataValidation>
        <x14:dataValidation xr:uid="{00340023-0093-413D-91FE-00FF002B004A}" type="list" allowBlank="1" errorStyle="stop" imeMode="noControl" operator="between" showDropDown="0" showErrorMessage="1" showInputMessage="1">
          <x14:formula1>
            <xm:f>$K$2541:$K$2545</xm:f>
          </x14:formula1>
          <x14:formula2>
            <xm:f>0</xm:f>
          </x14:formula2>
          <xm:sqref>K2292:K2340 K2342:K2528</xm:sqref>
        </x14:dataValidation>
        <x14:dataValidation xr:uid="{00400060-000B-43D3-ABC7-002900B1004E}" type="list" allowBlank="1" errorStyle="stop" imeMode="noControl" operator="between" showDropDown="0" showErrorMessage="1" showInputMessage="1">
          <x14:formula1>
            <xm:f>$B$2535:$B$2540</xm:f>
          </x14:formula1>
          <x14:formula2>
            <xm:f>0</xm:f>
          </x14:formula2>
          <xm:sqref>B1065</xm:sqref>
        </x14:dataValidation>
        <x14:dataValidation xr:uid="{00F300F7-00CF-45E7-950A-003800B30012}" type="list" allowBlank="1" errorStyle="stop" imeMode="noControl" operator="between" showDropDown="0" showErrorMessage="1" showInputMessage="1">
          <x14:formula1>
            <xm:f>$S$2535:$S$2542</xm:f>
          </x14:formula1>
          <x14:formula2>
            <xm:f>0</xm:f>
          </x14:formula2>
          <xm:sqref>P1065 S1968:S1969</xm:sqref>
        </x14:dataValidation>
        <x14:dataValidation xr:uid="{00410007-0067-44F7-B68C-001F00460043}" type="list" allowBlank="1" errorStyle="stop" imeMode="noControl" operator="between" showDropDown="0" showErrorMessage="1" showInputMessage="1">
          <x14:formula1>
            <xm:f>$B$2535:$B$2539</xm:f>
          </x14:formula1>
          <x14:formula2>
            <xm:f>0</xm:f>
          </x14:formula2>
          <xm:sqref>B1968:B1969</xm:sqref>
        </x14:dataValidation>
        <x14:dataValidation xr:uid="{00E80004-0082-4B9A-8C79-005F00060093}" type="list" allowBlank="1" errorStyle="stop" imeMode="noControl" operator="between" showDropDown="0" showErrorMessage="1" showInputMessage="1">
          <x14:formula1>
            <xm:f>#ref!</xm:f>
          </x14:formula1>
          <x14:formula2>
            <xm:f>0</xm:f>
          </x14:formula2>
          <xm:sqref>B1079 E1079 K1079 S1079 AO1079:AQ1079 E1499 K1499 S1499 AO1499:AQ1499 B1542 E1542 K1542 S1542 AO1542:AQ1542 K1968:K1969 AO1968:AO1969 AQ1968:AQ1969 B2032 E2032 K2032 S2032 AO2032:AQ2032 B2193 E2193 K2193 S2193 AO2193:AQ2193</xm:sqref>
        </x14:dataValidation>
        <x14:dataValidation xr:uid="{004B0047-005A-4039-B3AB-00FA002D0033}" type="list" allowBlank="1" errorStyle="stop" imeMode="noControl" operator="between" showDropDown="0" showErrorMessage="1" showInputMessage="1">
          <x14:formula1>
            <xm:f>$F$2535:$F$2560</xm:f>
          </x14:formula1>
          <x14:formula2>
            <xm:f>0</xm:f>
          </x14:formula2>
          <xm:sqref>F1065</xm:sqref>
        </x14:dataValidation>
        <x14:dataValidation xr:uid="{009100E8-0095-4A4E-954A-009E007F000E}" type="list" allowBlank="1" errorStyle="stop" imeMode="noControl" operator="between" showDropDown="0" showErrorMessage="1" showInputMessage="1">
          <x14:formula1>
            <xm:f>$F$2535:$F$2559</xm:f>
          </x14:formula1>
          <x14:formula2>
            <xm:f>0</xm:f>
          </x14:formula2>
          <xm:sqref>F1968:F1969</xm:sqref>
        </x14:dataValidation>
        <x14:dataValidation xr:uid="{00020014-00BB-4A6F-9737-00B4000800DB}" type="list" allowBlank="1" error="Selecione uma opção dentre as disponíveis na lista da célula." errorStyle="stop" errorTitle="Opção indisponível" imeMode="noControl" operator="between" showDropDown="0" showErrorMessage="1" showInputMessage="1">
          <x14:formula1>
            <xm:f>#ref!</xm:f>
          </x14:formula1>
          <x14:formula2>
            <xm:f>0</xm:f>
          </x14:formula2>
          <xm:sqref>X1079 X1499 X1542 X2032 X2193</xm:sqref>
        </x14:dataValidation>
        <x14:dataValidation xr:uid="{00280044-00D6-4DF5-9A62-00D2007300C1}" type="list" allowBlank="1" error="Selecione uma opção dentre as disponíveis na lista da célula." errorStyle="stop" errorTitle="Opção indisponível" imeMode="noControl" operator="between" showDropDown="0" showErrorMessage="1" showInputMessage="0">
          <x14:formula1>
            <xm:f>#ref!</xm:f>
          </x14:formula1>
          <x14:formula2>
            <xm:f>0</xm:f>
          </x14:formula2>
          <xm:sqref>Y1079 AM1079:AN1079 Y1499 AM1499:AN1499 Y1542 AM1542:AN1542 Y2032 AM2032:AN2032 Y2193 AM2193:AN2193</xm:sqref>
        </x14:dataValidation>
        <x14:dataValidation xr:uid="{00A70088-0075-4E99-8D23-002E003E0004}" type="list" allowBlank="1" errorStyle="stop" imeMode="noControl" operator="between" showDropDown="0" showErrorMessage="1" showInputMessage="1">
          <x14:formula1>
            <xm:f>$F$2535:$F$2550</xm:f>
          </x14:formula1>
          <x14:formula2>
            <xm:f>0</xm:f>
          </x14:formula2>
          <xm:sqref>F1079 F1499 F1542 F2032 F2193</xm:sqref>
        </x14:dataValidation>
        <x14:dataValidation xr:uid="{009700D5-0084-41BB-826C-009C002600F5}" type="list" allowBlank="1" error="Selecione uma opção dentre as disponíveis na lista da célula." errorStyle="stop" errorTitle="Opção indisponível" imeMode="noControl" operator="between" showDropDown="0" showErrorMessage="1" showInputMessage="0">
          <x14:formula1>
            <xm:f>$Z$2535:$Z$2558</xm:f>
          </x14:formula1>
          <x14:formula2>
            <xm:f>0</xm:f>
          </x14:formula2>
          <xm:sqref>Z1079 Z1499 Z1542 Z2032 Z2193</xm:sqref>
        </x14:dataValidation>
        <x14:dataValidation xr:uid="{000500FE-007D-4A44-BA71-00690089008C}" type="list" allowBlank="1" error="Selecione uma das opções na lista." errorStyle="stop" errorTitle="Entrada inválida!" imeMode="noControl" operator="between" showDropDown="0" showErrorMessage="1" showInputMessage="0">
          <x14:formula1>
            <xm:f>#ref!</xm:f>
          </x14:formula1>
          <x14:formula2>
            <xm:f>0</xm:f>
          </x14:formula2>
          <xm:sqref>T1079 T1542 T2032 T2193</xm:sqref>
        </x14:dataValidation>
        <x14:dataValidation xr:uid="{00AB000D-00A5-45A7-820B-006100D100F0}" type="list" allowBlank="1" errorStyle="stop" imeMode="noControl" operator="between" showDropDown="0" showErrorMessage="1" showInputMessage="1">
          <x14:formula1>
            <xm:f>$H$2535:$H$2536</xm:f>
          </x14:formula1>
          <x14:formula2>
            <xm:f>0</xm:f>
          </x14:formula2>
          <xm:sqref>H1079 H1499 H1542 H2032 H2193</xm:sqref>
        </x14:dataValidation>
        <x14:dataValidation xr:uid="{00A60023-0071-40B1-A4E3-00E8003C00E3}" type="list" allowBlank="1" errorStyle="stop" imeMode="noControl" operator="between" showDropDown="0" showErrorMessage="1" showInputMessage="1">
          <x14:formula1>
            <xm:f>$AO$2541:$AO$2542</xm:f>
          </x14:formula1>
          <x14:formula2>
            <xm:f>0</xm:f>
          </x14:formula2>
          <xm:sqref>AO2292:AO2528</xm:sqref>
        </x14:dataValidation>
        <x14:dataValidation xr:uid="{00D000EA-00BF-4F44-9AA8-00EA00BF0097}" type="list" allowBlank="1" errorStyle="stop" imeMode="noControl" operator="between" showDropDown="0" showErrorMessage="1" showInputMessage="1">
          <x14:formula1>
            <xm:f>$AL$2548:$AL$2549</xm:f>
          </x14:formula1>
          <x14:formula2>
            <xm:f>0</xm:f>
          </x14:formula2>
          <xm:sqref>AL1819 AL2175 AL2292:AL2426 AL2428 AL2431:AL2433 AL2437:AL2441 AL2445 AL2448 AL2450:AL2528</xm:sqref>
        </x14:dataValidation>
        <x14:dataValidation xr:uid="{00C10091-00CB-43D1-8290-00CC00530048}" type="list" allowBlank="1" errorStyle="stop" imeMode="noControl" operator="between" showDropDown="0" showErrorMessage="1" showInputMessage="1">
          <x14:formula1>
            <xm:f>$B$2145:$B$2535</xm:f>
          </x14:formula1>
          <x14:formula2>
            <xm:f>0</xm:f>
          </x14:formula2>
          <xm:sqref>B1669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A2" activeCellId="0" sqref="A2"/>
    </sheetView>
  </sheetViews>
  <sheetFormatPr defaultColWidth="8.6796875" defaultRowHeight="12.75"/>
  <cols>
    <col customWidth="1" min="1" max="1" style="290" width="93.709999999999994"/>
    <col customWidth="1" min="2" max="2" style="0" width="21.57"/>
    <col customWidth="1" min="3" max="3" style="291" width="7"/>
    <col customWidth="1" min="4" max="4" style="0" width="24.710000000000001"/>
    <col customWidth="1" min="5" max="5" style="291" width="9.4199999999999999"/>
    <col customWidth="1" min="6" max="6" style="291" width="10.42"/>
    <col customWidth="1" min="7" max="7" style="0" width="12.859999999999999"/>
    <col customWidth="1" min="8" max="8" style="0" width="16.289999999999999"/>
    <col customWidth="1" min="9" max="9" style="0" width="12.859999999999999"/>
    <col customWidth="1" min="10" max="10" style="0" width="11.710000000000001"/>
    <col customWidth="1" min="11" max="11" style="0" width="14.289999999999999"/>
  </cols>
  <sheetData>
    <row r="1" ht="12.75">
      <c r="A1" s="292" t="s">
        <v>7849</v>
      </c>
      <c r="B1" s="293" t="s">
        <v>7850</v>
      </c>
      <c r="C1" s="293" t="s">
        <v>5</v>
      </c>
      <c r="D1" s="293" t="s">
        <v>6</v>
      </c>
      <c r="E1" s="293" t="s">
        <v>7851</v>
      </c>
      <c r="F1" s="293" t="s">
        <v>7852</v>
      </c>
      <c r="G1" s="294" t="s">
        <v>7853</v>
      </c>
      <c r="H1" s="293" t="s">
        <v>7854</v>
      </c>
      <c r="I1" s="294" t="s">
        <v>7855</v>
      </c>
      <c r="J1" s="294" t="s">
        <v>7856</v>
      </c>
      <c r="K1" s="294" t="s">
        <v>7857</v>
      </c>
      <c r="L1" s="295"/>
    </row>
    <row r="2" ht="12.75">
      <c r="A2" s="290" t="s">
        <v>3257</v>
      </c>
      <c r="B2" t="s">
        <v>3256</v>
      </c>
      <c r="C2" s="291" t="s">
        <v>64</v>
      </c>
      <c r="D2" t="s">
        <v>69</v>
      </c>
      <c r="E2" s="291">
        <v>921</v>
      </c>
      <c r="F2" s="291">
        <v>1975</v>
      </c>
      <c r="G2" s="291">
        <v>9.1041095890410997</v>
      </c>
      <c r="H2">
        <v>49</v>
      </c>
      <c r="I2" s="291">
        <v>45.5205479452055</v>
      </c>
      <c r="J2" s="291">
        <v>140.04109589041099</v>
      </c>
    </row>
    <row r="3" ht="12.75">
      <c r="A3" s="290" t="s">
        <v>3396</v>
      </c>
      <c r="B3" t="s">
        <v>3394</v>
      </c>
      <c r="C3" s="291" t="s">
        <v>179</v>
      </c>
      <c r="D3" t="s">
        <v>3395</v>
      </c>
      <c r="E3" s="291">
        <v>959</v>
      </c>
      <c r="F3" s="291">
        <v>1977</v>
      </c>
      <c r="G3" s="291">
        <v>5.38630136986301</v>
      </c>
      <c r="H3">
        <v>47</v>
      </c>
      <c r="I3" s="291">
        <v>26.931506849315099</v>
      </c>
      <c r="J3" s="291">
        <v>100.86301369863</v>
      </c>
    </row>
    <row r="4" ht="12.75">
      <c r="A4" s="290" t="s">
        <v>2350</v>
      </c>
      <c r="B4" t="s">
        <v>2349</v>
      </c>
      <c r="C4" s="291" t="s">
        <v>179</v>
      </c>
      <c r="D4" t="s">
        <v>339</v>
      </c>
      <c r="E4" s="291">
        <v>646</v>
      </c>
      <c r="F4" s="291">
        <v>1962</v>
      </c>
      <c r="G4" s="291">
        <v>3.8246575342465801</v>
      </c>
      <c r="H4">
        <v>62</v>
      </c>
      <c r="I4" s="291">
        <v>19.123287671232902</v>
      </c>
      <c r="J4" s="291">
        <v>100.246575342466</v>
      </c>
    </row>
    <row r="5" ht="12.75">
      <c r="A5" s="290" t="s">
        <v>3825</v>
      </c>
      <c r="B5" s="290" t="s">
        <v>3824</v>
      </c>
      <c r="C5" s="291" t="s">
        <v>140</v>
      </c>
      <c r="D5" t="s">
        <v>532</v>
      </c>
      <c r="E5" s="291">
        <v>1098</v>
      </c>
      <c r="F5" s="291">
        <v>1983</v>
      </c>
      <c r="G5" s="291">
        <v>5.1616438356164398</v>
      </c>
      <c r="H5">
        <v>41</v>
      </c>
      <c r="I5" s="291">
        <v>25.808219178082201</v>
      </c>
      <c r="J5" s="291">
        <v>92.616438356164394</v>
      </c>
    </row>
    <row r="6" ht="12.75">
      <c r="A6" s="290" t="s">
        <v>6564</v>
      </c>
      <c r="B6" t="s">
        <v>6563</v>
      </c>
      <c r="C6" s="291" t="s">
        <v>84</v>
      </c>
      <c r="D6" t="s">
        <v>85</v>
      </c>
      <c r="E6" s="291">
        <v>1802</v>
      </c>
      <c r="F6" s="291">
        <v>2016</v>
      </c>
      <c r="G6" s="291">
        <v>8.0712328767123296</v>
      </c>
      <c r="H6">
        <v>8</v>
      </c>
      <c r="I6" s="291">
        <v>40.356164383561698</v>
      </c>
      <c r="J6" s="291">
        <v>88.712328767123296</v>
      </c>
    </row>
    <row r="7" ht="12.75">
      <c r="A7" s="290" t="s">
        <v>6508</v>
      </c>
      <c r="B7" t="s">
        <v>6507</v>
      </c>
      <c r="C7" s="291" t="s">
        <v>898</v>
      </c>
      <c r="D7" t="s">
        <v>899</v>
      </c>
      <c r="E7" s="291">
        <v>1786</v>
      </c>
      <c r="F7" s="291">
        <v>2016</v>
      </c>
      <c r="G7" s="291">
        <v>7.0191780821917797</v>
      </c>
      <c r="H7">
        <v>8</v>
      </c>
      <c r="I7" s="291">
        <v>35.095890410958901</v>
      </c>
      <c r="J7" s="291">
        <v>78.191780821917803</v>
      </c>
    </row>
    <row r="8" ht="12.75">
      <c r="A8" s="290" t="s">
        <v>2124</v>
      </c>
      <c r="B8" t="s">
        <v>2123</v>
      </c>
      <c r="C8" s="291" t="s">
        <v>172</v>
      </c>
      <c r="D8" t="s">
        <v>173</v>
      </c>
      <c r="E8" s="291">
        <v>562</v>
      </c>
      <c r="F8" s="291">
        <v>1957</v>
      </c>
      <c r="G8" s="291">
        <v>1.4630136986301401</v>
      </c>
      <c r="H8">
        <v>67</v>
      </c>
      <c r="I8" s="291"/>
      <c r="J8" s="291">
        <v>74.315068493150704</v>
      </c>
    </row>
    <row r="9" ht="12.75">
      <c r="A9" s="290" t="s">
        <v>3121</v>
      </c>
      <c r="B9" t="s">
        <v>3119</v>
      </c>
      <c r="C9" s="291" t="s">
        <v>179</v>
      </c>
      <c r="D9" t="s">
        <v>3120</v>
      </c>
      <c r="E9" s="291">
        <v>882</v>
      </c>
      <c r="F9" s="291">
        <v>1973</v>
      </c>
      <c r="G9" s="291">
        <v>4.5068493150684903</v>
      </c>
      <c r="H9">
        <v>51</v>
      </c>
      <c r="I9" s="291"/>
      <c r="J9" s="291">
        <v>73.534246575342493</v>
      </c>
    </row>
    <row r="10" ht="12.75">
      <c r="A10" s="290" t="s">
        <v>3122</v>
      </c>
      <c r="B10" t="s">
        <v>3119</v>
      </c>
      <c r="C10" s="291" t="s">
        <v>179</v>
      </c>
      <c r="D10" t="s">
        <v>3120</v>
      </c>
      <c r="E10" s="291">
        <v>882</v>
      </c>
      <c r="F10" s="291">
        <v>1973</v>
      </c>
      <c r="G10" s="291">
        <v>4.5068493150684903</v>
      </c>
      <c r="H10">
        <v>51</v>
      </c>
      <c r="I10" s="291"/>
      <c r="J10" s="291">
        <v>73.534246575342493</v>
      </c>
    </row>
    <row r="11" ht="12.75">
      <c r="A11" s="290" t="s">
        <v>4899</v>
      </c>
      <c r="B11" t="s">
        <v>4898</v>
      </c>
      <c r="C11" s="291" t="s">
        <v>428</v>
      </c>
      <c r="D11" t="s">
        <v>4891</v>
      </c>
      <c r="E11" s="291">
        <v>1415</v>
      </c>
      <c r="F11" s="291">
        <v>1998</v>
      </c>
      <c r="G11" s="291">
        <v>4.3342465753424699</v>
      </c>
      <c r="H11">
        <v>26</v>
      </c>
      <c r="I11" s="291">
        <v>21.671232876712299</v>
      </c>
      <c r="J11" s="291">
        <v>69.342465753424705</v>
      </c>
    </row>
    <row r="12" ht="12.75">
      <c r="A12" s="290" t="s">
        <v>5975</v>
      </c>
      <c r="B12" t="s">
        <v>5974</v>
      </c>
      <c r="C12" s="291" t="s">
        <v>84</v>
      </c>
      <c r="D12" t="s">
        <v>85</v>
      </c>
      <c r="E12" s="291">
        <v>1633</v>
      </c>
      <c r="F12" s="291">
        <v>2011</v>
      </c>
      <c r="G12" s="291">
        <v>5.3315068493150699</v>
      </c>
      <c r="H12">
        <v>13</v>
      </c>
      <c r="I12" s="291">
        <v>26.657534246575299</v>
      </c>
      <c r="J12" s="291">
        <v>66.315068493150704</v>
      </c>
    </row>
    <row r="13" ht="12.75">
      <c r="A13" s="290" t="s">
        <v>2318</v>
      </c>
      <c r="B13" t="s">
        <v>2316</v>
      </c>
      <c r="C13" s="291" t="s">
        <v>695</v>
      </c>
      <c r="D13" t="s">
        <v>2317</v>
      </c>
      <c r="E13" s="291">
        <v>634</v>
      </c>
      <c r="F13" s="291">
        <v>1961</v>
      </c>
      <c r="G13" s="291">
        <v>0.60821917808219195</v>
      </c>
      <c r="H13">
        <v>63</v>
      </c>
      <c r="I13" s="291"/>
      <c r="J13" s="291">
        <v>66.041095890411</v>
      </c>
    </row>
    <row r="14" ht="12.75">
      <c r="A14" s="290" t="s">
        <v>2299</v>
      </c>
      <c r="B14" t="s">
        <v>2298</v>
      </c>
      <c r="C14" s="291" t="s">
        <v>172</v>
      </c>
      <c r="D14" t="s">
        <v>2287</v>
      </c>
      <c r="E14" s="291">
        <v>625</v>
      </c>
      <c r="F14" s="291">
        <v>1961</v>
      </c>
      <c r="G14" s="291">
        <v>0.38356164383561597</v>
      </c>
      <c r="H14">
        <v>63</v>
      </c>
      <c r="I14" s="291"/>
      <c r="J14" s="291">
        <v>64.917808219178099</v>
      </c>
    </row>
    <row r="15" ht="12.75">
      <c r="A15" s="290" t="s">
        <v>4773</v>
      </c>
      <c r="B15" t="s">
        <v>4772</v>
      </c>
      <c r="C15" s="291" t="s">
        <v>84</v>
      </c>
      <c r="D15" t="s">
        <v>85</v>
      </c>
      <c r="E15" s="291">
        <v>1380</v>
      </c>
      <c r="F15" s="291">
        <v>1997</v>
      </c>
      <c r="G15" s="291">
        <v>3.5917808219178098</v>
      </c>
      <c r="H15">
        <v>27</v>
      </c>
      <c r="I15" s="291">
        <v>17.958904109589</v>
      </c>
      <c r="J15" s="291">
        <v>62.917808219178099</v>
      </c>
    </row>
    <row r="16" ht="12.75">
      <c r="A16" s="290" t="s">
        <v>4584</v>
      </c>
      <c r="B16" s="290" t="s">
        <v>4583</v>
      </c>
      <c r="C16" s="291" t="s">
        <v>695</v>
      </c>
      <c r="D16" t="s">
        <v>696</v>
      </c>
      <c r="E16" s="291">
        <v>1324</v>
      </c>
      <c r="F16" s="291">
        <v>1992</v>
      </c>
      <c r="G16" s="291">
        <v>3.0739726027397301</v>
      </c>
      <c r="H16">
        <v>32</v>
      </c>
      <c r="I16" s="291">
        <v>15.3698630136986</v>
      </c>
      <c r="J16" s="291">
        <v>62.739726027397303</v>
      </c>
    </row>
    <row r="17" ht="12.75">
      <c r="A17" s="290" t="s">
        <v>4140</v>
      </c>
      <c r="B17" t="s">
        <v>4138</v>
      </c>
      <c r="C17" s="291" t="s">
        <v>84</v>
      </c>
      <c r="D17" t="s">
        <v>4139</v>
      </c>
      <c r="E17" s="291">
        <v>1200</v>
      </c>
      <c r="F17" s="291">
        <v>1986</v>
      </c>
      <c r="G17" s="291">
        <v>2.3342465753424699</v>
      </c>
      <c r="H17">
        <v>38</v>
      </c>
      <c r="I17" s="291">
        <v>11.671232876712301</v>
      </c>
      <c r="J17" s="291">
        <v>61.342465753424698</v>
      </c>
    </row>
    <row r="18" ht="12.75">
      <c r="A18" s="290" t="s">
        <v>4323</v>
      </c>
      <c r="B18" t="s">
        <v>4322</v>
      </c>
      <c r="C18" s="291" t="s">
        <v>64</v>
      </c>
      <c r="D18" t="s">
        <v>728</v>
      </c>
      <c r="E18" s="291">
        <v>1255</v>
      </c>
      <c r="F18" s="291">
        <v>1987</v>
      </c>
      <c r="G18" s="291">
        <v>2.0520547945205498</v>
      </c>
      <c r="H18">
        <v>37</v>
      </c>
      <c r="I18" s="291">
        <v>10.2602739726027</v>
      </c>
      <c r="J18" s="291">
        <v>57.5205479452055</v>
      </c>
    </row>
    <row r="19" ht="12.75">
      <c r="A19" s="290" t="s">
        <v>3323</v>
      </c>
      <c r="B19" t="s">
        <v>3321</v>
      </c>
      <c r="C19" s="291" t="s">
        <v>84</v>
      </c>
      <c r="D19" t="s">
        <v>3322</v>
      </c>
      <c r="E19" s="291">
        <v>941</v>
      </c>
      <c r="F19" s="291">
        <v>1976</v>
      </c>
      <c r="G19" s="291">
        <v>0.86301369863013699</v>
      </c>
      <c r="H19">
        <v>48</v>
      </c>
      <c r="I19" s="291"/>
      <c r="J19" s="291">
        <v>52.315068493150697</v>
      </c>
    </row>
    <row r="20" ht="12.75">
      <c r="A20" s="290" t="s">
        <v>4543</v>
      </c>
      <c r="B20" t="s">
        <v>4542</v>
      </c>
      <c r="C20" s="291" t="s">
        <v>84</v>
      </c>
      <c r="D20" t="s">
        <v>85</v>
      </c>
      <c r="E20" s="291">
        <v>1313</v>
      </c>
      <c r="F20" s="291">
        <v>1990</v>
      </c>
      <c r="G20" s="291">
        <v>1.4027397260273999</v>
      </c>
      <c r="H20">
        <v>34</v>
      </c>
      <c r="I20" s="291">
        <v>7.0136986301369904</v>
      </c>
      <c r="J20" s="291">
        <v>48.027397260274</v>
      </c>
    </row>
    <row r="21" ht="12.75">
      <c r="A21" s="290" t="s">
        <v>6183</v>
      </c>
      <c r="B21" t="s">
        <v>6181</v>
      </c>
      <c r="C21" s="291" t="s">
        <v>5199</v>
      </c>
      <c r="D21" t="s">
        <v>6182</v>
      </c>
      <c r="E21" s="291">
        <v>1696</v>
      </c>
      <c r="F21" s="291">
        <v>2014</v>
      </c>
      <c r="G21" s="291">
        <v>7.5753424657534199</v>
      </c>
      <c r="H21">
        <v>10</v>
      </c>
      <c r="I21" s="291"/>
      <c r="J21" s="291">
        <v>47.876712328767098</v>
      </c>
    </row>
    <row r="22" ht="12.75">
      <c r="A22" s="290" t="s">
        <v>6185</v>
      </c>
      <c r="B22" s="290" t="s">
        <v>6184</v>
      </c>
      <c r="C22" s="290" t="s">
        <v>5199</v>
      </c>
      <c r="D22" s="290" t="s">
        <v>6182</v>
      </c>
      <c r="E22" s="290">
        <v>1697</v>
      </c>
      <c r="F22" s="290">
        <v>2014</v>
      </c>
      <c r="G22" s="291">
        <v>7.5506849315068498</v>
      </c>
      <c r="H22">
        <v>10</v>
      </c>
      <c r="I22" s="291"/>
      <c r="J22" s="291">
        <v>47.753424657534303</v>
      </c>
    </row>
    <row r="23" ht="12.75">
      <c r="A23" s="290" t="s">
        <v>5296</v>
      </c>
      <c r="B23" s="290" t="s">
        <v>5294</v>
      </c>
      <c r="C23" s="291" t="s">
        <v>49</v>
      </c>
      <c r="D23" t="s">
        <v>5295</v>
      </c>
      <c r="E23" s="291">
        <v>1529</v>
      </c>
      <c r="F23" s="291">
        <v>2006</v>
      </c>
      <c r="G23" s="291">
        <v>2.9397260273972599</v>
      </c>
      <c r="H23">
        <v>18</v>
      </c>
      <c r="I23" s="291">
        <v>14.698630136986299</v>
      </c>
      <c r="J23" s="291">
        <v>47.397260273972599</v>
      </c>
    </row>
    <row r="24" ht="12.75">
      <c r="A24" s="290" t="s">
        <v>6123</v>
      </c>
      <c r="B24" t="s">
        <v>6121</v>
      </c>
      <c r="C24" s="291" t="s">
        <v>140</v>
      </c>
      <c r="D24" t="s">
        <v>6122</v>
      </c>
      <c r="E24" s="291">
        <v>1679</v>
      </c>
      <c r="F24" s="291">
        <v>2013</v>
      </c>
      <c r="G24" s="291">
        <v>6.9369863013698598</v>
      </c>
      <c r="H24">
        <v>11</v>
      </c>
      <c r="I24" s="291"/>
      <c r="J24" s="291">
        <v>45.684931506849303</v>
      </c>
    </row>
    <row r="25" ht="12.75">
      <c r="A25" s="290" t="s">
        <v>3652</v>
      </c>
      <c r="B25" t="s">
        <v>3651</v>
      </c>
      <c r="C25" s="291" t="s">
        <v>64</v>
      </c>
      <c r="D25" t="s">
        <v>69</v>
      </c>
      <c r="E25" s="291">
        <v>1042</v>
      </c>
      <c r="F25" s="291">
        <v>1980</v>
      </c>
      <c r="G25" s="291">
        <v>0.32328767123287699</v>
      </c>
      <c r="H25">
        <v>44</v>
      </c>
      <c r="I25" s="291"/>
      <c r="J25" s="291">
        <v>45.616438356164402</v>
      </c>
      <c r="Q25" s="296"/>
    </row>
    <row r="26" ht="12.75">
      <c r="A26" s="290" t="s">
        <v>5123</v>
      </c>
      <c r="B26" t="s">
        <v>5121</v>
      </c>
      <c r="C26" s="291" t="s">
        <v>179</v>
      </c>
      <c r="D26" t="s">
        <v>5122</v>
      </c>
      <c r="E26" s="291">
        <v>1484</v>
      </c>
      <c r="F26" s="291">
        <v>2001</v>
      </c>
      <c r="G26" s="291">
        <v>4.2410958904109597</v>
      </c>
      <c r="H26">
        <v>23</v>
      </c>
      <c r="I26" s="291"/>
      <c r="J26" s="291">
        <v>44.205479452054803</v>
      </c>
    </row>
    <row r="27" ht="12.75">
      <c r="A27" s="290" t="s">
        <v>4179</v>
      </c>
      <c r="B27" t="s">
        <v>4177</v>
      </c>
      <c r="C27" s="291" t="s">
        <v>1075</v>
      </c>
      <c r="D27" t="s">
        <v>4178</v>
      </c>
      <c r="E27" s="291">
        <v>1212</v>
      </c>
      <c r="F27" s="291">
        <v>1986</v>
      </c>
      <c r="G27" s="291">
        <v>0.098630136986301395</v>
      </c>
      <c r="H27">
        <v>38</v>
      </c>
      <c r="I27" s="291">
        <v>0.49315068493150699</v>
      </c>
      <c r="J27" s="291">
        <v>38.986301369863</v>
      </c>
    </row>
    <row r="28" ht="12.75">
      <c r="A28" s="290" t="s">
        <v>4645</v>
      </c>
      <c r="B28" t="s">
        <v>4644</v>
      </c>
      <c r="C28" s="291" t="s">
        <v>84</v>
      </c>
      <c r="D28" t="s">
        <v>1068</v>
      </c>
      <c r="E28" s="291">
        <v>1344</v>
      </c>
      <c r="F28" s="291">
        <v>1995</v>
      </c>
      <c r="G28" s="291">
        <v>1.41369863013699</v>
      </c>
      <c r="H28">
        <v>29</v>
      </c>
      <c r="I28" s="291"/>
      <c r="J28" s="291">
        <v>36.068493150684901</v>
      </c>
    </row>
    <row r="29" ht="12.75">
      <c r="A29" s="290" t="s">
        <v>4571</v>
      </c>
      <c r="B29" t="s">
        <v>4570</v>
      </c>
      <c r="C29" s="291" t="s">
        <v>84</v>
      </c>
      <c r="D29" t="s">
        <v>85</v>
      </c>
      <c r="E29" s="291">
        <v>1321</v>
      </c>
      <c r="F29" s="291">
        <v>1991</v>
      </c>
      <c r="G29" s="291">
        <v>0.29315068493150698</v>
      </c>
      <c r="H29">
        <v>33</v>
      </c>
      <c r="I29" s="291"/>
      <c r="J29" s="291">
        <v>34.4657534246575</v>
      </c>
    </row>
    <row r="30" ht="12.75">
      <c r="A30" s="290" t="s">
        <v>4701</v>
      </c>
      <c r="B30" t="s">
        <v>4699</v>
      </c>
      <c r="C30" s="291" t="s">
        <v>695</v>
      </c>
      <c r="D30" t="s">
        <v>4700</v>
      </c>
      <c r="E30" s="291">
        <v>1359</v>
      </c>
      <c r="F30" s="291">
        <v>1995</v>
      </c>
      <c r="G30" s="291">
        <v>0.28767123287671198</v>
      </c>
      <c r="H30">
        <v>29</v>
      </c>
      <c r="I30" s="291">
        <v>1.4383561643835601</v>
      </c>
      <c r="J30" s="291">
        <v>31.876712328767098</v>
      </c>
    </row>
    <row r="31" ht="12.75">
      <c r="A31" s="290" t="s">
        <v>4838</v>
      </c>
      <c r="B31" t="s">
        <v>4836</v>
      </c>
      <c r="C31" s="291" t="s">
        <v>83</v>
      </c>
      <c r="D31" t="s">
        <v>4837</v>
      </c>
      <c r="E31" s="291">
        <v>1399</v>
      </c>
      <c r="F31" s="291">
        <v>1997</v>
      </c>
      <c r="G31" s="291">
        <v>0.147945205479452</v>
      </c>
      <c r="H31">
        <v>27</v>
      </c>
      <c r="I31" s="291"/>
      <c r="J31" s="291">
        <v>27.7397260273973</v>
      </c>
    </row>
    <row r="32" ht="12.75">
      <c r="A32" s="290" t="s">
        <v>5978</v>
      </c>
      <c r="B32" t="s">
        <v>5977</v>
      </c>
      <c r="C32" s="291" t="s">
        <v>84</v>
      </c>
      <c r="D32" t="s">
        <v>85</v>
      </c>
      <c r="E32" s="291">
        <v>1634</v>
      </c>
      <c r="F32" s="291">
        <v>2011</v>
      </c>
      <c r="G32" s="291">
        <v>1.2958904109589</v>
      </c>
      <c r="H32">
        <v>13</v>
      </c>
      <c r="I32" s="291">
        <v>6.4794520547945202</v>
      </c>
      <c r="J32" s="291">
        <v>25.958904109589</v>
      </c>
    </row>
    <row r="33" ht="12.75">
      <c r="A33" s="290" t="s">
        <v>5801</v>
      </c>
      <c r="B33" t="s">
        <v>5800</v>
      </c>
      <c r="C33" s="291" t="s">
        <v>49</v>
      </c>
      <c r="D33" t="s">
        <v>468</v>
      </c>
      <c r="E33" s="291">
        <v>1593</v>
      </c>
      <c r="F33" s="291">
        <v>2010</v>
      </c>
      <c r="G33" s="291">
        <v>1.0109589041095901</v>
      </c>
      <c r="H33">
        <v>14</v>
      </c>
      <c r="I33" s="291">
        <v>5.0547945205479499</v>
      </c>
      <c r="J33" s="291">
        <v>24.109589041095902</v>
      </c>
    </row>
    <row r="34" ht="12.75">
      <c r="A34" s="290" t="s">
        <v>6494</v>
      </c>
      <c r="B34" t="s">
        <v>6493</v>
      </c>
      <c r="C34" s="291" t="s">
        <v>84</v>
      </c>
      <c r="D34" t="s">
        <v>6249</v>
      </c>
      <c r="E34" s="291">
        <v>1782</v>
      </c>
      <c r="F34" s="291">
        <v>2016</v>
      </c>
      <c r="G34" s="291">
        <v>1.51780821917808</v>
      </c>
      <c r="H34">
        <v>8</v>
      </c>
      <c r="I34" s="291"/>
      <c r="J34" s="291">
        <v>15.5890410958904</v>
      </c>
    </row>
    <row r="35" ht="12.75">
      <c r="A35" s="290" t="s">
        <v>6357</v>
      </c>
      <c r="B35" t="s">
        <v>6356</v>
      </c>
      <c r="C35" s="291" t="s">
        <v>704</v>
      </c>
      <c r="D35" t="s">
        <v>705</v>
      </c>
      <c r="E35" s="291">
        <v>1741</v>
      </c>
      <c r="F35" s="291">
        <v>2015</v>
      </c>
      <c r="G35" s="291">
        <v>0.59726027397260295</v>
      </c>
      <c r="H35">
        <v>9</v>
      </c>
      <c r="I35" s="291">
        <v>2.9863013698630101</v>
      </c>
      <c r="J35" s="291">
        <v>14.972602739726</v>
      </c>
    </row>
    <row r="36" ht="12.75">
      <c r="A36" s="290" t="s">
        <v>6217</v>
      </c>
      <c r="B36" t="s">
        <v>6216</v>
      </c>
      <c r="C36" s="291" t="s">
        <v>84</v>
      </c>
      <c r="D36" t="s">
        <v>85</v>
      </c>
      <c r="E36" s="291">
        <v>1706</v>
      </c>
      <c r="F36" s="291">
        <v>2014</v>
      </c>
      <c r="G36" s="291">
        <v>0.64657534246575299</v>
      </c>
      <c r="H36">
        <v>10</v>
      </c>
      <c r="I36" s="291"/>
      <c r="J36" s="291">
        <v>13.2328767123288</v>
      </c>
    </row>
    <row r="37" ht="12.75">
      <c r="A37" s="290" t="s">
        <v>6461</v>
      </c>
      <c r="B37" t="s">
        <v>6460</v>
      </c>
      <c r="C37" s="291" t="s">
        <v>2154</v>
      </c>
      <c r="D37" t="s">
        <v>2155</v>
      </c>
      <c r="E37" s="291">
        <v>1771</v>
      </c>
      <c r="F37" s="291">
        <v>2015</v>
      </c>
      <c r="G37" s="291"/>
      <c r="H37">
        <v>9</v>
      </c>
      <c r="I37" s="291"/>
      <c r="J37" s="291">
        <v>9</v>
      </c>
    </row>
    <row r="38" ht="12.75">
      <c r="A38" s="290" t="s">
        <v>6641</v>
      </c>
      <c r="B38" t="s">
        <v>6640</v>
      </c>
      <c r="C38" s="291" t="s">
        <v>704</v>
      </c>
      <c r="D38" t="s">
        <v>1697</v>
      </c>
      <c r="E38" s="291">
        <v>1826</v>
      </c>
      <c r="F38" s="291">
        <v>2017</v>
      </c>
      <c r="G38" s="291">
        <v>0.19452054794520501</v>
      </c>
      <c r="H38">
        <v>7</v>
      </c>
      <c r="I38" s="291"/>
      <c r="J38" s="291">
        <v>7.97260273972603</v>
      </c>
    </row>
    <row r="39" ht="12.75">
      <c r="G39" s="291"/>
      <c r="I39" s="291"/>
      <c r="J39" s="291"/>
    </row>
    <row r="40" ht="12.75">
      <c r="G40" s="291"/>
      <c r="I40" s="291"/>
      <c r="J40" s="291"/>
    </row>
    <row r="41" ht="12.75">
      <c r="G41" s="291"/>
      <c r="I41" s="291"/>
      <c r="J41" s="291"/>
    </row>
    <row r="42" ht="12.75">
      <c r="G42" s="291"/>
      <c r="I42" s="291"/>
      <c r="J42" s="291"/>
    </row>
    <row r="43" ht="12.75">
      <c r="G43" s="291"/>
      <c r="I43" s="291"/>
      <c r="J43" s="291"/>
    </row>
    <row r="44" ht="12.75">
      <c r="G44" s="291"/>
      <c r="I44" s="291"/>
      <c r="J44" s="291"/>
    </row>
    <row r="45" ht="12.75">
      <c r="G45" s="291"/>
      <c r="I45" s="291"/>
      <c r="J45" s="291"/>
    </row>
    <row r="46" ht="12.75">
      <c r="G46" s="291"/>
      <c r="I46" s="291"/>
      <c r="J46" s="291"/>
    </row>
    <row r="47" ht="12.75">
      <c r="G47" s="291"/>
      <c r="I47" s="291"/>
      <c r="J47" s="291"/>
    </row>
    <row r="48" ht="12.75">
      <c r="G48" s="291"/>
      <c r="I48" s="291"/>
      <c r="J48" s="291"/>
    </row>
    <row r="49" ht="12.75">
      <c r="B49" s="290"/>
      <c r="G49" s="291"/>
      <c r="I49" s="291"/>
      <c r="J49" s="291"/>
    </row>
    <row r="50" ht="12.75">
      <c r="G50" s="291"/>
      <c r="I50" s="291"/>
      <c r="J50" s="291"/>
    </row>
    <row r="51" ht="12.75">
      <c r="G51" s="291"/>
      <c r="I51" s="291"/>
      <c r="J51" s="291"/>
    </row>
    <row r="52" ht="12.75">
      <c r="G52" s="291"/>
      <c r="I52" s="291"/>
      <c r="J52" s="291"/>
    </row>
    <row r="53" ht="12.75">
      <c r="B53" s="290"/>
      <c r="C53" s="290"/>
      <c r="D53" s="290"/>
      <c r="E53" s="290"/>
      <c r="F53" s="290"/>
      <c r="G53" s="291"/>
      <c r="I53" s="291"/>
      <c r="J53" s="291"/>
    </row>
    <row r="54" ht="12.75">
      <c r="G54" s="291"/>
      <c r="I54" s="291"/>
      <c r="J54" s="291"/>
    </row>
    <row r="55" ht="12.75">
      <c r="G55" s="291"/>
      <c r="I55" s="291"/>
      <c r="J55" s="291"/>
    </row>
    <row r="56" ht="12.75">
      <c r="G56" s="291"/>
      <c r="I56" s="291"/>
      <c r="J56" s="291"/>
    </row>
    <row r="57" ht="12.75">
      <c r="G57" s="291"/>
      <c r="I57" s="291"/>
      <c r="J57" s="291"/>
    </row>
    <row r="58" ht="12.75">
      <c r="G58" s="291"/>
      <c r="I58" s="291"/>
      <c r="J58" s="291"/>
    </row>
    <row r="59" ht="12.75">
      <c r="G59" s="291"/>
      <c r="I59" s="291"/>
      <c r="J59" s="291"/>
    </row>
    <row r="60" ht="12.75">
      <c r="G60" s="291"/>
      <c r="I60" s="291"/>
      <c r="J60" s="291"/>
    </row>
    <row r="61" ht="12.75">
      <c r="G61" s="291"/>
      <c r="I61" s="291"/>
      <c r="J61" s="291"/>
    </row>
    <row r="62" ht="12.75">
      <c r="G62" s="291"/>
      <c r="I62" s="291"/>
      <c r="J62" s="291"/>
    </row>
    <row r="63" ht="12.75">
      <c r="G63" s="291"/>
      <c r="I63" s="291"/>
      <c r="J63" s="291"/>
    </row>
    <row r="64" ht="12.75">
      <c r="G64" s="291"/>
      <c r="I64" s="291"/>
      <c r="J64" s="291"/>
    </row>
    <row r="65" ht="12.75">
      <c r="G65" s="291"/>
      <c r="I65" s="291"/>
      <c r="J65" s="291"/>
    </row>
    <row r="66" ht="12.75">
      <c r="G66" s="291"/>
      <c r="I66" s="291"/>
      <c r="J66" s="291"/>
    </row>
    <row r="67" ht="12.75">
      <c r="G67" s="291"/>
      <c r="I67" s="291"/>
      <c r="J67" s="291"/>
    </row>
    <row r="68" ht="12.75">
      <c r="G68" s="291"/>
      <c r="I68" s="291"/>
      <c r="J68" s="291"/>
    </row>
    <row r="69" ht="12.75">
      <c r="G69" s="291"/>
      <c r="I69" s="291"/>
      <c r="J69" s="291"/>
    </row>
    <row r="70" ht="12.75">
      <c r="G70" s="291"/>
      <c r="I70" s="291"/>
      <c r="J70" s="291"/>
    </row>
    <row r="71" ht="12.75">
      <c r="G71" s="291"/>
      <c r="I71" s="291"/>
      <c r="J71" s="291"/>
    </row>
    <row r="72" ht="12.75">
      <c r="G72" s="291"/>
      <c r="I72" s="291"/>
      <c r="J72" s="291"/>
    </row>
    <row r="73" ht="12.75">
      <c r="G73" s="291"/>
      <c r="I73" s="291"/>
      <c r="J73" s="291"/>
    </row>
    <row r="74" ht="12.75">
      <c r="G74" s="291"/>
      <c r="I74" s="291"/>
      <c r="J74" s="291"/>
    </row>
    <row r="75" ht="12.75">
      <c r="G75" s="291"/>
      <c r="I75" s="291"/>
      <c r="J75" s="291"/>
    </row>
    <row r="76" ht="12.75">
      <c r="G76" s="291"/>
      <c r="I76" s="291"/>
      <c r="J76" s="291"/>
    </row>
    <row r="77" ht="12.75">
      <c r="G77" s="291"/>
      <c r="I77" s="291"/>
      <c r="J77" s="291"/>
    </row>
    <row r="78" ht="12.75">
      <c r="G78" s="291"/>
      <c r="I78" s="291"/>
      <c r="J78" s="291"/>
    </row>
    <row r="79" ht="12.75">
      <c r="G79" s="291"/>
      <c r="I79" s="291"/>
      <c r="J79" s="291"/>
    </row>
    <row r="80" ht="12.75">
      <c r="G80" s="291"/>
      <c r="I80" s="291"/>
      <c r="J80" s="291"/>
    </row>
    <row r="81" ht="12.75">
      <c r="G81" s="291"/>
      <c r="I81" s="291"/>
      <c r="J81" s="291"/>
    </row>
    <row r="82" ht="12.75">
      <c r="G82" s="291"/>
      <c r="I82" s="291"/>
      <c r="J82" s="291"/>
    </row>
    <row r="83" ht="12.75">
      <c r="G83" s="291"/>
      <c r="I83" s="291"/>
      <c r="J83" s="291"/>
    </row>
    <row r="84" ht="12.75">
      <c r="G84" s="291"/>
      <c r="I84" s="291"/>
      <c r="J84" s="291"/>
    </row>
    <row r="85" ht="12.75">
      <c r="G85" s="291"/>
      <c r="I85" s="291"/>
      <c r="J85" s="291"/>
    </row>
    <row r="86" ht="12.75">
      <c r="G86" s="291"/>
      <c r="I86" s="291"/>
      <c r="J86" s="291"/>
    </row>
    <row r="87" ht="12.75">
      <c r="G87" s="291"/>
      <c r="I87" s="291"/>
      <c r="J87" s="291"/>
    </row>
    <row r="88" ht="12.75">
      <c r="G88" s="291"/>
      <c r="I88" s="291"/>
      <c r="J88" s="291"/>
    </row>
    <row r="89" ht="12.75">
      <c r="G89" s="291"/>
      <c r="I89" s="291"/>
      <c r="J89" s="291"/>
    </row>
    <row r="90" ht="12.75">
      <c r="B90" s="290"/>
      <c r="G90" s="291"/>
      <c r="I90" s="291"/>
      <c r="J90" s="291"/>
    </row>
    <row r="91" ht="12.75">
      <c r="G91" s="291"/>
      <c r="I91" s="291"/>
      <c r="J91" s="291"/>
    </row>
    <row r="92" ht="12.75">
      <c r="G92" s="291"/>
      <c r="I92" s="291"/>
      <c r="J92" s="291"/>
    </row>
    <row r="93" ht="12.75">
      <c r="G93" s="291"/>
      <c r="I93" s="291"/>
      <c r="J93" s="291"/>
    </row>
    <row r="94" ht="12.75">
      <c r="G94" s="291"/>
      <c r="I94" s="291"/>
      <c r="J94" s="291"/>
    </row>
    <row r="95" ht="12.75">
      <c r="G95" s="291"/>
      <c r="I95" s="291"/>
      <c r="J95" s="291"/>
    </row>
    <row r="96" ht="12.75">
      <c r="G96" s="291"/>
      <c r="I96" s="291"/>
      <c r="J96" s="291"/>
    </row>
    <row r="97" ht="12.75">
      <c r="G97" s="291"/>
      <c r="I97" s="291"/>
      <c r="J97" s="291"/>
    </row>
    <row r="98" ht="12.75">
      <c r="G98" s="291"/>
      <c r="I98" s="291"/>
      <c r="J98" s="291"/>
    </row>
    <row r="99" ht="12.75">
      <c r="G99" s="291"/>
      <c r="I99" s="291"/>
      <c r="J99" s="291"/>
    </row>
    <row r="100" ht="12.75">
      <c r="G100" s="291"/>
      <c r="I100" s="291"/>
      <c r="J100" s="291"/>
    </row>
    <row r="101" ht="12.75">
      <c r="G101" s="291"/>
      <c r="I101" s="291"/>
      <c r="J101" s="291"/>
    </row>
    <row r="102" ht="12.75">
      <c r="B102" s="290"/>
      <c r="G102" s="291"/>
      <c r="I102" s="291"/>
      <c r="J102" s="291"/>
    </row>
    <row r="103" ht="12.75">
      <c r="G103" s="291"/>
      <c r="I103" s="291"/>
      <c r="J103" s="291"/>
    </row>
    <row r="104" ht="12.75">
      <c r="B104" s="290"/>
      <c r="G104" s="291"/>
      <c r="I104" s="291"/>
      <c r="J104" s="291"/>
    </row>
    <row r="105" ht="12.75">
      <c r="G105" s="291"/>
      <c r="I105" s="291"/>
      <c r="J105" s="291"/>
    </row>
    <row r="106" ht="12.75">
      <c r="G106" s="291"/>
      <c r="I106" s="291"/>
      <c r="J106" s="291"/>
    </row>
    <row r="107" ht="12.75">
      <c r="G107" s="291"/>
      <c r="I107" s="291"/>
      <c r="J107" s="291"/>
    </row>
    <row r="108" ht="12.75">
      <c r="G108" s="291"/>
      <c r="I108" s="291"/>
      <c r="J108" s="291"/>
    </row>
    <row r="109" ht="12.75">
      <c r="G109" s="291"/>
      <c r="I109" s="291"/>
      <c r="J109" s="291"/>
    </row>
    <row r="110" ht="12.75">
      <c r="G110" s="291"/>
      <c r="I110" s="291"/>
      <c r="J110" s="291"/>
    </row>
    <row r="111" ht="12.75">
      <c r="G111" s="291"/>
      <c r="I111" s="291"/>
      <c r="J111" s="291"/>
    </row>
    <row r="112" ht="12.75">
      <c r="G112" s="291"/>
      <c r="I112" s="291"/>
      <c r="J112" s="291"/>
    </row>
    <row r="113" ht="12.75">
      <c r="G113" s="291"/>
      <c r="I113" s="291"/>
      <c r="J113" s="291"/>
    </row>
    <row r="114" ht="12.75">
      <c r="G114" s="291"/>
      <c r="I114" s="291"/>
      <c r="J114" s="291"/>
    </row>
    <row r="115" ht="12.75">
      <c r="G115" s="291"/>
      <c r="I115" s="291"/>
      <c r="J115" s="291"/>
    </row>
    <row r="116" ht="12.75">
      <c r="G116" s="291"/>
      <c r="I116" s="291"/>
      <c r="J116" s="291"/>
    </row>
    <row r="117" ht="12.75">
      <c r="G117" s="291"/>
      <c r="I117" s="291"/>
      <c r="J117" s="291"/>
    </row>
    <row r="118" ht="12.75">
      <c r="G118" s="291"/>
      <c r="I118" s="291"/>
      <c r="J118" s="291"/>
    </row>
    <row r="119" ht="12.75">
      <c r="G119" s="291"/>
      <c r="I119" s="291"/>
      <c r="J119" s="291"/>
    </row>
    <row r="120" ht="12.75">
      <c r="G120" s="291"/>
      <c r="I120" s="291"/>
      <c r="J120" s="291"/>
    </row>
    <row r="121" ht="12.75">
      <c r="A121" s="297"/>
      <c r="B121" s="297"/>
      <c r="C121" s="297"/>
      <c r="D121" s="297"/>
      <c r="E121" s="297"/>
      <c r="F121" s="297"/>
      <c r="G121" s="298"/>
      <c r="H121" s="297"/>
      <c r="I121" s="298"/>
      <c r="J121" s="299"/>
      <c r="K121" s="300"/>
    </row>
    <row r="122" ht="12.75">
      <c r="A122" s="297"/>
      <c r="B122" s="297"/>
      <c r="C122" s="297"/>
      <c r="D122" s="297"/>
      <c r="E122" s="297"/>
      <c r="F122" s="297"/>
      <c r="G122" s="298"/>
      <c r="H122" s="297"/>
      <c r="I122" s="298"/>
      <c r="J122" s="299"/>
      <c r="K122" s="300"/>
    </row>
    <row r="123" ht="12.75">
      <c r="A123" s="297"/>
      <c r="B123" s="297"/>
      <c r="C123" s="297"/>
      <c r="D123" s="297"/>
      <c r="E123" s="297"/>
      <c r="F123" s="297"/>
      <c r="G123" s="298"/>
      <c r="H123" s="297"/>
      <c r="I123" s="298"/>
      <c r="J123" s="299"/>
      <c r="K123" s="300"/>
    </row>
    <row r="124" ht="12.75">
      <c r="A124" s="297"/>
      <c r="B124" s="297"/>
      <c r="C124" s="297"/>
      <c r="D124" s="297"/>
      <c r="E124" s="297"/>
      <c r="F124" s="297"/>
      <c r="G124" s="298"/>
      <c r="H124" s="297"/>
      <c r="I124" s="298"/>
      <c r="J124" s="299"/>
      <c r="K124" s="300"/>
    </row>
    <row r="125" ht="12.75">
      <c r="A125" s="297"/>
      <c r="B125" s="297"/>
      <c r="C125" s="297"/>
      <c r="D125" s="297"/>
      <c r="E125" s="297"/>
      <c r="F125" s="297"/>
      <c r="G125" s="298"/>
      <c r="H125" s="297"/>
      <c r="I125" s="298"/>
      <c r="J125" s="299"/>
      <c r="K125" s="300"/>
    </row>
    <row r="126" ht="12.75">
      <c r="A126" s="297"/>
      <c r="B126" s="297"/>
      <c r="C126" s="297"/>
      <c r="D126" s="297"/>
      <c r="E126" s="297"/>
      <c r="F126" s="297"/>
      <c r="G126" s="298"/>
      <c r="H126" s="297"/>
      <c r="I126" s="298"/>
      <c r="J126" s="299"/>
      <c r="K126" s="300"/>
    </row>
    <row r="127" ht="12.75">
      <c r="A127" s="297"/>
      <c r="B127" s="297"/>
      <c r="C127" s="297"/>
      <c r="D127" s="297"/>
      <c r="E127" s="297"/>
      <c r="F127" s="297"/>
      <c r="G127" s="298"/>
      <c r="H127" s="297"/>
      <c r="I127" s="298"/>
      <c r="J127" s="299"/>
      <c r="K127" s="300"/>
    </row>
    <row r="128" ht="12.75">
      <c r="A128" s="297"/>
      <c r="B128" s="297"/>
      <c r="C128" s="297"/>
      <c r="D128" s="297"/>
      <c r="E128" s="297"/>
      <c r="F128" s="297"/>
      <c r="G128" s="298"/>
      <c r="H128" s="297"/>
      <c r="I128" s="298"/>
      <c r="J128" s="299"/>
      <c r="K128" s="300"/>
    </row>
    <row r="129" ht="12.75">
      <c r="A129" s="297"/>
      <c r="B129" s="297"/>
      <c r="C129" s="297"/>
      <c r="D129" s="297"/>
      <c r="E129" s="297"/>
      <c r="F129" s="297"/>
      <c r="G129" s="298"/>
      <c r="H129" s="297"/>
      <c r="I129" s="298"/>
      <c r="J129" s="299"/>
      <c r="K129" s="300"/>
    </row>
    <row r="130" ht="12.75">
      <c r="A130" s="297"/>
      <c r="B130" s="297"/>
      <c r="C130" s="297"/>
      <c r="D130" s="297"/>
      <c r="E130" s="297"/>
      <c r="F130" s="297"/>
      <c r="G130" s="298"/>
      <c r="H130" s="297"/>
      <c r="I130" s="298"/>
      <c r="J130" s="299"/>
      <c r="K130" s="300"/>
    </row>
    <row r="131" ht="12.75">
      <c r="A131" s="297"/>
      <c r="B131" s="297"/>
      <c r="C131" s="297"/>
      <c r="D131" s="297"/>
      <c r="E131" s="297"/>
      <c r="F131" s="297"/>
      <c r="G131" s="298"/>
      <c r="H131" s="297"/>
      <c r="I131" s="298"/>
      <c r="J131" s="299"/>
      <c r="K131" s="300"/>
    </row>
    <row r="132" ht="12.75">
      <c r="A132" s="297"/>
      <c r="B132" s="297"/>
      <c r="C132" s="297"/>
      <c r="D132" s="297"/>
      <c r="E132" s="297"/>
      <c r="F132" s="297"/>
      <c r="G132" s="298"/>
      <c r="H132" s="297"/>
      <c r="I132" s="298"/>
      <c r="J132" s="299"/>
      <c r="K132" s="300"/>
    </row>
    <row r="133" ht="12.75">
      <c r="A133" s="297"/>
      <c r="B133" s="297"/>
      <c r="C133" s="297"/>
      <c r="D133" s="297"/>
      <c r="E133" s="297"/>
      <c r="F133" s="297"/>
      <c r="G133" s="298"/>
      <c r="H133" s="297"/>
      <c r="I133" s="298"/>
      <c r="J133" s="299"/>
      <c r="K133" s="300"/>
    </row>
    <row r="134" ht="12.75">
      <c r="A134" s="297"/>
      <c r="B134" s="297"/>
      <c r="C134" s="297"/>
      <c r="D134" s="297"/>
      <c r="E134" s="297"/>
      <c r="F134" s="297"/>
      <c r="G134" s="298"/>
      <c r="H134" s="297"/>
      <c r="I134" s="298"/>
      <c r="J134" s="299"/>
      <c r="K134" s="300"/>
    </row>
    <row r="135" ht="12.75">
      <c r="A135" s="297"/>
      <c r="B135" s="297"/>
      <c r="C135" s="297"/>
      <c r="D135" s="297"/>
      <c r="E135" s="297"/>
      <c r="F135" s="297"/>
      <c r="G135" s="298"/>
      <c r="H135" s="297"/>
      <c r="I135" s="298"/>
      <c r="J135" s="299"/>
      <c r="K135" s="300"/>
    </row>
    <row r="136" ht="12.75">
      <c r="A136" s="297"/>
      <c r="B136" s="297"/>
      <c r="C136" s="297"/>
      <c r="D136" s="297"/>
      <c r="E136" s="297"/>
      <c r="F136" s="297"/>
      <c r="G136" s="298"/>
      <c r="H136" s="297"/>
      <c r="I136" s="298"/>
      <c r="J136" s="299"/>
      <c r="K136" s="300"/>
    </row>
    <row r="137" ht="12.75">
      <c r="A137" s="297"/>
      <c r="B137" s="297"/>
      <c r="C137" s="297"/>
      <c r="D137" s="297"/>
      <c r="E137" s="297"/>
      <c r="F137" s="297"/>
      <c r="G137" s="298"/>
      <c r="H137" s="297"/>
      <c r="I137" s="298"/>
      <c r="J137" s="299"/>
      <c r="K137" s="300"/>
    </row>
    <row r="138" ht="12.75">
      <c r="A138" s="297"/>
      <c r="B138" s="297"/>
      <c r="C138" s="297"/>
      <c r="D138" s="297"/>
      <c r="E138" s="297"/>
      <c r="F138" s="297"/>
      <c r="G138" s="298"/>
      <c r="H138" s="297"/>
      <c r="I138" s="298"/>
      <c r="J138" s="299"/>
      <c r="K138" s="300"/>
    </row>
    <row r="139" ht="12.75">
      <c r="A139" s="297"/>
      <c r="B139" s="297"/>
      <c r="C139" s="297"/>
      <c r="D139" s="297"/>
      <c r="E139" s="297"/>
      <c r="F139" s="297"/>
      <c r="G139" s="298"/>
      <c r="H139" s="297"/>
      <c r="I139" s="298"/>
      <c r="J139" s="299"/>
      <c r="K139" s="300"/>
    </row>
    <row r="140" ht="12.75">
      <c r="A140" s="297"/>
      <c r="B140" s="297"/>
      <c r="C140" s="297"/>
      <c r="D140" s="297"/>
      <c r="E140" s="297"/>
      <c r="F140" s="297"/>
      <c r="G140" s="298"/>
      <c r="H140" s="297"/>
      <c r="I140" s="298"/>
      <c r="J140" s="299"/>
      <c r="K140" s="300"/>
    </row>
    <row r="141" ht="12.75">
      <c r="A141" s="297"/>
      <c r="B141" s="297"/>
      <c r="C141" s="297"/>
      <c r="D141" s="297"/>
      <c r="E141" s="297"/>
      <c r="F141" s="297"/>
      <c r="G141" s="298"/>
      <c r="H141" s="297"/>
      <c r="I141" s="298"/>
      <c r="J141" s="299"/>
      <c r="K141" s="300"/>
    </row>
    <row r="142" ht="12.75">
      <c r="A142" s="297"/>
      <c r="B142" s="297"/>
      <c r="C142" s="297"/>
      <c r="D142" s="297"/>
      <c r="E142" s="297"/>
      <c r="F142" s="297"/>
      <c r="G142" s="298"/>
      <c r="H142" s="297"/>
      <c r="I142" s="298"/>
      <c r="J142" s="299"/>
      <c r="K142" s="300"/>
    </row>
    <row r="143" ht="12.75">
      <c r="A143" s="297"/>
      <c r="B143" s="297"/>
      <c r="C143" s="297"/>
      <c r="D143" s="297"/>
      <c r="E143" s="297"/>
      <c r="F143" s="297"/>
      <c r="G143" s="298"/>
      <c r="H143" s="297"/>
      <c r="I143" s="298"/>
      <c r="J143" s="299"/>
      <c r="K143" s="300"/>
    </row>
    <row r="144" ht="12.75">
      <c r="A144" s="297"/>
      <c r="B144" s="297"/>
      <c r="C144" s="297"/>
      <c r="D144" s="297"/>
      <c r="E144" s="297"/>
      <c r="F144" s="297"/>
      <c r="G144" s="298"/>
      <c r="H144" s="297"/>
      <c r="I144" s="298"/>
      <c r="J144" s="299"/>
      <c r="K144" s="300"/>
    </row>
    <row r="145" ht="12.75">
      <c r="A145" s="297"/>
      <c r="B145" s="297"/>
      <c r="C145" s="297"/>
      <c r="D145" s="297"/>
      <c r="E145" s="297"/>
      <c r="F145" s="297"/>
      <c r="G145" s="298"/>
      <c r="H145" s="297"/>
      <c r="I145" s="298"/>
      <c r="J145" s="299"/>
      <c r="K145" s="300"/>
    </row>
    <row r="146" ht="12.75">
      <c r="A146" s="297"/>
      <c r="B146" s="297"/>
      <c r="C146" s="297"/>
      <c r="D146" s="297"/>
      <c r="E146" s="297"/>
      <c r="F146" s="297"/>
      <c r="G146" s="298"/>
      <c r="H146" s="297"/>
      <c r="I146" s="298"/>
      <c r="J146" s="299"/>
      <c r="K146" s="300"/>
    </row>
    <row r="147" ht="12.75">
      <c r="A147" s="297"/>
      <c r="B147" s="297"/>
      <c r="C147" s="297"/>
      <c r="D147" s="297"/>
      <c r="E147" s="297"/>
      <c r="F147" s="297"/>
      <c r="G147" s="298"/>
      <c r="H147" s="297"/>
      <c r="I147" s="298"/>
      <c r="J147" s="299"/>
      <c r="K147" s="300"/>
    </row>
    <row r="148" ht="12.75">
      <c r="A148" s="297"/>
      <c r="B148" s="297"/>
      <c r="C148" s="297"/>
      <c r="D148" s="297"/>
      <c r="E148" s="297"/>
      <c r="F148" s="297"/>
      <c r="G148" s="298"/>
      <c r="H148" s="297"/>
      <c r="I148" s="298"/>
      <c r="J148" s="299"/>
      <c r="K148" s="300"/>
    </row>
    <row r="149" ht="12.75">
      <c r="A149" s="297"/>
      <c r="B149" s="297"/>
      <c r="C149" s="297"/>
      <c r="D149" s="297"/>
      <c r="E149" s="297"/>
      <c r="F149" s="297"/>
      <c r="G149" s="298"/>
      <c r="H149" s="297"/>
      <c r="I149" s="298"/>
      <c r="J149" s="299"/>
      <c r="K149" s="300"/>
    </row>
    <row r="150" ht="12.75">
      <c r="A150" s="297"/>
      <c r="B150" s="297"/>
      <c r="C150" s="297"/>
      <c r="D150" s="297"/>
      <c r="E150" s="297"/>
      <c r="F150" s="297"/>
      <c r="G150" s="298"/>
      <c r="H150" s="297"/>
      <c r="I150" s="298"/>
      <c r="J150" s="299"/>
      <c r="K150" s="300"/>
    </row>
    <row r="151" ht="12.75">
      <c r="A151" s="297"/>
      <c r="B151" s="297"/>
      <c r="C151" s="297"/>
      <c r="D151" s="297"/>
      <c r="E151" s="297"/>
      <c r="F151" s="297"/>
      <c r="G151" s="298"/>
      <c r="H151" s="297"/>
      <c r="I151" s="298"/>
      <c r="J151" s="299"/>
      <c r="K151" s="300"/>
    </row>
    <row r="152" ht="12.75">
      <c r="A152" s="297"/>
      <c r="B152" s="297"/>
      <c r="C152" s="297"/>
      <c r="D152" s="297"/>
      <c r="E152" s="297"/>
      <c r="F152" s="297"/>
      <c r="G152" s="298"/>
      <c r="H152" s="297"/>
      <c r="I152" s="298"/>
      <c r="J152" s="299"/>
      <c r="K152" s="300"/>
    </row>
    <row r="153" ht="12.75">
      <c r="A153" s="297"/>
      <c r="B153" s="297"/>
      <c r="C153" s="297"/>
      <c r="D153" s="297"/>
      <c r="E153" s="297"/>
      <c r="F153" s="297"/>
      <c r="G153" s="298"/>
      <c r="H153" s="297"/>
      <c r="I153" s="298"/>
      <c r="J153" s="299"/>
      <c r="K153" s="300"/>
    </row>
    <row r="154" ht="12.75">
      <c r="A154" s="297"/>
      <c r="B154" s="297"/>
      <c r="C154" s="297"/>
      <c r="D154" s="297"/>
      <c r="E154" s="297"/>
      <c r="F154" s="297"/>
      <c r="G154" s="298"/>
      <c r="H154" s="297"/>
      <c r="I154" s="298"/>
      <c r="J154" s="299"/>
      <c r="K154" s="300"/>
    </row>
    <row r="155" ht="12.75">
      <c r="A155" s="297"/>
      <c r="B155" s="297"/>
      <c r="C155" s="297"/>
      <c r="D155" s="297"/>
      <c r="E155" s="297"/>
      <c r="F155" s="297"/>
      <c r="G155" s="298"/>
      <c r="H155" s="297"/>
      <c r="I155" s="298"/>
      <c r="J155" s="299"/>
      <c r="K155" s="300"/>
    </row>
    <row r="156" ht="12.75">
      <c r="A156" s="297"/>
      <c r="B156" s="297"/>
      <c r="C156" s="297"/>
      <c r="D156" s="297"/>
      <c r="E156" s="297"/>
      <c r="F156" s="297"/>
      <c r="G156" s="298"/>
      <c r="H156" s="297"/>
      <c r="I156" s="298"/>
      <c r="J156" s="299"/>
      <c r="K156" s="300"/>
    </row>
    <row r="157" ht="12.75">
      <c r="A157" s="297"/>
      <c r="B157" s="297"/>
      <c r="C157" s="297"/>
      <c r="D157" s="297"/>
      <c r="E157" s="297"/>
      <c r="F157" s="297"/>
      <c r="G157" s="298"/>
      <c r="H157" s="297"/>
      <c r="I157" s="298"/>
      <c r="J157" s="299"/>
      <c r="K157" s="300"/>
    </row>
    <row r="158" ht="12.75">
      <c r="A158" s="297"/>
      <c r="B158" s="297"/>
      <c r="C158" s="297"/>
      <c r="D158" s="297"/>
      <c r="E158" s="297"/>
      <c r="F158" s="297"/>
      <c r="G158" s="298"/>
      <c r="H158" s="297"/>
      <c r="I158" s="298"/>
      <c r="J158" s="299"/>
      <c r="K158" s="300"/>
    </row>
    <row r="159" ht="12.75">
      <c r="A159" s="297"/>
      <c r="B159" s="297"/>
      <c r="C159" s="297"/>
      <c r="D159" s="297"/>
      <c r="E159" s="297"/>
      <c r="F159" s="297"/>
      <c r="G159" s="298"/>
      <c r="H159" s="297"/>
      <c r="I159" s="298"/>
      <c r="J159" s="299"/>
      <c r="K159" s="300"/>
    </row>
    <row r="160" ht="12.75">
      <c r="A160" s="297"/>
      <c r="B160" s="297"/>
      <c r="C160" s="297"/>
      <c r="D160" s="297"/>
      <c r="E160" s="297"/>
      <c r="F160" s="297"/>
      <c r="G160" s="298"/>
      <c r="H160" s="297"/>
      <c r="I160" s="298"/>
      <c r="J160" s="299"/>
      <c r="K160" s="300"/>
    </row>
    <row r="161" ht="12.75">
      <c r="A161" s="297"/>
      <c r="B161" s="297"/>
      <c r="C161" s="297"/>
      <c r="D161" s="297"/>
      <c r="E161" s="297"/>
      <c r="F161" s="297"/>
      <c r="G161" s="298"/>
      <c r="H161" s="297"/>
      <c r="I161" s="298"/>
      <c r="J161" s="299"/>
      <c r="K161" s="300"/>
    </row>
    <row r="162" ht="12.75">
      <c r="A162" s="297"/>
      <c r="B162" s="297"/>
      <c r="C162" s="297"/>
      <c r="D162" s="297"/>
      <c r="E162" s="297"/>
      <c r="F162" s="297"/>
      <c r="G162" s="298"/>
      <c r="H162" s="297"/>
      <c r="I162" s="298"/>
      <c r="J162" s="299"/>
      <c r="K162" s="300"/>
    </row>
    <row r="163" ht="12.75">
      <c r="A163" s="297"/>
      <c r="B163" s="297"/>
      <c r="C163" s="297"/>
      <c r="D163" s="297"/>
      <c r="E163" s="297"/>
      <c r="F163" s="297"/>
      <c r="G163" s="298"/>
      <c r="H163" s="297"/>
      <c r="I163" s="298"/>
      <c r="J163" s="299"/>
      <c r="K163" s="300"/>
    </row>
    <row r="164" ht="12.75">
      <c r="A164" s="297"/>
      <c r="B164" s="297"/>
      <c r="C164" s="297"/>
      <c r="D164" s="297"/>
      <c r="E164" s="297"/>
      <c r="F164" s="297"/>
      <c r="G164" s="298"/>
      <c r="H164" s="297"/>
      <c r="I164" s="298"/>
      <c r="J164" s="299"/>
      <c r="K164" s="300"/>
    </row>
    <row r="165" ht="12.75">
      <c r="A165" s="297"/>
      <c r="B165" s="297"/>
      <c r="C165" s="297"/>
      <c r="D165" s="297"/>
      <c r="E165" s="297"/>
      <c r="F165" s="297"/>
      <c r="G165" s="298"/>
      <c r="H165" s="297"/>
      <c r="I165" s="298"/>
      <c r="J165" s="299"/>
      <c r="K165" s="300"/>
    </row>
    <row r="166" ht="12.75">
      <c r="A166" s="297"/>
      <c r="B166" s="297"/>
      <c r="C166" s="297"/>
      <c r="D166" s="297"/>
      <c r="E166" s="297"/>
      <c r="F166" s="297"/>
      <c r="G166" s="298"/>
      <c r="H166" s="297"/>
      <c r="I166" s="298"/>
      <c r="J166" s="299"/>
      <c r="K166" s="300"/>
    </row>
    <row r="167" ht="12.75">
      <c r="A167" s="297"/>
      <c r="B167" s="297"/>
      <c r="C167" s="297"/>
      <c r="D167" s="297"/>
      <c r="E167" s="297"/>
      <c r="F167" s="297"/>
      <c r="G167" s="298"/>
      <c r="H167" s="297"/>
      <c r="I167" s="298"/>
      <c r="J167" s="299"/>
      <c r="K167" s="300"/>
    </row>
    <row r="168" ht="12.75">
      <c r="A168" s="297"/>
      <c r="B168" s="297"/>
      <c r="C168" s="297"/>
      <c r="D168" s="297"/>
      <c r="E168" s="297"/>
      <c r="F168" s="297"/>
      <c r="G168" s="298"/>
      <c r="H168" s="297"/>
      <c r="I168" s="298"/>
      <c r="J168" s="299"/>
      <c r="K168" s="300"/>
    </row>
    <row r="169" ht="12.75">
      <c r="A169" s="297"/>
      <c r="B169" s="297"/>
      <c r="C169" s="297"/>
      <c r="D169" s="297"/>
      <c r="E169" s="297"/>
      <c r="F169" s="297"/>
      <c r="G169" s="298"/>
      <c r="H169" s="297"/>
      <c r="I169" s="298"/>
      <c r="J169" s="299"/>
      <c r="K169" s="300"/>
    </row>
    <row r="170" ht="12.75">
      <c r="A170" s="297"/>
      <c r="B170" s="297"/>
      <c r="C170" s="297"/>
      <c r="D170" s="297"/>
      <c r="E170" s="297"/>
      <c r="F170" s="297"/>
      <c r="G170" s="298"/>
      <c r="H170" s="297"/>
      <c r="I170" s="298"/>
      <c r="J170" s="299"/>
      <c r="K170" s="300"/>
    </row>
    <row r="171" ht="12.75">
      <c r="A171" s="297"/>
      <c r="B171" s="297"/>
      <c r="C171" s="297"/>
      <c r="D171" s="297"/>
      <c r="E171" s="297"/>
      <c r="F171" s="297"/>
      <c r="G171" s="298"/>
      <c r="H171" s="297"/>
      <c r="I171" s="298"/>
      <c r="J171" s="299"/>
      <c r="K171" s="300"/>
    </row>
    <row r="172" ht="12.75">
      <c r="A172" s="297"/>
      <c r="B172" s="297"/>
      <c r="C172" s="297"/>
      <c r="D172" s="297"/>
      <c r="E172" s="297"/>
      <c r="F172" s="297"/>
      <c r="G172" s="298"/>
      <c r="H172" s="297"/>
      <c r="I172" s="298"/>
      <c r="J172" s="299"/>
      <c r="K172" s="300"/>
    </row>
    <row r="173" ht="12.75">
      <c r="A173" s="297"/>
      <c r="B173" s="297"/>
      <c r="C173" s="297"/>
      <c r="D173" s="297"/>
      <c r="E173" s="297"/>
      <c r="F173" s="297"/>
      <c r="G173" s="298"/>
      <c r="H173" s="297"/>
      <c r="I173" s="298"/>
      <c r="J173" s="299"/>
      <c r="K173" s="300"/>
    </row>
    <row r="174" ht="12.75">
      <c r="A174" s="297"/>
      <c r="B174" s="297"/>
      <c r="C174" s="297"/>
      <c r="D174" s="297"/>
      <c r="E174" s="297"/>
      <c r="F174" s="297"/>
      <c r="G174" s="298"/>
      <c r="H174" s="297"/>
      <c r="I174" s="298"/>
      <c r="J174" s="299"/>
      <c r="K174" s="300"/>
    </row>
    <row r="175" ht="12.75">
      <c r="A175" s="297"/>
      <c r="B175" s="297"/>
      <c r="C175" s="297"/>
      <c r="D175" s="297"/>
      <c r="E175" s="297"/>
      <c r="F175" s="297"/>
      <c r="G175" s="298"/>
      <c r="H175" s="297"/>
      <c r="I175" s="298"/>
      <c r="J175" s="299"/>
      <c r="K175" s="300"/>
    </row>
    <row r="176" ht="12.75">
      <c r="A176" s="297"/>
      <c r="B176" s="297"/>
      <c r="C176" s="297"/>
      <c r="D176" s="297"/>
      <c r="E176" s="297"/>
      <c r="F176" s="297"/>
      <c r="G176" s="298"/>
      <c r="H176" s="297"/>
      <c r="I176" s="298"/>
      <c r="J176" s="299"/>
      <c r="K176" s="300"/>
    </row>
    <row r="177" ht="12.75">
      <c r="A177" s="297"/>
      <c r="B177" s="297"/>
      <c r="C177" s="297"/>
      <c r="D177" s="297"/>
      <c r="E177" s="297"/>
      <c r="F177" s="297"/>
      <c r="G177" s="298"/>
      <c r="H177" s="297"/>
      <c r="I177" s="298"/>
      <c r="J177" s="299"/>
      <c r="K177" s="300"/>
    </row>
    <row r="178" ht="12.75">
      <c r="A178" s="297"/>
      <c r="B178" s="297"/>
      <c r="C178" s="297"/>
      <c r="D178" s="297"/>
      <c r="E178" s="297"/>
      <c r="F178" s="297"/>
      <c r="G178" s="298"/>
      <c r="H178" s="297"/>
      <c r="I178" s="298"/>
      <c r="J178" s="299"/>
      <c r="K178" s="300"/>
    </row>
    <row r="179" ht="12.75">
      <c r="A179" s="297"/>
      <c r="B179" s="297"/>
      <c r="C179" s="297"/>
      <c r="D179" s="297"/>
      <c r="E179" s="297"/>
      <c r="F179" s="297"/>
      <c r="G179" s="298"/>
      <c r="H179" s="297"/>
      <c r="I179" s="298"/>
      <c r="J179" s="299"/>
      <c r="K179" s="300"/>
    </row>
    <row r="180" ht="12.75">
      <c r="A180" s="297"/>
      <c r="B180" s="297"/>
      <c r="C180" s="297"/>
      <c r="D180" s="297"/>
      <c r="E180" s="297"/>
      <c r="F180" s="297"/>
      <c r="G180" s="298"/>
      <c r="H180" s="297"/>
      <c r="I180" s="298"/>
      <c r="J180" s="299"/>
      <c r="K180" s="300"/>
    </row>
    <row r="181" ht="12.75">
      <c r="A181" s="297"/>
      <c r="B181" s="297"/>
      <c r="C181" s="297"/>
      <c r="D181" s="297"/>
      <c r="E181" s="297"/>
      <c r="F181" s="297"/>
      <c r="G181" s="298"/>
      <c r="H181" s="297"/>
      <c r="I181" s="298"/>
      <c r="J181" s="299"/>
      <c r="K181" s="300"/>
    </row>
    <row r="182" ht="12.75">
      <c r="A182" s="297"/>
      <c r="B182" s="297"/>
      <c r="C182" s="297"/>
      <c r="D182" s="297"/>
      <c r="E182" s="297"/>
      <c r="F182" s="297"/>
      <c r="G182" s="298"/>
      <c r="H182" s="297"/>
      <c r="I182" s="298"/>
      <c r="J182" s="299"/>
      <c r="K182" s="300"/>
    </row>
    <row r="183" ht="12.75">
      <c r="A183" s="297"/>
      <c r="B183" s="297"/>
      <c r="C183" s="297"/>
      <c r="D183" s="297"/>
      <c r="E183" s="297"/>
      <c r="F183" s="297"/>
      <c r="G183" s="298"/>
      <c r="H183" s="297"/>
      <c r="I183" s="298"/>
      <c r="J183" s="299"/>
      <c r="K183" s="300"/>
    </row>
    <row r="184" ht="12.75">
      <c r="A184" s="297"/>
      <c r="B184" s="297"/>
      <c r="C184" s="297"/>
      <c r="D184" s="297"/>
      <c r="E184" s="297"/>
      <c r="F184" s="297"/>
      <c r="G184" s="298"/>
      <c r="H184" s="297"/>
      <c r="I184" s="298"/>
      <c r="J184" s="299"/>
      <c r="K184" s="300"/>
    </row>
    <row r="185" ht="12.75">
      <c r="A185" s="297"/>
      <c r="B185" s="297"/>
      <c r="C185" s="297"/>
      <c r="D185" s="297"/>
      <c r="E185" s="297"/>
      <c r="F185" s="297"/>
      <c r="G185" s="298"/>
      <c r="H185" s="297"/>
      <c r="I185" s="298"/>
      <c r="J185" s="299"/>
      <c r="K185" s="300"/>
    </row>
    <row r="186" ht="12.75">
      <c r="A186" s="297"/>
      <c r="B186" s="297"/>
      <c r="C186" s="297"/>
      <c r="D186" s="297"/>
      <c r="E186" s="297"/>
      <c r="F186" s="297"/>
      <c r="G186" s="298"/>
      <c r="H186" s="297"/>
      <c r="I186" s="298"/>
      <c r="J186" s="299"/>
      <c r="K186" s="300"/>
    </row>
    <row r="187" ht="12.75">
      <c r="A187" s="297"/>
      <c r="B187" s="297"/>
      <c r="C187" s="297"/>
      <c r="D187" s="297"/>
      <c r="E187" s="297"/>
      <c r="F187" s="297"/>
      <c r="G187" s="298"/>
      <c r="H187" s="297"/>
      <c r="I187" s="298"/>
      <c r="J187" s="298"/>
      <c r="K187" s="300"/>
    </row>
    <row r="188" ht="12.75">
      <c r="A188" s="297"/>
      <c r="B188" s="297"/>
      <c r="C188" s="297"/>
      <c r="D188" s="297"/>
      <c r="E188" s="297"/>
      <c r="F188" s="297"/>
      <c r="G188" s="298"/>
      <c r="H188" s="297"/>
      <c r="I188" s="298"/>
      <c r="J188" s="298"/>
      <c r="K188" s="300"/>
    </row>
    <row r="189" ht="12.75">
      <c r="A189" s="297"/>
      <c r="B189" s="297"/>
      <c r="C189" s="297"/>
      <c r="D189" s="297"/>
      <c r="E189" s="297"/>
      <c r="F189" s="297"/>
      <c r="G189" s="298"/>
      <c r="H189" s="297"/>
      <c r="I189" s="298"/>
      <c r="J189" s="298"/>
      <c r="K189" s="300"/>
    </row>
    <row r="190" ht="12.75">
      <c r="A190" s="297"/>
      <c r="B190" s="297"/>
      <c r="C190" s="297"/>
      <c r="D190" s="297"/>
      <c r="E190" s="297"/>
      <c r="F190" s="297"/>
      <c r="G190" s="298"/>
      <c r="H190" s="297"/>
      <c r="I190" s="298"/>
      <c r="J190" s="298"/>
      <c r="K190" s="300"/>
    </row>
    <row r="191" ht="12.75">
      <c r="A191" s="297"/>
      <c r="B191" s="297"/>
      <c r="C191" s="297"/>
      <c r="D191" s="297"/>
      <c r="E191" s="297"/>
      <c r="F191" s="297"/>
      <c r="G191" s="298"/>
      <c r="H191" s="297"/>
      <c r="I191" s="298"/>
      <c r="J191" s="298"/>
      <c r="K191" s="300"/>
    </row>
    <row r="192" ht="12.75">
      <c r="A192" s="297"/>
      <c r="B192" s="297"/>
      <c r="C192" s="297"/>
      <c r="D192" s="297"/>
      <c r="E192" s="297"/>
      <c r="F192" s="297"/>
      <c r="G192" s="298"/>
      <c r="H192" s="297"/>
      <c r="I192" s="298"/>
      <c r="J192" s="298"/>
      <c r="K192" s="300"/>
    </row>
    <row r="193" ht="12.75">
      <c r="A193" s="297"/>
      <c r="B193" s="297"/>
      <c r="C193" s="297"/>
      <c r="D193" s="297"/>
      <c r="E193" s="297"/>
      <c r="F193" s="297"/>
      <c r="G193" s="298"/>
      <c r="H193" s="297"/>
      <c r="I193" s="298"/>
      <c r="J193" s="298"/>
      <c r="K193" s="300"/>
    </row>
    <row r="194" ht="12.75">
      <c r="A194" s="297"/>
      <c r="B194" s="297"/>
      <c r="C194" s="297"/>
      <c r="D194" s="297"/>
      <c r="E194" s="297"/>
      <c r="F194" s="297"/>
      <c r="G194" s="298"/>
      <c r="H194" s="297"/>
      <c r="I194" s="298"/>
      <c r="J194" s="298"/>
      <c r="K194" s="300"/>
    </row>
    <row r="195" ht="12.75">
      <c r="A195" s="297"/>
      <c r="B195" s="297"/>
      <c r="C195" s="297"/>
      <c r="D195" s="297"/>
      <c r="E195" s="297"/>
      <c r="F195" s="297"/>
      <c r="G195" s="298"/>
      <c r="H195" s="297"/>
      <c r="I195" s="298"/>
      <c r="J195" s="298"/>
      <c r="K195" s="300"/>
    </row>
    <row r="196" ht="12.75">
      <c r="A196" s="297"/>
      <c r="B196" s="297"/>
      <c r="C196" s="297"/>
      <c r="D196" s="297"/>
      <c r="E196" s="297"/>
      <c r="F196" s="297"/>
      <c r="G196" s="298"/>
      <c r="H196" s="297"/>
      <c r="I196" s="298"/>
      <c r="J196" s="298"/>
      <c r="K196" s="300"/>
    </row>
    <row r="197" ht="12.75">
      <c r="A197" s="297"/>
      <c r="B197" s="297"/>
      <c r="C197" s="297"/>
      <c r="D197" s="297"/>
      <c r="E197" s="297"/>
      <c r="F197" s="297"/>
      <c r="G197" s="298"/>
      <c r="H197" s="297"/>
      <c r="I197" s="298"/>
      <c r="J197" s="298"/>
      <c r="K197" s="300"/>
    </row>
    <row r="198" ht="12.75">
      <c r="A198" s="297"/>
      <c r="B198" s="297"/>
      <c r="C198" s="297"/>
      <c r="D198" s="297"/>
      <c r="E198" s="297"/>
      <c r="F198" s="297"/>
      <c r="G198" s="298"/>
      <c r="H198" s="297"/>
      <c r="I198" s="298"/>
      <c r="J198" s="298"/>
      <c r="K198" s="300"/>
    </row>
    <row r="199" ht="12.75">
      <c r="A199" s="297"/>
      <c r="B199" s="297"/>
      <c r="C199" s="297"/>
      <c r="D199" s="297"/>
      <c r="E199" s="297"/>
      <c r="F199" s="297"/>
      <c r="G199" s="298"/>
      <c r="H199" s="297"/>
      <c r="I199" s="298"/>
      <c r="J199" s="298"/>
      <c r="K199" s="300"/>
    </row>
    <row r="200" ht="12.75">
      <c r="A200" s="297"/>
      <c r="B200" s="297"/>
      <c r="C200" s="297"/>
      <c r="D200" s="297"/>
      <c r="E200" s="297"/>
      <c r="F200" s="297"/>
      <c r="G200" s="298"/>
      <c r="H200" s="297"/>
      <c r="I200" s="298"/>
      <c r="J200" s="298"/>
      <c r="K200" s="300"/>
    </row>
    <row r="201" ht="12.75">
      <c r="A201" s="297"/>
      <c r="B201" s="297"/>
      <c r="C201" s="297"/>
      <c r="D201" s="297"/>
      <c r="E201" s="297"/>
      <c r="F201" s="297"/>
      <c r="G201" s="298"/>
      <c r="H201" s="297"/>
      <c r="I201" s="298"/>
      <c r="J201" s="298"/>
      <c r="K201" s="300"/>
    </row>
    <row r="202" ht="12.75">
      <c r="A202" s="297"/>
      <c r="B202" s="297"/>
      <c r="C202" s="297"/>
      <c r="D202" s="297"/>
      <c r="E202" s="297"/>
      <c r="F202" s="297"/>
      <c r="G202" s="298"/>
      <c r="H202" s="297"/>
      <c r="I202" s="298"/>
      <c r="J202" s="298"/>
      <c r="K202" s="300"/>
    </row>
    <row r="203" ht="12.75">
      <c r="A203" s="297"/>
      <c r="B203" s="297"/>
      <c r="C203" s="297"/>
      <c r="D203" s="297"/>
      <c r="E203" s="297"/>
      <c r="F203" s="297"/>
      <c r="G203" s="298"/>
      <c r="H203" s="297"/>
      <c r="I203" s="298"/>
      <c r="J203" s="298"/>
      <c r="K203" s="300"/>
    </row>
    <row r="204" ht="12.75">
      <c r="A204" s="297"/>
      <c r="B204" s="297"/>
      <c r="C204" s="297"/>
      <c r="D204" s="297"/>
      <c r="E204" s="297"/>
      <c r="F204" s="297"/>
      <c r="G204" s="298"/>
      <c r="H204" s="297"/>
      <c r="I204" s="298"/>
      <c r="J204" s="298"/>
      <c r="K204" s="300"/>
    </row>
    <row r="205" ht="12.75">
      <c r="A205" s="297"/>
      <c r="B205" s="297"/>
      <c r="C205" s="297"/>
      <c r="D205" s="297"/>
      <c r="E205" s="297"/>
      <c r="F205" s="297"/>
      <c r="G205" s="298"/>
      <c r="H205" s="297"/>
      <c r="I205" s="298"/>
      <c r="J205" s="298"/>
      <c r="K205" s="300"/>
    </row>
    <row r="206" ht="12.75">
      <c r="A206" s="297"/>
      <c r="B206" s="297"/>
      <c r="C206" s="297"/>
      <c r="D206" s="297"/>
      <c r="E206" s="297"/>
      <c r="F206" s="297"/>
      <c r="G206" s="298"/>
      <c r="H206" s="297"/>
      <c r="I206" s="298"/>
      <c r="J206" s="298"/>
      <c r="K206" s="300"/>
    </row>
    <row r="207" ht="12.75">
      <c r="A207" s="297"/>
      <c r="B207" s="297"/>
      <c r="C207" s="297"/>
      <c r="D207" s="297"/>
      <c r="E207" s="297"/>
      <c r="F207" s="297"/>
      <c r="G207" s="298"/>
      <c r="H207" s="297"/>
      <c r="I207" s="298"/>
      <c r="J207" s="298"/>
      <c r="K207" s="300"/>
    </row>
    <row r="208" ht="12.75">
      <c r="A208" s="297"/>
      <c r="B208" s="297"/>
      <c r="C208" s="297"/>
      <c r="D208" s="297"/>
      <c r="E208" s="297"/>
      <c r="F208" s="297"/>
      <c r="G208" s="298"/>
      <c r="H208" s="297"/>
      <c r="I208" s="298"/>
      <c r="J208" s="298"/>
      <c r="K208" s="300"/>
    </row>
    <row r="209" ht="12.75">
      <c r="A209" s="297"/>
      <c r="B209" s="297"/>
      <c r="C209" s="297"/>
      <c r="D209" s="297"/>
      <c r="E209" s="297"/>
      <c r="F209" s="297"/>
      <c r="G209" s="298"/>
      <c r="H209" s="297"/>
      <c r="I209" s="298"/>
      <c r="J209" s="298"/>
      <c r="K209" s="300"/>
    </row>
    <row r="210" ht="12.75">
      <c r="A210" s="297"/>
      <c r="B210" s="297"/>
      <c r="C210" s="297"/>
      <c r="D210" s="297"/>
      <c r="E210" s="297"/>
      <c r="F210" s="297"/>
      <c r="G210" s="298"/>
      <c r="H210" s="297"/>
      <c r="I210" s="298"/>
      <c r="J210" s="298"/>
      <c r="K210" s="300"/>
    </row>
    <row r="211" ht="12.75">
      <c r="A211" s="297"/>
      <c r="B211" s="297"/>
      <c r="C211" s="297"/>
      <c r="D211" s="297"/>
      <c r="E211" s="297"/>
      <c r="F211" s="297"/>
      <c r="G211" s="298"/>
      <c r="H211" s="297"/>
      <c r="I211" s="298"/>
      <c r="J211" s="298"/>
      <c r="K211" s="300"/>
    </row>
    <row r="212" ht="12.75">
      <c r="A212" s="297"/>
      <c r="B212" s="297"/>
      <c r="C212" s="297"/>
      <c r="D212" s="297"/>
      <c r="E212" s="297"/>
      <c r="F212" s="297"/>
      <c r="G212" s="298"/>
      <c r="H212" s="297"/>
      <c r="I212" s="298"/>
      <c r="J212" s="298"/>
      <c r="K212" s="300"/>
    </row>
    <row r="213" ht="12.75">
      <c r="A213" s="297"/>
      <c r="B213" s="297"/>
      <c r="C213" s="297"/>
      <c r="D213" s="297"/>
      <c r="E213" s="297"/>
      <c r="F213" s="297"/>
      <c r="G213" s="298"/>
      <c r="H213" s="297"/>
      <c r="I213" s="298"/>
      <c r="J213" s="298"/>
      <c r="K213" s="300"/>
    </row>
    <row r="214" ht="12.75">
      <c r="A214" s="297"/>
      <c r="B214" s="297"/>
      <c r="C214" s="297"/>
      <c r="D214" s="297"/>
      <c r="E214" s="297"/>
      <c r="F214" s="297"/>
      <c r="G214" s="298"/>
      <c r="H214" s="297"/>
      <c r="I214" s="298"/>
      <c r="J214" s="298"/>
      <c r="K214" s="300"/>
    </row>
    <row r="215" ht="12.75">
      <c r="A215" s="297"/>
      <c r="B215" s="297"/>
      <c r="C215" s="297"/>
      <c r="D215" s="297"/>
      <c r="E215" s="297"/>
      <c r="F215" s="297"/>
      <c r="G215" s="298"/>
      <c r="H215" s="297"/>
      <c r="I215" s="298"/>
      <c r="J215" s="298"/>
      <c r="K215" s="300"/>
    </row>
    <row r="216" ht="12.75">
      <c r="A216" s="297"/>
      <c r="B216" s="297"/>
      <c r="C216" s="297"/>
      <c r="D216" s="297"/>
      <c r="E216" s="297"/>
      <c r="F216" s="297"/>
      <c r="G216" s="298"/>
      <c r="H216" s="297"/>
      <c r="I216" s="298"/>
      <c r="J216" s="298"/>
      <c r="K216" s="300"/>
    </row>
    <row r="217" ht="12.75">
      <c r="A217" s="297"/>
      <c r="B217" s="297"/>
      <c r="C217" s="297"/>
      <c r="D217" s="297"/>
      <c r="E217" s="297"/>
      <c r="F217" s="297"/>
      <c r="G217" s="298"/>
      <c r="H217" s="297"/>
      <c r="I217" s="298"/>
      <c r="J217" s="298"/>
      <c r="K217" s="300"/>
    </row>
    <row r="218" ht="12.75">
      <c r="A218" s="297"/>
      <c r="B218" s="297"/>
      <c r="C218" s="297"/>
      <c r="D218" s="297"/>
      <c r="E218" s="297"/>
      <c r="F218" s="297"/>
      <c r="G218" s="298"/>
      <c r="H218" s="297"/>
      <c r="I218" s="298"/>
      <c r="J218" s="298"/>
      <c r="K218" s="300"/>
    </row>
    <row r="219" ht="12.75">
      <c r="A219" s="297"/>
      <c r="B219" s="297"/>
      <c r="C219" s="297"/>
      <c r="D219" s="297"/>
      <c r="E219" s="297"/>
      <c r="F219" s="297"/>
      <c r="G219" s="298"/>
      <c r="H219" s="297"/>
      <c r="I219" s="298"/>
      <c r="J219" s="298"/>
      <c r="K219" s="300"/>
    </row>
    <row r="220" ht="12.75">
      <c r="A220" s="297"/>
      <c r="B220" s="297"/>
      <c r="C220" s="297"/>
      <c r="D220" s="297"/>
      <c r="E220" s="297"/>
      <c r="F220" s="297"/>
      <c r="G220" s="298"/>
      <c r="H220" s="297"/>
      <c r="I220" s="298"/>
      <c r="J220" s="298"/>
      <c r="K220" s="300"/>
    </row>
    <row r="221" ht="12.75">
      <c r="A221" s="297"/>
      <c r="B221" s="297"/>
      <c r="C221" s="297"/>
      <c r="D221" s="297"/>
      <c r="E221" s="297"/>
      <c r="F221" s="297"/>
      <c r="G221" s="298"/>
      <c r="H221" s="297"/>
      <c r="I221" s="298"/>
      <c r="J221" s="298"/>
      <c r="K221" s="300"/>
    </row>
    <row r="222" ht="12.75">
      <c r="A222" s="297"/>
      <c r="B222" s="297"/>
      <c r="C222" s="297"/>
      <c r="D222" s="297"/>
      <c r="E222" s="297"/>
      <c r="F222" s="297"/>
      <c r="G222" s="298"/>
      <c r="H222" s="297"/>
      <c r="I222" s="298"/>
      <c r="J222" s="298"/>
      <c r="K222" s="300"/>
    </row>
    <row r="223" ht="12.75">
      <c r="A223" s="297"/>
      <c r="B223" s="297"/>
      <c r="C223" s="297"/>
      <c r="D223" s="297"/>
      <c r="E223" s="297"/>
      <c r="F223" s="297"/>
      <c r="G223" s="298"/>
      <c r="H223" s="297"/>
      <c r="I223" s="298"/>
      <c r="J223" s="298"/>
      <c r="K223" s="300"/>
    </row>
    <row r="224" ht="12.75">
      <c r="A224" s="297"/>
      <c r="B224" s="297"/>
      <c r="C224" s="297"/>
      <c r="D224" s="297"/>
      <c r="E224" s="297"/>
      <c r="F224" s="297"/>
      <c r="G224" s="298"/>
      <c r="H224" s="297"/>
      <c r="I224" s="298"/>
      <c r="J224" s="298"/>
      <c r="K224" s="300"/>
    </row>
    <row r="225" ht="12.75">
      <c r="A225" s="297"/>
      <c r="B225" s="297"/>
      <c r="C225" s="297"/>
      <c r="D225" s="297"/>
      <c r="E225" s="297"/>
      <c r="F225" s="297"/>
      <c r="G225" s="298"/>
      <c r="H225" s="297"/>
      <c r="I225" s="298"/>
      <c r="J225" s="298"/>
      <c r="K225" s="300"/>
    </row>
    <row r="226" ht="12.75">
      <c r="A226" s="297"/>
      <c r="B226" s="297"/>
      <c r="C226" s="297"/>
      <c r="D226" s="297"/>
      <c r="E226" s="297"/>
      <c r="F226" s="297"/>
      <c r="G226" s="298"/>
      <c r="H226" s="297"/>
      <c r="I226" s="298"/>
      <c r="J226" s="298"/>
      <c r="K226" s="300"/>
    </row>
    <row r="227" ht="12.75">
      <c r="A227" s="297"/>
      <c r="B227" s="297"/>
      <c r="C227" s="297"/>
      <c r="D227" s="297"/>
      <c r="E227" s="297"/>
      <c r="F227" s="297"/>
      <c r="G227" s="298"/>
      <c r="H227" s="297"/>
      <c r="I227" s="298"/>
      <c r="J227" s="298"/>
      <c r="K227" s="300"/>
    </row>
    <row r="228" ht="12.75">
      <c r="A228" s="297"/>
      <c r="B228" s="297"/>
      <c r="C228" s="297"/>
      <c r="D228" s="297"/>
      <c r="E228" s="297"/>
      <c r="F228" s="297"/>
      <c r="G228" s="298"/>
      <c r="H228" s="297"/>
      <c r="I228" s="298"/>
      <c r="J228" s="298"/>
      <c r="K228" s="300"/>
    </row>
    <row r="229" ht="12.75">
      <c r="A229" s="297"/>
      <c r="B229" s="297"/>
      <c r="C229" s="297"/>
      <c r="D229" s="297"/>
      <c r="E229" s="297"/>
      <c r="F229" s="297"/>
      <c r="G229" s="298"/>
      <c r="H229" s="297"/>
      <c r="I229" s="298"/>
      <c r="J229" s="298"/>
      <c r="K229" s="300"/>
    </row>
    <row r="230" ht="12.75">
      <c r="A230" s="297"/>
      <c r="B230" s="297"/>
      <c r="C230" s="297"/>
      <c r="D230" s="297"/>
      <c r="E230" s="297"/>
      <c r="F230" s="297"/>
      <c r="G230" s="298"/>
      <c r="H230" s="297"/>
      <c r="I230" s="298"/>
      <c r="J230" s="298"/>
      <c r="K230" s="300"/>
    </row>
    <row r="231" ht="12.75">
      <c r="A231" s="297"/>
      <c r="B231" s="297"/>
      <c r="C231" s="297"/>
      <c r="D231" s="297"/>
      <c r="E231" s="297"/>
      <c r="F231" s="297"/>
      <c r="G231" s="298"/>
      <c r="H231" s="297"/>
      <c r="I231" s="298"/>
      <c r="J231" s="298"/>
      <c r="K231" s="300"/>
    </row>
    <row r="232" ht="12.75">
      <c r="A232" s="297"/>
      <c r="B232" s="297"/>
      <c r="C232" s="297"/>
      <c r="D232" s="297"/>
      <c r="E232" s="297"/>
      <c r="F232" s="297"/>
      <c r="G232" s="298"/>
      <c r="H232" s="297"/>
      <c r="I232" s="298"/>
      <c r="J232" s="298"/>
      <c r="K232" s="300"/>
    </row>
    <row r="233" ht="12.75">
      <c r="A233" s="297"/>
      <c r="B233" s="297"/>
      <c r="C233" s="297"/>
      <c r="D233" s="297"/>
      <c r="E233" s="297"/>
      <c r="F233" s="297"/>
      <c r="G233" s="298"/>
      <c r="H233" s="297"/>
      <c r="I233" s="298"/>
      <c r="J233" s="298"/>
      <c r="K233" s="300"/>
    </row>
    <row r="234" ht="12.75">
      <c r="A234" s="297"/>
      <c r="B234" s="297"/>
      <c r="C234" s="297"/>
      <c r="D234" s="297"/>
      <c r="E234" s="297"/>
      <c r="F234" s="297"/>
      <c r="G234" s="298"/>
      <c r="H234" s="297"/>
      <c r="I234" s="298"/>
      <c r="J234" s="298"/>
      <c r="K234" s="300"/>
    </row>
    <row r="235" ht="12.75">
      <c r="A235" s="297"/>
      <c r="B235" s="297"/>
      <c r="C235" s="297"/>
      <c r="D235" s="297"/>
      <c r="E235" s="297"/>
      <c r="F235" s="297"/>
      <c r="G235" s="298"/>
      <c r="H235" s="297"/>
      <c r="I235" s="298"/>
      <c r="J235" s="298"/>
      <c r="K235" s="300"/>
    </row>
    <row r="236" ht="12.75">
      <c r="A236" s="297"/>
      <c r="B236" s="297"/>
      <c r="C236" s="297"/>
      <c r="D236" s="297"/>
      <c r="E236" s="297"/>
      <c r="F236" s="297"/>
      <c r="G236" s="298"/>
      <c r="H236" s="297"/>
      <c r="I236" s="298"/>
      <c r="J236" s="298"/>
      <c r="K236" s="300"/>
    </row>
    <row r="237" ht="12.75">
      <c r="A237" s="297"/>
      <c r="B237" s="297"/>
      <c r="C237" s="297"/>
      <c r="D237" s="297"/>
      <c r="E237" s="297"/>
      <c r="F237" s="297"/>
      <c r="G237" s="298"/>
      <c r="H237" s="297"/>
      <c r="I237" s="298"/>
      <c r="J237" s="298"/>
      <c r="K237" s="300"/>
    </row>
    <row r="238" ht="12.75">
      <c r="A238" s="297"/>
      <c r="B238" s="297"/>
      <c r="C238" s="297"/>
      <c r="D238" s="297"/>
      <c r="E238" s="297"/>
      <c r="F238" s="297"/>
      <c r="G238" s="298"/>
      <c r="H238" s="297"/>
      <c r="I238" s="298"/>
      <c r="J238" s="298"/>
      <c r="K238" s="300"/>
    </row>
    <row r="239" ht="12.75">
      <c r="A239" s="297"/>
      <c r="B239" s="297"/>
      <c r="C239" s="297"/>
      <c r="D239" s="297"/>
      <c r="E239" s="297"/>
      <c r="F239" s="297"/>
      <c r="G239" s="298"/>
      <c r="H239" s="297"/>
      <c r="I239" s="298"/>
      <c r="J239" s="298"/>
      <c r="K239" s="300"/>
    </row>
    <row r="240" ht="12.75">
      <c r="A240" s="297"/>
      <c r="B240" s="297"/>
      <c r="C240" s="297"/>
      <c r="D240" s="297"/>
      <c r="E240" s="297"/>
      <c r="F240" s="297"/>
      <c r="G240" s="298"/>
      <c r="H240" s="297"/>
      <c r="I240" s="298"/>
      <c r="J240" s="298"/>
      <c r="K240" s="300"/>
    </row>
    <row r="241" ht="12.75">
      <c r="A241" s="297"/>
      <c r="B241" s="297"/>
      <c r="C241" s="297"/>
      <c r="D241" s="297"/>
      <c r="E241" s="297"/>
      <c r="F241" s="297"/>
      <c r="G241" s="298"/>
      <c r="H241" s="297"/>
      <c r="I241" s="298"/>
      <c r="J241" s="298"/>
      <c r="K241" s="300"/>
    </row>
    <row r="242" ht="12.75">
      <c r="A242" s="297"/>
      <c r="B242" s="297"/>
      <c r="C242" s="297"/>
      <c r="D242" s="297"/>
      <c r="E242" s="297"/>
      <c r="F242" s="297"/>
      <c r="G242" s="298"/>
      <c r="H242" s="297"/>
      <c r="I242" s="298"/>
      <c r="J242" s="298"/>
      <c r="K242" s="300"/>
    </row>
    <row r="243" ht="12.75">
      <c r="A243" s="297"/>
      <c r="B243" s="297"/>
      <c r="C243" s="297"/>
      <c r="D243" s="297"/>
      <c r="E243" s="297"/>
      <c r="F243" s="297"/>
      <c r="G243" s="298"/>
      <c r="H243" s="297"/>
      <c r="I243" s="298"/>
      <c r="J243" s="298"/>
      <c r="K243" s="300"/>
    </row>
    <row r="244" ht="12.75">
      <c r="A244" s="297"/>
      <c r="B244" s="297"/>
      <c r="C244" s="297"/>
      <c r="D244" s="297"/>
      <c r="E244" s="297"/>
      <c r="F244" s="297"/>
      <c r="G244" s="298"/>
      <c r="H244" s="297"/>
      <c r="I244" s="298"/>
      <c r="J244" s="298"/>
      <c r="K244" s="300"/>
    </row>
    <row r="245" ht="12.75">
      <c r="A245" s="297"/>
      <c r="B245" s="297"/>
      <c r="C245" s="297"/>
      <c r="D245" s="297"/>
      <c r="E245" s="297"/>
      <c r="F245" s="297"/>
      <c r="G245" s="298"/>
      <c r="H245" s="297"/>
      <c r="I245" s="298"/>
      <c r="J245" s="298"/>
      <c r="K245" s="300"/>
    </row>
    <row r="246" ht="12.75">
      <c r="A246" s="297"/>
      <c r="B246" s="297"/>
      <c r="C246" s="297"/>
      <c r="D246" s="297"/>
      <c r="E246" s="297"/>
      <c r="F246" s="297"/>
      <c r="G246" s="298"/>
      <c r="H246" s="297"/>
      <c r="I246" s="298"/>
      <c r="J246" s="298"/>
      <c r="K246" s="300"/>
    </row>
    <row r="247" ht="12.75">
      <c r="A247" s="297"/>
      <c r="B247" s="297"/>
      <c r="C247" s="297"/>
      <c r="D247" s="297"/>
      <c r="E247" s="297"/>
      <c r="F247" s="297"/>
      <c r="G247" s="298"/>
      <c r="H247" s="297"/>
      <c r="I247" s="298"/>
      <c r="J247" s="298"/>
      <c r="K247" s="300"/>
    </row>
    <row r="248" ht="12.75">
      <c r="A248" s="297"/>
      <c r="B248" s="297"/>
      <c r="C248" s="297"/>
      <c r="D248" s="297"/>
      <c r="E248" s="297"/>
      <c r="F248" s="297"/>
      <c r="G248" s="298"/>
      <c r="H248" s="297"/>
      <c r="I248" s="298"/>
      <c r="J248" s="298"/>
      <c r="K248" s="300"/>
    </row>
    <row r="249" ht="12.75">
      <c r="A249" s="297"/>
      <c r="B249" s="297"/>
      <c r="C249" s="297"/>
      <c r="D249" s="297"/>
      <c r="E249" s="297"/>
      <c r="F249" s="297"/>
      <c r="G249" s="298"/>
      <c r="H249" s="297"/>
      <c r="I249" s="298"/>
      <c r="J249" s="298"/>
      <c r="K249" s="300"/>
    </row>
    <row r="250" ht="12.75">
      <c r="A250" s="297"/>
      <c r="B250" s="297"/>
      <c r="C250" s="297"/>
      <c r="D250" s="297"/>
      <c r="E250" s="297"/>
      <c r="F250" s="297"/>
      <c r="G250" s="298"/>
      <c r="H250" s="297"/>
      <c r="I250" s="298"/>
      <c r="J250" s="298"/>
      <c r="K250" s="300"/>
    </row>
    <row r="251" ht="12.75">
      <c r="A251" s="297"/>
      <c r="B251" s="297"/>
      <c r="C251" s="297"/>
      <c r="D251" s="297"/>
      <c r="E251" s="297"/>
      <c r="F251" s="297"/>
      <c r="G251" s="298"/>
      <c r="H251" s="297"/>
      <c r="I251" s="298"/>
      <c r="J251" s="298"/>
      <c r="K251" s="300"/>
    </row>
    <row r="252" ht="12.75">
      <c r="A252" s="297"/>
      <c r="B252" s="297"/>
      <c r="C252" s="297"/>
      <c r="D252" s="297"/>
      <c r="E252" s="297"/>
      <c r="F252" s="297"/>
      <c r="G252" s="298"/>
      <c r="H252" s="297"/>
      <c r="I252" s="298"/>
      <c r="J252" s="298"/>
      <c r="K252" s="300"/>
    </row>
    <row r="253" ht="12.75">
      <c r="A253" s="297"/>
      <c r="B253" s="297"/>
      <c r="C253" s="297"/>
      <c r="D253" s="297"/>
      <c r="E253" s="297"/>
      <c r="F253" s="297"/>
      <c r="G253" s="298"/>
      <c r="H253" s="297"/>
      <c r="I253" s="298"/>
      <c r="J253" s="298"/>
      <c r="K253" s="300"/>
    </row>
    <row r="254" ht="12.75">
      <c r="A254" s="297"/>
      <c r="B254" s="297"/>
      <c r="C254" s="297"/>
      <c r="D254" s="297"/>
      <c r="E254" s="297"/>
      <c r="F254" s="297"/>
      <c r="G254" s="298"/>
      <c r="H254" s="297"/>
      <c r="I254" s="298"/>
      <c r="J254" s="298"/>
      <c r="K254" s="300"/>
    </row>
    <row r="255" ht="12.75">
      <c r="A255" s="297"/>
      <c r="B255" s="297"/>
      <c r="C255" s="297"/>
      <c r="D255" s="297"/>
      <c r="E255" s="297"/>
      <c r="F255" s="297"/>
      <c r="G255" s="298"/>
      <c r="H255" s="297"/>
      <c r="I255" s="298"/>
      <c r="J255" s="298"/>
      <c r="K255" s="300"/>
    </row>
    <row r="256" ht="12.75">
      <c r="A256" s="297"/>
      <c r="B256" s="297"/>
      <c r="C256" s="297"/>
      <c r="D256" s="297"/>
      <c r="E256" s="297"/>
      <c r="F256" s="297"/>
      <c r="G256" s="298"/>
      <c r="H256" s="297"/>
      <c r="I256" s="298"/>
      <c r="J256" s="298"/>
      <c r="K256" s="300"/>
    </row>
    <row r="257" ht="12.75">
      <c r="A257" s="297"/>
      <c r="B257" s="297"/>
      <c r="C257" s="297"/>
      <c r="D257" s="297"/>
      <c r="E257" s="297"/>
      <c r="F257" s="297"/>
      <c r="G257" s="298"/>
      <c r="H257" s="297"/>
      <c r="I257" s="298"/>
      <c r="J257" s="298"/>
      <c r="K257" s="300"/>
    </row>
    <row r="258" ht="12.75">
      <c r="A258" s="297"/>
      <c r="B258" s="297"/>
      <c r="C258" s="297"/>
      <c r="D258" s="297"/>
      <c r="E258" s="297"/>
      <c r="F258" s="297"/>
      <c r="G258" s="298"/>
      <c r="H258" s="297"/>
      <c r="I258" s="298"/>
      <c r="J258" s="298"/>
      <c r="K258" s="300"/>
    </row>
    <row r="259" ht="12.75">
      <c r="A259" s="297"/>
      <c r="B259" s="297"/>
      <c r="C259" s="297"/>
      <c r="D259" s="297"/>
      <c r="E259" s="297"/>
      <c r="F259" s="297"/>
      <c r="G259" s="298"/>
      <c r="H259" s="297"/>
      <c r="I259" s="298"/>
      <c r="J259" s="298"/>
      <c r="K259" s="300"/>
    </row>
    <row r="260" ht="12.75">
      <c r="A260" s="297"/>
      <c r="B260" s="297"/>
      <c r="C260" s="297"/>
      <c r="D260" s="297"/>
      <c r="E260" s="297"/>
      <c r="F260" s="297"/>
      <c r="G260" s="298"/>
      <c r="H260" s="297"/>
      <c r="I260" s="298"/>
      <c r="J260" s="298"/>
      <c r="K260" s="300"/>
    </row>
    <row r="261" ht="12.75">
      <c r="A261" s="297"/>
      <c r="B261" s="297"/>
      <c r="C261" s="297"/>
      <c r="D261" s="297"/>
      <c r="E261" s="297"/>
      <c r="F261" s="297"/>
      <c r="G261" s="298"/>
      <c r="H261" s="297"/>
      <c r="I261" s="298"/>
      <c r="J261" s="298"/>
      <c r="K261" s="300"/>
    </row>
    <row r="262" ht="12.75">
      <c r="A262" s="297"/>
      <c r="B262" s="297"/>
      <c r="C262" s="297"/>
      <c r="D262" s="297"/>
      <c r="E262" s="297"/>
      <c r="F262" s="297"/>
      <c r="G262" s="298"/>
      <c r="H262" s="297"/>
      <c r="I262" s="298"/>
      <c r="J262" s="298"/>
      <c r="K262" s="300"/>
    </row>
    <row r="263" ht="12.75">
      <c r="A263" s="297"/>
      <c r="B263" s="297"/>
      <c r="C263" s="297"/>
      <c r="D263" s="297"/>
      <c r="E263" s="297"/>
      <c r="F263" s="297"/>
      <c r="G263" s="298"/>
      <c r="H263" s="297"/>
      <c r="I263" s="298"/>
      <c r="J263" s="298"/>
      <c r="K263" s="300"/>
    </row>
    <row r="264" ht="12.75">
      <c r="A264" s="297"/>
      <c r="B264" s="297"/>
      <c r="C264" s="297"/>
      <c r="D264" s="297"/>
      <c r="E264" s="297"/>
      <c r="F264" s="297"/>
      <c r="G264" s="298"/>
      <c r="H264" s="297"/>
      <c r="I264" s="298"/>
      <c r="J264" s="298"/>
      <c r="K264" s="300"/>
    </row>
    <row r="265" ht="12.75">
      <c r="A265" s="297"/>
      <c r="B265" s="297"/>
      <c r="C265" s="297"/>
      <c r="D265" s="297"/>
      <c r="E265" s="297"/>
      <c r="F265" s="297"/>
      <c r="G265" s="298"/>
      <c r="H265" s="297"/>
      <c r="I265" s="298"/>
      <c r="J265" s="298"/>
      <c r="K265" s="300"/>
    </row>
    <row r="266" ht="12.75">
      <c r="A266" s="297"/>
      <c r="B266" s="297"/>
      <c r="C266" s="297"/>
      <c r="D266" s="297"/>
      <c r="E266" s="297"/>
      <c r="F266" s="297"/>
      <c r="G266" s="298"/>
      <c r="H266" s="297"/>
      <c r="I266" s="298"/>
      <c r="J266" s="298"/>
      <c r="K266" s="300"/>
    </row>
    <row r="267" ht="12.75">
      <c r="A267" s="297"/>
      <c r="B267" s="297"/>
      <c r="C267" s="297"/>
      <c r="D267" s="297"/>
      <c r="E267" s="297"/>
      <c r="F267" s="297"/>
      <c r="G267" s="298"/>
      <c r="H267" s="297"/>
      <c r="I267" s="298"/>
      <c r="J267" s="298"/>
      <c r="K267" s="300"/>
    </row>
    <row r="268" ht="12.75">
      <c r="A268" s="297"/>
      <c r="B268" s="297"/>
      <c r="C268" s="297"/>
      <c r="D268" s="297"/>
      <c r="E268" s="297"/>
      <c r="F268" s="297"/>
      <c r="G268" s="298"/>
      <c r="H268" s="297"/>
      <c r="I268" s="298"/>
      <c r="J268" s="298"/>
      <c r="K268" s="300"/>
    </row>
    <row r="269" ht="12.75">
      <c r="A269" s="297"/>
      <c r="B269" s="297"/>
      <c r="C269" s="297"/>
      <c r="D269" s="297"/>
      <c r="E269" s="297"/>
      <c r="F269" s="297"/>
      <c r="G269" s="298"/>
      <c r="H269" s="297"/>
      <c r="I269" s="298"/>
      <c r="J269" s="298"/>
      <c r="K269" s="300"/>
    </row>
    <row r="270" ht="12.75">
      <c r="A270" s="297"/>
      <c r="B270" s="297"/>
      <c r="C270" s="297"/>
      <c r="D270" s="297"/>
      <c r="E270" s="297"/>
      <c r="F270" s="297"/>
      <c r="G270" s="298"/>
      <c r="H270" s="297"/>
      <c r="I270" s="298"/>
      <c r="J270" s="298"/>
      <c r="K270" s="300"/>
    </row>
    <row r="271" ht="12.75">
      <c r="A271" s="297"/>
      <c r="B271" s="297"/>
      <c r="C271" s="297"/>
      <c r="D271" s="297"/>
      <c r="E271" s="297"/>
      <c r="F271" s="297"/>
      <c r="G271" s="298"/>
      <c r="H271" s="297"/>
      <c r="I271" s="298"/>
      <c r="J271" s="298"/>
      <c r="K271" s="300"/>
    </row>
    <row r="272" ht="12.75">
      <c r="A272" s="297"/>
      <c r="B272" s="297"/>
      <c r="C272" s="297"/>
      <c r="D272" s="297"/>
      <c r="E272" s="297"/>
      <c r="F272" s="297"/>
      <c r="G272" s="298"/>
      <c r="H272" s="297"/>
      <c r="I272" s="298"/>
      <c r="J272" s="298"/>
      <c r="K272" s="300"/>
    </row>
    <row r="273" ht="12.75">
      <c r="A273" s="297"/>
      <c r="B273" s="297"/>
      <c r="C273" s="297"/>
      <c r="D273" s="297"/>
      <c r="E273" s="297"/>
      <c r="F273" s="297"/>
      <c r="G273" s="298"/>
      <c r="H273" s="297"/>
      <c r="I273" s="298"/>
      <c r="J273" s="298"/>
      <c r="K273" s="300"/>
    </row>
    <row r="274" ht="12.75">
      <c r="A274" s="297"/>
      <c r="B274" s="297"/>
      <c r="C274" s="297"/>
      <c r="D274" s="297"/>
      <c r="E274" s="297"/>
      <c r="F274" s="297"/>
      <c r="G274" s="298"/>
      <c r="H274" s="297"/>
      <c r="I274" s="298"/>
      <c r="J274" s="298"/>
      <c r="K274" s="300"/>
    </row>
    <row r="275" ht="12.75">
      <c r="A275" s="297"/>
      <c r="B275" s="297"/>
      <c r="C275" s="297"/>
      <c r="D275" s="297"/>
      <c r="E275" s="297"/>
      <c r="F275" s="297"/>
      <c r="G275" s="298"/>
      <c r="H275" s="297"/>
      <c r="I275" s="298"/>
      <c r="J275" s="298"/>
      <c r="K275" s="300"/>
    </row>
    <row r="276" ht="12.75">
      <c r="A276" s="297"/>
      <c r="B276" s="297"/>
      <c r="C276" s="297"/>
      <c r="D276" s="297"/>
      <c r="E276" s="297"/>
      <c r="F276" s="297"/>
      <c r="G276" s="298"/>
      <c r="H276" s="297"/>
      <c r="I276" s="298"/>
      <c r="J276" s="298"/>
      <c r="K276" s="300"/>
    </row>
    <row r="277" ht="12.75">
      <c r="A277" s="297"/>
      <c r="B277" s="297"/>
      <c r="C277" s="297"/>
      <c r="D277" s="297"/>
      <c r="E277" s="297"/>
      <c r="F277" s="297"/>
      <c r="G277" s="298"/>
      <c r="H277" s="297"/>
      <c r="I277" s="298"/>
      <c r="J277" s="298"/>
      <c r="K277" s="300"/>
    </row>
    <row r="278" ht="12.75">
      <c r="A278" s="297"/>
      <c r="B278" s="297"/>
      <c r="C278" s="297"/>
      <c r="D278" s="297"/>
      <c r="E278" s="297"/>
      <c r="F278" s="297"/>
      <c r="G278" s="298"/>
      <c r="H278" s="297"/>
      <c r="I278" s="298"/>
      <c r="J278" s="298"/>
      <c r="K278" s="300"/>
    </row>
    <row r="279" ht="12.75">
      <c r="A279" s="297"/>
      <c r="B279" s="297"/>
      <c r="C279" s="297"/>
      <c r="D279" s="297"/>
      <c r="E279" s="297"/>
      <c r="F279" s="297"/>
      <c r="G279" s="298"/>
      <c r="H279" s="297"/>
      <c r="I279" s="298"/>
      <c r="J279" s="298"/>
      <c r="K279" s="300"/>
    </row>
    <row r="280" ht="12.75">
      <c r="A280" s="297"/>
      <c r="B280" s="297"/>
      <c r="C280" s="297"/>
      <c r="D280" s="297"/>
      <c r="E280" s="297"/>
      <c r="F280" s="297"/>
      <c r="G280" s="298"/>
      <c r="H280" s="297"/>
      <c r="I280" s="298"/>
      <c r="J280" s="298"/>
      <c r="K280" s="300"/>
    </row>
    <row r="281" ht="12.75">
      <c r="A281" s="297"/>
      <c r="B281" s="297"/>
      <c r="C281" s="297"/>
      <c r="D281" s="297"/>
      <c r="E281" s="297"/>
      <c r="F281" s="297"/>
      <c r="G281" s="298"/>
      <c r="H281" s="297"/>
      <c r="I281" s="298"/>
      <c r="J281" s="298"/>
      <c r="K281" s="300"/>
    </row>
    <row r="282" ht="12.75">
      <c r="A282" s="297"/>
      <c r="B282" s="297"/>
      <c r="C282" s="297"/>
      <c r="D282" s="297"/>
      <c r="E282" s="297"/>
      <c r="F282" s="297"/>
      <c r="G282" s="298"/>
      <c r="H282" s="297"/>
      <c r="I282" s="298"/>
      <c r="J282" s="298"/>
      <c r="K282" s="300"/>
    </row>
    <row r="283" ht="12.75">
      <c r="A283" s="297"/>
      <c r="B283" s="297"/>
      <c r="C283" s="297"/>
      <c r="D283" s="297"/>
      <c r="E283" s="297"/>
      <c r="F283" s="297"/>
      <c r="G283" s="298"/>
      <c r="H283" s="297"/>
      <c r="I283" s="298"/>
      <c r="J283" s="298"/>
      <c r="K283" s="300"/>
    </row>
    <row r="284" ht="12.75">
      <c r="A284" s="297"/>
      <c r="B284" s="297"/>
      <c r="C284" s="297"/>
      <c r="D284" s="297"/>
      <c r="E284" s="297"/>
      <c r="F284" s="297"/>
      <c r="G284" s="298"/>
      <c r="H284" s="297"/>
      <c r="I284" s="298"/>
      <c r="J284" s="298"/>
      <c r="K284" s="300"/>
    </row>
    <row r="285" ht="12.75">
      <c r="A285" s="297"/>
      <c r="B285" s="297"/>
      <c r="C285" s="297"/>
      <c r="D285" s="297"/>
      <c r="E285" s="297"/>
      <c r="F285" s="297"/>
      <c r="G285" s="298"/>
      <c r="H285" s="297"/>
      <c r="I285" s="298"/>
      <c r="J285" s="298"/>
      <c r="K285" s="300"/>
    </row>
    <row r="286" ht="12.75">
      <c r="A286" s="297"/>
      <c r="B286" s="297"/>
      <c r="C286" s="297"/>
      <c r="D286" s="297"/>
      <c r="E286" s="297"/>
      <c r="F286" s="297"/>
      <c r="G286" s="298"/>
      <c r="H286" s="297"/>
      <c r="I286" s="298"/>
      <c r="J286" s="298"/>
      <c r="K286" s="300"/>
    </row>
    <row r="287" ht="12.75">
      <c r="A287" s="297"/>
      <c r="B287" s="297"/>
      <c r="C287" s="297"/>
      <c r="D287" s="297"/>
      <c r="E287" s="297"/>
      <c r="F287" s="297"/>
      <c r="G287" s="298"/>
      <c r="H287" s="297"/>
      <c r="I287" s="298"/>
      <c r="J287" s="298"/>
      <c r="K287" s="300"/>
    </row>
    <row r="288" ht="12.75">
      <c r="A288" s="297"/>
      <c r="B288" s="297"/>
      <c r="C288" s="297"/>
      <c r="D288" s="297"/>
      <c r="E288" s="297"/>
      <c r="F288" s="297"/>
      <c r="G288" s="298"/>
      <c r="H288" s="297"/>
      <c r="I288" s="298"/>
      <c r="J288" s="298"/>
      <c r="K288" s="300"/>
    </row>
    <row r="289" ht="12.75">
      <c r="A289" s="297"/>
      <c r="B289" s="297"/>
      <c r="C289" s="297"/>
      <c r="D289" s="297"/>
      <c r="E289" s="297"/>
      <c r="F289" s="297"/>
      <c r="G289" s="298"/>
      <c r="H289" s="297"/>
      <c r="I289" s="298"/>
      <c r="J289" s="298"/>
      <c r="K289" s="300"/>
    </row>
    <row r="290" ht="12.75">
      <c r="A290" s="297"/>
      <c r="B290" s="297"/>
      <c r="C290" s="297"/>
      <c r="D290" s="297"/>
      <c r="E290" s="297"/>
      <c r="F290" s="297"/>
      <c r="G290" s="298"/>
      <c r="H290" s="297"/>
      <c r="I290" s="298"/>
      <c r="J290" s="298"/>
      <c r="K290" s="300"/>
    </row>
    <row r="291" ht="12.75">
      <c r="A291" s="297"/>
      <c r="B291" s="297"/>
      <c r="C291" s="297"/>
      <c r="D291" s="297"/>
      <c r="E291" s="297"/>
      <c r="F291" s="297"/>
      <c r="G291" s="298"/>
      <c r="H291" s="297"/>
      <c r="I291" s="298"/>
      <c r="J291" s="298"/>
      <c r="K291" s="300"/>
    </row>
    <row r="292" ht="12.75">
      <c r="A292" s="297"/>
      <c r="B292" s="297"/>
      <c r="C292" s="297"/>
      <c r="D292" s="297"/>
      <c r="E292" s="297"/>
      <c r="F292" s="297"/>
      <c r="G292" s="298"/>
      <c r="H292" s="297"/>
      <c r="I292" s="298"/>
      <c r="J292" s="298"/>
      <c r="K292" s="300"/>
    </row>
    <row r="293" ht="12.75">
      <c r="A293" s="297"/>
      <c r="B293" s="297"/>
      <c r="C293" s="297"/>
      <c r="D293" s="297"/>
      <c r="E293" s="297"/>
      <c r="F293" s="297"/>
      <c r="G293" s="298"/>
      <c r="H293" s="297"/>
      <c r="I293" s="298"/>
      <c r="J293" s="298"/>
      <c r="K293" s="300"/>
    </row>
    <row r="294" ht="12.75">
      <c r="A294" s="297"/>
      <c r="B294" s="297"/>
      <c r="C294" s="297"/>
      <c r="D294" s="297"/>
      <c r="E294" s="297"/>
      <c r="F294" s="297"/>
      <c r="G294" s="298"/>
      <c r="H294" s="297"/>
      <c r="I294" s="298"/>
      <c r="J294" s="298"/>
      <c r="K294" s="300"/>
    </row>
    <row r="295" ht="12.75">
      <c r="A295" s="297"/>
      <c r="B295" s="297"/>
      <c r="C295" s="297"/>
      <c r="D295" s="297"/>
      <c r="E295" s="297"/>
      <c r="F295" s="297"/>
      <c r="G295" s="298"/>
      <c r="H295" s="297"/>
      <c r="I295" s="298"/>
      <c r="J295" s="298"/>
      <c r="K295" s="300"/>
    </row>
    <row r="296" ht="12.75">
      <c r="A296" s="297"/>
      <c r="B296" s="297"/>
      <c r="C296" s="297"/>
      <c r="D296" s="297"/>
      <c r="E296" s="297"/>
      <c r="F296" s="297"/>
      <c r="G296" s="298"/>
      <c r="H296" s="297"/>
      <c r="I296" s="298"/>
      <c r="J296" s="298"/>
      <c r="K296" s="300"/>
    </row>
    <row r="297" ht="12.75">
      <c r="A297" s="297"/>
      <c r="B297" s="297"/>
      <c r="C297" s="297"/>
      <c r="D297" s="297"/>
      <c r="E297" s="297"/>
      <c r="F297" s="297"/>
      <c r="G297" s="298"/>
      <c r="H297" s="297"/>
      <c r="I297" s="298"/>
      <c r="J297" s="298"/>
      <c r="K297" s="300"/>
    </row>
    <row r="298" ht="12.75">
      <c r="A298" s="297"/>
      <c r="B298" s="297"/>
      <c r="C298" s="297"/>
      <c r="D298" s="297"/>
      <c r="E298" s="297"/>
      <c r="F298" s="297"/>
      <c r="G298" s="298"/>
      <c r="H298" s="297"/>
      <c r="I298" s="298"/>
      <c r="J298" s="298"/>
      <c r="K298" s="300"/>
    </row>
    <row r="299" ht="12.75">
      <c r="A299" s="297"/>
      <c r="B299" s="297"/>
      <c r="C299" s="297"/>
      <c r="D299" s="297"/>
      <c r="E299" s="297"/>
      <c r="F299" s="297"/>
      <c r="G299" s="298"/>
      <c r="H299" s="297"/>
      <c r="I299" s="298"/>
      <c r="J299" s="298"/>
      <c r="K299" s="300"/>
    </row>
    <row r="300" ht="12.75">
      <c r="A300" s="297"/>
      <c r="B300" s="297"/>
      <c r="C300" s="297"/>
      <c r="D300" s="297"/>
      <c r="E300" s="297"/>
      <c r="F300" s="297"/>
      <c r="G300" s="298"/>
      <c r="H300" s="297"/>
      <c r="I300" s="298"/>
      <c r="J300" s="298"/>
      <c r="K300" s="300"/>
    </row>
    <row r="301" ht="12.75">
      <c r="A301" s="297"/>
      <c r="B301" s="297"/>
      <c r="C301" s="297"/>
      <c r="D301" s="297"/>
      <c r="E301" s="297"/>
      <c r="F301" s="297"/>
      <c r="G301" s="298"/>
      <c r="H301" s="297"/>
      <c r="I301" s="298"/>
      <c r="J301" s="298"/>
      <c r="K301" s="300"/>
    </row>
    <row r="302" ht="12.75">
      <c r="A302" s="297"/>
      <c r="B302" s="297"/>
      <c r="C302" s="297"/>
      <c r="D302" s="297"/>
      <c r="E302" s="297"/>
      <c r="F302" s="297"/>
      <c r="G302" s="298"/>
      <c r="H302" s="297"/>
      <c r="I302" s="298"/>
      <c r="J302" s="298"/>
      <c r="K302" s="300"/>
    </row>
    <row r="303" ht="12.75">
      <c r="A303" s="297"/>
      <c r="B303" s="297"/>
      <c r="C303" s="297"/>
      <c r="D303" s="297"/>
      <c r="E303" s="297"/>
      <c r="F303" s="297"/>
      <c r="G303" s="298"/>
      <c r="H303" s="297"/>
      <c r="I303" s="298"/>
      <c r="J303" s="298"/>
      <c r="K303" s="300"/>
    </row>
    <row r="304" ht="12.75">
      <c r="A304" s="297"/>
      <c r="B304" s="297"/>
      <c r="C304" s="297"/>
      <c r="D304" s="297"/>
      <c r="E304" s="297"/>
      <c r="F304" s="297"/>
      <c r="G304" s="298"/>
      <c r="H304" s="297"/>
      <c r="I304" s="298"/>
      <c r="J304" s="298"/>
      <c r="K304" s="300"/>
    </row>
    <row r="305" ht="12.75">
      <c r="A305" s="297"/>
      <c r="B305" s="297"/>
      <c r="C305" s="297"/>
      <c r="D305" s="297"/>
      <c r="E305" s="297"/>
      <c r="F305" s="297"/>
      <c r="G305" s="298"/>
      <c r="H305" s="297"/>
      <c r="I305" s="298"/>
      <c r="J305" s="298"/>
      <c r="K305" s="300"/>
    </row>
    <row r="306" ht="12.75">
      <c r="A306" s="297"/>
      <c r="B306" s="297"/>
      <c r="C306" s="297"/>
      <c r="D306" s="297"/>
      <c r="E306" s="297"/>
      <c r="F306" s="297"/>
      <c r="G306" s="298"/>
      <c r="H306" s="297"/>
      <c r="I306" s="298"/>
      <c r="J306" s="298"/>
      <c r="K306" s="300"/>
    </row>
    <row r="307" ht="12.75">
      <c r="A307" s="297"/>
      <c r="B307" s="297"/>
      <c r="C307" s="297"/>
      <c r="D307" s="297"/>
      <c r="E307" s="297"/>
      <c r="F307" s="297"/>
      <c r="G307" s="298"/>
      <c r="H307" s="297"/>
      <c r="I307" s="298"/>
      <c r="J307" s="298"/>
      <c r="K307" s="300"/>
    </row>
    <row r="308" ht="12.75">
      <c r="A308" s="297"/>
      <c r="B308" s="297"/>
      <c r="C308" s="297"/>
      <c r="D308" s="297"/>
      <c r="E308" s="297"/>
      <c r="F308" s="297"/>
      <c r="G308" s="298"/>
      <c r="H308" s="297"/>
      <c r="I308" s="298"/>
      <c r="J308" s="298"/>
      <c r="K308" s="300"/>
    </row>
    <row r="309" ht="12.75">
      <c r="A309" s="297"/>
      <c r="B309" s="297"/>
      <c r="C309" s="297"/>
      <c r="D309" s="297"/>
      <c r="E309" s="297"/>
      <c r="F309" s="297"/>
      <c r="G309" s="298"/>
      <c r="H309" s="297"/>
      <c r="I309" s="298"/>
      <c r="J309" s="298"/>
      <c r="K309" s="300"/>
    </row>
    <row r="310" ht="12.75">
      <c r="A310" s="297"/>
      <c r="B310" s="297"/>
      <c r="C310" s="297"/>
      <c r="D310" s="297"/>
      <c r="E310" s="297"/>
      <c r="F310" s="297"/>
      <c r="G310" s="298"/>
      <c r="H310" s="297"/>
      <c r="I310" s="298"/>
      <c r="J310" s="298"/>
      <c r="K310" s="300"/>
    </row>
    <row r="311" ht="12.75">
      <c r="A311" s="297"/>
      <c r="B311" s="297"/>
      <c r="C311" s="297"/>
      <c r="D311" s="297"/>
      <c r="E311" s="297"/>
      <c r="F311" s="297"/>
      <c r="G311" s="298"/>
      <c r="H311" s="297"/>
      <c r="I311" s="298"/>
      <c r="J311" s="298"/>
      <c r="K311" s="300"/>
    </row>
    <row r="312" ht="12.75">
      <c r="A312" s="297"/>
      <c r="B312" s="297"/>
      <c r="C312" s="297"/>
      <c r="D312" s="297"/>
      <c r="E312" s="297"/>
      <c r="F312" s="297"/>
      <c r="G312" s="298"/>
      <c r="H312" s="297"/>
      <c r="I312" s="298"/>
      <c r="J312" s="298"/>
      <c r="K312" s="300"/>
    </row>
    <row r="313" ht="12.75">
      <c r="A313" s="297"/>
      <c r="B313" s="297"/>
      <c r="C313" s="297"/>
      <c r="D313" s="297"/>
      <c r="E313" s="297"/>
      <c r="F313" s="297"/>
      <c r="G313" s="298"/>
      <c r="H313" s="297"/>
      <c r="I313" s="298"/>
      <c r="J313" s="298"/>
      <c r="K313" s="300"/>
    </row>
    <row r="314" ht="12.75">
      <c r="A314" s="297"/>
      <c r="B314" s="297"/>
      <c r="C314" s="297"/>
      <c r="D314" s="297"/>
      <c r="E314" s="297"/>
      <c r="F314" s="297"/>
      <c r="G314" s="298"/>
      <c r="H314" s="297"/>
      <c r="I314" s="298"/>
      <c r="J314" s="298"/>
      <c r="K314" s="300"/>
    </row>
    <row r="315" ht="12.75">
      <c r="A315" s="297"/>
      <c r="B315" s="297"/>
      <c r="C315" s="297"/>
      <c r="D315" s="297"/>
      <c r="E315" s="297"/>
      <c r="F315" s="297"/>
      <c r="G315" s="298"/>
      <c r="H315" s="297"/>
      <c r="I315" s="298"/>
      <c r="J315" s="298"/>
      <c r="K315" s="300"/>
    </row>
    <row r="316" ht="12.75">
      <c r="A316" s="297"/>
      <c r="B316" s="297"/>
      <c r="C316" s="297"/>
      <c r="D316" s="297"/>
      <c r="E316" s="297"/>
      <c r="F316" s="297"/>
      <c r="G316" s="298"/>
      <c r="H316" s="297"/>
      <c r="I316" s="298"/>
      <c r="J316" s="298"/>
      <c r="K316" s="300"/>
    </row>
    <row r="317" ht="12.75">
      <c r="A317" s="297"/>
      <c r="B317" s="297"/>
      <c r="C317" s="297"/>
      <c r="D317" s="297"/>
      <c r="E317" s="297"/>
      <c r="F317" s="297"/>
      <c r="G317" s="298"/>
      <c r="H317" s="297"/>
      <c r="I317" s="298"/>
      <c r="J317" s="298"/>
      <c r="K317" s="300"/>
    </row>
    <row r="318" ht="12.75">
      <c r="A318" s="297"/>
      <c r="B318" s="297"/>
      <c r="C318" s="297"/>
      <c r="D318" s="297"/>
      <c r="E318" s="297"/>
      <c r="F318" s="297"/>
      <c r="G318" s="298"/>
      <c r="H318" s="297"/>
      <c r="I318" s="298"/>
      <c r="J318" s="298"/>
      <c r="K318" s="300"/>
    </row>
    <row r="319" ht="12.75">
      <c r="A319" s="297"/>
      <c r="B319" s="297"/>
      <c r="C319" s="297"/>
      <c r="D319" s="297"/>
      <c r="E319" s="297"/>
      <c r="F319" s="297"/>
      <c r="G319" s="298"/>
      <c r="H319" s="297"/>
      <c r="I319" s="298"/>
      <c r="J319" s="298"/>
      <c r="K319" s="300"/>
    </row>
    <row r="320" ht="12.75">
      <c r="A320" s="297"/>
      <c r="B320" s="297"/>
      <c r="C320" s="297"/>
      <c r="D320" s="297"/>
      <c r="E320" s="297"/>
      <c r="F320" s="297"/>
      <c r="G320" s="298"/>
      <c r="H320" s="297"/>
      <c r="I320" s="298"/>
      <c r="J320" s="298"/>
      <c r="K320" s="300"/>
    </row>
    <row r="321" ht="12.75">
      <c r="A321" s="297"/>
      <c r="B321" s="297"/>
      <c r="C321" s="297"/>
      <c r="D321" s="297"/>
      <c r="E321" s="297"/>
      <c r="F321" s="297"/>
      <c r="G321" s="298"/>
      <c r="H321" s="297"/>
      <c r="I321" s="298"/>
      <c r="J321" s="298"/>
      <c r="K321" s="300"/>
    </row>
    <row r="322" ht="12.75">
      <c r="A322" s="297"/>
      <c r="B322" s="297"/>
      <c r="C322" s="297"/>
      <c r="D322" s="297"/>
      <c r="E322" s="297"/>
      <c r="F322" s="297"/>
      <c r="G322" s="298"/>
      <c r="H322" s="297"/>
      <c r="I322" s="298"/>
      <c r="J322" s="298"/>
      <c r="K322" s="300"/>
    </row>
    <row r="323" ht="12.75">
      <c r="A323" s="297"/>
      <c r="B323" s="297"/>
      <c r="C323" s="297"/>
      <c r="D323" s="297"/>
      <c r="E323" s="297"/>
      <c r="F323" s="297"/>
      <c r="G323" s="298"/>
      <c r="H323" s="297"/>
      <c r="I323" s="298"/>
      <c r="J323" s="298"/>
      <c r="K323" s="300"/>
    </row>
    <row r="324" ht="12.75">
      <c r="A324" s="297"/>
      <c r="B324" s="297"/>
      <c r="C324" s="297"/>
      <c r="D324" s="297"/>
      <c r="E324" s="297"/>
      <c r="F324" s="297"/>
      <c r="G324" s="298"/>
      <c r="H324" s="297"/>
      <c r="I324" s="298"/>
      <c r="J324" s="298"/>
      <c r="K324" s="300"/>
    </row>
    <row r="325" ht="12.75">
      <c r="A325" s="297"/>
      <c r="B325" s="297"/>
      <c r="C325" s="297"/>
      <c r="D325" s="297"/>
      <c r="E325" s="297"/>
      <c r="F325" s="297"/>
      <c r="G325" s="298"/>
      <c r="H325" s="297"/>
      <c r="I325" s="298"/>
      <c r="J325" s="298"/>
      <c r="K325" s="300"/>
    </row>
    <row r="326" ht="12.75">
      <c r="A326" s="297"/>
      <c r="B326" s="297"/>
      <c r="C326" s="297"/>
      <c r="D326" s="297"/>
      <c r="E326" s="297"/>
      <c r="F326" s="297"/>
      <c r="G326" s="298"/>
      <c r="H326" s="297"/>
      <c r="I326" s="298"/>
      <c r="J326" s="298"/>
      <c r="K326" s="300"/>
    </row>
    <row r="327" ht="12.75">
      <c r="A327" s="297"/>
      <c r="B327" s="297"/>
      <c r="C327" s="297"/>
      <c r="D327" s="297"/>
      <c r="E327" s="297"/>
      <c r="F327" s="297"/>
      <c r="G327" s="298"/>
      <c r="H327" s="297"/>
      <c r="I327" s="298"/>
      <c r="J327" s="298"/>
      <c r="K327" s="300"/>
    </row>
    <row r="328" ht="12.75">
      <c r="A328" s="297"/>
      <c r="B328" s="297"/>
      <c r="C328" s="297"/>
      <c r="D328" s="297"/>
      <c r="E328" s="297"/>
      <c r="F328" s="297"/>
      <c r="G328" s="298"/>
      <c r="H328" s="297"/>
      <c r="I328" s="298"/>
      <c r="J328" s="298"/>
      <c r="K328" s="300"/>
    </row>
    <row r="329" ht="12.75">
      <c r="A329" s="297"/>
      <c r="B329" s="297"/>
      <c r="C329" s="297"/>
      <c r="D329" s="297"/>
      <c r="E329" s="297"/>
      <c r="F329" s="297"/>
      <c r="G329" s="298"/>
      <c r="H329" s="297"/>
      <c r="I329" s="298"/>
      <c r="J329" s="298"/>
      <c r="K329" s="300"/>
    </row>
    <row r="330" ht="12.75">
      <c r="A330" s="297"/>
      <c r="B330" s="297"/>
      <c r="C330" s="297"/>
      <c r="D330" s="297"/>
      <c r="E330" s="297"/>
      <c r="F330" s="297"/>
      <c r="G330" s="298"/>
      <c r="H330" s="297"/>
      <c r="I330" s="298"/>
      <c r="J330" s="298"/>
      <c r="K330" s="300"/>
    </row>
    <row r="331" ht="12.75">
      <c r="A331" s="297"/>
      <c r="B331" s="297"/>
      <c r="C331" s="297"/>
      <c r="D331" s="297"/>
      <c r="E331" s="297"/>
      <c r="F331" s="297"/>
      <c r="G331" s="298"/>
      <c r="H331" s="297"/>
      <c r="I331" s="298"/>
      <c r="J331" s="298"/>
      <c r="K331" s="300"/>
    </row>
    <row r="332" ht="12.75">
      <c r="A332" s="297"/>
      <c r="B332" s="297"/>
      <c r="C332" s="297"/>
      <c r="D332" s="297"/>
      <c r="E332" s="297"/>
      <c r="F332" s="297"/>
      <c r="G332" s="298"/>
      <c r="H332" s="297"/>
      <c r="I332" s="298"/>
      <c r="J332" s="298"/>
      <c r="K332" s="300"/>
    </row>
    <row r="333" ht="12.75">
      <c r="A333" s="297"/>
      <c r="B333" s="297"/>
      <c r="C333" s="297"/>
      <c r="D333" s="297"/>
      <c r="E333" s="297"/>
      <c r="F333" s="297"/>
      <c r="G333" s="298"/>
      <c r="H333" s="297"/>
      <c r="I333" s="298"/>
      <c r="J333" s="298"/>
      <c r="K333" s="300"/>
    </row>
    <row r="334" ht="12.75">
      <c r="A334" s="297"/>
      <c r="B334" s="297"/>
      <c r="C334" s="297"/>
      <c r="D334" s="297"/>
      <c r="E334" s="297"/>
      <c r="F334" s="297"/>
      <c r="G334" s="298"/>
      <c r="H334" s="297"/>
      <c r="I334" s="298"/>
      <c r="J334" s="298"/>
      <c r="K334" s="300"/>
    </row>
    <row r="335" ht="12.75">
      <c r="A335" s="297"/>
      <c r="B335" s="297"/>
      <c r="C335" s="297"/>
      <c r="D335" s="297"/>
      <c r="E335" s="297"/>
      <c r="F335" s="297"/>
      <c r="G335" s="298"/>
      <c r="H335" s="297"/>
      <c r="I335" s="298"/>
      <c r="J335" s="298"/>
      <c r="K335" s="300"/>
    </row>
    <row r="336" ht="12.75">
      <c r="A336" s="297"/>
      <c r="B336" s="297"/>
      <c r="C336" s="297"/>
      <c r="D336" s="297"/>
      <c r="E336" s="297"/>
      <c r="F336" s="297"/>
      <c r="G336" s="298"/>
      <c r="H336" s="297"/>
      <c r="I336" s="298"/>
      <c r="J336" s="298"/>
      <c r="K336" s="300"/>
    </row>
    <row r="337" ht="12.75">
      <c r="A337" s="297"/>
      <c r="B337" s="297"/>
      <c r="C337" s="297"/>
      <c r="D337" s="297"/>
      <c r="E337" s="297"/>
      <c r="F337" s="297"/>
      <c r="G337" s="298"/>
      <c r="H337" s="297"/>
      <c r="I337" s="298"/>
      <c r="J337" s="298"/>
      <c r="K337" s="300"/>
    </row>
    <row r="338" ht="12.75">
      <c r="A338" s="297"/>
      <c r="B338" s="297"/>
      <c r="C338" s="297"/>
      <c r="D338" s="297"/>
      <c r="E338" s="297"/>
      <c r="F338" s="297"/>
      <c r="G338" s="298"/>
      <c r="H338" s="297"/>
      <c r="I338" s="298"/>
      <c r="J338" s="298"/>
      <c r="K338" s="300"/>
    </row>
    <row r="339" ht="12.75">
      <c r="A339" s="297"/>
      <c r="B339" s="297"/>
      <c r="C339" s="297"/>
      <c r="D339" s="297"/>
      <c r="E339" s="297"/>
      <c r="F339" s="297"/>
      <c r="G339" s="298"/>
      <c r="H339" s="297"/>
      <c r="I339" s="298"/>
      <c r="J339" s="298"/>
      <c r="K339" s="300"/>
    </row>
    <row r="340" ht="12.75">
      <c r="A340" s="297"/>
      <c r="B340" s="297"/>
      <c r="C340" s="297"/>
      <c r="D340" s="297"/>
      <c r="E340" s="297"/>
      <c r="F340" s="297"/>
      <c r="G340" s="298"/>
      <c r="H340" s="297"/>
      <c r="I340" s="298"/>
      <c r="J340" s="298"/>
      <c r="K340" s="300"/>
    </row>
    <row r="341" ht="12.75">
      <c r="A341" s="297"/>
      <c r="B341" s="297"/>
      <c r="C341" s="297"/>
      <c r="D341" s="297"/>
      <c r="E341" s="297"/>
      <c r="F341" s="297"/>
      <c r="G341" s="298"/>
      <c r="H341" s="297"/>
      <c r="I341" s="298"/>
      <c r="J341" s="298"/>
      <c r="K341" s="300"/>
    </row>
    <row r="342" ht="12.75">
      <c r="A342" s="297"/>
      <c r="B342" s="297"/>
      <c r="C342" s="297"/>
      <c r="D342" s="297"/>
      <c r="E342" s="297"/>
      <c r="F342" s="297"/>
      <c r="G342" s="298"/>
      <c r="H342" s="297"/>
      <c r="I342" s="298"/>
      <c r="J342" s="298"/>
      <c r="K342" s="300"/>
    </row>
    <row r="343" ht="12.75">
      <c r="A343" s="297"/>
      <c r="B343" s="297"/>
      <c r="C343" s="297"/>
      <c r="D343" s="297"/>
      <c r="E343" s="297"/>
      <c r="F343" s="297"/>
      <c r="G343" s="298"/>
      <c r="H343" s="297"/>
      <c r="I343" s="298"/>
      <c r="J343" s="298"/>
      <c r="K343" s="300"/>
    </row>
    <row r="344" ht="12.75">
      <c r="A344" s="297"/>
      <c r="B344" s="297"/>
      <c r="C344" s="297"/>
      <c r="D344" s="297"/>
      <c r="E344" s="297"/>
      <c r="F344" s="297"/>
      <c r="G344" s="298"/>
      <c r="H344" s="297"/>
      <c r="I344" s="298"/>
      <c r="J344" s="298"/>
      <c r="K344" s="300"/>
    </row>
    <row r="345" ht="12.75">
      <c r="A345" s="297"/>
      <c r="B345" s="297"/>
      <c r="C345" s="297"/>
      <c r="D345" s="297"/>
      <c r="E345" s="297"/>
      <c r="F345" s="297"/>
      <c r="G345" s="298"/>
      <c r="H345" s="297"/>
      <c r="I345" s="298"/>
      <c r="J345" s="298"/>
      <c r="K345" s="300"/>
    </row>
    <row r="346" ht="12.75">
      <c r="A346" s="297"/>
      <c r="B346" s="297"/>
      <c r="C346" s="297"/>
      <c r="D346" s="297"/>
      <c r="E346" s="297"/>
      <c r="F346" s="297"/>
      <c r="G346" s="298"/>
      <c r="H346" s="297"/>
      <c r="I346" s="298"/>
      <c r="J346" s="298"/>
      <c r="K346" s="300"/>
    </row>
    <row r="347" ht="12.75">
      <c r="A347" s="297"/>
      <c r="B347" s="297"/>
      <c r="C347" s="297"/>
      <c r="D347" s="297"/>
      <c r="E347" s="297"/>
      <c r="F347" s="297"/>
      <c r="G347" s="298"/>
      <c r="H347" s="297"/>
      <c r="I347" s="298"/>
      <c r="J347" s="298"/>
      <c r="K347" s="300"/>
    </row>
    <row r="348" ht="12.75">
      <c r="A348" s="297"/>
      <c r="B348" s="297"/>
      <c r="C348" s="297"/>
      <c r="D348" s="297"/>
      <c r="E348" s="297"/>
      <c r="F348" s="297"/>
      <c r="G348" s="298"/>
      <c r="H348" s="297"/>
      <c r="I348" s="298"/>
      <c r="J348" s="298"/>
      <c r="K348" s="300"/>
    </row>
    <row r="349" ht="12.75">
      <c r="A349" s="297"/>
      <c r="B349" s="297"/>
      <c r="C349" s="297"/>
      <c r="D349" s="297"/>
      <c r="E349" s="297"/>
      <c r="F349" s="297"/>
      <c r="G349" s="298"/>
      <c r="H349" s="297"/>
      <c r="I349" s="298"/>
      <c r="J349" s="298"/>
      <c r="K349" s="300"/>
    </row>
    <row r="350" ht="12.75">
      <c r="A350" s="297"/>
      <c r="B350" s="297"/>
      <c r="C350" s="297"/>
      <c r="D350" s="297"/>
      <c r="E350" s="297"/>
      <c r="F350" s="297"/>
      <c r="G350" s="298"/>
      <c r="H350" s="297"/>
      <c r="I350" s="298"/>
      <c r="J350" s="298"/>
      <c r="K350" s="300"/>
    </row>
    <row r="351" ht="12.75">
      <c r="A351" s="297"/>
      <c r="B351" s="297"/>
      <c r="C351" s="297"/>
      <c r="D351" s="297"/>
      <c r="E351" s="297"/>
      <c r="F351" s="297"/>
      <c r="G351" s="298"/>
      <c r="H351" s="297"/>
      <c r="I351" s="298"/>
      <c r="J351" s="298"/>
      <c r="K351" s="300"/>
    </row>
    <row r="352" ht="12.75">
      <c r="A352" s="297"/>
      <c r="B352" s="297"/>
      <c r="C352" s="297"/>
      <c r="D352" s="297"/>
      <c r="E352" s="297"/>
      <c r="F352" s="297"/>
      <c r="G352" s="298"/>
      <c r="H352" s="297"/>
      <c r="I352" s="298"/>
      <c r="J352" s="298"/>
      <c r="K352" s="300"/>
    </row>
    <row r="353" ht="12.75">
      <c r="A353" s="297"/>
      <c r="B353" s="297"/>
      <c r="C353" s="297"/>
      <c r="D353" s="297"/>
      <c r="E353" s="297"/>
      <c r="F353" s="297"/>
      <c r="G353" s="298"/>
      <c r="H353" s="297"/>
      <c r="I353" s="298"/>
      <c r="J353" s="298"/>
      <c r="K353" s="300"/>
    </row>
    <row r="354" ht="12.75">
      <c r="A354" s="297"/>
      <c r="B354" s="297"/>
      <c r="C354" s="297"/>
      <c r="D354" s="297"/>
      <c r="E354" s="297"/>
      <c r="F354" s="297"/>
      <c r="G354" s="298"/>
      <c r="H354" s="297"/>
      <c r="I354" s="298"/>
      <c r="J354" s="298"/>
      <c r="K354" s="300"/>
    </row>
    <row r="355" ht="12.75">
      <c r="A355" s="297"/>
      <c r="B355" s="297"/>
      <c r="C355" s="297"/>
      <c r="D355" s="297"/>
      <c r="E355" s="297"/>
      <c r="F355" s="297"/>
      <c r="G355" s="298"/>
      <c r="H355" s="297"/>
      <c r="I355" s="298"/>
      <c r="J355" s="298"/>
      <c r="K355" s="300"/>
    </row>
    <row r="356" ht="12.75">
      <c r="A356" s="297"/>
      <c r="B356" s="297"/>
      <c r="C356" s="297"/>
      <c r="D356" s="297"/>
      <c r="E356" s="297"/>
      <c r="F356" s="297"/>
      <c r="G356" s="298"/>
      <c r="H356" s="297"/>
      <c r="I356" s="298"/>
      <c r="J356" s="298"/>
      <c r="K356" s="300"/>
    </row>
    <row r="357" ht="12.75">
      <c r="A357" s="297"/>
      <c r="B357" s="297"/>
      <c r="C357" s="297"/>
      <c r="D357" s="297"/>
      <c r="E357" s="297"/>
      <c r="F357" s="297"/>
      <c r="G357" s="298"/>
      <c r="H357" s="297"/>
      <c r="I357" s="298"/>
      <c r="J357" s="298"/>
      <c r="K357" s="300"/>
    </row>
    <row r="358" ht="12.75">
      <c r="A358" s="297"/>
      <c r="B358" s="297"/>
      <c r="C358" s="297"/>
      <c r="D358" s="297"/>
      <c r="E358" s="297"/>
      <c r="F358" s="297"/>
      <c r="G358" s="298"/>
      <c r="H358" s="297"/>
      <c r="I358" s="298"/>
      <c r="J358" s="298"/>
      <c r="K358" s="300"/>
    </row>
    <row r="359" ht="12.75">
      <c r="A359" s="297"/>
      <c r="B359" s="297"/>
      <c r="C359" s="297"/>
      <c r="D359" s="297"/>
      <c r="E359" s="297"/>
      <c r="F359" s="297"/>
      <c r="G359" s="298"/>
      <c r="H359" s="297"/>
      <c r="I359" s="298"/>
      <c r="J359" s="298"/>
      <c r="K359" s="300"/>
    </row>
    <row r="360" ht="12.75">
      <c r="A360" s="297"/>
      <c r="B360" s="297"/>
      <c r="C360" s="297"/>
      <c r="D360" s="297"/>
      <c r="E360" s="297"/>
      <c r="F360" s="297"/>
      <c r="G360" s="298"/>
      <c r="H360" s="297"/>
      <c r="I360" s="298"/>
      <c r="J360" s="298"/>
      <c r="K360" s="300"/>
    </row>
    <row r="361" ht="12.75">
      <c r="A361" s="297"/>
      <c r="B361" s="297"/>
      <c r="C361" s="297"/>
      <c r="D361" s="297"/>
      <c r="E361" s="297"/>
      <c r="F361" s="297"/>
      <c r="G361" s="298"/>
      <c r="H361" s="297"/>
      <c r="I361" s="298"/>
      <c r="J361" s="298"/>
      <c r="K361" s="300"/>
    </row>
    <row r="362" ht="12.75">
      <c r="A362" s="297"/>
      <c r="B362" s="297"/>
      <c r="C362" s="297"/>
      <c r="D362" s="297"/>
      <c r="E362" s="297"/>
      <c r="F362" s="297"/>
      <c r="G362" s="298"/>
      <c r="H362" s="297"/>
      <c r="I362" s="298"/>
      <c r="J362" s="298"/>
      <c r="K362" s="300"/>
    </row>
    <row r="363" ht="12.75">
      <c r="A363" s="297"/>
      <c r="B363" s="297"/>
      <c r="C363" s="297"/>
      <c r="D363" s="297"/>
      <c r="E363" s="297"/>
      <c r="F363" s="297"/>
      <c r="G363" s="298"/>
      <c r="H363" s="297"/>
      <c r="I363" s="298"/>
      <c r="J363" s="298"/>
      <c r="K363" s="300"/>
    </row>
    <row r="364" ht="12.75">
      <c r="A364" s="297"/>
      <c r="B364" s="297"/>
      <c r="C364" s="297"/>
      <c r="D364" s="297"/>
      <c r="E364" s="297"/>
      <c r="F364" s="297"/>
      <c r="G364" s="298"/>
      <c r="H364" s="297"/>
      <c r="I364" s="298"/>
      <c r="J364" s="298"/>
      <c r="K364" s="300"/>
    </row>
    <row r="365" ht="12.75">
      <c r="A365" s="297"/>
      <c r="B365" s="297"/>
      <c r="C365" s="297"/>
      <c r="D365" s="297"/>
      <c r="E365" s="297"/>
      <c r="F365" s="297"/>
      <c r="G365" s="298"/>
      <c r="H365" s="297"/>
      <c r="I365" s="298"/>
      <c r="J365" s="298"/>
      <c r="K365" s="300"/>
    </row>
    <row r="366" ht="12.75">
      <c r="A366" s="297"/>
      <c r="B366" s="297"/>
      <c r="C366" s="297"/>
      <c r="D366" s="297"/>
      <c r="E366" s="297"/>
      <c r="F366" s="297"/>
      <c r="G366" s="298"/>
      <c r="H366" s="297"/>
      <c r="I366" s="298"/>
      <c r="J366" s="298"/>
      <c r="K366" s="300"/>
    </row>
    <row r="367" ht="12.75">
      <c r="A367" s="297"/>
      <c r="B367" s="297"/>
      <c r="C367" s="297"/>
      <c r="D367" s="297"/>
      <c r="E367" s="297"/>
      <c r="F367" s="297"/>
      <c r="G367" s="298"/>
      <c r="H367" s="297"/>
      <c r="I367" s="298"/>
      <c r="J367" s="298"/>
      <c r="K367" s="300"/>
    </row>
    <row r="368" ht="12.75">
      <c r="A368" s="297"/>
      <c r="B368" s="297"/>
      <c r="C368" s="297"/>
      <c r="D368" s="297"/>
      <c r="E368" s="297"/>
      <c r="F368" s="297"/>
      <c r="G368" s="298"/>
      <c r="H368" s="297"/>
      <c r="I368" s="298"/>
      <c r="J368" s="298"/>
      <c r="K368" s="300"/>
    </row>
    <row r="369" ht="12.75">
      <c r="A369" s="297"/>
      <c r="B369" s="297"/>
      <c r="C369" s="297"/>
      <c r="D369" s="297"/>
      <c r="E369" s="297"/>
      <c r="F369" s="297"/>
      <c r="G369" s="298"/>
      <c r="H369" s="297"/>
      <c r="I369" s="298"/>
      <c r="J369" s="298"/>
      <c r="K369" s="300"/>
    </row>
    <row r="370" ht="12.75">
      <c r="A370" s="297"/>
      <c r="B370" s="297"/>
      <c r="C370" s="297"/>
      <c r="D370" s="297"/>
      <c r="E370" s="297"/>
      <c r="F370" s="297"/>
      <c r="G370" s="298"/>
      <c r="H370" s="297"/>
      <c r="I370" s="298"/>
      <c r="J370" s="298"/>
      <c r="K370" s="300"/>
    </row>
    <row r="371" ht="12.75">
      <c r="A371" s="297"/>
      <c r="B371" s="297"/>
      <c r="C371" s="297"/>
      <c r="D371" s="297"/>
      <c r="E371" s="297"/>
      <c r="F371" s="297"/>
      <c r="G371" s="298"/>
      <c r="H371" s="297"/>
      <c r="I371" s="298"/>
      <c r="J371" s="298"/>
      <c r="K371" s="300"/>
    </row>
    <row r="372" ht="12.75">
      <c r="A372" s="297"/>
      <c r="B372" s="297"/>
      <c r="C372" s="297"/>
      <c r="D372" s="297"/>
      <c r="E372" s="297"/>
      <c r="F372" s="297"/>
      <c r="G372" s="298"/>
      <c r="H372" s="297"/>
      <c r="I372" s="298"/>
      <c r="J372" s="298"/>
      <c r="K372" s="300"/>
    </row>
    <row r="373" ht="12.75">
      <c r="A373" s="297"/>
      <c r="B373" s="297"/>
      <c r="C373" s="297"/>
      <c r="D373" s="297"/>
      <c r="E373" s="297"/>
      <c r="F373" s="297"/>
      <c r="G373" s="298"/>
      <c r="H373" s="297"/>
      <c r="I373" s="298"/>
      <c r="J373" s="298"/>
      <c r="K373" s="300"/>
    </row>
    <row r="374" ht="12.75">
      <c r="A374" s="297"/>
      <c r="B374" s="297"/>
      <c r="C374" s="297"/>
      <c r="D374" s="297"/>
      <c r="E374" s="297"/>
      <c r="F374" s="297"/>
      <c r="G374" s="298"/>
      <c r="H374" s="297"/>
      <c r="I374" s="298"/>
      <c r="J374" s="298"/>
      <c r="K374" s="300"/>
    </row>
    <row r="375" ht="12.75">
      <c r="A375" s="297"/>
      <c r="B375" s="297"/>
      <c r="C375" s="297"/>
      <c r="D375" s="297"/>
      <c r="E375" s="297"/>
      <c r="F375" s="297"/>
      <c r="G375" s="298"/>
      <c r="H375" s="297"/>
      <c r="I375" s="298"/>
      <c r="J375" s="298"/>
      <c r="K375" s="300"/>
    </row>
    <row r="376" ht="12.75">
      <c r="A376" s="297"/>
      <c r="B376" s="297"/>
      <c r="C376" s="297"/>
      <c r="D376" s="297"/>
      <c r="E376" s="297"/>
      <c r="F376" s="297"/>
      <c r="G376" s="298"/>
      <c r="H376" s="297"/>
      <c r="I376" s="298"/>
      <c r="J376" s="298"/>
      <c r="K376" s="300"/>
    </row>
    <row r="377" ht="12.75">
      <c r="A377" s="297"/>
      <c r="B377" s="297"/>
      <c r="C377" s="297"/>
      <c r="D377" s="297"/>
      <c r="E377" s="297"/>
      <c r="F377" s="297"/>
      <c r="G377" s="298"/>
      <c r="H377" s="297"/>
      <c r="I377" s="298"/>
      <c r="J377" s="298"/>
      <c r="K377" s="300"/>
    </row>
    <row r="378" ht="12.75">
      <c r="A378" s="297"/>
      <c r="B378" s="297"/>
      <c r="C378" s="297"/>
      <c r="D378" s="297"/>
      <c r="E378" s="297"/>
      <c r="F378" s="297"/>
      <c r="G378" s="298"/>
      <c r="H378" s="297"/>
      <c r="I378" s="298"/>
      <c r="J378" s="298"/>
      <c r="K378" s="300"/>
    </row>
    <row r="379" ht="12.75">
      <c r="A379" s="297"/>
      <c r="B379" s="297"/>
      <c r="C379" s="297"/>
      <c r="D379" s="297"/>
      <c r="E379" s="297"/>
      <c r="F379" s="297"/>
      <c r="G379" s="298"/>
      <c r="H379" s="297"/>
      <c r="I379" s="298"/>
      <c r="J379" s="298"/>
      <c r="K379" s="300"/>
    </row>
    <row r="380" ht="12.75">
      <c r="A380" s="297"/>
      <c r="B380" s="297"/>
      <c r="C380" s="297"/>
      <c r="D380" s="297"/>
      <c r="E380" s="297"/>
      <c r="F380" s="297"/>
      <c r="G380" s="298"/>
      <c r="H380" s="297"/>
      <c r="I380" s="298"/>
      <c r="J380" s="298"/>
      <c r="K380" s="300"/>
    </row>
    <row r="381" ht="12.75">
      <c r="A381" s="297"/>
      <c r="B381" s="297"/>
      <c r="C381" s="297"/>
      <c r="D381" s="297"/>
      <c r="E381" s="297"/>
      <c r="F381" s="297"/>
      <c r="G381" s="298"/>
      <c r="H381" s="297"/>
      <c r="I381" s="298"/>
      <c r="J381" s="298"/>
      <c r="K381" s="300"/>
    </row>
    <row r="382" ht="12.75">
      <c r="A382" s="297"/>
      <c r="B382" s="297"/>
      <c r="C382" s="297"/>
      <c r="D382" s="297"/>
      <c r="E382" s="297"/>
      <c r="F382" s="297"/>
      <c r="G382" s="298"/>
      <c r="H382" s="297"/>
      <c r="I382" s="298"/>
      <c r="J382" s="298"/>
      <c r="K382" s="300"/>
    </row>
    <row r="383" ht="12.75">
      <c r="A383" s="297"/>
      <c r="B383" s="297"/>
      <c r="C383" s="297"/>
      <c r="D383" s="297"/>
      <c r="E383" s="297"/>
      <c r="F383" s="297"/>
      <c r="G383" s="298"/>
      <c r="H383" s="297"/>
      <c r="I383" s="298"/>
      <c r="J383" s="298"/>
      <c r="K383" s="300"/>
    </row>
    <row r="384" ht="12.75">
      <c r="A384" s="297"/>
      <c r="B384" s="297"/>
      <c r="C384" s="297"/>
      <c r="D384" s="297"/>
      <c r="E384" s="297"/>
      <c r="F384" s="297"/>
      <c r="G384" s="298"/>
      <c r="H384" s="297"/>
      <c r="I384" s="298"/>
      <c r="J384" s="298"/>
      <c r="K384" s="300"/>
    </row>
    <row r="385" ht="12.75">
      <c r="A385" s="297"/>
      <c r="B385" s="297"/>
      <c r="C385" s="297"/>
      <c r="D385" s="297"/>
      <c r="E385" s="297"/>
      <c r="F385" s="297"/>
      <c r="G385" s="298"/>
      <c r="H385" s="297"/>
      <c r="I385" s="298"/>
      <c r="J385" s="298"/>
      <c r="K385" s="300"/>
    </row>
    <row r="386" ht="12.75">
      <c r="A386" s="297"/>
      <c r="B386" s="297"/>
      <c r="C386" s="297"/>
      <c r="D386" s="297"/>
      <c r="E386" s="297"/>
      <c r="F386" s="297"/>
      <c r="G386" s="298"/>
      <c r="H386" s="297"/>
      <c r="I386" s="298"/>
      <c r="J386" s="298"/>
      <c r="K386" s="300"/>
    </row>
    <row r="387" ht="12.75">
      <c r="A387" s="297"/>
      <c r="B387" s="297"/>
      <c r="C387" s="297"/>
      <c r="D387" s="297"/>
      <c r="E387" s="297"/>
      <c r="F387" s="297"/>
      <c r="G387" s="298"/>
      <c r="H387" s="297"/>
      <c r="I387" s="298"/>
      <c r="J387" s="298"/>
      <c r="K387" s="300"/>
    </row>
    <row r="388" ht="12.75">
      <c r="A388" s="297"/>
      <c r="B388" s="297"/>
      <c r="C388" s="297"/>
      <c r="D388" s="297"/>
      <c r="E388" s="297"/>
      <c r="F388" s="297"/>
      <c r="G388" s="298"/>
      <c r="H388" s="297"/>
      <c r="I388" s="298"/>
      <c r="J388" s="298"/>
      <c r="K388" s="300"/>
    </row>
    <row r="389" ht="12.75">
      <c r="A389" s="297"/>
      <c r="B389" s="297"/>
      <c r="C389" s="297"/>
      <c r="D389" s="297"/>
      <c r="E389" s="297"/>
      <c r="F389" s="297"/>
      <c r="G389" s="298"/>
      <c r="H389" s="297"/>
      <c r="I389" s="298"/>
      <c r="J389" s="298"/>
      <c r="K389" s="300"/>
    </row>
    <row r="390" ht="12.75">
      <c r="A390" s="297"/>
      <c r="B390" s="297"/>
      <c r="C390" s="297"/>
      <c r="D390" s="297"/>
      <c r="E390" s="297"/>
      <c r="F390" s="297"/>
      <c r="G390" s="298"/>
      <c r="H390" s="297"/>
      <c r="I390" s="298"/>
      <c r="J390" s="298"/>
      <c r="K390" s="300"/>
    </row>
    <row r="391" ht="12.75">
      <c r="A391" s="297"/>
      <c r="B391" s="297"/>
      <c r="C391" s="297"/>
      <c r="D391" s="297"/>
      <c r="E391" s="297"/>
      <c r="F391" s="297"/>
      <c r="G391" s="298"/>
      <c r="H391" s="297"/>
      <c r="I391" s="298"/>
      <c r="J391" s="298"/>
      <c r="K391" s="300"/>
    </row>
    <row r="392" ht="12.75">
      <c r="A392" s="297"/>
      <c r="B392" s="297"/>
      <c r="C392" s="297"/>
      <c r="D392" s="297"/>
      <c r="E392" s="297"/>
      <c r="F392" s="297"/>
      <c r="G392" s="298"/>
      <c r="H392" s="297"/>
      <c r="I392" s="298"/>
      <c r="J392" s="298"/>
      <c r="K392" s="300"/>
    </row>
    <row r="393" ht="12.75">
      <c r="A393" s="297"/>
      <c r="B393" s="297"/>
      <c r="C393" s="297"/>
      <c r="D393" s="297"/>
      <c r="E393" s="297"/>
      <c r="F393" s="297"/>
      <c r="G393" s="298"/>
      <c r="H393" s="297"/>
      <c r="I393" s="298"/>
      <c r="J393" s="298"/>
      <c r="K393" s="300"/>
    </row>
    <row r="394" ht="12.75">
      <c r="A394" s="297"/>
      <c r="B394" s="297"/>
      <c r="C394" s="297"/>
      <c r="D394" s="297"/>
      <c r="E394" s="297"/>
      <c r="F394" s="297"/>
      <c r="G394" s="298"/>
      <c r="H394" s="297"/>
      <c r="I394" s="298"/>
      <c r="J394" s="298"/>
      <c r="K394" s="300"/>
    </row>
    <row r="395" ht="12.75">
      <c r="A395" s="297"/>
      <c r="B395" s="297"/>
      <c r="C395" s="297"/>
      <c r="D395" s="297"/>
      <c r="E395" s="297"/>
      <c r="F395" s="297"/>
      <c r="G395" s="298"/>
      <c r="H395" s="297"/>
      <c r="I395" s="298"/>
      <c r="J395" s="298"/>
      <c r="K395" s="300"/>
    </row>
    <row r="396" ht="12.75">
      <c r="A396" s="297"/>
      <c r="B396" s="297"/>
      <c r="C396" s="297"/>
      <c r="D396" s="297"/>
      <c r="E396" s="297"/>
      <c r="F396" s="297"/>
      <c r="G396" s="298"/>
      <c r="H396" s="297"/>
      <c r="I396" s="298"/>
      <c r="J396" s="298"/>
      <c r="K396" s="300"/>
    </row>
    <row r="397" ht="12.75">
      <c r="A397" s="297"/>
      <c r="B397" s="297"/>
      <c r="C397" s="297"/>
      <c r="D397" s="297"/>
      <c r="E397" s="297"/>
      <c r="F397" s="297"/>
      <c r="G397" s="298"/>
      <c r="H397" s="297"/>
      <c r="I397" s="298"/>
      <c r="J397" s="298"/>
      <c r="K397" s="300"/>
    </row>
    <row r="398" ht="12.75">
      <c r="A398" s="297"/>
      <c r="B398" s="297"/>
      <c r="C398" s="297"/>
      <c r="D398" s="297"/>
      <c r="E398" s="297"/>
      <c r="F398" s="297"/>
      <c r="G398" s="298"/>
      <c r="H398" s="297"/>
      <c r="I398" s="298"/>
      <c r="J398" s="298"/>
      <c r="K398" s="300"/>
    </row>
    <row r="399" ht="12.75">
      <c r="A399" s="297"/>
      <c r="B399" s="297"/>
      <c r="C399" s="297"/>
      <c r="D399" s="297"/>
      <c r="E399" s="297"/>
      <c r="F399" s="297"/>
      <c r="G399" s="298"/>
      <c r="H399" s="297"/>
      <c r="I399" s="298"/>
      <c r="J399" s="298"/>
      <c r="K399" s="300"/>
    </row>
    <row r="400" ht="12.75">
      <c r="A400" s="297"/>
      <c r="B400" s="297"/>
      <c r="C400" s="297"/>
      <c r="D400" s="297"/>
      <c r="E400" s="297"/>
      <c r="F400" s="297"/>
      <c r="G400" s="298"/>
      <c r="H400" s="297"/>
      <c r="I400" s="298"/>
      <c r="J400" s="298"/>
      <c r="K400" s="300"/>
    </row>
    <row r="401" ht="12.75">
      <c r="A401" s="297"/>
      <c r="B401" s="297"/>
      <c r="C401" s="297"/>
      <c r="D401" s="297"/>
      <c r="E401" s="297"/>
      <c r="F401" s="297"/>
      <c r="G401" s="298"/>
      <c r="H401" s="297"/>
      <c r="I401" s="298"/>
      <c r="J401" s="298"/>
      <c r="K401" s="300"/>
    </row>
    <row r="402" ht="12.75">
      <c r="A402" s="297"/>
      <c r="B402" s="297"/>
      <c r="C402" s="297"/>
      <c r="D402" s="297"/>
      <c r="E402" s="297"/>
      <c r="F402" s="297"/>
      <c r="G402" s="298"/>
      <c r="H402" s="297"/>
      <c r="I402" s="298"/>
      <c r="J402" s="298"/>
      <c r="K402" s="300"/>
    </row>
    <row r="403" ht="12.75">
      <c r="A403" s="297"/>
      <c r="B403" s="297"/>
      <c r="C403" s="297"/>
      <c r="D403" s="297"/>
      <c r="E403" s="297"/>
      <c r="F403" s="297"/>
      <c r="G403" s="298"/>
      <c r="H403" s="297"/>
      <c r="I403" s="298"/>
      <c r="J403" s="298"/>
      <c r="K403" s="300"/>
    </row>
    <row r="404" ht="12.75">
      <c r="A404" s="297"/>
      <c r="B404" s="297"/>
      <c r="C404" s="297"/>
      <c r="D404" s="297"/>
      <c r="E404" s="297"/>
      <c r="F404" s="297"/>
      <c r="G404" s="298"/>
      <c r="H404" s="297"/>
      <c r="I404" s="298"/>
      <c r="J404" s="298"/>
      <c r="K404" s="300"/>
    </row>
    <row r="405" ht="12.75">
      <c r="A405" s="297"/>
      <c r="B405" s="297"/>
      <c r="C405" s="297"/>
      <c r="D405" s="297"/>
      <c r="E405" s="297"/>
      <c r="F405" s="297"/>
      <c r="G405" s="298"/>
      <c r="H405" s="297"/>
      <c r="I405" s="298"/>
      <c r="J405" s="298"/>
      <c r="K405" s="300"/>
    </row>
    <row r="406" ht="12.75">
      <c r="A406" s="297"/>
      <c r="B406" s="297"/>
      <c r="C406" s="297"/>
      <c r="D406" s="297"/>
      <c r="E406" s="297"/>
      <c r="F406" s="297"/>
      <c r="G406" s="298"/>
      <c r="H406" s="297"/>
      <c r="I406" s="298"/>
      <c r="J406" s="298"/>
      <c r="K406" s="300"/>
    </row>
    <row r="407" ht="12.75">
      <c r="A407" s="297"/>
      <c r="B407" s="297"/>
      <c r="C407" s="297"/>
      <c r="D407" s="297"/>
      <c r="E407" s="297"/>
      <c r="F407" s="297"/>
      <c r="G407" s="298"/>
      <c r="H407" s="297"/>
      <c r="I407" s="298"/>
      <c r="J407" s="298"/>
      <c r="K407" s="300"/>
    </row>
    <row r="408" ht="12.75">
      <c r="A408" s="297"/>
      <c r="B408" s="297"/>
      <c r="C408" s="297"/>
      <c r="D408" s="297"/>
      <c r="E408" s="297"/>
      <c r="F408" s="297"/>
      <c r="G408" s="298"/>
      <c r="H408" s="297"/>
      <c r="I408" s="298"/>
      <c r="J408" s="298"/>
      <c r="K408" s="300"/>
    </row>
    <row r="409" ht="12.75">
      <c r="A409" s="297"/>
      <c r="B409" s="297"/>
      <c r="C409" s="297"/>
      <c r="D409" s="297"/>
      <c r="E409" s="297"/>
      <c r="F409" s="297"/>
      <c r="G409" s="298"/>
      <c r="H409" s="297"/>
      <c r="I409" s="298"/>
      <c r="J409" s="298"/>
      <c r="K409" s="300"/>
    </row>
    <row r="410" ht="12.75">
      <c r="A410" s="297"/>
      <c r="B410" s="297"/>
      <c r="C410" s="297"/>
      <c r="D410" s="297"/>
      <c r="E410" s="297"/>
      <c r="F410" s="297"/>
      <c r="G410" s="298"/>
      <c r="H410" s="297"/>
      <c r="I410" s="298"/>
      <c r="J410" s="298"/>
      <c r="K410" s="300"/>
    </row>
    <row r="411" ht="12.75">
      <c r="A411" s="297"/>
      <c r="B411" s="297"/>
      <c r="C411" s="297"/>
      <c r="D411" s="297"/>
      <c r="E411" s="297"/>
      <c r="F411" s="297"/>
      <c r="G411" s="298"/>
      <c r="H411" s="297"/>
      <c r="I411" s="298"/>
      <c r="J411" s="298"/>
      <c r="K411" s="300"/>
    </row>
    <row r="412" ht="12.75">
      <c r="A412" s="297"/>
      <c r="B412" s="297"/>
      <c r="C412" s="297"/>
      <c r="D412" s="297"/>
      <c r="E412" s="297"/>
      <c r="F412" s="297"/>
      <c r="G412" s="298"/>
      <c r="H412" s="297"/>
      <c r="I412" s="298"/>
      <c r="J412" s="298"/>
      <c r="K412" s="300"/>
    </row>
    <row r="413" ht="12.75">
      <c r="A413" s="297"/>
      <c r="B413" s="297"/>
      <c r="C413" s="297"/>
      <c r="D413" s="297"/>
      <c r="E413" s="297"/>
      <c r="F413" s="297"/>
      <c r="G413" s="298"/>
      <c r="H413" s="297"/>
      <c r="I413" s="298"/>
      <c r="J413" s="298"/>
      <c r="K413" s="300"/>
    </row>
    <row r="414" ht="12.75">
      <c r="A414" s="297"/>
      <c r="B414" s="297"/>
      <c r="C414" s="297"/>
      <c r="D414" s="297"/>
      <c r="E414" s="297"/>
      <c r="F414" s="297"/>
      <c r="G414" s="298"/>
      <c r="H414" s="297"/>
      <c r="I414" s="298"/>
      <c r="J414" s="298"/>
      <c r="K414" s="300"/>
    </row>
    <row r="415" ht="12.75">
      <c r="A415" s="297"/>
      <c r="B415" s="297"/>
      <c r="C415" s="297"/>
      <c r="D415" s="297"/>
      <c r="E415" s="297"/>
      <c r="F415" s="297"/>
      <c r="G415" s="298"/>
      <c r="H415" s="297"/>
      <c r="I415" s="298"/>
      <c r="J415" s="298"/>
      <c r="K415" s="300"/>
    </row>
    <row r="416" ht="12.75">
      <c r="A416" s="297"/>
      <c r="B416" s="297"/>
      <c r="C416" s="297"/>
      <c r="D416" s="297"/>
      <c r="E416" s="297"/>
      <c r="F416" s="297"/>
      <c r="G416" s="298"/>
      <c r="H416" s="297"/>
      <c r="I416" s="298"/>
      <c r="J416" s="298"/>
      <c r="K416" s="300"/>
    </row>
    <row r="417" ht="12.75">
      <c r="A417" s="297"/>
      <c r="B417" s="297"/>
      <c r="C417" s="297"/>
      <c r="D417" s="297"/>
      <c r="E417" s="297"/>
      <c r="F417" s="297"/>
      <c r="G417" s="298"/>
      <c r="H417" s="297"/>
      <c r="I417" s="298"/>
      <c r="J417" s="298"/>
      <c r="K417" s="300"/>
    </row>
    <row r="418" ht="12.75">
      <c r="A418" s="297"/>
      <c r="B418" s="297"/>
      <c r="C418" s="297"/>
      <c r="D418" s="297"/>
      <c r="E418" s="297"/>
      <c r="F418" s="297"/>
      <c r="G418" s="298"/>
      <c r="H418" s="297"/>
      <c r="I418" s="298"/>
      <c r="J418" s="298"/>
      <c r="K418" s="300"/>
    </row>
    <row r="419" ht="12.75">
      <c r="A419" s="297"/>
      <c r="B419" s="297"/>
      <c r="C419" s="297"/>
      <c r="D419" s="297"/>
      <c r="E419" s="297"/>
      <c r="F419" s="297"/>
      <c r="G419" s="298"/>
      <c r="H419" s="297"/>
      <c r="I419" s="298"/>
      <c r="J419" s="298"/>
      <c r="K419" s="300"/>
    </row>
    <row r="420" ht="12.75">
      <c r="A420" s="297"/>
      <c r="B420" s="297"/>
      <c r="C420" s="297"/>
      <c r="D420" s="297"/>
      <c r="E420" s="297"/>
      <c r="F420" s="297"/>
      <c r="G420" s="298"/>
      <c r="H420" s="297"/>
      <c r="I420" s="298"/>
      <c r="J420" s="298"/>
      <c r="K420" s="300"/>
    </row>
    <row r="421" ht="12.75">
      <c r="A421" s="297"/>
      <c r="B421" s="297"/>
      <c r="C421" s="297"/>
      <c r="D421" s="297"/>
      <c r="E421" s="297"/>
      <c r="F421" s="297"/>
      <c r="G421" s="298"/>
      <c r="H421" s="297"/>
      <c r="I421" s="298"/>
      <c r="J421" s="298"/>
      <c r="K421" s="300"/>
    </row>
    <row r="422" ht="12.75">
      <c r="A422" s="297"/>
      <c r="B422" s="297"/>
      <c r="C422" s="297"/>
      <c r="D422" s="297"/>
      <c r="E422" s="297"/>
      <c r="F422" s="297"/>
      <c r="G422" s="298"/>
      <c r="H422" s="297"/>
      <c r="I422" s="298"/>
      <c r="J422" s="298"/>
      <c r="K422" s="300"/>
    </row>
    <row r="423" ht="12.75">
      <c r="A423" s="297"/>
      <c r="B423" s="297"/>
      <c r="C423" s="297"/>
      <c r="D423" s="297"/>
      <c r="E423" s="297"/>
      <c r="F423" s="297"/>
      <c r="G423" s="298"/>
      <c r="H423" s="297"/>
      <c r="I423" s="298"/>
      <c r="J423" s="298"/>
      <c r="K423" s="300"/>
    </row>
    <row r="424" ht="12.75">
      <c r="A424" s="297"/>
      <c r="B424" s="297"/>
      <c r="C424" s="297"/>
      <c r="D424" s="297"/>
      <c r="E424" s="297"/>
      <c r="F424" s="297"/>
      <c r="G424" s="298"/>
      <c r="H424" s="297"/>
      <c r="I424" s="298"/>
      <c r="J424" s="298"/>
      <c r="K424" s="300"/>
    </row>
    <row r="425" ht="12.75">
      <c r="A425" s="297"/>
      <c r="B425" s="297"/>
      <c r="C425" s="297"/>
      <c r="D425" s="297"/>
      <c r="E425" s="297"/>
      <c r="F425" s="297"/>
      <c r="G425" s="298"/>
      <c r="H425" s="297"/>
      <c r="I425" s="298"/>
      <c r="J425" s="298"/>
      <c r="K425" s="300"/>
    </row>
    <row r="426" ht="12.75">
      <c r="A426" s="297"/>
      <c r="B426" s="297"/>
      <c r="C426" s="297"/>
      <c r="D426" s="297"/>
      <c r="E426" s="297"/>
      <c r="F426" s="297"/>
      <c r="G426" s="298"/>
      <c r="H426" s="297"/>
      <c r="I426" s="298"/>
      <c r="J426" s="298"/>
      <c r="K426" s="300"/>
    </row>
    <row r="427" ht="12.75">
      <c r="A427" s="297"/>
      <c r="B427" s="297"/>
      <c r="C427" s="297"/>
      <c r="D427" s="297"/>
      <c r="E427" s="297"/>
      <c r="F427" s="297"/>
      <c r="G427" s="298"/>
      <c r="H427" s="297"/>
      <c r="I427" s="298"/>
      <c r="J427" s="298"/>
      <c r="K427" s="300"/>
    </row>
    <row r="428" ht="12.75">
      <c r="A428" s="297"/>
      <c r="B428" s="297"/>
      <c r="C428" s="297"/>
      <c r="D428" s="297"/>
      <c r="E428" s="297"/>
      <c r="F428" s="297"/>
      <c r="G428" s="298"/>
      <c r="H428" s="297"/>
      <c r="I428" s="298"/>
      <c r="J428" s="298"/>
      <c r="K428" s="300"/>
    </row>
    <row r="429" ht="12.75">
      <c r="A429" s="297"/>
      <c r="B429" s="297"/>
      <c r="C429" s="297"/>
      <c r="D429" s="297"/>
      <c r="E429" s="297"/>
      <c r="F429" s="297"/>
      <c r="G429" s="298"/>
      <c r="H429" s="297"/>
      <c r="I429" s="298"/>
      <c r="J429" s="298"/>
      <c r="K429" s="300"/>
    </row>
    <row r="430" ht="12.75">
      <c r="A430" s="297"/>
      <c r="B430" s="297"/>
      <c r="C430" s="297"/>
      <c r="D430" s="297"/>
      <c r="E430" s="297"/>
      <c r="F430" s="297"/>
      <c r="G430" s="298"/>
      <c r="H430" s="297"/>
      <c r="I430" s="298"/>
      <c r="J430" s="298"/>
      <c r="K430" s="300"/>
    </row>
    <row r="431" ht="12.75">
      <c r="A431" s="297"/>
      <c r="B431" s="297"/>
      <c r="C431" s="297"/>
      <c r="D431" s="297"/>
      <c r="E431" s="297"/>
      <c r="F431" s="297"/>
      <c r="G431" s="298"/>
      <c r="H431" s="297"/>
      <c r="I431" s="298"/>
      <c r="J431" s="298"/>
      <c r="K431" s="300"/>
    </row>
    <row r="432" ht="12.75">
      <c r="A432" s="297"/>
      <c r="B432" s="297"/>
      <c r="C432" s="297"/>
      <c r="D432" s="297"/>
      <c r="E432" s="297"/>
      <c r="F432" s="297"/>
      <c r="G432" s="298"/>
      <c r="H432" s="297"/>
      <c r="I432" s="298"/>
      <c r="J432" s="298"/>
      <c r="K432" s="300"/>
    </row>
    <row r="433" ht="12.75">
      <c r="A433" s="297"/>
      <c r="B433" s="297"/>
      <c r="C433" s="297"/>
      <c r="D433" s="297"/>
      <c r="E433" s="297"/>
      <c r="F433" s="297"/>
      <c r="G433" s="298"/>
      <c r="H433" s="297"/>
      <c r="I433" s="298"/>
      <c r="J433" s="298"/>
      <c r="K433" s="300"/>
    </row>
    <row r="434" ht="12.75">
      <c r="A434" s="297"/>
      <c r="B434" s="297"/>
      <c r="C434" s="297"/>
      <c r="D434" s="297"/>
      <c r="E434" s="297"/>
      <c r="F434" s="297"/>
      <c r="G434" s="298"/>
      <c r="H434" s="297"/>
      <c r="I434" s="298"/>
      <c r="J434" s="298"/>
      <c r="K434" s="300"/>
    </row>
    <row r="435" ht="12.75">
      <c r="A435" s="297"/>
      <c r="B435" s="297"/>
      <c r="C435" s="297"/>
      <c r="D435" s="297"/>
      <c r="E435" s="297"/>
      <c r="F435" s="297"/>
      <c r="G435" s="298"/>
      <c r="H435" s="297"/>
      <c r="I435" s="298"/>
      <c r="J435" s="298"/>
      <c r="K435" s="300"/>
    </row>
    <row r="436" ht="12.75">
      <c r="A436" s="297"/>
      <c r="B436" s="297"/>
      <c r="C436" s="297"/>
      <c r="D436" s="297"/>
      <c r="E436" s="297"/>
      <c r="F436" s="297"/>
      <c r="G436" s="298"/>
      <c r="H436" s="297"/>
      <c r="I436" s="298"/>
      <c r="J436" s="298"/>
      <c r="K436" s="300"/>
    </row>
    <row r="437" ht="12.75">
      <c r="A437" s="297"/>
      <c r="B437" s="297"/>
      <c r="C437" s="297"/>
      <c r="D437" s="297"/>
      <c r="E437" s="297"/>
      <c r="F437" s="297"/>
      <c r="G437" s="298"/>
      <c r="H437" s="297"/>
      <c r="I437" s="298"/>
      <c r="J437" s="298"/>
      <c r="K437" s="300"/>
    </row>
    <row r="438" ht="12.75">
      <c r="A438" s="297"/>
      <c r="B438" s="297"/>
      <c r="C438" s="297"/>
      <c r="D438" s="297"/>
      <c r="E438" s="297"/>
      <c r="F438" s="297"/>
      <c r="G438" s="298"/>
      <c r="H438" s="297"/>
      <c r="I438" s="298"/>
      <c r="J438" s="298"/>
      <c r="K438" s="300"/>
    </row>
    <row r="439" ht="12.75">
      <c r="A439" s="297"/>
      <c r="B439" s="297"/>
      <c r="C439" s="297"/>
      <c r="D439" s="297"/>
      <c r="E439" s="297"/>
      <c r="F439" s="297"/>
      <c r="G439" s="298"/>
      <c r="H439" s="297"/>
      <c r="I439" s="298"/>
      <c r="J439" s="298"/>
      <c r="K439" s="300"/>
    </row>
    <row r="440" ht="12.75">
      <c r="A440" s="297"/>
      <c r="B440" s="297"/>
      <c r="C440" s="297"/>
      <c r="D440" s="297"/>
      <c r="E440" s="297"/>
      <c r="F440" s="297"/>
      <c r="G440" s="298"/>
      <c r="H440" s="297"/>
      <c r="I440" s="298"/>
      <c r="J440" s="298"/>
      <c r="K440" s="300"/>
    </row>
    <row r="441" ht="12.75">
      <c r="A441" s="297"/>
      <c r="B441" s="297"/>
      <c r="C441" s="297"/>
      <c r="D441" s="297"/>
      <c r="E441" s="297"/>
      <c r="F441" s="297"/>
      <c r="G441" s="298"/>
      <c r="H441" s="297"/>
      <c r="I441" s="298"/>
      <c r="J441" s="298"/>
      <c r="K441" s="300"/>
    </row>
    <row r="442" ht="12.75">
      <c r="A442" s="297"/>
      <c r="B442" s="297"/>
      <c r="C442" s="297"/>
      <c r="D442" s="297"/>
      <c r="E442" s="297"/>
      <c r="F442" s="297"/>
      <c r="G442" s="298"/>
      <c r="H442" s="297"/>
      <c r="I442" s="298"/>
      <c r="J442" s="298"/>
      <c r="K442" s="300"/>
    </row>
    <row r="443" ht="12.75">
      <c r="A443" s="297"/>
      <c r="B443" s="297"/>
      <c r="C443" s="297"/>
      <c r="D443" s="297"/>
      <c r="E443" s="297"/>
      <c r="F443" s="297"/>
      <c r="G443" s="298"/>
      <c r="H443" s="297"/>
      <c r="I443" s="298"/>
      <c r="J443" s="298"/>
      <c r="K443" s="300"/>
    </row>
    <row r="444" ht="12.75">
      <c r="A444" s="297"/>
      <c r="B444" s="297"/>
      <c r="C444" s="297"/>
      <c r="D444" s="297"/>
      <c r="E444" s="297"/>
      <c r="F444" s="297"/>
      <c r="G444" s="298"/>
      <c r="H444" s="297"/>
      <c r="I444" s="298"/>
      <c r="J444" s="298"/>
      <c r="K444" s="300"/>
    </row>
    <row r="445" ht="12.75">
      <c r="A445" s="297"/>
      <c r="B445" s="297"/>
      <c r="C445" s="297"/>
      <c r="D445" s="297"/>
      <c r="E445" s="297"/>
      <c r="F445" s="297"/>
      <c r="G445" s="298"/>
      <c r="H445" s="297"/>
      <c r="I445" s="298"/>
      <c r="J445" s="298"/>
      <c r="K445" s="300"/>
    </row>
    <row r="446" ht="12.75">
      <c r="A446" s="297"/>
      <c r="B446" s="297"/>
      <c r="C446" s="297"/>
      <c r="D446" s="297"/>
      <c r="E446" s="297"/>
      <c r="F446" s="297"/>
      <c r="G446" s="298"/>
      <c r="H446" s="297"/>
      <c r="I446" s="298"/>
      <c r="J446" s="298"/>
      <c r="K446" s="300"/>
    </row>
    <row r="447" ht="12.75">
      <c r="A447" s="297"/>
      <c r="B447" s="297"/>
      <c r="C447" s="297"/>
      <c r="D447" s="297"/>
      <c r="E447" s="297"/>
      <c r="F447" s="297"/>
      <c r="G447" s="298"/>
      <c r="H447" s="297"/>
      <c r="I447" s="298"/>
      <c r="J447" s="298"/>
      <c r="K447" s="300"/>
    </row>
    <row r="448" ht="12.75">
      <c r="A448" s="297"/>
      <c r="B448" s="297"/>
      <c r="C448" s="297"/>
      <c r="D448" s="297"/>
      <c r="E448" s="297"/>
      <c r="F448" s="297"/>
      <c r="G448" s="298"/>
      <c r="H448" s="297"/>
      <c r="I448" s="298"/>
      <c r="J448" s="298"/>
      <c r="K448" s="300"/>
    </row>
    <row r="449" ht="12.75">
      <c r="A449" s="297"/>
      <c r="B449" s="297"/>
      <c r="C449" s="297"/>
      <c r="D449" s="297"/>
      <c r="E449" s="297"/>
      <c r="F449" s="297"/>
      <c r="G449" s="298"/>
      <c r="H449" s="297"/>
      <c r="I449" s="298"/>
      <c r="J449" s="298"/>
      <c r="K449" s="300"/>
    </row>
    <row r="450" ht="12.75">
      <c r="A450" s="297"/>
      <c r="B450" s="297"/>
      <c r="C450" s="297"/>
      <c r="D450" s="297"/>
      <c r="E450" s="297"/>
      <c r="F450" s="297"/>
      <c r="G450" s="298"/>
      <c r="H450" s="297"/>
      <c r="I450" s="298"/>
      <c r="J450" s="298"/>
      <c r="K450" s="300"/>
    </row>
    <row r="451" ht="12.75">
      <c r="A451" s="297"/>
      <c r="B451" s="297"/>
      <c r="C451" s="297"/>
      <c r="D451" s="297"/>
      <c r="E451" s="297"/>
      <c r="F451" s="297"/>
      <c r="G451" s="298"/>
      <c r="H451" s="297"/>
      <c r="I451" s="298"/>
      <c r="J451" s="298"/>
      <c r="K451" s="300"/>
    </row>
    <row r="452" ht="12.75">
      <c r="A452" s="297"/>
      <c r="B452" s="297"/>
      <c r="C452" s="297"/>
      <c r="D452" s="297"/>
      <c r="E452" s="297"/>
      <c r="F452" s="297"/>
      <c r="G452" s="298"/>
      <c r="H452" s="297"/>
      <c r="I452" s="298"/>
      <c r="J452" s="298"/>
      <c r="K452" s="300"/>
    </row>
    <row r="453" ht="12.75">
      <c r="A453" s="297"/>
      <c r="B453" s="297"/>
      <c r="C453" s="297"/>
      <c r="D453" s="297"/>
      <c r="E453" s="297"/>
      <c r="F453" s="297"/>
      <c r="G453" s="298"/>
      <c r="H453" s="297"/>
      <c r="I453" s="298"/>
      <c r="J453" s="298"/>
      <c r="K453" s="300"/>
    </row>
    <row r="454" ht="12.75">
      <c r="A454" s="297"/>
      <c r="B454" s="297"/>
      <c r="C454" s="297"/>
      <c r="D454" s="297"/>
      <c r="E454" s="297"/>
      <c r="F454" s="297"/>
      <c r="G454" s="298"/>
      <c r="H454" s="297"/>
      <c r="I454" s="298"/>
      <c r="J454" s="298"/>
      <c r="K454" s="300"/>
    </row>
    <row r="455" ht="12.75">
      <c r="A455" s="297"/>
      <c r="B455" s="297"/>
      <c r="C455" s="297"/>
      <c r="D455" s="297"/>
      <c r="E455" s="297"/>
      <c r="F455" s="297"/>
      <c r="G455" s="298"/>
      <c r="H455" s="297"/>
      <c r="I455" s="298"/>
      <c r="J455" s="298"/>
      <c r="K455" s="300"/>
    </row>
    <row r="456" ht="12.75">
      <c r="A456" s="297"/>
      <c r="B456" s="297"/>
      <c r="C456" s="297"/>
      <c r="D456" s="297"/>
      <c r="E456" s="297"/>
      <c r="F456" s="297"/>
      <c r="G456" s="298"/>
      <c r="H456" s="297"/>
      <c r="I456" s="298"/>
      <c r="J456" s="298"/>
      <c r="K456" s="300"/>
    </row>
    <row r="457" ht="12.75">
      <c r="A457" s="297"/>
      <c r="B457" s="297"/>
      <c r="C457" s="297"/>
      <c r="D457" s="297"/>
      <c r="E457" s="297"/>
      <c r="F457" s="297"/>
      <c r="G457" s="298"/>
      <c r="H457" s="297"/>
      <c r="I457" s="298"/>
      <c r="J457" s="298"/>
      <c r="K457" s="300"/>
    </row>
    <row r="458" ht="12.75">
      <c r="A458" s="297"/>
      <c r="B458" s="297"/>
      <c r="C458" s="297"/>
      <c r="D458" s="297"/>
      <c r="E458" s="297"/>
      <c r="F458" s="297"/>
      <c r="G458" s="298"/>
      <c r="H458" s="297"/>
      <c r="I458" s="298"/>
      <c r="J458" s="298"/>
      <c r="K458" s="300"/>
    </row>
    <row r="459" ht="12.75">
      <c r="A459" s="297"/>
      <c r="B459" s="297"/>
      <c r="C459" s="297"/>
      <c r="D459" s="297"/>
      <c r="E459" s="297"/>
      <c r="F459" s="297"/>
      <c r="G459" s="298"/>
      <c r="H459" s="297"/>
      <c r="I459" s="298"/>
      <c r="J459" s="298"/>
      <c r="K459" s="300"/>
    </row>
    <row r="460" ht="12.75">
      <c r="A460" s="297"/>
      <c r="B460" s="297"/>
      <c r="C460" s="297"/>
      <c r="D460" s="297"/>
      <c r="E460" s="297"/>
      <c r="F460" s="297"/>
      <c r="G460" s="298"/>
      <c r="H460" s="297"/>
      <c r="I460" s="298"/>
      <c r="J460" s="298"/>
      <c r="K460" s="300"/>
    </row>
    <row r="461" ht="12.75">
      <c r="A461" s="297"/>
      <c r="B461" s="297"/>
      <c r="C461" s="297"/>
      <c r="D461" s="297"/>
      <c r="E461" s="297"/>
      <c r="F461" s="297"/>
      <c r="G461" s="298"/>
      <c r="H461" s="297"/>
      <c r="I461" s="298"/>
      <c r="J461" s="298"/>
      <c r="K461" s="300"/>
    </row>
    <row r="462" ht="12.75">
      <c r="A462" s="297"/>
      <c r="B462" s="297"/>
      <c r="C462" s="297"/>
      <c r="D462" s="297"/>
      <c r="E462" s="297"/>
      <c r="F462" s="297"/>
      <c r="G462" s="298"/>
      <c r="H462" s="297"/>
      <c r="I462" s="298"/>
      <c r="J462" s="298"/>
      <c r="K462" s="300"/>
    </row>
    <row r="463" ht="12.75">
      <c r="A463" s="297"/>
      <c r="B463" s="297"/>
      <c r="C463" s="297"/>
      <c r="D463" s="297"/>
      <c r="E463" s="297"/>
      <c r="F463" s="297"/>
      <c r="G463" s="298"/>
      <c r="H463" s="297"/>
      <c r="I463" s="298"/>
      <c r="J463" s="298"/>
      <c r="K463" s="300"/>
    </row>
    <row r="464" ht="12.75">
      <c r="A464" s="297"/>
      <c r="B464" s="297"/>
      <c r="C464" s="297"/>
      <c r="D464" s="297"/>
      <c r="E464" s="297"/>
      <c r="F464" s="297"/>
      <c r="G464" s="298"/>
      <c r="H464" s="297"/>
      <c r="I464" s="298"/>
      <c r="J464" s="298"/>
      <c r="K464" s="300"/>
    </row>
    <row r="465" ht="12.75">
      <c r="A465" s="297"/>
      <c r="B465" s="297"/>
      <c r="C465" s="297"/>
      <c r="D465" s="297"/>
      <c r="E465" s="297"/>
      <c r="F465" s="297"/>
      <c r="G465" s="298"/>
      <c r="H465" s="297"/>
      <c r="I465" s="298"/>
      <c r="J465" s="298"/>
      <c r="K465" s="300"/>
    </row>
    <row r="466" ht="12.75">
      <c r="A466" s="297"/>
      <c r="B466" s="297"/>
      <c r="C466" s="297"/>
      <c r="D466" s="297"/>
      <c r="E466" s="297"/>
      <c r="F466" s="297"/>
      <c r="G466" s="298"/>
      <c r="H466" s="297"/>
      <c r="I466" s="298"/>
      <c r="J466" s="298"/>
      <c r="K466" s="300"/>
    </row>
    <row r="467" ht="12.75">
      <c r="A467" s="297"/>
      <c r="B467" s="297"/>
      <c r="C467" s="297"/>
      <c r="D467" s="297"/>
      <c r="E467" s="297"/>
      <c r="F467" s="297"/>
      <c r="G467" s="298"/>
      <c r="H467" s="297"/>
      <c r="I467" s="298"/>
      <c r="J467" s="298"/>
      <c r="K467" s="300"/>
    </row>
    <row r="468" ht="12.75">
      <c r="A468" s="297"/>
      <c r="B468" s="297"/>
      <c r="C468" s="297"/>
      <c r="D468" s="297"/>
      <c r="E468" s="297"/>
      <c r="F468" s="297"/>
      <c r="G468" s="298"/>
      <c r="H468" s="297"/>
      <c r="I468" s="298"/>
      <c r="J468" s="298"/>
      <c r="K468" s="300"/>
    </row>
    <row r="469" ht="12.75">
      <c r="A469" s="297"/>
      <c r="B469" s="297"/>
      <c r="C469" s="297"/>
      <c r="D469" s="297"/>
      <c r="E469" s="297"/>
      <c r="F469" s="297"/>
      <c r="G469" s="298"/>
      <c r="H469" s="297"/>
      <c r="I469" s="298"/>
      <c r="J469" s="298"/>
      <c r="K469" s="300"/>
    </row>
    <row r="470" ht="12.75">
      <c r="A470" s="297"/>
      <c r="B470" s="297"/>
      <c r="C470" s="297"/>
      <c r="D470" s="297"/>
      <c r="E470" s="297"/>
      <c r="F470" s="297"/>
      <c r="G470" s="298"/>
      <c r="H470" s="297"/>
      <c r="I470" s="298"/>
      <c r="J470" s="298"/>
      <c r="K470" s="300"/>
    </row>
    <row r="471" ht="12.75">
      <c r="A471" s="297"/>
      <c r="B471" s="297"/>
      <c r="C471" s="297"/>
      <c r="D471" s="297"/>
      <c r="E471" s="297"/>
      <c r="F471" s="297"/>
      <c r="G471" s="298"/>
      <c r="H471" s="297"/>
      <c r="I471" s="298"/>
      <c r="J471" s="298"/>
      <c r="K471" s="300"/>
    </row>
    <row r="472" ht="12.75">
      <c r="A472" s="297"/>
      <c r="B472" s="297"/>
      <c r="C472" s="297"/>
      <c r="D472" s="297"/>
      <c r="E472" s="297"/>
      <c r="F472" s="297"/>
      <c r="G472" s="298"/>
      <c r="H472" s="297"/>
      <c r="I472" s="298"/>
      <c r="J472" s="298"/>
      <c r="K472" s="300"/>
    </row>
    <row r="473" ht="12.75">
      <c r="A473" s="297"/>
      <c r="B473" s="297"/>
      <c r="C473" s="297"/>
      <c r="D473" s="297"/>
      <c r="E473" s="297"/>
      <c r="F473" s="297"/>
      <c r="G473" s="298"/>
      <c r="H473" s="297"/>
      <c r="I473" s="298"/>
      <c r="J473" s="298"/>
      <c r="K473" s="300"/>
    </row>
    <row r="474" ht="12.75">
      <c r="A474" s="297"/>
      <c r="B474" s="297"/>
      <c r="C474" s="297"/>
      <c r="D474" s="297"/>
      <c r="E474" s="297"/>
      <c r="F474" s="297"/>
      <c r="G474" s="298"/>
      <c r="H474" s="297"/>
      <c r="I474" s="298"/>
      <c r="J474" s="298"/>
      <c r="K474" s="300"/>
    </row>
    <row r="475" ht="12.75">
      <c r="A475" s="297"/>
      <c r="B475" s="297"/>
      <c r="C475" s="297"/>
      <c r="D475" s="297"/>
      <c r="E475" s="297"/>
      <c r="F475" s="297"/>
      <c r="G475" s="298"/>
      <c r="H475" s="297"/>
      <c r="I475" s="298"/>
      <c r="J475" s="298"/>
      <c r="K475" s="300"/>
    </row>
    <row r="476" ht="12.75">
      <c r="A476" s="297"/>
      <c r="B476" s="297"/>
      <c r="C476" s="297"/>
      <c r="D476" s="297"/>
      <c r="E476" s="297"/>
      <c r="F476" s="297"/>
      <c r="G476" s="298"/>
      <c r="H476" s="297"/>
      <c r="I476" s="298"/>
      <c r="J476" s="298"/>
      <c r="K476" s="300"/>
    </row>
    <row r="477" ht="12.75">
      <c r="A477" s="297"/>
      <c r="B477" s="297"/>
      <c r="C477" s="297"/>
      <c r="D477" s="297"/>
      <c r="E477" s="297"/>
      <c r="F477" s="297"/>
      <c r="G477" s="298"/>
      <c r="H477" s="297"/>
      <c r="I477" s="298"/>
      <c r="J477" s="298"/>
      <c r="K477" s="300"/>
    </row>
    <row r="478" ht="12.75">
      <c r="A478" s="297"/>
      <c r="B478" s="297"/>
      <c r="C478" s="297"/>
      <c r="D478" s="297"/>
      <c r="E478" s="297"/>
      <c r="F478" s="297"/>
      <c r="G478" s="298"/>
      <c r="H478" s="297"/>
      <c r="I478" s="298"/>
      <c r="J478" s="298"/>
      <c r="K478" s="300"/>
    </row>
    <row r="479" ht="12.75">
      <c r="A479" s="297"/>
      <c r="B479" s="297"/>
      <c r="C479" s="297"/>
      <c r="D479" s="297"/>
      <c r="E479" s="297"/>
      <c r="F479" s="297"/>
      <c r="G479" s="298"/>
      <c r="H479" s="297"/>
      <c r="I479" s="298"/>
      <c r="J479" s="298"/>
      <c r="K479" s="300"/>
    </row>
    <row r="480" ht="12.75">
      <c r="A480" s="297"/>
      <c r="B480" s="297"/>
      <c r="C480" s="297"/>
      <c r="D480" s="297"/>
      <c r="E480" s="297"/>
      <c r="F480" s="297"/>
      <c r="G480" s="298"/>
      <c r="H480" s="297"/>
      <c r="I480" s="298"/>
      <c r="J480" s="298"/>
      <c r="K480" s="300"/>
    </row>
    <row r="481" ht="12.75">
      <c r="A481" s="297"/>
      <c r="B481" s="297"/>
      <c r="C481" s="297"/>
      <c r="D481" s="297"/>
      <c r="E481" s="297"/>
      <c r="F481" s="297"/>
      <c r="G481" s="298"/>
      <c r="H481" s="297"/>
      <c r="I481" s="298"/>
      <c r="J481" s="298"/>
      <c r="K481" s="300"/>
    </row>
    <row r="482" ht="12.75">
      <c r="A482" s="297"/>
      <c r="B482" s="297"/>
      <c r="C482" s="297"/>
      <c r="D482" s="297"/>
      <c r="E482" s="297"/>
      <c r="F482" s="297"/>
      <c r="G482" s="298"/>
      <c r="H482" s="297"/>
      <c r="I482" s="298"/>
      <c r="J482" s="298"/>
      <c r="K482" s="300"/>
    </row>
    <row r="483" ht="12.75">
      <c r="A483" s="297"/>
      <c r="B483" s="297"/>
      <c r="C483" s="297"/>
      <c r="D483" s="297"/>
      <c r="E483" s="297"/>
      <c r="F483" s="297"/>
      <c r="G483" s="298"/>
      <c r="H483" s="297"/>
      <c r="I483" s="298"/>
      <c r="J483" s="298"/>
      <c r="K483" s="300"/>
    </row>
    <row r="484" ht="12.75">
      <c r="A484" s="297"/>
      <c r="B484" s="297"/>
      <c r="C484" s="297"/>
      <c r="D484" s="297"/>
      <c r="E484" s="297"/>
      <c r="F484" s="297"/>
      <c r="G484" s="298"/>
      <c r="H484" s="297"/>
      <c r="I484" s="298"/>
      <c r="J484" s="298"/>
      <c r="K484" s="300"/>
    </row>
    <row r="485" ht="12.75">
      <c r="A485" s="297"/>
      <c r="B485" s="297"/>
      <c r="C485" s="297"/>
      <c r="D485" s="297"/>
      <c r="E485" s="297"/>
      <c r="F485" s="297"/>
      <c r="G485" s="298"/>
      <c r="H485" s="297"/>
      <c r="I485" s="298"/>
      <c r="J485" s="298"/>
      <c r="K485" s="300"/>
    </row>
    <row r="486" ht="12.75">
      <c r="A486" s="297"/>
      <c r="B486" s="297"/>
      <c r="C486" s="297"/>
      <c r="D486" s="297"/>
      <c r="E486" s="297"/>
      <c r="F486" s="297"/>
      <c r="G486" s="298"/>
      <c r="H486" s="297"/>
      <c r="I486" s="298"/>
      <c r="J486" s="298"/>
      <c r="K486" s="300"/>
    </row>
    <row r="487" ht="12.75">
      <c r="A487" s="297"/>
      <c r="B487" s="297"/>
      <c r="C487" s="297"/>
      <c r="D487" s="297"/>
      <c r="E487" s="297"/>
      <c r="F487" s="297"/>
      <c r="G487" s="298"/>
      <c r="H487" s="297"/>
      <c r="I487" s="298"/>
      <c r="J487" s="298"/>
      <c r="K487" s="300"/>
    </row>
    <row r="488" ht="12.75">
      <c r="A488" s="297"/>
      <c r="B488" s="297"/>
      <c r="C488" s="297"/>
      <c r="D488" s="297"/>
      <c r="E488" s="297"/>
      <c r="F488" s="297"/>
      <c r="G488" s="298"/>
      <c r="H488" s="297"/>
      <c r="I488" s="298"/>
      <c r="J488" s="298"/>
      <c r="K488" s="300"/>
    </row>
    <row r="489" ht="12.75">
      <c r="A489" s="297"/>
      <c r="B489" s="297"/>
      <c r="C489" s="297"/>
      <c r="D489" s="297"/>
      <c r="E489" s="297"/>
      <c r="F489" s="297"/>
      <c r="G489" s="298"/>
      <c r="H489" s="297"/>
      <c r="I489" s="298"/>
      <c r="J489" s="298"/>
      <c r="K489" s="300"/>
    </row>
    <row r="490" ht="12.75">
      <c r="A490" s="297"/>
      <c r="B490" s="297"/>
      <c r="C490" s="297"/>
      <c r="D490" s="297"/>
      <c r="E490" s="297"/>
      <c r="F490" s="297"/>
      <c r="G490" s="298"/>
      <c r="H490" s="297"/>
      <c r="I490" s="298"/>
      <c r="J490" s="298"/>
      <c r="K490" s="300"/>
    </row>
    <row r="491" ht="12.75">
      <c r="A491" s="297"/>
      <c r="B491" s="297"/>
      <c r="C491" s="297"/>
      <c r="D491" s="297"/>
      <c r="E491" s="297"/>
      <c r="F491" s="297"/>
      <c r="G491" s="298"/>
      <c r="H491" s="297"/>
      <c r="I491" s="298"/>
      <c r="J491" s="298"/>
      <c r="K491" s="300"/>
    </row>
    <row r="492" ht="12.75">
      <c r="A492" s="297"/>
      <c r="B492" s="297"/>
      <c r="C492" s="297"/>
      <c r="D492" s="297"/>
      <c r="E492" s="297"/>
      <c r="F492" s="297"/>
      <c r="G492" s="298"/>
      <c r="H492" s="297"/>
      <c r="I492" s="298"/>
      <c r="J492" s="298"/>
      <c r="K492" s="300"/>
    </row>
    <row r="493" ht="12.75">
      <c r="A493" s="297"/>
      <c r="B493" s="297"/>
      <c r="C493" s="297"/>
      <c r="D493" s="297"/>
      <c r="E493" s="297"/>
      <c r="F493" s="297"/>
      <c r="G493" s="298"/>
      <c r="H493" s="297"/>
      <c r="I493" s="298"/>
      <c r="J493" s="298"/>
      <c r="K493" s="300"/>
    </row>
    <row r="494" ht="12.75">
      <c r="A494" s="297"/>
      <c r="B494" s="297"/>
      <c r="C494" s="297"/>
      <c r="D494" s="297"/>
      <c r="E494" s="297"/>
      <c r="F494" s="297"/>
      <c r="G494" s="298"/>
      <c r="H494" s="297"/>
      <c r="I494" s="298"/>
      <c r="J494" s="298"/>
      <c r="K494" s="300"/>
    </row>
    <row r="495" ht="12.75">
      <c r="A495" s="297"/>
      <c r="B495" s="297"/>
      <c r="C495" s="297"/>
      <c r="D495" s="297"/>
      <c r="E495" s="297"/>
      <c r="F495" s="297"/>
      <c r="G495" s="298"/>
      <c r="H495" s="297"/>
      <c r="I495" s="298"/>
      <c r="J495" s="298"/>
      <c r="K495" s="300"/>
    </row>
    <row r="496" ht="12.75">
      <c r="A496" s="297"/>
      <c r="B496" s="297"/>
      <c r="C496" s="297"/>
      <c r="D496" s="297"/>
      <c r="E496" s="297"/>
      <c r="F496" s="297"/>
      <c r="G496" s="298"/>
      <c r="H496" s="297"/>
      <c r="I496" s="298"/>
      <c r="J496" s="298"/>
      <c r="K496" s="300"/>
    </row>
    <row r="497" ht="12.75">
      <c r="A497" s="297"/>
      <c r="B497" s="297"/>
      <c r="C497" s="297"/>
      <c r="D497" s="297"/>
      <c r="E497" s="297"/>
      <c r="F497" s="297"/>
      <c r="G497" s="298"/>
      <c r="H497" s="297"/>
      <c r="I497" s="298"/>
      <c r="J497" s="298"/>
      <c r="K497" s="300"/>
    </row>
    <row r="498" ht="12.75">
      <c r="A498" s="297"/>
      <c r="B498" s="297"/>
      <c r="C498" s="297"/>
      <c r="D498" s="297"/>
      <c r="E498" s="297"/>
      <c r="F498" s="297"/>
      <c r="G498" s="298"/>
      <c r="H498" s="297"/>
      <c r="I498" s="298"/>
      <c r="J498" s="298"/>
      <c r="K498" s="300"/>
    </row>
    <row r="499" ht="12.75">
      <c r="A499" s="297"/>
      <c r="B499" s="297"/>
      <c r="C499" s="297"/>
      <c r="D499" s="297"/>
      <c r="E499" s="297"/>
      <c r="F499" s="297"/>
      <c r="G499" s="298"/>
      <c r="H499" s="297"/>
      <c r="I499" s="298"/>
      <c r="J499" s="298"/>
      <c r="K499" s="300"/>
    </row>
    <row r="500" ht="12.75">
      <c r="A500" s="297"/>
      <c r="B500" s="297"/>
      <c r="C500" s="297"/>
      <c r="D500" s="297"/>
      <c r="E500" s="297"/>
      <c r="F500" s="297"/>
      <c r="G500" s="298"/>
      <c r="H500" s="297"/>
      <c r="I500" s="298"/>
      <c r="J500" s="298"/>
      <c r="K500" s="300"/>
    </row>
    <row r="501" ht="12.75">
      <c r="A501" s="297"/>
      <c r="B501" s="297"/>
      <c r="C501" s="297"/>
      <c r="D501" s="297"/>
      <c r="E501" s="297"/>
      <c r="F501" s="297"/>
      <c r="G501" s="298"/>
      <c r="H501" s="297"/>
      <c r="I501" s="298"/>
      <c r="J501" s="298"/>
      <c r="K501" s="300"/>
    </row>
    <row r="502" ht="12.75">
      <c r="A502" s="297"/>
      <c r="B502" s="297"/>
      <c r="C502" s="297"/>
      <c r="D502" s="297"/>
      <c r="E502" s="297"/>
      <c r="F502" s="297"/>
      <c r="G502" s="298"/>
      <c r="H502" s="297"/>
      <c r="I502" s="298"/>
      <c r="J502" s="298"/>
      <c r="K502" s="300"/>
    </row>
    <row r="503" ht="12.75">
      <c r="A503" s="297"/>
      <c r="B503" s="297"/>
      <c r="C503" s="297"/>
      <c r="D503" s="297"/>
      <c r="E503" s="297"/>
      <c r="F503" s="297"/>
      <c r="G503" s="298"/>
      <c r="H503" s="297"/>
      <c r="I503" s="298"/>
      <c r="J503" s="298"/>
      <c r="K503" s="300"/>
    </row>
    <row r="504" ht="12.75">
      <c r="A504" s="297"/>
      <c r="B504" s="297"/>
      <c r="C504" s="297"/>
      <c r="D504" s="297"/>
      <c r="E504" s="297"/>
      <c r="F504" s="297"/>
      <c r="G504" s="298"/>
      <c r="H504" s="297"/>
      <c r="I504" s="298"/>
      <c r="J504" s="298"/>
      <c r="K504" s="300"/>
    </row>
    <row r="505" ht="12.75">
      <c r="A505" s="297"/>
      <c r="B505" s="297"/>
      <c r="C505" s="297"/>
      <c r="D505" s="297"/>
      <c r="E505" s="297"/>
      <c r="F505" s="297"/>
      <c r="G505" s="298"/>
      <c r="H505" s="297"/>
      <c r="I505" s="298"/>
      <c r="J505" s="298"/>
      <c r="K505" s="300"/>
    </row>
    <row r="506" ht="12.75">
      <c r="A506" s="297"/>
      <c r="B506" s="297"/>
      <c r="C506" s="297"/>
      <c r="D506" s="297"/>
      <c r="E506" s="297"/>
      <c r="F506" s="297"/>
      <c r="G506" s="298"/>
      <c r="H506" s="297"/>
      <c r="I506" s="298"/>
      <c r="J506" s="298"/>
      <c r="K506" s="300"/>
    </row>
    <row r="507" ht="12.75">
      <c r="A507" s="297"/>
      <c r="B507" s="297"/>
      <c r="C507" s="297"/>
      <c r="D507" s="297"/>
      <c r="E507" s="297"/>
      <c r="F507" s="297"/>
      <c r="G507" s="298"/>
      <c r="H507" s="297"/>
      <c r="I507" s="298"/>
      <c r="J507" s="298"/>
      <c r="K507" s="300"/>
    </row>
    <row r="508" ht="12.75">
      <c r="A508" s="297"/>
      <c r="B508" s="297"/>
      <c r="C508" s="297"/>
      <c r="D508" s="297"/>
      <c r="E508" s="297"/>
      <c r="F508" s="297"/>
      <c r="G508" s="298"/>
      <c r="H508" s="297"/>
      <c r="I508" s="298"/>
      <c r="J508" s="298"/>
      <c r="K508" s="300"/>
    </row>
    <row r="509" ht="12.75">
      <c r="A509" s="297"/>
      <c r="B509" s="297"/>
      <c r="C509" s="297"/>
      <c r="D509" s="297"/>
      <c r="E509" s="297"/>
      <c r="F509" s="297"/>
      <c r="G509" s="298"/>
      <c r="H509" s="297"/>
      <c r="I509" s="298"/>
      <c r="J509" s="298"/>
      <c r="K509" s="300"/>
    </row>
    <row r="510" ht="12.75">
      <c r="A510" s="297"/>
      <c r="B510" s="297"/>
      <c r="C510" s="297"/>
      <c r="D510" s="297"/>
      <c r="E510" s="297"/>
      <c r="F510" s="297"/>
      <c r="G510" s="298"/>
      <c r="H510" s="297"/>
      <c r="I510" s="298"/>
      <c r="J510" s="298"/>
      <c r="K510" s="300"/>
    </row>
    <row r="511" ht="12.75">
      <c r="A511" s="297"/>
      <c r="B511" s="297"/>
      <c r="C511" s="297"/>
      <c r="D511" s="297"/>
      <c r="E511" s="297"/>
      <c r="F511" s="297"/>
      <c r="G511" s="298"/>
      <c r="H511" s="297"/>
      <c r="I511" s="298"/>
      <c r="J511" s="298"/>
      <c r="K511" s="300"/>
    </row>
    <row r="512" ht="12.75">
      <c r="A512" s="297"/>
      <c r="B512" s="297"/>
      <c r="C512" s="297"/>
      <c r="D512" s="297"/>
      <c r="E512" s="297"/>
      <c r="F512" s="297"/>
      <c r="G512" s="298"/>
      <c r="H512" s="297"/>
      <c r="I512" s="298"/>
      <c r="J512" s="298"/>
      <c r="K512" s="300"/>
    </row>
    <row r="513" ht="12.75">
      <c r="A513" s="297"/>
      <c r="B513" s="297"/>
      <c r="C513" s="297"/>
      <c r="D513" s="297"/>
      <c r="E513" s="297"/>
      <c r="F513" s="297"/>
      <c r="G513" s="298"/>
      <c r="H513" s="297"/>
      <c r="I513" s="298"/>
      <c r="J513" s="298"/>
      <c r="K513" s="300"/>
    </row>
    <row r="514" ht="12.75">
      <c r="A514" s="297"/>
      <c r="B514" s="297"/>
      <c r="C514" s="297"/>
      <c r="D514" s="297"/>
      <c r="E514" s="297"/>
      <c r="F514" s="297"/>
      <c r="G514" s="298"/>
      <c r="H514" s="297"/>
      <c r="I514" s="298"/>
      <c r="J514" s="298"/>
      <c r="K514" s="300"/>
    </row>
    <row r="515" ht="12.75">
      <c r="A515" s="297"/>
      <c r="B515" s="297"/>
      <c r="C515" s="297"/>
      <c r="D515" s="297"/>
      <c r="E515" s="297"/>
      <c r="F515" s="297"/>
      <c r="G515" s="298"/>
      <c r="H515" s="297"/>
      <c r="I515" s="298"/>
      <c r="J515" s="298"/>
      <c r="K515" s="300"/>
    </row>
    <row r="516" ht="12.75">
      <c r="A516" s="297"/>
      <c r="B516" s="297"/>
      <c r="C516" s="297"/>
      <c r="D516" s="297"/>
      <c r="E516" s="297"/>
      <c r="F516" s="297"/>
      <c r="G516" s="298"/>
      <c r="H516" s="297"/>
      <c r="I516" s="298"/>
      <c r="J516" s="298"/>
      <c r="K516" s="300"/>
    </row>
    <row r="517" ht="12.75">
      <c r="A517" s="297"/>
      <c r="B517" s="297"/>
      <c r="C517" s="297"/>
      <c r="D517" s="297"/>
      <c r="E517" s="297"/>
      <c r="F517" s="297"/>
      <c r="G517" s="298"/>
      <c r="H517" s="297"/>
      <c r="I517" s="298"/>
      <c r="J517" s="298"/>
      <c r="K517" s="300"/>
    </row>
    <row r="518" ht="12.75">
      <c r="A518" s="297"/>
      <c r="B518" s="297"/>
      <c r="C518" s="297"/>
      <c r="D518" s="297"/>
      <c r="E518" s="297"/>
      <c r="F518" s="297"/>
      <c r="G518" s="298"/>
      <c r="H518" s="297"/>
      <c r="I518" s="298"/>
      <c r="J518" s="298"/>
      <c r="K518" s="300"/>
    </row>
    <row r="519" ht="12.75">
      <c r="A519" s="297"/>
      <c r="B519" s="297"/>
      <c r="C519" s="297"/>
      <c r="D519" s="297"/>
      <c r="E519" s="297"/>
      <c r="F519" s="297"/>
      <c r="G519" s="298"/>
      <c r="H519" s="297"/>
      <c r="I519" s="298"/>
      <c r="J519" s="298"/>
      <c r="K519" s="300"/>
    </row>
    <row r="520" ht="12.75">
      <c r="A520" s="297"/>
      <c r="B520" s="297"/>
      <c r="C520" s="297"/>
      <c r="D520" s="297"/>
      <c r="E520" s="297"/>
      <c r="F520" s="297"/>
      <c r="G520" s="298"/>
      <c r="H520" s="297"/>
      <c r="I520" s="298"/>
      <c r="J520" s="298"/>
      <c r="K520" s="300"/>
    </row>
    <row r="521" ht="12.75">
      <c r="A521" s="297"/>
      <c r="B521" s="297"/>
      <c r="C521" s="297"/>
      <c r="D521" s="297"/>
      <c r="E521" s="297"/>
      <c r="F521" s="297"/>
      <c r="G521" s="298"/>
      <c r="H521" s="297"/>
      <c r="I521" s="298"/>
      <c r="J521" s="298"/>
      <c r="K521" s="300"/>
    </row>
    <row r="522" ht="12.75">
      <c r="A522" s="297"/>
      <c r="B522" s="297"/>
      <c r="C522" s="297"/>
      <c r="D522" s="297"/>
      <c r="E522" s="297"/>
      <c r="F522" s="297"/>
      <c r="G522" s="298"/>
      <c r="H522" s="297"/>
      <c r="I522" s="298"/>
      <c r="J522" s="298"/>
      <c r="K522" s="300"/>
    </row>
    <row r="523" ht="12.75">
      <c r="A523" s="297"/>
      <c r="B523" s="297"/>
      <c r="C523" s="297"/>
      <c r="D523" s="297"/>
      <c r="E523" s="297"/>
      <c r="F523" s="297"/>
      <c r="G523" s="298"/>
      <c r="H523" s="297"/>
      <c r="I523" s="298"/>
      <c r="J523" s="298"/>
      <c r="K523" s="300"/>
    </row>
    <row r="524" ht="12.75">
      <c r="A524" s="297"/>
      <c r="B524" s="297"/>
      <c r="C524" s="297"/>
      <c r="D524" s="297"/>
      <c r="E524" s="297"/>
      <c r="F524" s="297"/>
      <c r="G524" s="298"/>
      <c r="H524" s="297"/>
      <c r="I524" s="298"/>
      <c r="J524" s="298"/>
      <c r="K524" s="300"/>
    </row>
    <row r="525" ht="12.75">
      <c r="A525" s="297"/>
      <c r="B525" s="297"/>
      <c r="C525" s="297"/>
      <c r="D525" s="297"/>
      <c r="E525" s="297"/>
      <c r="F525" s="297"/>
      <c r="G525" s="298"/>
      <c r="H525" s="297"/>
      <c r="I525" s="298"/>
      <c r="J525" s="298"/>
      <c r="K525" s="300"/>
    </row>
    <row r="526" ht="12.75">
      <c r="A526" s="297"/>
      <c r="B526" s="297"/>
      <c r="C526" s="297"/>
      <c r="D526" s="297"/>
      <c r="E526" s="297"/>
      <c r="F526" s="297"/>
      <c r="G526" s="298"/>
      <c r="H526" s="297"/>
      <c r="I526" s="298"/>
      <c r="J526" s="298"/>
      <c r="K526" s="300"/>
    </row>
    <row r="527" ht="12.75">
      <c r="A527" s="297"/>
      <c r="B527" s="297"/>
      <c r="C527" s="297"/>
      <c r="D527" s="297"/>
      <c r="E527" s="297"/>
      <c r="F527" s="297"/>
      <c r="G527" s="298"/>
      <c r="H527" s="297"/>
      <c r="I527" s="298"/>
      <c r="J527" s="298"/>
      <c r="K527" s="300"/>
    </row>
    <row r="528" ht="12.75">
      <c r="A528" s="297"/>
      <c r="B528" s="297"/>
      <c r="C528" s="297"/>
      <c r="D528" s="297"/>
      <c r="E528" s="297"/>
      <c r="F528" s="297"/>
      <c r="G528" s="298"/>
      <c r="H528" s="297"/>
      <c r="I528" s="298"/>
      <c r="J528" s="298"/>
      <c r="K528" s="300"/>
    </row>
    <row r="529" ht="12.75">
      <c r="A529" s="297"/>
      <c r="B529" s="297"/>
      <c r="C529" s="297"/>
      <c r="D529" s="297"/>
      <c r="E529" s="297"/>
      <c r="F529" s="297"/>
      <c r="G529" s="298"/>
      <c r="H529" s="297"/>
      <c r="I529" s="298"/>
      <c r="J529" s="298"/>
      <c r="K529" s="300"/>
    </row>
    <row r="530" ht="12.75">
      <c r="A530" s="297"/>
      <c r="B530" s="297"/>
      <c r="C530" s="297"/>
      <c r="D530" s="297"/>
      <c r="E530" s="297"/>
      <c r="F530" s="297"/>
      <c r="G530" s="298"/>
      <c r="H530" s="297"/>
      <c r="I530" s="298"/>
      <c r="J530" s="298"/>
      <c r="K530" s="300"/>
    </row>
    <row r="531" ht="12.75">
      <c r="A531" s="297"/>
      <c r="B531" s="297"/>
      <c r="C531" s="297"/>
      <c r="D531" s="297"/>
      <c r="E531" s="297"/>
      <c r="F531" s="297"/>
      <c r="G531" s="298"/>
      <c r="H531" s="297"/>
      <c r="I531" s="298"/>
      <c r="J531" s="298"/>
      <c r="K531" s="300"/>
    </row>
    <row r="532" ht="12.75">
      <c r="A532" s="297"/>
      <c r="B532" s="297"/>
      <c r="C532" s="297"/>
      <c r="D532" s="297"/>
      <c r="E532" s="297"/>
      <c r="F532" s="297"/>
      <c r="G532" s="298"/>
      <c r="H532" s="297"/>
      <c r="I532" s="298"/>
      <c r="J532" s="298"/>
      <c r="K532" s="300"/>
    </row>
    <row r="533" ht="12.75">
      <c r="A533" s="297"/>
      <c r="B533" s="297"/>
      <c r="C533" s="297"/>
      <c r="D533" s="297"/>
      <c r="E533" s="297"/>
      <c r="F533" s="297"/>
      <c r="G533" s="298"/>
      <c r="H533" s="297"/>
      <c r="I533" s="298"/>
      <c r="J533" s="298"/>
      <c r="K533" s="300"/>
    </row>
    <row r="534" ht="12.75">
      <c r="A534" s="297"/>
      <c r="B534" s="297"/>
      <c r="C534" s="297"/>
      <c r="D534" s="297"/>
      <c r="E534" s="297"/>
      <c r="F534" s="297"/>
      <c r="G534" s="298"/>
      <c r="H534" s="297"/>
      <c r="I534" s="298"/>
      <c r="J534" s="298"/>
      <c r="K534" s="300"/>
    </row>
    <row r="535" ht="12.75">
      <c r="A535" s="297"/>
      <c r="B535" s="297"/>
      <c r="C535" s="297"/>
      <c r="D535" s="297"/>
      <c r="E535" s="297"/>
      <c r="F535" s="297"/>
      <c r="G535" s="298"/>
      <c r="H535" s="297"/>
      <c r="I535" s="298"/>
      <c r="J535" s="298"/>
      <c r="K535" s="300"/>
    </row>
    <row r="536" ht="12.75">
      <c r="A536" s="297"/>
      <c r="B536" s="297"/>
      <c r="C536" s="297"/>
      <c r="D536" s="297"/>
      <c r="E536" s="297"/>
      <c r="F536" s="297"/>
      <c r="G536" s="298"/>
      <c r="H536" s="297"/>
      <c r="I536" s="298"/>
      <c r="J536" s="298"/>
      <c r="K536" s="300"/>
    </row>
    <row r="537" ht="12.75">
      <c r="A537" s="297"/>
      <c r="B537" s="297"/>
      <c r="C537" s="297"/>
      <c r="D537" s="297"/>
      <c r="E537" s="297"/>
      <c r="F537" s="297"/>
      <c r="G537" s="298"/>
      <c r="H537" s="297"/>
      <c r="I537" s="298"/>
      <c r="J537" s="298"/>
      <c r="K537" s="300"/>
    </row>
    <row r="538" ht="12.75">
      <c r="A538" s="297"/>
      <c r="B538" s="297"/>
      <c r="C538" s="297"/>
      <c r="D538" s="297"/>
      <c r="E538" s="297"/>
      <c r="F538" s="297"/>
      <c r="G538" s="298"/>
      <c r="H538" s="297"/>
      <c r="I538" s="298"/>
      <c r="J538" s="298"/>
      <c r="K538" s="300"/>
    </row>
    <row r="539" ht="12.75">
      <c r="A539" s="297"/>
      <c r="B539" s="297"/>
      <c r="C539" s="297"/>
      <c r="D539" s="297"/>
      <c r="E539" s="297"/>
      <c r="F539" s="297"/>
      <c r="G539" s="298"/>
      <c r="H539" s="297"/>
      <c r="I539" s="298"/>
      <c r="J539" s="298"/>
      <c r="K539" s="300"/>
    </row>
    <row r="540" ht="12.75">
      <c r="A540" s="297"/>
      <c r="B540" s="297"/>
      <c r="C540" s="297"/>
      <c r="D540" s="297"/>
      <c r="E540" s="297"/>
      <c r="F540" s="297"/>
      <c r="G540" s="298"/>
      <c r="H540" s="297"/>
      <c r="I540" s="298"/>
      <c r="J540" s="298"/>
      <c r="K540" s="300"/>
    </row>
    <row r="541" ht="12.75">
      <c r="A541" s="297"/>
      <c r="B541" s="297"/>
      <c r="C541" s="297"/>
      <c r="D541" s="297"/>
      <c r="E541" s="297"/>
      <c r="F541" s="297"/>
      <c r="G541" s="298"/>
      <c r="H541" s="297"/>
      <c r="I541" s="298"/>
      <c r="J541" s="298"/>
      <c r="K541" s="300"/>
    </row>
    <row r="542" ht="12.75">
      <c r="A542" s="297"/>
      <c r="B542" s="297"/>
      <c r="C542" s="297"/>
      <c r="D542" s="297"/>
      <c r="E542" s="297"/>
      <c r="F542" s="297"/>
      <c r="G542" s="298"/>
      <c r="H542" s="297"/>
      <c r="I542" s="298"/>
      <c r="J542" s="298"/>
      <c r="K542" s="300"/>
    </row>
    <row r="543" ht="12.75">
      <c r="A543" s="297"/>
      <c r="B543" s="297"/>
      <c r="C543" s="297"/>
      <c r="D543" s="297"/>
      <c r="E543" s="297"/>
      <c r="F543" s="297"/>
      <c r="G543" s="298"/>
      <c r="H543" s="297"/>
      <c r="I543" s="298"/>
      <c r="J543" s="298"/>
      <c r="K543" s="300"/>
    </row>
    <row r="544" ht="12.75">
      <c r="A544" s="297"/>
      <c r="B544" s="297"/>
      <c r="C544" s="297"/>
      <c r="D544" s="297"/>
      <c r="E544" s="297"/>
      <c r="F544" s="297"/>
      <c r="G544" s="298"/>
      <c r="H544" s="297"/>
      <c r="I544" s="298"/>
      <c r="J544" s="298"/>
      <c r="K544" s="300"/>
    </row>
    <row r="545" ht="12.75">
      <c r="A545" s="297"/>
      <c r="B545" s="297"/>
      <c r="C545" s="297"/>
      <c r="D545" s="297"/>
      <c r="E545" s="297"/>
      <c r="F545" s="297"/>
      <c r="G545" s="298"/>
      <c r="H545" s="297"/>
      <c r="I545" s="298"/>
      <c r="J545" s="298"/>
      <c r="K545" s="300"/>
    </row>
    <row r="546" ht="12.75">
      <c r="A546" s="297"/>
      <c r="B546" s="297"/>
      <c r="C546" s="297"/>
      <c r="D546" s="297"/>
      <c r="E546" s="297"/>
      <c r="F546" s="297"/>
      <c r="G546" s="298"/>
      <c r="H546" s="297"/>
      <c r="I546" s="298"/>
      <c r="J546" s="298"/>
      <c r="K546" s="300"/>
    </row>
    <row r="547" ht="12.75">
      <c r="A547" s="297"/>
      <c r="B547" s="297"/>
      <c r="C547" s="297"/>
      <c r="D547" s="297"/>
      <c r="E547" s="297"/>
      <c r="F547" s="297"/>
      <c r="G547" s="298"/>
      <c r="H547" s="297"/>
      <c r="I547" s="298"/>
      <c r="J547" s="298"/>
      <c r="K547" s="300"/>
    </row>
    <row r="548" ht="12.75">
      <c r="A548" s="297"/>
      <c r="B548" s="297"/>
      <c r="C548" s="297"/>
      <c r="D548" s="297"/>
      <c r="E548" s="297"/>
      <c r="F548" s="297"/>
      <c r="G548" s="298"/>
      <c r="H548" s="297"/>
      <c r="I548" s="298"/>
      <c r="J548" s="298"/>
      <c r="K548" s="300"/>
    </row>
    <row r="549" ht="12.75">
      <c r="A549" s="297"/>
      <c r="B549" s="297"/>
      <c r="C549" s="297"/>
      <c r="D549" s="297"/>
      <c r="E549" s="297"/>
      <c r="F549" s="297"/>
      <c r="G549" s="298"/>
      <c r="H549" s="297"/>
      <c r="I549" s="298"/>
      <c r="J549" s="298"/>
      <c r="K549" s="300"/>
    </row>
    <row r="550" ht="12.75">
      <c r="A550" s="297"/>
      <c r="B550" s="297"/>
      <c r="C550" s="297"/>
      <c r="D550" s="297"/>
      <c r="E550" s="297"/>
      <c r="F550" s="297"/>
      <c r="G550" s="298"/>
      <c r="H550" s="297"/>
      <c r="I550" s="298"/>
      <c r="J550" s="298"/>
      <c r="K550" s="300"/>
    </row>
    <row r="551" ht="12.75">
      <c r="A551" s="297"/>
      <c r="B551" s="297"/>
      <c r="C551" s="297"/>
      <c r="D551" s="297"/>
      <c r="E551" s="297"/>
      <c r="F551" s="297"/>
      <c r="G551" s="298"/>
      <c r="H551" s="297"/>
      <c r="I551" s="298"/>
      <c r="J551" s="298"/>
      <c r="K551" s="300"/>
    </row>
    <row r="552" ht="12.75">
      <c r="A552" s="297"/>
      <c r="B552" s="297"/>
      <c r="C552" s="297"/>
      <c r="D552" s="297"/>
      <c r="E552" s="297"/>
      <c r="F552" s="297"/>
      <c r="G552" s="298"/>
      <c r="H552" s="297"/>
      <c r="I552" s="298"/>
      <c r="J552" s="298"/>
      <c r="K552" s="300"/>
    </row>
    <row r="553" ht="12.75">
      <c r="A553" s="297"/>
      <c r="B553" s="297"/>
      <c r="C553" s="297"/>
      <c r="D553" s="297"/>
      <c r="E553" s="297"/>
      <c r="F553" s="297"/>
      <c r="G553" s="298"/>
      <c r="H553" s="297"/>
      <c r="I553" s="298"/>
      <c r="J553" s="298"/>
      <c r="K553" s="300"/>
    </row>
    <row r="554" ht="12.75">
      <c r="A554" s="297"/>
      <c r="B554" s="297"/>
      <c r="C554" s="297"/>
      <c r="D554" s="297"/>
      <c r="E554" s="297"/>
      <c r="F554" s="297"/>
      <c r="G554" s="298"/>
      <c r="H554" s="297"/>
      <c r="I554" s="298"/>
      <c r="J554" s="298"/>
      <c r="K554" s="300"/>
    </row>
    <row r="555" ht="12.75">
      <c r="A555" s="297"/>
      <c r="B555" s="297"/>
      <c r="C555" s="297"/>
      <c r="D555" s="297"/>
      <c r="E555" s="297"/>
      <c r="F555" s="297"/>
      <c r="G555" s="298"/>
      <c r="H555" s="297"/>
      <c r="I555" s="298"/>
      <c r="J555" s="298"/>
      <c r="K555" s="300"/>
    </row>
    <row r="556" ht="12.75">
      <c r="A556" s="297"/>
      <c r="B556" s="297"/>
      <c r="C556" s="297"/>
      <c r="D556" s="297"/>
      <c r="E556" s="297"/>
      <c r="F556" s="297"/>
      <c r="G556" s="298"/>
      <c r="H556" s="297"/>
      <c r="I556" s="298"/>
      <c r="J556" s="298"/>
      <c r="K556" s="300"/>
    </row>
    <row r="557" ht="12.75">
      <c r="A557" s="297"/>
      <c r="B557" s="297"/>
      <c r="C557" s="297"/>
      <c r="D557" s="297"/>
      <c r="E557" s="297"/>
      <c r="F557" s="297"/>
      <c r="G557" s="298"/>
      <c r="H557" s="297"/>
      <c r="I557" s="298"/>
      <c r="J557" s="298"/>
      <c r="K557" s="300"/>
    </row>
    <row r="558" ht="12.75">
      <c r="A558" s="297"/>
      <c r="B558" s="297"/>
      <c r="C558" s="297"/>
      <c r="D558" s="297"/>
      <c r="E558" s="297"/>
      <c r="F558" s="297"/>
      <c r="G558" s="298"/>
      <c r="H558" s="297"/>
      <c r="I558" s="298"/>
      <c r="J558" s="298"/>
      <c r="K558" s="300"/>
    </row>
    <row r="559" ht="12.75">
      <c r="A559" s="297"/>
      <c r="B559" s="297"/>
      <c r="C559" s="297"/>
      <c r="D559" s="297"/>
      <c r="E559" s="297"/>
      <c r="F559" s="297"/>
      <c r="G559" s="298"/>
      <c r="H559" s="297"/>
      <c r="I559" s="298"/>
      <c r="J559" s="298"/>
      <c r="K559" s="300"/>
    </row>
    <row r="560" ht="12.75">
      <c r="A560" s="297"/>
      <c r="B560" s="297"/>
      <c r="C560" s="297"/>
      <c r="D560" s="297"/>
      <c r="E560" s="297"/>
      <c r="F560" s="297"/>
      <c r="G560" s="298"/>
      <c r="H560" s="297"/>
      <c r="I560" s="298"/>
      <c r="J560" s="298"/>
      <c r="K560" s="300"/>
    </row>
    <row r="561" ht="12.75">
      <c r="A561" s="297"/>
      <c r="B561" s="297"/>
      <c r="C561" s="297"/>
      <c r="D561" s="297"/>
      <c r="E561" s="297"/>
      <c r="F561" s="297"/>
      <c r="G561" s="298"/>
      <c r="H561" s="297"/>
      <c r="I561" s="298"/>
      <c r="J561" s="298"/>
      <c r="K561" s="300"/>
    </row>
    <row r="562" ht="12.75">
      <c r="A562" s="297"/>
      <c r="B562" s="297"/>
      <c r="C562" s="297"/>
      <c r="D562" s="297"/>
      <c r="E562" s="297"/>
      <c r="F562" s="297"/>
      <c r="G562" s="298"/>
      <c r="H562" s="297"/>
      <c r="I562" s="298"/>
      <c r="J562" s="298"/>
      <c r="K562" s="300"/>
    </row>
    <row r="563" ht="12.75">
      <c r="A563" s="297"/>
      <c r="B563" s="297"/>
      <c r="C563" s="297"/>
      <c r="D563" s="297"/>
      <c r="E563" s="297"/>
      <c r="F563" s="297"/>
      <c r="G563" s="298"/>
      <c r="H563" s="297"/>
      <c r="I563" s="298"/>
      <c r="J563" s="298"/>
      <c r="K563" s="300"/>
    </row>
    <row r="564" ht="12.75">
      <c r="A564" s="297"/>
      <c r="B564" s="297"/>
      <c r="C564" s="297"/>
      <c r="D564" s="297"/>
      <c r="E564" s="297"/>
      <c r="F564" s="297"/>
      <c r="G564" s="298"/>
      <c r="H564" s="297"/>
      <c r="I564" s="298"/>
      <c r="J564" s="298"/>
      <c r="K564" s="300"/>
    </row>
    <row r="565" ht="12.75">
      <c r="A565" s="297"/>
      <c r="B565" s="297"/>
      <c r="C565" s="297"/>
      <c r="D565" s="297"/>
      <c r="E565" s="297"/>
      <c r="F565" s="297"/>
      <c r="G565" s="298"/>
      <c r="H565" s="297"/>
      <c r="I565" s="298"/>
      <c r="J565" s="298"/>
      <c r="K565" s="300"/>
    </row>
    <row r="566" ht="12.75">
      <c r="A566" s="297"/>
      <c r="B566" s="297"/>
      <c r="C566" s="297"/>
      <c r="D566" s="297"/>
      <c r="E566" s="297"/>
      <c r="F566" s="297"/>
      <c r="G566" s="298"/>
      <c r="H566" s="297"/>
      <c r="I566" s="298"/>
      <c r="J566" s="298"/>
      <c r="K566" s="300"/>
    </row>
    <row r="567" ht="12.75">
      <c r="A567" s="297"/>
      <c r="B567" s="297"/>
      <c r="C567" s="297"/>
      <c r="D567" s="297"/>
      <c r="E567" s="297"/>
      <c r="F567" s="297"/>
      <c r="G567" s="298"/>
      <c r="H567" s="297"/>
      <c r="I567" s="298"/>
      <c r="J567" s="298"/>
      <c r="K567" s="300"/>
    </row>
    <row r="568" ht="12.75">
      <c r="A568" s="297"/>
      <c r="B568" s="297"/>
      <c r="C568" s="297"/>
      <c r="D568" s="297"/>
      <c r="E568" s="297"/>
      <c r="F568" s="297"/>
      <c r="G568" s="298"/>
      <c r="H568" s="297"/>
      <c r="I568" s="298"/>
      <c r="J568" s="298"/>
      <c r="K568" s="300"/>
    </row>
    <row r="569" ht="12.75">
      <c r="A569" s="297"/>
      <c r="B569" s="297"/>
      <c r="C569" s="297"/>
      <c r="D569" s="297"/>
      <c r="E569" s="297"/>
      <c r="F569" s="297"/>
      <c r="G569" s="298"/>
      <c r="H569" s="297"/>
      <c r="I569" s="298"/>
      <c r="J569" s="298"/>
      <c r="K569" s="300"/>
    </row>
    <row r="570" ht="12.75">
      <c r="A570" s="297"/>
      <c r="B570" s="297"/>
      <c r="C570" s="297"/>
      <c r="D570" s="297"/>
      <c r="E570" s="297"/>
      <c r="F570" s="297"/>
      <c r="G570" s="298"/>
      <c r="H570" s="297"/>
      <c r="I570" s="298"/>
      <c r="J570" s="298"/>
      <c r="K570" s="300"/>
    </row>
    <row r="571" ht="12.75">
      <c r="A571" s="297"/>
      <c r="B571" s="297"/>
      <c r="C571" s="297"/>
      <c r="D571" s="297"/>
      <c r="E571" s="297"/>
      <c r="F571" s="297"/>
      <c r="G571" s="298"/>
      <c r="H571" s="297"/>
      <c r="I571" s="298"/>
      <c r="J571" s="298"/>
      <c r="K571" s="300"/>
    </row>
    <row r="572" ht="12.75">
      <c r="A572" s="297"/>
      <c r="B572" s="297"/>
      <c r="C572" s="297"/>
      <c r="D572" s="297"/>
      <c r="E572" s="297"/>
      <c r="F572" s="297"/>
      <c r="G572" s="298"/>
      <c r="H572" s="297"/>
      <c r="I572" s="298"/>
      <c r="J572" s="298"/>
      <c r="K572" s="300"/>
    </row>
    <row r="573" ht="12.75">
      <c r="A573" s="297"/>
      <c r="B573" s="297"/>
      <c r="C573" s="297"/>
      <c r="D573" s="297"/>
      <c r="E573" s="297"/>
      <c r="F573" s="297"/>
      <c r="G573" s="298"/>
      <c r="H573" s="297"/>
      <c r="I573" s="298"/>
      <c r="J573" s="298"/>
      <c r="K573" s="300"/>
    </row>
    <row r="574" ht="12.75">
      <c r="A574" s="297"/>
      <c r="B574" s="297"/>
      <c r="C574" s="297"/>
      <c r="D574" s="297"/>
      <c r="E574" s="297"/>
      <c r="F574" s="297"/>
      <c r="G574" s="298"/>
      <c r="H574" s="297"/>
      <c r="I574" s="298"/>
      <c r="J574" s="298"/>
      <c r="K574" s="300"/>
    </row>
    <row r="575" ht="12.75">
      <c r="A575" s="297"/>
      <c r="B575" s="297"/>
      <c r="C575" s="297"/>
      <c r="D575" s="297"/>
      <c r="E575" s="297"/>
      <c r="F575" s="297"/>
      <c r="G575" s="298"/>
      <c r="H575" s="297"/>
      <c r="I575" s="298"/>
      <c r="J575" s="298"/>
      <c r="K575" s="300"/>
    </row>
    <row r="576" ht="12.75">
      <c r="A576" s="297"/>
      <c r="B576" s="297"/>
      <c r="C576" s="297"/>
      <c r="D576" s="297"/>
      <c r="E576" s="297"/>
      <c r="F576" s="297"/>
      <c r="G576" s="298"/>
      <c r="H576" s="297"/>
      <c r="I576" s="298"/>
      <c r="J576" s="298"/>
      <c r="K576" s="300"/>
    </row>
    <row r="577" ht="12.75">
      <c r="A577" s="297"/>
      <c r="B577" s="297"/>
      <c r="C577" s="297"/>
      <c r="D577" s="297"/>
      <c r="E577" s="297"/>
      <c r="F577" s="297"/>
      <c r="G577" s="298"/>
      <c r="H577" s="297"/>
      <c r="I577" s="298"/>
      <c r="J577" s="298"/>
      <c r="K577" s="300"/>
    </row>
    <row r="578" ht="12.75">
      <c r="A578" s="297"/>
      <c r="B578" s="297"/>
      <c r="C578" s="297"/>
      <c r="D578" s="297"/>
      <c r="E578" s="297"/>
      <c r="F578" s="297"/>
      <c r="G578" s="298"/>
      <c r="H578" s="297"/>
      <c r="I578" s="298"/>
      <c r="J578" s="298"/>
      <c r="K578" s="300"/>
    </row>
    <row r="579" ht="12.75">
      <c r="A579" s="297"/>
      <c r="B579" s="297"/>
      <c r="C579" s="297"/>
      <c r="D579" s="297"/>
      <c r="E579" s="297"/>
      <c r="F579" s="297"/>
      <c r="G579" s="298"/>
      <c r="H579" s="297"/>
      <c r="I579" s="298"/>
      <c r="J579" s="298"/>
      <c r="K579" s="300"/>
    </row>
    <row r="580" ht="12.75">
      <c r="A580" s="297"/>
      <c r="B580" s="297"/>
      <c r="C580" s="297"/>
      <c r="D580" s="297"/>
      <c r="E580" s="297"/>
      <c r="F580" s="297"/>
      <c r="G580" s="298"/>
      <c r="H580" s="297"/>
      <c r="I580" s="298"/>
      <c r="J580" s="298"/>
      <c r="K580" s="300"/>
    </row>
    <row r="581" ht="12.75">
      <c r="A581" s="297"/>
      <c r="B581" s="297"/>
      <c r="C581" s="297"/>
      <c r="D581" s="297"/>
      <c r="E581" s="297"/>
      <c r="F581" s="297"/>
      <c r="G581" s="298"/>
      <c r="H581" s="297"/>
      <c r="I581" s="298"/>
      <c r="J581" s="298"/>
      <c r="K581" s="300"/>
    </row>
    <row r="582" ht="12.75">
      <c r="A582" s="297"/>
      <c r="B582" s="297"/>
      <c r="C582" s="297"/>
      <c r="D582" s="297"/>
      <c r="E582" s="297"/>
      <c r="F582" s="297"/>
      <c r="G582" s="298"/>
      <c r="H582" s="297"/>
      <c r="I582" s="298"/>
      <c r="J582" s="298"/>
      <c r="K582" s="300"/>
    </row>
    <row r="583" ht="12.75">
      <c r="A583" s="297"/>
      <c r="B583" s="297"/>
      <c r="C583" s="297"/>
      <c r="D583" s="297"/>
      <c r="E583" s="297"/>
      <c r="F583" s="297"/>
      <c r="G583" s="298"/>
      <c r="H583" s="297"/>
      <c r="I583" s="298"/>
      <c r="J583" s="298"/>
      <c r="K583" s="300"/>
    </row>
    <row r="584" ht="12.75">
      <c r="A584" s="297"/>
      <c r="B584" s="297"/>
      <c r="C584" s="297"/>
      <c r="D584" s="297"/>
      <c r="E584" s="297"/>
      <c r="F584" s="297"/>
      <c r="G584" s="298"/>
      <c r="H584" s="297"/>
      <c r="I584" s="298"/>
      <c r="J584" s="298"/>
      <c r="K584" s="300"/>
    </row>
    <row r="585" ht="12.75">
      <c r="A585" s="297"/>
      <c r="B585" s="297"/>
      <c r="C585" s="297"/>
      <c r="D585" s="297"/>
      <c r="E585" s="297"/>
      <c r="F585" s="297"/>
      <c r="G585" s="298"/>
      <c r="H585" s="297"/>
      <c r="I585" s="298"/>
      <c r="J585" s="298"/>
      <c r="K585" s="300"/>
    </row>
    <row r="586" ht="12.75">
      <c r="A586" s="297"/>
      <c r="B586" s="297"/>
      <c r="C586" s="297"/>
      <c r="D586" s="297"/>
      <c r="E586" s="297"/>
      <c r="F586" s="297"/>
      <c r="G586" s="298"/>
      <c r="H586" s="297"/>
      <c r="I586" s="298"/>
      <c r="J586" s="298"/>
      <c r="K586" s="300"/>
    </row>
    <row r="587" ht="12.75">
      <c r="A587" s="297"/>
      <c r="B587" s="297"/>
      <c r="C587" s="297"/>
      <c r="D587" s="297"/>
      <c r="E587" s="297"/>
      <c r="F587" s="297"/>
      <c r="G587" s="298"/>
      <c r="H587" s="297"/>
      <c r="I587" s="298"/>
      <c r="J587" s="298"/>
      <c r="K587" s="300"/>
    </row>
    <row r="588" ht="12.75">
      <c r="A588" s="297"/>
      <c r="B588" s="297"/>
      <c r="C588" s="297"/>
      <c r="D588" s="297"/>
      <c r="E588" s="297"/>
      <c r="F588" s="297"/>
      <c r="G588" s="298"/>
      <c r="H588" s="297"/>
      <c r="I588" s="298"/>
      <c r="J588" s="298"/>
      <c r="K588" s="300"/>
    </row>
    <row r="589" ht="12.75">
      <c r="A589" s="297"/>
      <c r="B589" s="297"/>
      <c r="C589" s="297"/>
      <c r="D589" s="297"/>
      <c r="E589" s="297"/>
      <c r="F589" s="297"/>
      <c r="G589" s="298"/>
      <c r="H589" s="297"/>
      <c r="I589" s="298"/>
      <c r="J589" s="298"/>
      <c r="K589" s="300"/>
    </row>
    <row r="590" ht="12.75">
      <c r="A590" s="297"/>
      <c r="B590" s="297"/>
      <c r="C590" s="297"/>
      <c r="D590" s="297"/>
      <c r="E590" s="297"/>
      <c r="F590" s="297"/>
      <c r="G590" s="298"/>
      <c r="H590" s="297"/>
      <c r="I590" s="298"/>
      <c r="J590" s="298"/>
      <c r="K590" s="300"/>
    </row>
    <row r="591" ht="12.75">
      <c r="A591" s="297"/>
      <c r="B591" s="297"/>
      <c r="C591" s="297"/>
      <c r="D591" s="297"/>
      <c r="E591" s="297"/>
      <c r="F591" s="297"/>
      <c r="G591" s="298"/>
      <c r="H591" s="297"/>
      <c r="I591" s="298"/>
      <c r="J591" s="298"/>
      <c r="K591" s="300"/>
    </row>
    <row r="592" ht="12.75">
      <c r="A592" s="297"/>
      <c r="B592" s="297"/>
      <c r="C592" s="297"/>
      <c r="D592" s="297"/>
      <c r="E592" s="297"/>
      <c r="F592" s="297"/>
      <c r="G592" s="298"/>
      <c r="H592" s="297"/>
      <c r="I592" s="298"/>
      <c r="J592" s="298"/>
      <c r="K592" s="300"/>
    </row>
    <row r="593" ht="12.75">
      <c r="A593" s="297"/>
      <c r="B593" s="297"/>
      <c r="C593" s="297"/>
      <c r="D593" s="297"/>
      <c r="E593" s="297"/>
      <c r="F593" s="297"/>
      <c r="G593" s="298"/>
      <c r="H593" s="297"/>
      <c r="I593" s="298"/>
      <c r="J593" s="298"/>
      <c r="K593" s="300"/>
    </row>
    <row r="594" ht="12.75">
      <c r="A594" s="297"/>
      <c r="B594" s="297"/>
      <c r="C594" s="297"/>
      <c r="D594" s="297"/>
      <c r="E594" s="297"/>
      <c r="F594" s="297"/>
      <c r="G594" s="298"/>
      <c r="H594" s="297"/>
      <c r="I594" s="298"/>
      <c r="J594" s="298"/>
      <c r="K594" s="300"/>
    </row>
    <row r="595" ht="12.75">
      <c r="A595" s="297"/>
      <c r="B595" s="297"/>
      <c r="C595" s="297"/>
      <c r="D595" s="297"/>
      <c r="E595" s="297"/>
      <c r="F595" s="297"/>
      <c r="G595" s="298"/>
      <c r="H595" s="297"/>
      <c r="I595" s="298"/>
      <c r="J595" s="298"/>
      <c r="K595" s="300"/>
    </row>
    <row r="596" ht="12.75">
      <c r="A596" s="297"/>
      <c r="B596" s="297"/>
      <c r="C596" s="297"/>
      <c r="D596" s="297"/>
      <c r="E596" s="297"/>
      <c r="F596" s="297"/>
      <c r="G596" s="298"/>
      <c r="H596" s="297"/>
      <c r="I596" s="298"/>
      <c r="J596" s="298"/>
      <c r="K596" s="300"/>
    </row>
    <row r="597" ht="12.75">
      <c r="A597" s="297"/>
      <c r="B597" s="297"/>
      <c r="C597" s="297"/>
      <c r="D597" s="297"/>
      <c r="E597" s="297"/>
      <c r="F597" s="297"/>
      <c r="G597" s="298"/>
      <c r="H597" s="297"/>
      <c r="I597" s="298"/>
      <c r="J597" s="298"/>
      <c r="K597" s="300"/>
    </row>
    <row r="598" ht="12.75">
      <c r="A598" s="297"/>
      <c r="B598" s="297"/>
      <c r="C598" s="297"/>
      <c r="D598" s="297"/>
      <c r="E598" s="297"/>
      <c r="F598" s="297"/>
      <c r="G598" s="298"/>
      <c r="H598" s="297"/>
      <c r="I598" s="298"/>
      <c r="J598" s="298"/>
      <c r="K598" s="300"/>
    </row>
    <row r="599" ht="12.75">
      <c r="A599" s="297"/>
      <c r="B599" s="297"/>
      <c r="C599" s="297"/>
      <c r="D599" s="297"/>
      <c r="E599" s="297"/>
      <c r="F599" s="297"/>
      <c r="G599" s="298"/>
      <c r="H599" s="297"/>
      <c r="I599" s="298"/>
      <c r="J599" s="298"/>
      <c r="K599" s="300"/>
    </row>
    <row r="600" ht="12.75">
      <c r="A600" s="297"/>
      <c r="B600" s="297"/>
      <c r="C600" s="297"/>
      <c r="D600" s="297"/>
      <c r="E600" s="297"/>
      <c r="F600" s="297"/>
      <c r="G600" s="298"/>
      <c r="H600" s="297"/>
      <c r="I600" s="298"/>
      <c r="J600" s="298"/>
      <c r="K600" s="300"/>
    </row>
    <row r="601" ht="12.75">
      <c r="A601" s="297"/>
      <c r="B601" s="297"/>
      <c r="C601" s="297"/>
      <c r="D601" s="297"/>
      <c r="E601" s="297"/>
      <c r="F601" s="297"/>
      <c r="G601" s="298"/>
      <c r="H601" s="297"/>
      <c r="I601" s="298"/>
      <c r="J601" s="298"/>
      <c r="K601" s="300"/>
    </row>
    <row r="602" ht="12.75">
      <c r="A602" s="297"/>
      <c r="B602" s="297"/>
      <c r="C602" s="297"/>
      <c r="D602" s="297"/>
      <c r="E602" s="297"/>
      <c r="F602" s="297"/>
      <c r="G602" s="298"/>
      <c r="H602" s="297"/>
      <c r="I602" s="298"/>
      <c r="J602" s="298"/>
      <c r="K602" s="300"/>
    </row>
    <row r="603" ht="12.75">
      <c r="A603" s="297"/>
      <c r="B603" s="297"/>
      <c r="C603" s="297"/>
      <c r="D603" s="297"/>
      <c r="E603" s="297"/>
      <c r="F603" s="297"/>
      <c r="G603" s="298"/>
      <c r="H603" s="297"/>
      <c r="I603" s="298"/>
      <c r="J603" s="298"/>
      <c r="K603" s="300"/>
    </row>
    <row r="604" ht="12.75">
      <c r="A604" s="297"/>
      <c r="B604" s="297"/>
      <c r="C604" s="297"/>
      <c r="D604" s="297"/>
      <c r="E604" s="297"/>
      <c r="F604" s="297"/>
      <c r="G604" s="298"/>
      <c r="H604" s="297"/>
      <c r="I604" s="298"/>
      <c r="J604" s="298"/>
      <c r="K604" s="300"/>
    </row>
    <row r="605" ht="12.75">
      <c r="A605" s="297"/>
      <c r="B605" s="297"/>
      <c r="C605" s="297"/>
      <c r="D605" s="297"/>
      <c r="E605" s="297"/>
      <c r="F605" s="297"/>
      <c r="G605" s="298"/>
      <c r="H605" s="297"/>
      <c r="I605" s="298"/>
      <c r="J605" s="298"/>
      <c r="K605" s="300"/>
    </row>
    <row r="606" ht="12.75">
      <c r="A606" s="297"/>
      <c r="B606" s="297"/>
      <c r="C606" s="297"/>
      <c r="D606" s="297"/>
      <c r="E606" s="297"/>
      <c r="F606" s="297"/>
      <c r="G606" s="298"/>
      <c r="H606" s="297"/>
      <c r="I606" s="298"/>
      <c r="J606" s="298"/>
      <c r="K606" s="300"/>
    </row>
    <row r="607" ht="12.75">
      <c r="A607" s="297"/>
      <c r="B607" s="297"/>
      <c r="C607" s="297"/>
      <c r="D607" s="297"/>
      <c r="E607" s="297"/>
      <c r="F607" s="297"/>
      <c r="G607" s="298"/>
      <c r="H607" s="297"/>
      <c r="I607" s="298"/>
      <c r="J607" s="298"/>
      <c r="K607" s="300"/>
    </row>
    <row r="608" ht="12.75">
      <c r="A608" s="297"/>
      <c r="B608" s="297"/>
      <c r="C608" s="297"/>
      <c r="D608" s="297"/>
      <c r="E608" s="297"/>
      <c r="F608" s="297"/>
      <c r="G608" s="298"/>
      <c r="H608" s="297"/>
      <c r="I608" s="298"/>
      <c r="J608" s="298"/>
      <c r="K608" s="300"/>
    </row>
    <row r="609" ht="12.75">
      <c r="A609" s="297"/>
      <c r="B609" s="297"/>
      <c r="C609" s="297"/>
      <c r="D609" s="297"/>
      <c r="E609" s="297"/>
      <c r="F609" s="297"/>
      <c r="G609" s="298"/>
      <c r="H609" s="297"/>
      <c r="I609" s="298"/>
      <c r="J609" s="298"/>
      <c r="K609" s="300"/>
    </row>
    <row r="610" ht="12.75">
      <c r="A610" s="297"/>
      <c r="B610" s="297"/>
      <c r="C610" s="297"/>
      <c r="D610" s="297"/>
      <c r="E610" s="297"/>
      <c r="F610" s="297"/>
      <c r="G610" s="298"/>
      <c r="H610" s="297"/>
      <c r="I610" s="298"/>
      <c r="J610" s="298"/>
      <c r="K610" s="300"/>
    </row>
    <row r="611" ht="12.75">
      <c r="A611" s="297"/>
      <c r="B611" s="297"/>
      <c r="C611" s="297"/>
      <c r="D611" s="297"/>
      <c r="E611" s="297"/>
      <c r="F611" s="297"/>
      <c r="G611" s="298"/>
      <c r="H611" s="297"/>
      <c r="I611" s="298"/>
      <c r="J611" s="298"/>
      <c r="K611" s="300"/>
    </row>
    <row r="612" ht="12.75">
      <c r="A612" s="297"/>
      <c r="B612" s="297"/>
      <c r="C612" s="297"/>
      <c r="D612" s="297"/>
      <c r="E612" s="297"/>
      <c r="F612" s="297"/>
      <c r="G612" s="298"/>
      <c r="H612" s="297"/>
      <c r="I612" s="298"/>
      <c r="J612" s="298"/>
      <c r="K612" s="300"/>
    </row>
    <row r="613" ht="12.75">
      <c r="A613" s="297"/>
      <c r="B613" s="297"/>
      <c r="C613" s="297"/>
      <c r="D613" s="297"/>
      <c r="E613" s="297"/>
      <c r="F613" s="297"/>
      <c r="G613" s="298"/>
      <c r="H613" s="297"/>
      <c r="I613" s="298"/>
      <c r="J613" s="298"/>
      <c r="K613" s="300"/>
    </row>
    <row r="614" ht="12.75">
      <c r="A614" s="297"/>
      <c r="B614" s="297"/>
      <c r="C614" s="297"/>
      <c r="D614" s="297"/>
      <c r="E614" s="297"/>
      <c r="F614" s="297"/>
      <c r="G614" s="298"/>
      <c r="H614" s="297"/>
      <c r="I614" s="298"/>
      <c r="J614" s="298"/>
      <c r="K614" s="300"/>
    </row>
    <row r="615" ht="12.75">
      <c r="A615" s="297"/>
      <c r="B615" s="297"/>
      <c r="C615" s="297"/>
      <c r="D615" s="297"/>
      <c r="E615" s="297"/>
      <c r="F615" s="297"/>
      <c r="G615" s="298"/>
      <c r="H615" s="297"/>
      <c r="I615" s="298"/>
      <c r="J615" s="298"/>
      <c r="K615" s="300"/>
    </row>
    <row r="616" ht="12.75">
      <c r="A616" s="297"/>
      <c r="B616" s="297"/>
      <c r="C616" s="297"/>
      <c r="D616" s="297"/>
      <c r="E616" s="297"/>
      <c r="F616" s="297"/>
      <c r="G616" s="298"/>
      <c r="H616" s="297"/>
      <c r="I616" s="298"/>
      <c r="J616" s="298"/>
      <c r="K616" s="300"/>
    </row>
    <row r="617" ht="12.75">
      <c r="A617" s="297"/>
      <c r="B617" s="297"/>
      <c r="C617" s="297"/>
      <c r="D617" s="297"/>
      <c r="E617" s="297"/>
      <c r="F617" s="297"/>
      <c r="G617" s="298"/>
      <c r="H617" s="297"/>
      <c r="I617" s="298"/>
      <c r="J617" s="298"/>
      <c r="K617" s="300"/>
    </row>
    <row r="618" ht="12.75">
      <c r="A618" s="297"/>
      <c r="B618" s="297"/>
      <c r="C618" s="297"/>
      <c r="D618" s="297"/>
      <c r="E618" s="297"/>
      <c r="F618" s="297"/>
      <c r="G618" s="298"/>
      <c r="H618" s="297"/>
      <c r="I618" s="298"/>
      <c r="J618" s="298"/>
      <c r="K618" s="300"/>
    </row>
    <row r="619" ht="12.75">
      <c r="A619" s="297"/>
      <c r="B619" s="297"/>
      <c r="C619" s="297"/>
      <c r="D619" s="297"/>
      <c r="E619" s="297"/>
      <c r="F619" s="297"/>
      <c r="G619" s="298"/>
      <c r="H619" s="297"/>
      <c r="I619" s="298"/>
      <c r="J619" s="298"/>
      <c r="K619" s="300"/>
    </row>
    <row r="620" ht="12.75">
      <c r="A620" s="297"/>
      <c r="B620" s="297"/>
      <c r="C620" s="297"/>
      <c r="D620" s="297"/>
      <c r="E620" s="297"/>
      <c r="F620" s="297"/>
      <c r="G620" s="298"/>
      <c r="H620" s="297"/>
      <c r="I620" s="298"/>
      <c r="J620" s="298"/>
      <c r="K620" s="300"/>
    </row>
    <row r="621" ht="12.75">
      <c r="A621" s="297"/>
      <c r="B621" s="297"/>
      <c r="C621" s="297"/>
      <c r="D621" s="297"/>
      <c r="E621" s="297"/>
      <c r="F621" s="297"/>
      <c r="G621" s="298"/>
      <c r="H621" s="297"/>
      <c r="I621" s="298"/>
      <c r="J621" s="298"/>
      <c r="K621" s="300"/>
    </row>
    <row r="622" ht="12.75">
      <c r="A622" s="297"/>
      <c r="B622" s="297"/>
      <c r="C622" s="297"/>
      <c r="D622" s="297"/>
      <c r="E622" s="297"/>
      <c r="F622" s="297"/>
      <c r="G622" s="298"/>
      <c r="H622" s="297"/>
      <c r="I622" s="298"/>
      <c r="J622" s="298"/>
      <c r="K622" s="300"/>
    </row>
    <row r="623" ht="12.75">
      <c r="A623" s="297"/>
      <c r="B623" s="297"/>
      <c r="C623" s="297"/>
      <c r="D623" s="297"/>
      <c r="E623" s="297"/>
      <c r="F623" s="297"/>
      <c r="G623" s="298"/>
      <c r="H623" s="297"/>
      <c r="I623" s="298"/>
      <c r="J623" s="298"/>
      <c r="K623" s="300"/>
    </row>
    <row r="624" ht="12.75">
      <c r="A624" s="297"/>
      <c r="B624" s="297"/>
      <c r="C624" s="297"/>
      <c r="D624" s="297"/>
      <c r="E624" s="297"/>
      <c r="F624" s="297"/>
      <c r="G624" s="298"/>
      <c r="H624" s="297"/>
      <c r="I624" s="298"/>
      <c r="J624" s="298"/>
      <c r="K624" s="300"/>
    </row>
    <row r="625" ht="12.75">
      <c r="A625" s="297"/>
      <c r="B625" s="297"/>
      <c r="C625" s="297"/>
      <c r="D625" s="297"/>
      <c r="E625" s="297"/>
      <c r="F625" s="297"/>
      <c r="G625" s="298"/>
      <c r="H625" s="297"/>
      <c r="I625" s="298"/>
      <c r="J625" s="298"/>
      <c r="K625" s="300"/>
    </row>
    <row r="626" ht="12.75">
      <c r="A626" s="297"/>
      <c r="B626" s="297"/>
      <c r="C626" s="297"/>
      <c r="D626" s="297"/>
      <c r="E626" s="297"/>
      <c r="F626" s="297"/>
      <c r="G626" s="298"/>
      <c r="H626" s="297"/>
      <c r="I626" s="298"/>
      <c r="J626" s="298"/>
      <c r="K626" s="300"/>
    </row>
    <row r="627" ht="12.75">
      <c r="A627" s="297"/>
      <c r="B627" s="297"/>
      <c r="C627" s="297"/>
      <c r="D627" s="297"/>
      <c r="E627" s="297"/>
      <c r="F627" s="297"/>
      <c r="G627" s="298"/>
      <c r="H627" s="297"/>
      <c r="I627" s="298"/>
      <c r="J627" s="298"/>
      <c r="K627" s="300"/>
    </row>
    <row r="628" ht="12.75">
      <c r="A628" s="297"/>
      <c r="B628" s="297"/>
      <c r="C628" s="297"/>
      <c r="D628" s="297"/>
      <c r="E628" s="297"/>
      <c r="F628" s="297"/>
      <c r="G628" s="298"/>
      <c r="H628" s="297"/>
      <c r="I628" s="298"/>
      <c r="J628" s="298"/>
      <c r="K628" s="300"/>
    </row>
    <row r="629" ht="12.75">
      <c r="A629" s="297"/>
      <c r="B629" s="297"/>
      <c r="C629" s="297"/>
      <c r="D629" s="297"/>
      <c r="E629" s="297"/>
      <c r="F629" s="297"/>
      <c r="G629" s="298"/>
      <c r="H629" s="297"/>
      <c r="I629" s="298"/>
      <c r="J629" s="298"/>
      <c r="K629" s="300"/>
    </row>
    <row r="630" ht="12.75">
      <c r="A630" s="297"/>
      <c r="B630" s="297"/>
      <c r="C630" s="297"/>
      <c r="D630" s="297"/>
      <c r="E630" s="297"/>
      <c r="F630" s="297"/>
      <c r="G630" s="298"/>
      <c r="H630" s="297"/>
      <c r="I630" s="298"/>
      <c r="J630" s="298"/>
      <c r="K630" s="300"/>
    </row>
    <row r="631" ht="12.75">
      <c r="A631" s="297"/>
      <c r="B631" s="297"/>
      <c r="C631" s="297"/>
      <c r="D631" s="297"/>
      <c r="E631" s="297"/>
      <c r="F631" s="297"/>
      <c r="G631" s="298"/>
      <c r="H631" s="297"/>
      <c r="I631" s="298"/>
      <c r="J631" s="298"/>
      <c r="K631" s="300"/>
    </row>
    <row r="632" ht="12.75">
      <c r="A632" s="297"/>
      <c r="B632" s="297"/>
      <c r="C632" s="297"/>
      <c r="D632" s="297"/>
      <c r="E632" s="297"/>
      <c r="F632" s="297"/>
      <c r="G632" s="298"/>
      <c r="H632" s="297"/>
      <c r="I632" s="298"/>
      <c r="J632" s="298"/>
      <c r="K632" s="300"/>
    </row>
    <row r="633" ht="12.75">
      <c r="A633" s="297"/>
      <c r="B633" s="297"/>
      <c r="C633" s="297"/>
      <c r="D633" s="297"/>
      <c r="E633" s="297"/>
      <c r="F633" s="297"/>
      <c r="G633" s="298"/>
      <c r="H633" s="297"/>
      <c r="I633" s="298"/>
      <c r="J633" s="298"/>
      <c r="K633" s="300"/>
    </row>
    <row r="634" ht="12.75">
      <c r="A634" s="297"/>
      <c r="B634" s="297"/>
      <c r="C634" s="297"/>
      <c r="D634" s="297"/>
      <c r="E634" s="297"/>
      <c r="F634" s="297"/>
      <c r="G634" s="298"/>
      <c r="H634" s="297"/>
      <c r="I634" s="298"/>
      <c r="J634" s="298"/>
      <c r="K634" s="300"/>
    </row>
    <row r="635" ht="12.75">
      <c r="A635" s="297"/>
      <c r="B635" s="297"/>
      <c r="C635" s="297"/>
      <c r="D635" s="297"/>
      <c r="E635" s="297"/>
      <c r="F635" s="297"/>
      <c r="G635" s="298"/>
      <c r="H635" s="297"/>
      <c r="I635" s="298"/>
      <c r="J635" s="298"/>
      <c r="K635" s="300"/>
    </row>
    <row r="636" ht="12.75">
      <c r="A636" s="297"/>
      <c r="B636" s="297"/>
      <c r="C636" s="297"/>
      <c r="D636" s="297"/>
      <c r="E636" s="297"/>
      <c r="F636" s="297"/>
      <c r="G636" s="298"/>
      <c r="H636" s="297"/>
      <c r="I636" s="298"/>
      <c r="J636" s="298"/>
      <c r="K636" s="300"/>
    </row>
    <row r="637" ht="12.75">
      <c r="A637" s="297"/>
      <c r="B637" s="297"/>
      <c r="C637" s="297"/>
      <c r="D637" s="297"/>
      <c r="E637" s="297"/>
      <c r="F637" s="297"/>
      <c r="G637" s="298"/>
      <c r="H637" s="297"/>
      <c r="I637" s="298"/>
      <c r="J637" s="298"/>
      <c r="K637" s="300"/>
    </row>
    <row r="638" ht="12.75">
      <c r="A638" s="297"/>
      <c r="B638" s="297"/>
      <c r="C638" s="297"/>
      <c r="D638" s="297"/>
      <c r="E638" s="297"/>
      <c r="F638" s="297"/>
      <c r="G638" s="298"/>
      <c r="H638" s="297"/>
      <c r="I638" s="298"/>
      <c r="J638" s="298"/>
      <c r="K638" s="300"/>
    </row>
    <row r="639" ht="12.75">
      <c r="A639" s="297"/>
      <c r="B639" s="297"/>
      <c r="C639" s="297"/>
      <c r="D639" s="297"/>
      <c r="E639" s="297"/>
      <c r="F639" s="297"/>
      <c r="G639" s="298"/>
      <c r="H639" s="297"/>
      <c r="I639" s="298"/>
      <c r="J639" s="298"/>
      <c r="K639" s="300"/>
    </row>
    <row r="640" ht="12.75">
      <c r="A640" s="297"/>
      <c r="B640" s="297"/>
      <c r="C640" s="297"/>
      <c r="D640" s="297"/>
      <c r="E640" s="297"/>
      <c r="F640" s="297"/>
      <c r="G640" s="298"/>
      <c r="H640" s="297"/>
      <c r="I640" s="298"/>
      <c r="J640" s="298"/>
      <c r="K640" s="300"/>
    </row>
    <row r="641" ht="12.75">
      <c r="A641" s="297"/>
      <c r="B641" s="297"/>
      <c r="C641" s="297"/>
      <c r="D641" s="297"/>
      <c r="E641" s="297"/>
      <c r="F641" s="297"/>
      <c r="G641" s="298"/>
      <c r="H641" s="297"/>
      <c r="I641" s="298"/>
      <c r="J641" s="298"/>
      <c r="K641" s="300"/>
    </row>
    <row r="642" ht="12.75">
      <c r="A642" s="297"/>
      <c r="B642" s="297"/>
      <c r="C642" s="297"/>
      <c r="D642" s="297"/>
      <c r="E642" s="297"/>
      <c r="F642" s="297"/>
      <c r="G642" s="298"/>
      <c r="H642" s="297"/>
      <c r="I642" s="298"/>
      <c r="J642" s="298"/>
      <c r="K642" s="300"/>
    </row>
    <row r="643" ht="12.75">
      <c r="A643" s="297"/>
      <c r="B643" s="297"/>
      <c r="C643" s="297"/>
      <c r="D643" s="297"/>
      <c r="E643" s="297"/>
      <c r="F643" s="297"/>
      <c r="G643" s="298"/>
      <c r="H643" s="297"/>
      <c r="I643" s="298"/>
      <c r="J643" s="298"/>
      <c r="K643" s="300"/>
    </row>
    <row r="644" ht="12.75">
      <c r="A644" s="297"/>
      <c r="B644" s="297"/>
      <c r="C644" s="297"/>
      <c r="D644" s="297"/>
      <c r="E644" s="297"/>
      <c r="F644" s="297"/>
      <c r="G644" s="298"/>
      <c r="H644" s="297"/>
      <c r="I644" s="298"/>
      <c r="J644" s="298"/>
      <c r="K644" s="300"/>
    </row>
    <row r="645" ht="12.75">
      <c r="A645" s="297"/>
      <c r="B645" s="297"/>
      <c r="C645" s="297"/>
      <c r="D645" s="297"/>
      <c r="E645" s="297"/>
      <c r="F645" s="297"/>
      <c r="G645" s="298"/>
      <c r="H645" s="297"/>
      <c r="I645" s="298"/>
      <c r="J645" s="298"/>
      <c r="K645" s="300"/>
    </row>
    <row r="646" ht="12.75">
      <c r="A646" s="297"/>
      <c r="B646" s="297"/>
      <c r="C646" s="297"/>
      <c r="D646" s="297"/>
      <c r="E646" s="297"/>
      <c r="F646" s="297"/>
      <c r="G646" s="298"/>
      <c r="H646" s="297"/>
      <c r="I646" s="298"/>
      <c r="J646" s="298"/>
      <c r="K646" s="300"/>
    </row>
    <row r="647" ht="12.75">
      <c r="A647" s="297"/>
      <c r="B647" s="297"/>
      <c r="C647" s="297"/>
      <c r="D647" s="297"/>
      <c r="E647" s="297"/>
      <c r="F647" s="297"/>
      <c r="G647" s="298"/>
      <c r="H647" s="297"/>
      <c r="I647" s="298"/>
      <c r="J647" s="298"/>
      <c r="K647" s="300"/>
    </row>
    <row r="648" ht="12.75">
      <c r="A648" s="297"/>
      <c r="B648" s="297"/>
      <c r="C648" s="297"/>
      <c r="D648" s="297"/>
      <c r="E648" s="297"/>
      <c r="F648" s="297"/>
      <c r="G648" s="298"/>
      <c r="H648" s="297"/>
      <c r="I648" s="298"/>
      <c r="J648" s="298"/>
      <c r="K648" s="300"/>
    </row>
    <row r="649" ht="12.75">
      <c r="A649" s="297"/>
      <c r="B649" s="297"/>
      <c r="C649" s="297"/>
      <c r="D649" s="297"/>
      <c r="E649" s="297"/>
      <c r="F649" s="297"/>
      <c r="G649" s="298"/>
      <c r="H649" s="297"/>
      <c r="I649" s="298"/>
      <c r="J649" s="298"/>
      <c r="K649" s="300"/>
    </row>
    <row r="650" ht="12.75">
      <c r="A650" s="297"/>
      <c r="B650" s="297"/>
      <c r="C650" s="297"/>
      <c r="D650" s="297"/>
      <c r="E650" s="297"/>
      <c r="F650" s="297"/>
      <c r="G650" s="298"/>
      <c r="H650" s="297"/>
      <c r="I650" s="298"/>
      <c r="J650" s="298"/>
      <c r="K650" s="300"/>
    </row>
    <row r="651" ht="12.75">
      <c r="A651" s="297"/>
      <c r="B651" s="297"/>
      <c r="C651" s="297"/>
      <c r="D651" s="297"/>
      <c r="E651" s="297"/>
      <c r="F651" s="297"/>
      <c r="G651" s="298"/>
      <c r="H651" s="297"/>
      <c r="I651" s="298"/>
      <c r="J651" s="298"/>
      <c r="K651" s="300"/>
    </row>
    <row r="652" ht="12.75">
      <c r="A652" s="297"/>
      <c r="B652" s="297"/>
      <c r="C652" s="297"/>
      <c r="D652" s="297"/>
      <c r="E652" s="297"/>
      <c r="F652" s="297"/>
      <c r="G652" s="298"/>
      <c r="H652" s="297"/>
      <c r="I652" s="298"/>
      <c r="J652" s="298"/>
      <c r="K652" s="300"/>
    </row>
    <row r="653" ht="12.75">
      <c r="A653" s="297"/>
      <c r="B653" s="297"/>
      <c r="C653" s="297"/>
      <c r="D653" s="297"/>
      <c r="E653" s="297"/>
      <c r="F653" s="297"/>
      <c r="G653" s="298"/>
      <c r="H653" s="297"/>
      <c r="I653" s="298"/>
      <c r="J653" s="298"/>
      <c r="K653" s="300"/>
    </row>
    <row r="654" ht="12.75">
      <c r="A654" s="297"/>
      <c r="B654" s="297"/>
      <c r="C654" s="297"/>
      <c r="D654" s="297"/>
      <c r="E654" s="297"/>
      <c r="F654" s="297"/>
      <c r="G654" s="298"/>
      <c r="H654" s="297"/>
      <c r="I654" s="298"/>
      <c r="J654" s="298"/>
      <c r="K654" s="300"/>
    </row>
    <row r="655" ht="12.75">
      <c r="A655" s="297"/>
      <c r="B655" s="297"/>
      <c r="C655" s="297"/>
      <c r="D655" s="297"/>
      <c r="E655" s="297"/>
      <c r="F655" s="297"/>
      <c r="G655" s="298"/>
      <c r="H655" s="297"/>
      <c r="I655" s="298"/>
      <c r="J655" s="298"/>
      <c r="K655" s="300"/>
    </row>
    <row r="656" ht="12.75">
      <c r="A656" s="297"/>
      <c r="B656" s="297"/>
      <c r="C656" s="297"/>
      <c r="D656" s="297"/>
      <c r="E656" s="297"/>
      <c r="F656" s="297"/>
      <c r="G656" s="298"/>
      <c r="H656" s="297"/>
      <c r="I656" s="298"/>
      <c r="J656" s="298"/>
      <c r="K656" s="300"/>
    </row>
    <row r="657" ht="12.75">
      <c r="A657" s="297"/>
      <c r="B657" s="297"/>
      <c r="C657" s="297"/>
      <c r="D657" s="297"/>
      <c r="E657" s="297"/>
      <c r="F657" s="297"/>
      <c r="G657" s="298"/>
      <c r="H657" s="297"/>
      <c r="I657" s="298"/>
      <c r="J657" s="298"/>
      <c r="K657" s="300"/>
    </row>
    <row r="658" ht="12.75">
      <c r="A658" s="297"/>
      <c r="B658" s="297"/>
      <c r="C658" s="297"/>
      <c r="D658" s="297"/>
      <c r="E658" s="297"/>
      <c r="F658" s="297"/>
      <c r="G658" s="298"/>
      <c r="H658" s="297"/>
      <c r="I658" s="298"/>
      <c r="J658" s="298"/>
      <c r="K658" s="300"/>
    </row>
    <row r="659" ht="12.75">
      <c r="A659" s="297"/>
      <c r="B659" s="297"/>
      <c r="C659" s="297"/>
      <c r="D659" s="297"/>
      <c r="E659" s="297"/>
      <c r="F659" s="297"/>
      <c r="G659" s="298"/>
      <c r="H659" s="297"/>
      <c r="I659" s="298"/>
      <c r="J659" s="298"/>
      <c r="K659" s="300"/>
    </row>
    <row r="660" ht="12.75">
      <c r="A660" s="297"/>
      <c r="B660" s="297"/>
      <c r="C660" s="297"/>
      <c r="D660" s="297"/>
      <c r="E660" s="297"/>
      <c r="F660" s="297"/>
      <c r="G660" s="298"/>
      <c r="H660" s="297"/>
      <c r="I660" s="298"/>
      <c r="J660" s="298"/>
      <c r="K660" s="300"/>
    </row>
    <row r="661" ht="12.75">
      <c r="A661" s="297"/>
      <c r="B661" s="297"/>
      <c r="C661" s="297"/>
      <c r="D661" s="297"/>
      <c r="E661" s="297"/>
      <c r="F661" s="297"/>
      <c r="G661" s="298"/>
      <c r="H661" s="297"/>
      <c r="I661" s="298"/>
      <c r="J661" s="298"/>
      <c r="K661" s="300"/>
    </row>
    <row r="662" ht="12.75">
      <c r="A662" s="297"/>
      <c r="B662" s="297"/>
      <c r="C662" s="297"/>
      <c r="D662" s="297"/>
      <c r="E662" s="297"/>
      <c r="F662" s="297"/>
      <c r="G662" s="298"/>
      <c r="H662" s="297"/>
      <c r="I662" s="298"/>
      <c r="J662" s="298"/>
      <c r="K662" s="300"/>
    </row>
    <row r="663" ht="12.75">
      <c r="A663" s="297"/>
      <c r="B663" s="297"/>
      <c r="C663" s="297"/>
      <c r="D663" s="297"/>
      <c r="E663" s="297"/>
      <c r="F663" s="297"/>
      <c r="G663" s="298"/>
      <c r="H663" s="297"/>
      <c r="I663" s="298"/>
      <c r="J663" s="298"/>
      <c r="K663" s="300"/>
    </row>
    <row r="664" ht="12.75">
      <c r="A664" s="297"/>
      <c r="B664" s="297"/>
      <c r="C664" s="297"/>
      <c r="D664" s="297"/>
      <c r="E664" s="297"/>
      <c r="F664" s="297"/>
      <c r="G664" s="298"/>
      <c r="H664" s="297"/>
      <c r="I664" s="298"/>
      <c r="J664" s="298"/>
      <c r="K664" s="300"/>
    </row>
    <row r="665" ht="12.75">
      <c r="A665" s="297"/>
      <c r="B665" s="297"/>
      <c r="C665" s="297"/>
      <c r="D665" s="297"/>
      <c r="E665" s="297"/>
      <c r="F665" s="297"/>
      <c r="G665" s="298"/>
      <c r="H665" s="297"/>
      <c r="I665" s="298"/>
      <c r="J665" s="298"/>
      <c r="K665" s="300"/>
    </row>
    <row r="666" ht="12.75">
      <c r="A666" s="297"/>
      <c r="B666" s="297"/>
      <c r="C666" s="297"/>
      <c r="D666" s="297"/>
      <c r="E666" s="297"/>
      <c r="F666" s="297"/>
      <c r="G666" s="298"/>
      <c r="H666" s="297"/>
      <c r="I666" s="298"/>
      <c r="J666" s="298"/>
      <c r="K666" s="300"/>
    </row>
    <row r="667" ht="12.75">
      <c r="A667" s="297"/>
      <c r="B667" s="297"/>
      <c r="C667" s="297"/>
      <c r="D667" s="297"/>
      <c r="E667" s="297"/>
      <c r="F667" s="297"/>
      <c r="G667" s="298"/>
      <c r="H667" s="297"/>
      <c r="I667" s="298"/>
      <c r="J667" s="298"/>
      <c r="K667" s="300"/>
    </row>
    <row r="668" ht="12.75">
      <c r="A668" s="297"/>
      <c r="B668" s="297"/>
      <c r="C668" s="297"/>
      <c r="D668" s="297"/>
      <c r="E668" s="297"/>
      <c r="F668" s="297"/>
      <c r="G668" s="298"/>
      <c r="H668" s="297"/>
      <c r="I668" s="298"/>
      <c r="J668" s="298"/>
      <c r="K668" s="300"/>
    </row>
    <row r="669" ht="12.75">
      <c r="A669" s="297"/>
      <c r="B669" s="297"/>
      <c r="C669" s="297"/>
      <c r="D669" s="297"/>
      <c r="E669" s="297"/>
      <c r="F669" s="297"/>
      <c r="G669" s="298"/>
      <c r="H669" s="297"/>
      <c r="I669" s="298"/>
      <c r="J669" s="298"/>
      <c r="K669" s="300"/>
    </row>
    <row r="670" ht="12.75">
      <c r="A670" s="297"/>
      <c r="B670" s="297"/>
      <c r="C670" s="297"/>
      <c r="D670" s="297"/>
      <c r="E670" s="297"/>
      <c r="F670" s="297"/>
      <c r="G670" s="298"/>
      <c r="H670" s="297"/>
      <c r="I670" s="298"/>
      <c r="J670" s="298"/>
      <c r="K670" s="300"/>
    </row>
    <row r="671" ht="12.75">
      <c r="A671" s="297"/>
      <c r="B671" s="297"/>
      <c r="C671" s="297"/>
      <c r="D671" s="297"/>
      <c r="E671" s="297"/>
      <c r="F671" s="297"/>
      <c r="G671" s="298"/>
      <c r="H671" s="297"/>
      <c r="I671" s="298"/>
      <c r="J671" s="298"/>
      <c r="K671" s="300"/>
    </row>
    <row r="672" ht="12.75">
      <c r="A672" s="297"/>
      <c r="B672" s="297"/>
      <c r="C672" s="297"/>
      <c r="D672" s="297"/>
      <c r="E672" s="297"/>
      <c r="F672" s="297"/>
      <c r="G672" s="298"/>
      <c r="H672" s="297"/>
      <c r="I672" s="298"/>
      <c r="J672" s="298"/>
      <c r="K672" s="300"/>
    </row>
    <row r="673" ht="12.75">
      <c r="A673" s="297"/>
      <c r="B673" s="297"/>
      <c r="C673" s="297"/>
      <c r="D673" s="297"/>
      <c r="E673" s="297"/>
      <c r="F673" s="297"/>
      <c r="G673" s="298"/>
      <c r="H673" s="297"/>
      <c r="I673" s="298"/>
      <c r="J673" s="298"/>
      <c r="K673" s="300"/>
    </row>
    <row r="674" ht="12.75">
      <c r="A674" s="297"/>
      <c r="B674" s="297"/>
      <c r="C674" s="297"/>
      <c r="D674" s="297"/>
      <c r="E674" s="297"/>
      <c r="F674" s="297"/>
      <c r="G674" s="298"/>
      <c r="H674" s="297"/>
      <c r="I674" s="298"/>
      <c r="J674" s="298"/>
      <c r="K674" s="300"/>
    </row>
    <row r="675" ht="12.75">
      <c r="A675" s="297"/>
      <c r="B675" s="297"/>
      <c r="C675" s="297"/>
      <c r="D675" s="297"/>
      <c r="E675" s="297"/>
      <c r="F675" s="297"/>
      <c r="G675" s="298"/>
      <c r="H675" s="297"/>
      <c r="I675" s="298"/>
      <c r="J675" s="298"/>
      <c r="K675" s="300"/>
    </row>
    <row r="676" ht="12.75">
      <c r="A676" s="297"/>
      <c r="B676" s="297"/>
      <c r="C676" s="297"/>
      <c r="D676" s="297"/>
      <c r="E676" s="297"/>
      <c r="F676" s="297"/>
      <c r="G676" s="298"/>
      <c r="H676" s="297"/>
      <c r="I676" s="298"/>
      <c r="J676" s="298"/>
      <c r="K676" s="300"/>
    </row>
    <row r="677" ht="12.75">
      <c r="A677" s="297"/>
      <c r="B677" s="297"/>
      <c r="C677" s="297"/>
      <c r="D677" s="297"/>
      <c r="E677" s="297"/>
      <c r="F677" s="297"/>
      <c r="G677" s="298"/>
      <c r="H677" s="297"/>
      <c r="I677" s="298"/>
      <c r="J677" s="298"/>
      <c r="K677" s="300"/>
    </row>
    <row r="678" ht="12.75">
      <c r="A678" s="297"/>
      <c r="B678" s="297"/>
      <c r="C678" s="297"/>
      <c r="D678" s="297"/>
      <c r="E678" s="297"/>
      <c r="F678" s="297"/>
      <c r="G678" s="298"/>
      <c r="H678" s="297"/>
      <c r="I678" s="298"/>
      <c r="J678" s="298"/>
      <c r="K678" s="300"/>
    </row>
    <row r="679" ht="12.75">
      <c r="A679" s="297"/>
      <c r="B679" s="297"/>
      <c r="C679" s="297"/>
      <c r="D679" s="297"/>
      <c r="E679" s="297"/>
      <c r="F679" s="297"/>
      <c r="G679" s="298"/>
      <c r="H679" s="297"/>
      <c r="I679" s="298"/>
      <c r="J679" s="298"/>
      <c r="K679" s="300"/>
    </row>
    <row r="680" ht="12.75">
      <c r="A680" s="297"/>
      <c r="B680" s="297"/>
      <c r="C680" s="297"/>
      <c r="D680" s="297"/>
      <c r="E680" s="297"/>
      <c r="F680" s="297"/>
      <c r="G680" s="298"/>
      <c r="H680" s="297"/>
      <c r="I680" s="298"/>
      <c r="J680" s="298"/>
      <c r="K680" s="300"/>
    </row>
    <row r="681" ht="12.75">
      <c r="A681" s="297"/>
      <c r="B681" s="297"/>
      <c r="C681" s="297"/>
      <c r="D681" s="297"/>
      <c r="E681" s="297"/>
      <c r="F681" s="297"/>
      <c r="G681" s="298"/>
      <c r="H681" s="297"/>
      <c r="I681" s="298"/>
      <c r="J681" s="298"/>
      <c r="K681" s="300"/>
    </row>
    <row r="682" ht="12.75">
      <c r="A682" s="297"/>
      <c r="B682" s="297"/>
      <c r="C682" s="297"/>
      <c r="D682" s="297"/>
      <c r="E682" s="297"/>
      <c r="F682" s="297"/>
      <c r="G682" s="298"/>
      <c r="H682" s="297"/>
      <c r="I682" s="298"/>
      <c r="J682" s="298"/>
      <c r="K682" s="300"/>
    </row>
    <row r="683" ht="12.75">
      <c r="A683" s="297"/>
      <c r="B683" s="297"/>
      <c r="C683" s="297"/>
      <c r="D683" s="297"/>
      <c r="E683" s="297"/>
      <c r="F683" s="297"/>
      <c r="G683" s="298"/>
      <c r="H683" s="297"/>
      <c r="I683" s="298"/>
      <c r="J683" s="298"/>
      <c r="K683" s="300"/>
    </row>
    <row r="684" ht="12.75">
      <c r="A684" s="297"/>
      <c r="B684" s="297"/>
      <c r="C684" s="297"/>
      <c r="D684" s="297"/>
      <c r="E684" s="297"/>
      <c r="F684" s="297"/>
      <c r="G684" s="298"/>
      <c r="H684" s="297"/>
      <c r="I684" s="298"/>
      <c r="J684" s="298"/>
      <c r="K684" s="300"/>
    </row>
    <row r="685" ht="12.75">
      <c r="A685" s="297"/>
      <c r="B685" s="297"/>
      <c r="C685" s="297"/>
      <c r="D685" s="297"/>
      <c r="E685" s="297"/>
      <c r="F685" s="297"/>
      <c r="G685" s="298"/>
      <c r="H685" s="297"/>
      <c r="I685" s="298"/>
      <c r="J685" s="298"/>
      <c r="K685" s="300"/>
    </row>
    <row r="686" ht="12.75">
      <c r="A686" s="297"/>
      <c r="B686" s="297"/>
      <c r="C686" s="297"/>
      <c r="D686" s="297"/>
      <c r="E686" s="297"/>
      <c r="F686" s="297"/>
      <c r="G686" s="298"/>
      <c r="H686" s="297"/>
      <c r="I686" s="298"/>
      <c r="J686" s="298"/>
      <c r="K686" s="300"/>
    </row>
    <row r="687" ht="12.75">
      <c r="A687" s="297"/>
      <c r="B687" s="297"/>
      <c r="C687" s="297"/>
      <c r="D687" s="297"/>
      <c r="E687" s="297"/>
      <c r="F687" s="297"/>
      <c r="G687" s="298"/>
      <c r="H687" s="297"/>
      <c r="I687" s="298"/>
      <c r="J687" s="298"/>
      <c r="K687" s="300"/>
    </row>
    <row r="688" ht="12.75">
      <c r="A688" s="297"/>
      <c r="B688" s="297"/>
      <c r="C688" s="297"/>
      <c r="D688" s="297"/>
      <c r="E688" s="297"/>
      <c r="F688" s="297"/>
      <c r="G688" s="298"/>
      <c r="H688" s="297"/>
      <c r="I688" s="298"/>
      <c r="J688" s="298"/>
      <c r="K688" s="300"/>
    </row>
    <row r="689" ht="12.75">
      <c r="A689" s="297"/>
      <c r="B689" s="297"/>
      <c r="C689" s="297"/>
      <c r="D689" s="297"/>
      <c r="E689" s="297"/>
      <c r="F689" s="297"/>
      <c r="G689" s="298"/>
      <c r="H689" s="297"/>
      <c r="I689" s="298"/>
      <c r="J689" s="298"/>
      <c r="K689" s="300"/>
    </row>
    <row r="690" ht="12.75">
      <c r="A690" s="297"/>
      <c r="B690" s="297"/>
      <c r="C690" s="297"/>
      <c r="D690" s="297"/>
      <c r="E690" s="297"/>
      <c r="F690" s="297"/>
      <c r="G690" s="298"/>
      <c r="H690" s="297"/>
      <c r="I690" s="298"/>
      <c r="J690" s="298"/>
      <c r="K690" s="300"/>
    </row>
    <row r="691" ht="12.75">
      <c r="A691" s="297"/>
      <c r="B691" s="297"/>
      <c r="C691" s="297"/>
      <c r="D691" s="297"/>
      <c r="E691" s="297"/>
      <c r="F691" s="297"/>
      <c r="G691" s="298"/>
      <c r="H691" s="297"/>
      <c r="I691" s="298"/>
      <c r="J691" s="298"/>
      <c r="K691" s="300"/>
    </row>
    <row r="692" ht="12.75">
      <c r="A692" s="297"/>
      <c r="B692" s="297"/>
      <c r="C692" s="297"/>
      <c r="D692" s="297"/>
      <c r="E692" s="297"/>
      <c r="F692" s="297"/>
      <c r="G692" s="298"/>
      <c r="H692" s="297"/>
      <c r="I692" s="298"/>
      <c r="J692" s="298"/>
      <c r="K692" s="300"/>
    </row>
    <row r="693" ht="12.75">
      <c r="A693" s="297"/>
      <c r="B693" s="297"/>
      <c r="C693" s="297"/>
      <c r="D693" s="297"/>
      <c r="E693" s="297"/>
      <c r="F693" s="297"/>
      <c r="G693" s="298"/>
      <c r="H693" s="297"/>
      <c r="I693" s="298"/>
      <c r="J693" s="298"/>
      <c r="K693" s="300"/>
    </row>
    <row r="694" ht="12.75">
      <c r="A694" s="297"/>
      <c r="B694" s="297"/>
      <c r="C694" s="297"/>
      <c r="D694" s="297"/>
      <c r="E694" s="297"/>
      <c r="F694" s="297"/>
      <c r="G694" s="298"/>
      <c r="H694" s="297"/>
      <c r="I694" s="298"/>
      <c r="J694" s="298"/>
      <c r="K694" s="300"/>
    </row>
    <row r="695" ht="12.75">
      <c r="A695" s="297"/>
      <c r="B695" s="297"/>
      <c r="C695" s="297"/>
      <c r="D695" s="297"/>
      <c r="E695" s="297"/>
      <c r="F695" s="297"/>
      <c r="G695" s="298"/>
      <c r="H695" s="297"/>
      <c r="I695" s="298"/>
      <c r="J695" s="298"/>
      <c r="K695" s="300"/>
    </row>
    <row r="696" ht="12.75">
      <c r="A696" s="297"/>
      <c r="B696" s="297"/>
      <c r="C696" s="297"/>
      <c r="D696" s="297"/>
      <c r="E696" s="297"/>
      <c r="F696" s="297"/>
      <c r="G696" s="298"/>
      <c r="H696" s="297"/>
      <c r="I696" s="298"/>
      <c r="J696" s="298"/>
      <c r="K696" s="300"/>
    </row>
    <row r="697" ht="12.75">
      <c r="A697" s="297"/>
      <c r="B697" s="297"/>
      <c r="C697" s="297"/>
      <c r="D697" s="297"/>
      <c r="E697" s="297"/>
      <c r="F697" s="297"/>
      <c r="G697" s="298"/>
      <c r="H697" s="297"/>
      <c r="I697" s="298"/>
      <c r="J697" s="298"/>
      <c r="K697" s="300"/>
    </row>
    <row r="698" ht="12.75">
      <c r="A698" s="297"/>
      <c r="B698" s="297"/>
      <c r="C698" s="297"/>
      <c r="D698" s="297"/>
      <c r="E698" s="297"/>
      <c r="F698" s="297"/>
      <c r="G698" s="298"/>
      <c r="H698" s="297"/>
      <c r="I698" s="298"/>
      <c r="J698" s="298"/>
      <c r="K698" s="300"/>
    </row>
    <row r="699" ht="12.75">
      <c r="A699" s="297"/>
      <c r="B699" s="297"/>
      <c r="C699" s="297"/>
      <c r="D699" s="297"/>
      <c r="E699" s="297"/>
      <c r="F699" s="297"/>
      <c r="G699" s="298"/>
      <c r="H699" s="297"/>
      <c r="I699" s="298"/>
      <c r="J699" s="298"/>
      <c r="K699" s="300"/>
    </row>
    <row r="700" ht="12.75">
      <c r="A700" s="297"/>
      <c r="B700" s="297"/>
      <c r="C700" s="297"/>
      <c r="D700" s="297"/>
      <c r="E700" s="297"/>
      <c r="F700" s="297"/>
      <c r="G700" s="298"/>
      <c r="H700" s="297"/>
      <c r="I700" s="298"/>
      <c r="J700" s="298"/>
      <c r="K700" s="300"/>
    </row>
    <row r="701" ht="12.75">
      <c r="A701" s="297"/>
      <c r="B701" s="297"/>
      <c r="C701" s="297"/>
      <c r="D701" s="297"/>
      <c r="E701" s="297"/>
      <c r="F701" s="297"/>
      <c r="G701" s="298"/>
      <c r="H701" s="297"/>
      <c r="I701" s="298"/>
      <c r="J701" s="298"/>
      <c r="K701" s="300"/>
    </row>
    <row r="702" ht="12.75">
      <c r="A702" s="297"/>
      <c r="B702" s="297"/>
      <c r="C702" s="297"/>
      <c r="D702" s="297"/>
      <c r="E702" s="297"/>
      <c r="F702" s="297"/>
      <c r="G702" s="298"/>
      <c r="H702" s="297"/>
      <c r="I702" s="298"/>
      <c r="J702" s="298"/>
      <c r="K702" s="300"/>
    </row>
    <row r="703" ht="12.75">
      <c r="A703" s="297"/>
      <c r="B703" s="297"/>
      <c r="C703" s="297"/>
      <c r="D703" s="297"/>
      <c r="E703" s="297"/>
      <c r="F703" s="297"/>
      <c r="G703" s="298"/>
      <c r="H703" s="297"/>
      <c r="I703" s="298"/>
      <c r="J703" s="298"/>
      <c r="K703" s="300"/>
    </row>
    <row r="704" ht="12.75">
      <c r="A704" s="297"/>
      <c r="B704" s="297"/>
      <c r="C704" s="297"/>
      <c r="D704" s="297"/>
      <c r="E704" s="297"/>
      <c r="F704" s="297"/>
      <c r="G704" s="298"/>
      <c r="H704" s="297"/>
      <c r="I704" s="298"/>
      <c r="J704" s="298"/>
      <c r="K704" s="300"/>
    </row>
    <row r="705" ht="12.75">
      <c r="A705" s="297"/>
      <c r="B705" s="297"/>
      <c r="C705" s="297"/>
      <c r="D705" s="297"/>
      <c r="E705" s="297"/>
      <c r="F705" s="297"/>
      <c r="G705" s="298"/>
      <c r="H705" s="297"/>
      <c r="I705" s="298"/>
      <c r="J705" s="298"/>
      <c r="K705" s="300"/>
    </row>
    <row r="706" ht="12.75">
      <c r="A706" s="297"/>
      <c r="B706" s="297"/>
      <c r="C706" s="297"/>
      <c r="D706" s="297"/>
      <c r="E706" s="297"/>
      <c r="F706" s="297"/>
      <c r="G706" s="298"/>
      <c r="H706" s="297"/>
      <c r="I706" s="298"/>
      <c r="J706" s="298"/>
      <c r="K706" s="300"/>
    </row>
    <row r="707" ht="12.75">
      <c r="A707" s="297"/>
      <c r="B707" s="297"/>
      <c r="C707" s="297"/>
      <c r="D707" s="297"/>
      <c r="E707" s="297"/>
      <c r="F707" s="297"/>
      <c r="G707" s="298"/>
      <c r="H707" s="297"/>
      <c r="I707" s="298"/>
      <c r="J707" s="298"/>
      <c r="K707" s="300"/>
    </row>
    <row r="708" ht="12.75">
      <c r="A708" s="297"/>
      <c r="B708" s="297"/>
      <c r="C708" s="297"/>
      <c r="D708" s="297"/>
      <c r="E708" s="297"/>
      <c r="F708" s="297"/>
      <c r="G708" s="298"/>
      <c r="H708" s="297"/>
      <c r="I708" s="298"/>
      <c r="J708" s="298"/>
      <c r="K708" s="300"/>
    </row>
    <row r="709" ht="12.75">
      <c r="A709" s="297"/>
      <c r="B709" s="297"/>
      <c r="C709" s="297"/>
      <c r="D709" s="297"/>
      <c r="E709" s="297"/>
      <c r="F709" s="297"/>
      <c r="G709" s="298"/>
      <c r="H709" s="297"/>
      <c r="I709" s="298"/>
      <c r="J709" s="298"/>
      <c r="K709" s="300"/>
    </row>
    <row r="710" ht="12.75">
      <c r="A710" s="297"/>
      <c r="B710" s="297"/>
      <c r="C710" s="297"/>
      <c r="D710" s="297"/>
      <c r="E710" s="297"/>
      <c r="F710" s="297"/>
      <c r="G710" s="298"/>
      <c r="H710" s="297"/>
      <c r="I710" s="298"/>
      <c r="J710" s="298"/>
      <c r="K710" s="300"/>
    </row>
    <row r="711" ht="12.75">
      <c r="A711" s="297"/>
      <c r="B711" s="297"/>
      <c r="C711" s="297"/>
      <c r="D711" s="297"/>
      <c r="E711" s="297"/>
      <c r="F711" s="297"/>
      <c r="G711" s="298"/>
      <c r="H711" s="297"/>
      <c r="I711" s="298"/>
      <c r="J711" s="298"/>
      <c r="K711" s="300"/>
    </row>
    <row r="712" ht="12.75">
      <c r="A712" s="297"/>
      <c r="B712" s="297"/>
      <c r="C712" s="297"/>
      <c r="D712" s="297"/>
      <c r="E712" s="297"/>
      <c r="F712" s="297"/>
      <c r="G712" s="298"/>
      <c r="H712" s="297"/>
      <c r="I712" s="298"/>
      <c r="J712" s="298"/>
      <c r="K712" s="300"/>
    </row>
    <row r="713" ht="12.75">
      <c r="A713" s="297"/>
      <c r="B713" s="297"/>
      <c r="C713" s="297"/>
      <c r="D713" s="297"/>
      <c r="E713" s="297"/>
      <c r="F713" s="297"/>
      <c r="G713" s="298"/>
      <c r="H713" s="297"/>
      <c r="I713" s="298"/>
      <c r="J713" s="298"/>
      <c r="K713" s="300"/>
    </row>
    <row r="714" ht="12.75">
      <c r="A714" s="297"/>
      <c r="B714" s="297"/>
      <c r="C714" s="297"/>
      <c r="D714" s="297"/>
      <c r="E714" s="297"/>
      <c r="F714" s="297"/>
      <c r="G714" s="298"/>
      <c r="H714" s="297"/>
      <c r="I714" s="298"/>
      <c r="J714" s="298"/>
      <c r="K714" s="300"/>
    </row>
    <row r="715" ht="12.75">
      <c r="A715" s="297"/>
      <c r="B715" s="297"/>
      <c r="C715" s="297"/>
      <c r="D715" s="297"/>
      <c r="E715" s="297"/>
      <c r="F715" s="297"/>
      <c r="G715" s="298"/>
      <c r="H715" s="297"/>
      <c r="I715" s="298"/>
      <c r="J715" s="298"/>
      <c r="K715" s="300"/>
    </row>
    <row r="716" ht="12.75">
      <c r="A716" s="297"/>
      <c r="B716" s="297"/>
      <c r="C716" s="297"/>
      <c r="D716" s="297"/>
      <c r="E716" s="297"/>
      <c r="F716" s="297"/>
      <c r="G716" s="298"/>
      <c r="H716" s="297"/>
      <c r="I716" s="298"/>
      <c r="J716" s="298"/>
      <c r="K716" s="300"/>
    </row>
    <row r="717" ht="12.75">
      <c r="A717" s="297"/>
      <c r="B717" s="297"/>
      <c r="C717" s="297"/>
      <c r="D717" s="297"/>
      <c r="E717" s="297"/>
      <c r="F717" s="297"/>
      <c r="G717" s="298"/>
      <c r="H717" s="297"/>
      <c r="I717" s="298"/>
      <c r="J717" s="298"/>
      <c r="K717" s="300"/>
    </row>
    <row r="718" ht="12.75">
      <c r="A718" s="297"/>
      <c r="B718" s="297"/>
      <c r="C718" s="297"/>
      <c r="D718" s="297"/>
      <c r="E718" s="297"/>
      <c r="F718" s="297"/>
      <c r="G718" s="298"/>
      <c r="H718" s="297"/>
      <c r="I718" s="298"/>
      <c r="J718" s="298"/>
      <c r="K718" s="300"/>
    </row>
    <row r="719" ht="12.75">
      <c r="A719" s="297"/>
      <c r="B719" s="297"/>
      <c r="C719" s="297"/>
      <c r="D719" s="297"/>
      <c r="E719" s="297"/>
      <c r="F719" s="297"/>
      <c r="G719" s="298"/>
      <c r="H719" s="297"/>
      <c r="I719" s="298"/>
      <c r="J719" s="298"/>
      <c r="K719" s="300"/>
    </row>
    <row r="720" ht="12.75">
      <c r="A720" s="297"/>
      <c r="B720" s="297"/>
      <c r="C720" s="297"/>
      <c r="D720" s="297"/>
      <c r="E720" s="297"/>
      <c r="F720" s="297"/>
      <c r="G720" s="298"/>
      <c r="H720" s="297"/>
      <c r="I720" s="298"/>
      <c r="J720" s="298"/>
      <c r="K720" s="300"/>
    </row>
    <row r="721" ht="12.75">
      <c r="A721" s="297"/>
      <c r="B721" s="297"/>
      <c r="C721" s="297"/>
      <c r="D721" s="297"/>
      <c r="E721" s="297"/>
      <c r="F721" s="297"/>
      <c r="G721" s="298"/>
      <c r="H721" s="297"/>
      <c r="I721" s="298"/>
      <c r="J721" s="298"/>
      <c r="K721" s="300"/>
    </row>
    <row r="722" ht="12.75">
      <c r="A722" s="297"/>
      <c r="B722" s="297"/>
      <c r="C722" s="297"/>
      <c r="D722" s="297"/>
      <c r="E722" s="297"/>
      <c r="F722" s="297"/>
      <c r="G722" s="298"/>
      <c r="H722" s="297"/>
      <c r="I722" s="298"/>
      <c r="J722" s="298"/>
      <c r="K722" s="300"/>
    </row>
    <row r="723" ht="12.75">
      <c r="A723" s="297"/>
      <c r="B723" s="297"/>
      <c r="C723" s="297"/>
      <c r="D723" s="297"/>
      <c r="E723" s="297"/>
      <c r="F723" s="297"/>
      <c r="G723" s="298"/>
      <c r="H723" s="297"/>
      <c r="I723" s="298"/>
      <c r="J723" s="298"/>
      <c r="K723" s="300"/>
    </row>
    <row r="724" ht="12.75">
      <c r="A724" s="297"/>
      <c r="B724" s="297"/>
      <c r="C724" s="297"/>
      <c r="D724" s="297"/>
      <c r="E724" s="297"/>
      <c r="F724" s="297"/>
      <c r="G724" s="298"/>
      <c r="H724" s="297"/>
      <c r="I724" s="298"/>
      <c r="J724" s="298"/>
      <c r="K724" s="300"/>
    </row>
    <row r="725" ht="12.75">
      <c r="A725" s="297"/>
      <c r="B725" s="297"/>
      <c r="C725" s="297"/>
      <c r="D725" s="297"/>
      <c r="E725" s="297"/>
      <c r="F725" s="297"/>
      <c r="G725" s="298"/>
      <c r="H725" s="297"/>
      <c r="I725" s="298"/>
      <c r="J725" s="298"/>
      <c r="K725" s="300"/>
    </row>
    <row r="726" ht="12.75">
      <c r="A726" s="297"/>
      <c r="B726" s="297"/>
      <c r="C726" s="297"/>
      <c r="D726" s="297"/>
      <c r="E726" s="297"/>
      <c r="F726" s="297"/>
      <c r="G726" s="298"/>
      <c r="H726" s="297"/>
      <c r="I726" s="298"/>
      <c r="J726" s="298"/>
      <c r="K726" s="300"/>
    </row>
    <row r="727" ht="12.75">
      <c r="A727" s="297"/>
      <c r="B727" s="297"/>
      <c r="C727" s="297"/>
      <c r="D727" s="297"/>
      <c r="E727" s="297"/>
      <c r="F727" s="297"/>
      <c r="G727" s="298"/>
      <c r="H727" s="297"/>
      <c r="I727" s="298"/>
      <c r="J727" s="298"/>
      <c r="K727" s="300"/>
    </row>
    <row r="728" ht="12.75">
      <c r="A728" s="297"/>
      <c r="B728" s="297"/>
      <c r="C728" s="297"/>
      <c r="D728" s="297"/>
      <c r="E728" s="297"/>
      <c r="F728" s="297"/>
      <c r="G728" s="298"/>
      <c r="H728" s="297"/>
      <c r="I728" s="298"/>
      <c r="J728" s="298"/>
      <c r="K728" s="300"/>
    </row>
    <row r="729" ht="12.75">
      <c r="A729" s="297"/>
      <c r="B729" s="297"/>
      <c r="C729" s="297"/>
      <c r="D729" s="297"/>
      <c r="E729" s="297"/>
      <c r="F729" s="297"/>
      <c r="G729" s="298"/>
      <c r="H729" s="297"/>
      <c r="I729" s="298"/>
      <c r="J729" s="298"/>
      <c r="K729" s="300"/>
    </row>
    <row r="730" ht="12.75">
      <c r="A730" s="297"/>
      <c r="B730" s="297"/>
      <c r="C730" s="297"/>
      <c r="D730" s="297"/>
      <c r="E730" s="297"/>
      <c r="F730" s="297"/>
      <c r="G730" s="298"/>
      <c r="H730" s="297"/>
      <c r="I730" s="298"/>
      <c r="J730" s="298"/>
      <c r="K730" s="300"/>
    </row>
    <row r="731" ht="12.75">
      <c r="A731" s="297"/>
      <c r="B731" s="297"/>
      <c r="C731" s="297"/>
      <c r="D731" s="297"/>
      <c r="E731" s="297"/>
      <c r="F731" s="297"/>
      <c r="G731" s="298"/>
      <c r="H731" s="297"/>
      <c r="I731" s="298"/>
      <c r="J731" s="298"/>
      <c r="K731" s="300"/>
    </row>
    <row r="732" ht="12.75">
      <c r="A732" s="297"/>
      <c r="B732" s="297"/>
      <c r="C732" s="297"/>
      <c r="D732" s="297"/>
      <c r="E732" s="297"/>
      <c r="F732" s="297"/>
      <c r="G732" s="298"/>
      <c r="H732" s="297"/>
      <c r="I732" s="298"/>
      <c r="J732" s="298"/>
      <c r="K732" s="300"/>
    </row>
    <row r="733" ht="12.75">
      <c r="A733" s="297"/>
      <c r="B733" s="297"/>
      <c r="C733" s="297"/>
      <c r="D733" s="297"/>
      <c r="E733" s="297"/>
      <c r="F733" s="297"/>
      <c r="G733" s="298"/>
      <c r="H733" s="297"/>
      <c r="I733" s="298"/>
      <c r="J733" s="298"/>
      <c r="K733" s="300"/>
    </row>
    <row r="734" ht="12.75">
      <c r="A734" s="297"/>
      <c r="B734" s="297"/>
      <c r="C734" s="297"/>
      <c r="D734" s="297"/>
      <c r="E734" s="297"/>
      <c r="F734" s="297"/>
      <c r="G734" s="298"/>
      <c r="H734" s="297"/>
      <c r="I734" s="298"/>
      <c r="J734" s="298"/>
      <c r="K734" s="300"/>
    </row>
    <row r="735" ht="12.75">
      <c r="A735" s="297"/>
      <c r="B735" s="297"/>
      <c r="C735" s="297"/>
      <c r="D735" s="297"/>
      <c r="E735" s="297"/>
      <c r="F735" s="297"/>
      <c r="G735" s="298"/>
      <c r="H735" s="297"/>
      <c r="I735" s="298"/>
      <c r="J735" s="298"/>
      <c r="K735" s="300"/>
    </row>
    <row r="736" ht="12.75">
      <c r="A736" s="297"/>
      <c r="B736" s="297"/>
      <c r="C736" s="297"/>
      <c r="D736" s="297"/>
      <c r="E736" s="297"/>
      <c r="F736" s="297"/>
      <c r="G736" s="298"/>
      <c r="H736" s="297"/>
      <c r="I736" s="298"/>
      <c r="J736" s="298"/>
      <c r="K736" s="300"/>
    </row>
    <row r="737" ht="12.75">
      <c r="A737" s="297"/>
      <c r="B737" s="297"/>
      <c r="C737" s="297"/>
      <c r="D737" s="297"/>
      <c r="E737" s="297"/>
      <c r="F737" s="297"/>
      <c r="G737" s="298"/>
      <c r="H737" s="297"/>
      <c r="I737" s="298"/>
      <c r="J737" s="298"/>
      <c r="K737" s="300"/>
    </row>
    <row r="738" ht="12.75">
      <c r="A738" s="297"/>
      <c r="B738" s="297"/>
      <c r="C738" s="297"/>
      <c r="D738" s="297"/>
      <c r="E738" s="297"/>
      <c r="F738" s="297"/>
      <c r="G738" s="298"/>
      <c r="H738" s="297"/>
      <c r="I738" s="298"/>
      <c r="J738" s="298"/>
      <c r="K738" s="300"/>
    </row>
    <row r="739" ht="12.75">
      <c r="A739" s="297"/>
      <c r="B739" s="297"/>
      <c r="C739" s="297"/>
      <c r="D739" s="297"/>
      <c r="E739" s="297"/>
      <c r="F739" s="297"/>
      <c r="G739" s="298"/>
      <c r="H739" s="297"/>
      <c r="I739" s="298"/>
      <c r="J739" s="298"/>
      <c r="K739" s="300"/>
    </row>
    <row r="740" ht="12.75">
      <c r="A740" s="297"/>
      <c r="B740" s="297"/>
      <c r="C740" s="297"/>
      <c r="D740" s="297"/>
      <c r="E740" s="297"/>
      <c r="F740" s="297"/>
      <c r="G740" s="298"/>
      <c r="H740" s="297"/>
      <c r="I740" s="298"/>
      <c r="J740" s="298"/>
      <c r="K740" s="300"/>
    </row>
    <row r="741" ht="12.75">
      <c r="A741" s="297"/>
      <c r="B741" s="297"/>
      <c r="C741" s="297"/>
      <c r="D741" s="297"/>
      <c r="E741" s="297"/>
      <c r="F741" s="297"/>
      <c r="G741" s="298"/>
      <c r="H741" s="297"/>
      <c r="I741" s="298"/>
      <c r="J741" s="298"/>
      <c r="K741" s="300"/>
    </row>
    <row r="742" ht="12.75">
      <c r="A742" s="297"/>
      <c r="B742" s="297"/>
      <c r="C742" s="297"/>
      <c r="D742" s="297"/>
      <c r="E742" s="297"/>
      <c r="F742" s="297"/>
      <c r="G742" s="298"/>
      <c r="H742" s="297"/>
      <c r="I742" s="298"/>
      <c r="J742" s="298"/>
      <c r="K742" s="300"/>
    </row>
    <row r="743" ht="12.75">
      <c r="A743" s="297"/>
      <c r="B743" s="297"/>
      <c r="C743" s="297"/>
      <c r="D743" s="297"/>
      <c r="E743" s="297"/>
      <c r="F743" s="297"/>
      <c r="G743" s="298"/>
      <c r="H743" s="297"/>
      <c r="I743" s="298"/>
      <c r="J743" s="298"/>
      <c r="K743" s="300"/>
    </row>
    <row r="744" ht="12.75">
      <c r="A744" s="297"/>
      <c r="B744" s="297"/>
      <c r="C744" s="297"/>
      <c r="D744" s="297"/>
      <c r="E744" s="297"/>
      <c r="F744" s="297"/>
      <c r="G744" s="298"/>
      <c r="H744" s="297"/>
      <c r="I744" s="298"/>
      <c r="J744" s="298"/>
      <c r="K744" s="300"/>
    </row>
    <row r="745" ht="12.75">
      <c r="A745" s="297"/>
      <c r="B745" s="297"/>
      <c r="C745" s="297"/>
      <c r="D745" s="297"/>
      <c r="E745" s="297"/>
      <c r="F745" s="297"/>
      <c r="G745" s="298"/>
      <c r="H745" s="297"/>
      <c r="I745" s="298"/>
      <c r="J745" s="298"/>
      <c r="K745" s="300"/>
    </row>
    <row r="746" ht="12.75">
      <c r="A746" s="297"/>
      <c r="B746" s="297"/>
      <c r="C746" s="297"/>
      <c r="D746" s="297"/>
      <c r="E746" s="297"/>
      <c r="F746" s="297"/>
      <c r="G746" s="298"/>
      <c r="H746" s="297"/>
      <c r="I746" s="298"/>
      <c r="J746" s="298"/>
      <c r="K746" s="300"/>
    </row>
    <row r="747" ht="12.75">
      <c r="A747" s="297"/>
      <c r="B747" s="297"/>
      <c r="C747" s="297"/>
      <c r="D747" s="297"/>
      <c r="E747" s="297"/>
      <c r="F747" s="297"/>
      <c r="G747" s="298"/>
      <c r="H747" s="297"/>
      <c r="I747" s="298"/>
      <c r="J747" s="298"/>
      <c r="K747" s="300"/>
    </row>
    <row r="748" ht="12.75">
      <c r="A748" s="297"/>
      <c r="B748" s="297"/>
      <c r="C748" s="297"/>
      <c r="D748" s="297"/>
      <c r="E748" s="297"/>
      <c r="F748" s="297"/>
      <c r="G748" s="298"/>
      <c r="H748" s="297"/>
      <c r="I748" s="298"/>
      <c r="J748" s="298"/>
      <c r="K748" s="300"/>
    </row>
    <row r="749" ht="12.75">
      <c r="A749" s="297"/>
      <c r="B749" s="297"/>
      <c r="C749" s="297"/>
      <c r="D749" s="297"/>
      <c r="E749" s="297"/>
      <c r="F749" s="297"/>
      <c r="G749" s="298"/>
      <c r="H749" s="297"/>
      <c r="I749" s="298"/>
      <c r="J749" s="298"/>
      <c r="K749" s="300"/>
    </row>
    <row r="750" ht="12.75">
      <c r="A750" s="297"/>
      <c r="B750" s="297"/>
      <c r="C750" s="297"/>
      <c r="D750" s="297"/>
      <c r="E750" s="297"/>
      <c r="F750" s="297"/>
      <c r="G750" s="298"/>
      <c r="H750" s="297"/>
      <c r="I750" s="298"/>
      <c r="J750" s="298"/>
      <c r="K750" s="300"/>
    </row>
    <row r="751" ht="12.75">
      <c r="A751" s="297"/>
      <c r="B751" s="297"/>
      <c r="C751" s="297"/>
      <c r="D751" s="297"/>
      <c r="E751" s="297"/>
      <c r="F751" s="297"/>
      <c r="G751" s="298"/>
      <c r="H751" s="297"/>
      <c r="I751" s="298"/>
      <c r="J751" s="298"/>
      <c r="K751" s="300"/>
    </row>
    <row r="752" ht="12.75">
      <c r="A752" s="297"/>
      <c r="B752" s="297"/>
      <c r="C752" s="297"/>
      <c r="D752" s="297"/>
      <c r="E752" s="297"/>
      <c r="F752" s="297"/>
      <c r="G752" s="298"/>
      <c r="H752" s="297"/>
      <c r="I752" s="298"/>
      <c r="J752" s="298"/>
      <c r="K752" s="300"/>
    </row>
    <row r="753" ht="12.75">
      <c r="A753" s="297"/>
      <c r="B753" s="297"/>
      <c r="C753" s="297"/>
      <c r="D753" s="297"/>
      <c r="E753" s="297"/>
      <c r="F753" s="297"/>
      <c r="G753" s="298"/>
      <c r="H753" s="297"/>
      <c r="I753" s="298"/>
      <c r="J753" s="298"/>
      <c r="K753" s="300"/>
    </row>
    <row r="754" ht="12.75">
      <c r="A754" s="297"/>
      <c r="B754" s="297"/>
      <c r="C754" s="297"/>
      <c r="D754" s="297"/>
      <c r="E754" s="297"/>
      <c r="F754" s="297"/>
      <c r="G754" s="298"/>
      <c r="H754" s="297"/>
      <c r="I754" s="298"/>
      <c r="J754" s="298"/>
      <c r="K754" s="300"/>
    </row>
    <row r="755" ht="12.75">
      <c r="A755" s="297"/>
      <c r="B755" s="297"/>
      <c r="C755" s="297"/>
      <c r="D755" s="297"/>
      <c r="E755" s="297"/>
      <c r="F755" s="297"/>
      <c r="G755" s="298"/>
      <c r="H755" s="297"/>
      <c r="I755" s="298"/>
      <c r="J755" s="298"/>
      <c r="K755" s="300"/>
    </row>
    <row r="756" ht="12.75">
      <c r="A756" s="297"/>
      <c r="B756" s="297"/>
      <c r="C756" s="297"/>
      <c r="D756" s="297"/>
      <c r="E756" s="297"/>
      <c r="F756" s="297"/>
      <c r="G756" s="298"/>
      <c r="H756" s="297"/>
      <c r="I756" s="298"/>
      <c r="J756" s="298"/>
      <c r="K756" s="300"/>
    </row>
    <row r="757" ht="12.75">
      <c r="A757" s="297"/>
      <c r="B757" s="297"/>
      <c r="C757" s="297"/>
      <c r="D757" s="297"/>
      <c r="E757" s="297"/>
      <c r="F757" s="297"/>
      <c r="G757" s="298"/>
      <c r="H757" s="297"/>
      <c r="I757" s="298"/>
      <c r="J757" s="298"/>
      <c r="K757" s="300"/>
    </row>
    <row r="758" ht="12.75">
      <c r="A758" s="297"/>
      <c r="B758" s="297"/>
      <c r="C758" s="297"/>
      <c r="D758" s="297"/>
      <c r="E758" s="297"/>
      <c r="F758" s="297"/>
      <c r="G758" s="298"/>
      <c r="H758" s="297"/>
      <c r="I758" s="298"/>
      <c r="J758" s="298"/>
      <c r="K758" s="300"/>
    </row>
    <row r="759" ht="12.75">
      <c r="A759" s="297"/>
      <c r="B759" s="297"/>
      <c r="C759" s="297"/>
      <c r="D759" s="297"/>
      <c r="E759" s="297"/>
      <c r="F759" s="297"/>
      <c r="G759" s="298"/>
      <c r="H759" s="297"/>
      <c r="I759" s="298"/>
      <c r="J759" s="298"/>
      <c r="K759" s="300"/>
    </row>
    <row r="760" ht="12.75">
      <c r="A760" s="297"/>
      <c r="B760" s="297"/>
      <c r="C760" s="297"/>
      <c r="D760" s="297"/>
      <c r="E760" s="297"/>
      <c r="F760" s="297"/>
      <c r="G760" s="298"/>
      <c r="H760" s="297"/>
      <c r="I760" s="298"/>
      <c r="J760" s="298"/>
      <c r="K760" s="300"/>
    </row>
    <row r="761" ht="12.75">
      <c r="A761" s="297"/>
      <c r="B761" s="297"/>
      <c r="C761" s="297"/>
      <c r="D761" s="297"/>
      <c r="E761" s="297"/>
      <c r="F761" s="297"/>
      <c r="G761" s="298"/>
      <c r="H761" s="297"/>
      <c r="I761" s="298"/>
      <c r="J761" s="298"/>
      <c r="K761" s="300"/>
    </row>
    <row r="762" ht="12.75">
      <c r="A762" s="297"/>
      <c r="B762" s="297"/>
      <c r="C762" s="297"/>
      <c r="D762" s="297"/>
      <c r="E762" s="297"/>
      <c r="F762" s="297"/>
      <c r="G762" s="298"/>
      <c r="H762" s="297"/>
      <c r="I762" s="298"/>
      <c r="J762" s="298"/>
      <c r="K762" s="300"/>
    </row>
    <row r="763" ht="12.75">
      <c r="A763" s="297"/>
      <c r="B763" s="297"/>
      <c r="C763" s="297"/>
      <c r="D763" s="297"/>
      <c r="E763" s="297"/>
      <c r="F763" s="297"/>
      <c r="G763" s="298"/>
      <c r="H763" s="297"/>
      <c r="I763" s="298"/>
      <c r="J763" s="298"/>
      <c r="K763" s="300"/>
    </row>
    <row r="764" ht="12.75">
      <c r="A764" s="297"/>
      <c r="B764" s="297"/>
      <c r="C764" s="297"/>
      <c r="D764" s="297"/>
      <c r="E764" s="297"/>
      <c r="F764" s="297"/>
      <c r="G764" s="298"/>
      <c r="H764" s="297"/>
      <c r="I764" s="298"/>
      <c r="J764" s="298"/>
      <c r="K764" s="300"/>
    </row>
    <row r="765" ht="12.75">
      <c r="A765" s="297"/>
      <c r="B765" s="297"/>
      <c r="C765" s="297"/>
      <c r="D765" s="297"/>
      <c r="E765" s="297"/>
      <c r="F765" s="297"/>
      <c r="G765" s="298"/>
      <c r="H765" s="297"/>
      <c r="I765" s="298"/>
      <c r="J765" s="298"/>
      <c r="K765" s="300"/>
    </row>
    <row r="766" ht="12.75">
      <c r="A766" s="297"/>
      <c r="B766" s="297"/>
      <c r="C766" s="297"/>
      <c r="D766" s="297"/>
      <c r="E766" s="297"/>
      <c r="F766" s="297"/>
      <c r="G766" s="298"/>
      <c r="H766" s="297"/>
      <c r="I766" s="298"/>
      <c r="J766" s="298"/>
      <c r="K766" s="300"/>
    </row>
    <row r="767" ht="12.75">
      <c r="A767" s="297"/>
      <c r="B767" s="297"/>
      <c r="C767" s="297"/>
      <c r="D767" s="297"/>
      <c r="E767" s="297"/>
      <c r="F767" s="297"/>
      <c r="G767" s="298"/>
      <c r="H767" s="297"/>
      <c r="I767" s="298"/>
      <c r="J767" s="298"/>
      <c r="K767" s="300"/>
    </row>
    <row r="768" ht="12.75">
      <c r="A768" s="297"/>
      <c r="B768" s="297"/>
      <c r="C768" s="297"/>
      <c r="D768" s="297"/>
      <c r="E768" s="297"/>
      <c r="F768" s="297"/>
      <c r="G768" s="298"/>
      <c r="H768" s="297"/>
      <c r="I768" s="298"/>
      <c r="J768" s="298"/>
      <c r="K768" s="300"/>
    </row>
    <row r="769" ht="12.75">
      <c r="A769" s="297"/>
      <c r="B769" s="297"/>
      <c r="C769" s="297"/>
      <c r="D769" s="297"/>
      <c r="E769" s="297"/>
      <c r="F769" s="297"/>
      <c r="G769" s="298"/>
      <c r="H769" s="297"/>
      <c r="I769" s="298"/>
      <c r="J769" s="298"/>
      <c r="K769" s="300"/>
    </row>
    <row r="770" ht="12.75">
      <c r="A770" s="297"/>
      <c r="B770" s="297"/>
      <c r="C770" s="297"/>
      <c r="D770" s="297"/>
      <c r="E770" s="297"/>
      <c r="F770" s="297"/>
      <c r="G770" s="298"/>
      <c r="H770" s="297"/>
      <c r="I770" s="298"/>
      <c r="J770" s="298"/>
      <c r="K770" s="300"/>
    </row>
    <row r="771" ht="12.75">
      <c r="A771" s="297"/>
      <c r="B771" s="297"/>
      <c r="C771" s="297"/>
      <c r="D771" s="297"/>
      <c r="E771" s="297"/>
      <c r="F771" s="297"/>
      <c r="G771" s="298"/>
      <c r="H771" s="297"/>
      <c r="I771" s="298"/>
      <c r="J771" s="298"/>
      <c r="K771" s="300"/>
    </row>
    <row r="772" ht="12.75">
      <c r="A772" s="297"/>
      <c r="B772" s="297"/>
      <c r="C772" s="297"/>
      <c r="D772" s="297"/>
      <c r="E772" s="297"/>
      <c r="F772" s="297"/>
      <c r="G772" s="298"/>
      <c r="H772" s="297"/>
      <c r="I772" s="298"/>
      <c r="J772" s="298"/>
      <c r="K772" s="300"/>
    </row>
    <row r="773" ht="12.75">
      <c r="A773" s="297"/>
      <c r="B773" s="297"/>
      <c r="C773" s="297"/>
      <c r="D773" s="297"/>
      <c r="E773" s="297"/>
      <c r="F773" s="297"/>
      <c r="G773" s="298"/>
      <c r="H773" s="297"/>
      <c r="I773" s="298"/>
      <c r="J773" s="298"/>
      <c r="K773" s="300"/>
    </row>
    <row r="774" ht="12.75">
      <c r="A774" s="297"/>
      <c r="B774" s="297"/>
      <c r="C774" s="297"/>
      <c r="D774" s="297"/>
      <c r="E774" s="297"/>
      <c r="F774" s="297"/>
      <c r="G774" s="298"/>
      <c r="H774" s="297"/>
      <c r="I774" s="298"/>
      <c r="J774" s="298"/>
      <c r="K774" s="300"/>
    </row>
    <row r="775" ht="12.75">
      <c r="A775" s="297"/>
      <c r="B775" s="297"/>
      <c r="C775" s="297"/>
      <c r="D775" s="297"/>
      <c r="E775" s="297"/>
      <c r="F775" s="297"/>
      <c r="G775" s="298"/>
      <c r="H775" s="297"/>
      <c r="I775" s="298"/>
      <c r="J775" s="298"/>
      <c r="K775" s="300"/>
    </row>
    <row r="776" ht="12.75">
      <c r="A776" s="297"/>
      <c r="B776" s="297"/>
      <c r="C776" s="297"/>
      <c r="D776" s="297"/>
      <c r="E776" s="297"/>
      <c r="F776" s="297"/>
      <c r="G776" s="298"/>
      <c r="H776" s="297"/>
      <c r="I776" s="298"/>
      <c r="J776" s="298"/>
      <c r="K776" s="300"/>
    </row>
    <row r="777" ht="12.75">
      <c r="A777" s="297"/>
      <c r="B777" s="297"/>
      <c r="C777" s="297"/>
      <c r="D777" s="297"/>
      <c r="E777" s="297"/>
      <c r="F777" s="297"/>
      <c r="G777" s="298"/>
      <c r="H777" s="297"/>
      <c r="I777" s="298"/>
      <c r="J777" s="298"/>
      <c r="K777" s="300"/>
    </row>
    <row r="778" ht="12.75">
      <c r="A778" s="297"/>
      <c r="B778" s="297"/>
      <c r="C778" s="297"/>
      <c r="D778" s="297"/>
      <c r="E778" s="297"/>
      <c r="F778" s="297"/>
      <c r="G778" s="298"/>
      <c r="H778" s="297"/>
      <c r="I778" s="298"/>
      <c r="J778" s="298"/>
      <c r="K778" s="300"/>
    </row>
    <row r="779" ht="12.75">
      <c r="A779" s="297"/>
      <c r="B779" s="297"/>
      <c r="C779" s="297"/>
      <c r="D779" s="297"/>
      <c r="E779" s="297"/>
      <c r="F779" s="297"/>
      <c r="G779" s="298"/>
      <c r="H779" s="297"/>
      <c r="I779" s="298"/>
      <c r="J779" s="298"/>
      <c r="K779" s="300"/>
    </row>
    <row r="780" ht="12.75">
      <c r="A780" s="297"/>
      <c r="B780" s="297"/>
      <c r="C780" s="297"/>
      <c r="D780" s="297"/>
      <c r="E780" s="297"/>
      <c r="F780" s="297"/>
      <c r="G780" s="298"/>
      <c r="H780" s="297"/>
      <c r="I780" s="298"/>
      <c r="J780" s="298"/>
      <c r="K780" s="300"/>
    </row>
    <row r="781" ht="12.75">
      <c r="A781" s="297"/>
      <c r="B781" s="297"/>
      <c r="C781" s="297"/>
      <c r="D781" s="297"/>
      <c r="E781" s="297"/>
      <c r="F781" s="297"/>
      <c r="G781" s="298"/>
      <c r="H781" s="297"/>
      <c r="I781" s="298"/>
      <c r="J781" s="298"/>
      <c r="K781" s="300"/>
    </row>
    <row r="782" ht="12.75">
      <c r="A782" s="297"/>
      <c r="B782" s="297"/>
      <c r="C782" s="297"/>
      <c r="D782" s="297"/>
      <c r="E782" s="297"/>
      <c r="F782" s="297"/>
      <c r="G782" s="298"/>
      <c r="H782" s="297"/>
      <c r="I782" s="298"/>
      <c r="J782" s="298"/>
      <c r="K782" s="300"/>
    </row>
    <row r="783" ht="12.75">
      <c r="A783" s="297"/>
      <c r="B783" s="297"/>
      <c r="C783" s="297"/>
      <c r="D783" s="297"/>
      <c r="E783" s="297"/>
      <c r="F783" s="297"/>
      <c r="G783" s="298"/>
      <c r="H783" s="297"/>
      <c r="I783" s="298"/>
      <c r="J783" s="298"/>
      <c r="K783" s="300"/>
    </row>
    <row r="784" ht="12.75">
      <c r="A784" s="297"/>
      <c r="B784" s="297"/>
      <c r="C784" s="297"/>
      <c r="D784" s="297"/>
      <c r="E784" s="297"/>
      <c r="F784" s="297"/>
      <c r="G784" s="298"/>
      <c r="H784" s="297"/>
      <c r="I784" s="298"/>
      <c r="J784" s="298"/>
      <c r="K784" s="300"/>
    </row>
    <row r="785" ht="12.75">
      <c r="A785" s="297"/>
      <c r="B785" s="297"/>
      <c r="C785" s="297"/>
      <c r="D785" s="297"/>
      <c r="E785" s="297"/>
      <c r="F785" s="297"/>
      <c r="G785" s="298"/>
      <c r="H785" s="297"/>
      <c r="I785" s="298"/>
      <c r="J785" s="298"/>
      <c r="K785" s="300"/>
    </row>
    <row r="786" ht="12.75">
      <c r="A786" s="297"/>
      <c r="B786" s="297"/>
      <c r="C786" s="297"/>
      <c r="D786" s="297"/>
      <c r="E786" s="297"/>
      <c r="F786" s="297"/>
      <c r="G786" s="298"/>
      <c r="H786" s="297"/>
      <c r="I786" s="298"/>
      <c r="J786" s="298"/>
      <c r="K786" s="300"/>
    </row>
    <row r="787" ht="12.75">
      <c r="A787" s="297"/>
      <c r="B787" s="297"/>
      <c r="C787" s="297"/>
      <c r="D787" s="297"/>
      <c r="E787" s="297"/>
      <c r="F787" s="297"/>
      <c r="G787" s="298"/>
      <c r="H787" s="297"/>
      <c r="I787" s="298"/>
      <c r="J787" s="298"/>
      <c r="K787" s="300"/>
    </row>
    <row r="788" ht="12.75">
      <c r="A788" s="297"/>
      <c r="B788" s="297"/>
      <c r="C788" s="297"/>
      <c r="D788" s="297"/>
      <c r="E788" s="297"/>
      <c r="F788" s="297"/>
      <c r="G788" s="298"/>
      <c r="H788" s="297"/>
      <c r="I788" s="298"/>
      <c r="J788" s="298"/>
      <c r="K788" s="300"/>
    </row>
    <row r="789" ht="12.75">
      <c r="A789" s="297"/>
      <c r="B789" s="297"/>
      <c r="C789" s="297"/>
      <c r="D789" s="297"/>
      <c r="E789" s="297"/>
      <c r="F789" s="297"/>
      <c r="G789" s="298"/>
      <c r="H789" s="297"/>
      <c r="I789" s="298"/>
      <c r="J789" s="298"/>
      <c r="K789" s="300"/>
    </row>
    <row r="790" ht="12.75">
      <c r="A790" s="297"/>
      <c r="B790" s="297"/>
      <c r="C790" s="297"/>
      <c r="D790" s="297"/>
      <c r="E790" s="297"/>
      <c r="F790" s="297"/>
      <c r="G790" s="298"/>
      <c r="H790" s="297"/>
      <c r="I790" s="298"/>
      <c r="J790" s="298"/>
      <c r="K790" s="300"/>
    </row>
    <row r="791" ht="12.75">
      <c r="A791" s="297"/>
      <c r="B791" s="297"/>
      <c r="C791" s="297"/>
      <c r="D791" s="297"/>
      <c r="E791" s="297"/>
      <c r="F791" s="297"/>
      <c r="G791" s="298"/>
      <c r="H791" s="297"/>
      <c r="I791" s="298"/>
      <c r="J791" s="298"/>
      <c r="K791" s="300"/>
    </row>
    <row r="792" ht="12.75">
      <c r="A792" s="297"/>
      <c r="B792" s="297"/>
      <c r="C792" s="297"/>
      <c r="D792" s="297"/>
      <c r="E792" s="297"/>
      <c r="F792" s="297"/>
      <c r="G792" s="298"/>
      <c r="H792" s="297"/>
      <c r="I792" s="298"/>
      <c r="J792" s="298"/>
      <c r="K792" s="300"/>
    </row>
    <row r="793" ht="12.75">
      <c r="A793" s="297"/>
      <c r="B793" s="297"/>
      <c r="C793" s="297"/>
      <c r="D793" s="297"/>
      <c r="E793" s="297"/>
      <c r="F793" s="297"/>
      <c r="G793" s="298"/>
      <c r="H793" s="297"/>
      <c r="I793" s="298"/>
      <c r="J793" s="298"/>
      <c r="K793" s="300"/>
    </row>
    <row r="794" ht="12.75">
      <c r="A794" s="297"/>
      <c r="B794" s="297"/>
      <c r="C794" s="297"/>
      <c r="D794" s="297"/>
      <c r="E794" s="297"/>
      <c r="F794" s="297"/>
      <c r="G794" s="298"/>
      <c r="H794" s="297"/>
      <c r="I794" s="298"/>
      <c r="J794" s="298"/>
      <c r="K794" s="300"/>
    </row>
    <row r="795" ht="12.75">
      <c r="A795" s="297"/>
      <c r="B795" s="297"/>
      <c r="C795" s="297"/>
      <c r="D795" s="297"/>
      <c r="E795" s="297"/>
      <c r="F795" s="297"/>
      <c r="G795" s="298"/>
      <c r="H795" s="297"/>
      <c r="I795" s="298"/>
      <c r="J795" s="298"/>
      <c r="K795" s="300"/>
    </row>
    <row r="796" ht="12.75">
      <c r="A796" s="297"/>
      <c r="B796" s="297"/>
      <c r="C796" s="297"/>
      <c r="D796" s="297"/>
      <c r="E796" s="297"/>
      <c r="F796" s="297"/>
      <c r="G796" s="298"/>
      <c r="H796" s="297"/>
      <c r="I796" s="298"/>
      <c r="J796" s="298"/>
      <c r="K796" s="300"/>
    </row>
    <row r="797" ht="12.75">
      <c r="A797" s="297"/>
      <c r="B797" s="297"/>
      <c r="C797" s="297"/>
      <c r="D797" s="297"/>
      <c r="E797" s="297"/>
      <c r="F797" s="297"/>
      <c r="G797" s="298"/>
      <c r="H797" s="297"/>
      <c r="I797" s="298"/>
      <c r="J797" s="298"/>
      <c r="K797" s="300"/>
    </row>
    <row r="798" ht="12.75">
      <c r="A798" s="297"/>
      <c r="B798" s="297"/>
      <c r="C798" s="297"/>
      <c r="D798" s="297"/>
      <c r="E798" s="297"/>
      <c r="F798" s="297"/>
      <c r="G798" s="298"/>
      <c r="H798" s="297"/>
      <c r="I798" s="298"/>
      <c r="J798" s="298"/>
      <c r="K798" s="300"/>
    </row>
    <row r="799" ht="12.75">
      <c r="A799" s="297"/>
      <c r="B799" s="297"/>
      <c r="C799" s="297"/>
      <c r="D799" s="297"/>
      <c r="E799" s="297"/>
      <c r="F799" s="297"/>
      <c r="G799" s="298"/>
      <c r="H799" s="297"/>
      <c r="I799" s="298"/>
      <c r="J799" s="298"/>
      <c r="K799" s="300"/>
    </row>
    <row r="800" ht="12.75">
      <c r="A800" s="297"/>
      <c r="B800" s="297"/>
      <c r="C800" s="297"/>
      <c r="D800" s="297"/>
      <c r="E800" s="297"/>
      <c r="F800" s="297"/>
      <c r="G800" s="298"/>
      <c r="H800" s="297"/>
      <c r="I800" s="298"/>
      <c r="J800" s="298"/>
      <c r="K800" s="300"/>
    </row>
    <row r="801" ht="12.75">
      <c r="A801" s="297"/>
      <c r="B801" s="297"/>
      <c r="C801" s="297"/>
      <c r="D801" s="297"/>
      <c r="E801" s="297"/>
      <c r="F801" s="297"/>
      <c r="G801" s="298"/>
      <c r="H801" s="297"/>
      <c r="I801" s="298"/>
      <c r="J801" s="298"/>
      <c r="K801" s="300"/>
    </row>
    <row r="802" ht="12.75">
      <c r="A802" s="297"/>
      <c r="B802" s="297"/>
      <c r="C802" s="297"/>
      <c r="D802" s="297"/>
      <c r="E802" s="297"/>
      <c r="F802" s="297"/>
      <c r="G802" s="298"/>
      <c r="H802" s="297"/>
      <c r="I802" s="298"/>
      <c r="J802" s="298"/>
      <c r="K802" s="300"/>
    </row>
    <row r="803" ht="12.75">
      <c r="A803" s="297"/>
      <c r="B803" s="297"/>
      <c r="C803" s="297"/>
      <c r="D803" s="297"/>
      <c r="E803" s="297"/>
      <c r="F803" s="297"/>
      <c r="G803" s="298"/>
      <c r="H803" s="297"/>
      <c r="I803" s="298"/>
      <c r="J803" s="298"/>
      <c r="K803" s="300"/>
    </row>
    <row r="804" ht="12.75">
      <c r="A804" s="297"/>
      <c r="B804" s="297"/>
      <c r="C804" s="297"/>
      <c r="D804" s="297"/>
      <c r="E804" s="297"/>
      <c r="F804" s="297"/>
      <c r="G804" s="298"/>
      <c r="H804" s="297"/>
      <c r="I804" s="298"/>
      <c r="J804" s="298"/>
      <c r="K804" s="300"/>
    </row>
    <row r="805" ht="12.75">
      <c r="A805" s="297"/>
      <c r="B805" s="297"/>
      <c r="C805" s="297"/>
      <c r="D805" s="297"/>
      <c r="E805" s="297"/>
      <c r="F805" s="297"/>
      <c r="G805" s="298"/>
      <c r="H805" s="297"/>
      <c r="I805" s="298"/>
      <c r="J805" s="298"/>
      <c r="K805" s="300"/>
    </row>
    <row r="806" ht="12.75">
      <c r="A806" s="297"/>
      <c r="B806" s="297"/>
      <c r="C806" s="297"/>
      <c r="D806" s="297"/>
      <c r="E806" s="297"/>
      <c r="F806" s="297"/>
      <c r="G806" s="298"/>
      <c r="H806" s="297"/>
      <c r="I806" s="298"/>
      <c r="J806" s="298"/>
      <c r="K806" s="300"/>
    </row>
    <row r="807" ht="12.75">
      <c r="A807" s="297"/>
      <c r="B807" s="297"/>
      <c r="C807" s="297"/>
      <c r="D807" s="297"/>
      <c r="E807" s="297"/>
      <c r="F807" s="297"/>
      <c r="G807" s="298"/>
      <c r="H807" s="297"/>
      <c r="I807" s="298"/>
      <c r="J807" s="298"/>
      <c r="K807" s="300"/>
    </row>
    <row r="808" ht="12.75">
      <c r="A808" s="297"/>
      <c r="B808" s="297"/>
      <c r="C808" s="297"/>
      <c r="D808" s="297"/>
      <c r="E808" s="297"/>
      <c r="F808" s="297"/>
      <c r="G808" s="298"/>
      <c r="H808" s="297"/>
      <c r="I808" s="298"/>
      <c r="J808" s="298"/>
      <c r="K808" s="300"/>
    </row>
    <row r="809" ht="12.75">
      <c r="A809" s="297"/>
      <c r="B809" s="297"/>
      <c r="C809" s="297"/>
      <c r="D809" s="297"/>
      <c r="E809" s="297"/>
      <c r="F809" s="297"/>
      <c r="G809" s="298"/>
      <c r="H809" s="297"/>
      <c r="I809" s="298"/>
      <c r="J809" s="298"/>
      <c r="K809" s="300"/>
    </row>
    <row r="810" ht="12.75">
      <c r="A810" s="297"/>
      <c r="B810" s="297"/>
      <c r="C810" s="297"/>
      <c r="D810" s="297"/>
      <c r="E810" s="297"/>
      <c r="F810" s="297"/>
      <c r="G810" s="298"/>
      <c r="H810" s="297"/>
      <c r="I810" s="298"/>
      <c r="J810" s="298"/>
      <c r="K810" s="300"/>
    </row>
    <row r="811" ht="12.75">
      <c r="A811" s="297"/>
      <c r="B811" s="297"/>
      <c r="C811" s="297"/>
      <c r="D811" s="297"/>
      <c r="E811" s="297"/>
      <c r="F811" s="297"/>
      <c r="G811" s="298"/>
      <c r="H811" s="297"/>
      <c r="I811" s="298"/>
      <c r="J811" s="298"/>
      <c r="K811" s="300"/>
    </row>
    <row r="812" ht="12.75">
      <c r="A812" s="297"/>
      <c r="B812" s="297"/>
      <c r="C812" s="297"/>
      <c r="D812" s="297"/>
      <c r="E812" s="297"/>
      <c r="F812" s="297"/>
      <c r="G812" s="298"/>
      <c r="H812" s="297"/>
      <c r="I812" s="298"/>
      <c r="J812" s="298"/>
      <c r="K812" s="300"/>
    </row>
    <row r="813" ht="12.75">
      <c r="A813" s="297"/>
      <c r="B813" s="297"/>
      <c r="C813" s="297"/>
      <c r="D813" s="297"/>
      <c r="E813" s="297"/>
      <c r="F813" s="297"/>
      <c r="G813" s="298"/>
      <c r="H813" s="297"/>
      <c r="I813" s="298"/>
      <c r="J813" s="298"/>
      <c r="K813" s="300"/>
    </row>
    <row r="814" ht="12.75">
      <c r="A814" s="297"/>
      <c r="B814" s="297"/>
      <c r="C814" s="297"/>
      <c r="D814" s="297"/>
      <c r="E814" s="297"/>
      <c r="F814" s="297"/>
      <c r="G814" s="298"/>
      <c r="H814" s="297"/>
      <c r="I814" s="298"/>
      <c r="J814" s="298"/>
      <c r="K814" s="300"/>
    </row>
    <row r="815" ht="12.75">
      <c r="A815" s="297"/>
      <c r="B815" s="297"/>
      <c r="C815" s="297"/>
      <c r="D815" s="297"/>
      <c r="E815" s="297"/>
      <c r="F815" s="297"/>
      <c r="G815" s="298"/>
      <c r="H815" s="297"/>
      <c r="I815" s="298"/>
      <c r="J815" s="298"/>
      <c r="K815" s="300"/>
    </row>
    <row r="816" ht="12.75">
      <c r="A816" s="297"/>
      <c r="B816" s="297"/>
      <c r="C816" s="297"/>
      <c r="D816" s="297"/>
      <c r="E816" s="297"/>
      <c r="F816" s="297"/>
      <c r="G816" s="298"/>
      <c r="H816" s="297"/>
      <c r="I816" s="298"/>
      <c r="J816" s="298"/>
      <c r="K816" s="300"/>
    </row>
    <row r="817" ht="12.75">
      <c r="A817" s="297"/>
      <c r="B817" s="297"/>
      <c r="C817" s="297"/>
      <c r="D817" s="297"/>
      <c r="E817" s="297"/>
      <c r="F817" s="297"/>
      <c r="G817" s="298"/>
      <c r="H817" s="297"/>
      <c r="I817" s="298"/>
      <c r="J817" s="298"/>
      <c r="K817" s="300"/>
    </row>
    <row r="818" ht="12.75">
      <c r="A818" s="297"/>
      <c r="B818" s="297"/>
      <c r="C818" s="297"/>
      <c r="D818" s="297"/>
      <c r="E818" s="297"/>
      <c r="F818" s="297"/>
      <c r="G818" s="298"/>
      <c r="H818" s="297"/>
      <c r="I818" s="298"/>
      <c r="J818" s="298"/>
      <c r="K818" s="300"/>
    </row>
    <row r="819" ht="12.75">
      <c r="A819" s="297"/>
      <c r="B819" s="297"/>
      <c r="C819" s="297"/>
      <c r="D819" s="297"/>
      <c r="E819" s="297"/>
      <c r="F819" s="297"/>
      <c r="G819" s="298"/>
      <c r="H819" s="297"/>
      <c r="I819" s="298"/>
      <c r="J819" s="298"/>
      <c r="K819" s="300"/>
    </row>
    <row r="820" ht="12.75">
      <c r="A820" s="297"/>
      <c r="B820" s="297"/>
      <c r="C820" s="297"/>
      <c r="D820" s="297"/>
      <c r="E820" s="297"/>
      <c r="F820" s="297"/>
      <c r="G820" s="298"/>
      <c r="H820" s="297"/>
      <c r="I820" s="298"/>
      <c r="J820" s="298"/>
      <c r="K820" s="300"/>
    </row>
    <row r="821" ht="12.75">
      <c r="A821" s="297"/>
      <c r="B821" s="297"/>
      <c r="C821" s="297"/>
      <c r="D821" s="297"/>
      <c r="E821" s="297"/>
      <c r="F821" s="297"/>
      <c r="G821" s="298"/>
      <c r="H821" s="297"/>
      <c r="I821" s="298"/>
      <c r="J821" s="298"/>
      <c r="K821" s="300"/>
    </row>
    <row r="822" ht="12.75">
      <c r="A822" s="297"/>
      <c r="B822" s="297"/>
      <c r="C822" s="297"/>
      <c r="D822" s="297"/>
      <c r="E822" s="297"/>
      <c r="F822" s="297"/>
      <c r="G822" s="298"/>
      <c r="H822" s="297"/>
      <c r="I822" s="298"/>
      <c r="J822" s="298"/>
      <c r="K822" s="300"/>
    </row>
    <row r="823" ht="12.75">
      <c r="A823" s="297"/>
      <c r="B823" s="297"/>
      <c r="C823" s="297"/>
      <c r="D823" s="297"/>
      <c r="E823" s="297"/>
      <c r="F823" s="297"/>
      <c r="G823" s="298"/>
      <c r="H823" s="297"/>
      <c r="I823" s="298"/>
      <c r="J823" s="298"/>
      <c r="K823" s="300"/>
    </row>
    <row r="824" ht="12.75">
      <c r="A824" s="297"/>
      <c r="B824" s="297"/>
      <c r="C824" s="297"/>
      <c r="D824" s="297"/>
      <c r="E824" s="297"/>
      <c r="F824" s="297"/>
      <c r="G824" s="298"/>
      <c r="H824" s="297"/>
      <c r="I824" s="298"/>
      <c r="J824" s="298"/>
      <c r="K824" s="300"/>
    </row>
    <row r="825" ht="12.75">
      <c r="A825" s="297"/>
      <c r="B825" s="297"/>
      <c r="C825" s="297"/>
      <c r="D825" s="297"/>
      <c r="E825" s="297"/>
      <c r="F825" s="297"/>
      <c r="G825" s="298"/>
      <c r="H825" s="297"/>
      <c r="I825" s="298"/>
      <c r="J825" s="298"/>
      <c r="K825" s="300"/>
    </row>
    <row r="826" ht="12.75">
      <c r="A826" s="297"/>
      <c r="B826" s="297"/>
      <c r="C826" s="297"/>
      <c r="D826" s="297"/>
      <c r="E826" s="297"/>
      <c r="F826" s="297"/>
      <c r="G826" s="298"/>
      <c r="H826" s="297"/>
      <c r="I826" s="298"/>
      <c r="J826" s="298"/>
      <c r="K826" s="300"/>
    </row>
    <row r="827" ht="12.75">
      <c r="A827" s="297"/>
      <c r="B827" s="297"/>
      <c r="C827" s="297"/>
      <c r="D827" s="297"/>
      <c r="E827" s="297"/>
      <c r="F827" s="297"/>
      <c r="G827" s="298"/>
      <c r="H827" s="297"/>
      <c r="I827" s="298"/>
      <c r="J827" s="298"/>
      <c r="K827" s="300"/>
    </row>
    <row r="828" ht="12.75">
      <c r="A828" s="297"/>
      <c r="B828" s="297"/>
      <c r="C828" s="297"/>
      <c r="D828" s="297"/>
      <c r="E828" s="297"/>
      <c r="F828" s="297"/>
      <c r="G828" s="298"/>
      <c r="H828" s="297"/>
      <c r="I828" s="298"/>
      <c r="J828" s="298"/>
      <c r="K828" s="300"/>
    </row>
    <row r="829" ht="12.75">
      <c r="A829" s="297"/>
      <c r="B829" s="297"/>
      <c r="C829" s="297"/>
      <c r="D829" s="297"/>
      <c r="E829" s="297"/>
      <c r="F829" s="297"/>
      <c r="G829" s="298"/>
      <c r="H829" s="297"/>
      <c r="I829" s="298"/>
      <c r="J829" s="298"/>
      <c r="K829" s="300"/>
    </row>
    <row r="830" ht="12.75">
      <c r="A830" s="297"/>
      <c r="B830" s="297"/>
      <c r="C830" s="297"/>
      <c r="D830" s="297"/>
      <c r="E830" s="297"/>
      <c r="F830" s="297"/>
      <c r="G830" s="298"/>
      <c r="H830" s="297"/>
      <c r="I830" s="298"/>
      <c r="J830" s="298"/>
      <c r="K830" s="300"/>
    </row>
    <row r="831" ht="12.75">
      <c r="A831" s="297"/>
      <c r="B831" s="297"/>
      <c r="C831" s="297"/>
      <c r="D831" s="297"/>
      <c r="E831" s="297"/>
      <c r="F831" s="297"/>
      <c r="G831" s="298"/>
      <c r="H831" s="297"/>
      <c r="I831" s="298"/>
      <c r="J831" s="298"/>
      <c r="K831" s="300"/>
    </row>
    <row r="832" ht="12.75">
      <c r="A832" s="297"/>
      <c r="B832" s="297"/>
      <c r="C832" s="297"/>
      <c r="D832" s="297"/>
      <c r="E832" s="297"/>
      <c r="F832" s="297"/>
      <c r="G832" s="298"/>
      <c r="H832" s="297"/>
      <c r="I832" s="298"/>
      <c r="J832" s="298"/>
      <c r="K832" s="300"/>
    </row>
    <row r="833" ht="12.75">
      <c r="A833" s="297"/>
      <c r="B833" s="297"/>
      <c r="C833" s="297"/>
      <c r="D833" s="297"/>
      <c r="E833" s="297"/>
      <c r="F833" s="297"/>
      <c r="G833" s="298"/>
      <c r="H833" s="297"/>
      <c r="I833" s="298"/>
      <c r="J833" s="298"/>
      <c r="K833" s="300"/>
    </row>
    <row r="834" ht="12.75">
      <c r="A834" s="297"/>
      <c r="B834" s="297"/>
      <c r="C834" s="297"/>
      <c r="D834" s="297"/>
      <c r="E834" s="297"/>
      <c r="F834" s="297"/>
      <c r="G834" s="298"/>
      <c r="H834" s="297"/>
      <c r="I834" s="298"/>
      <c r="J834" s="298"/>
      <c r="K834" s="300"/>
    </row>
    <row r="835" ht="12.75">
      <c r="A835" s="297"/>
      <c r="B835" s="297"/>
      <c r="C835" s="297"/>
      <c r="D835" s="297"/>
      <c r="E835" s="297"/>
      <c r="F835" s="297"/>
      <c r="G835" s="298"/>
      <c r="H835" s="297"/>
      <c r="I835" s="298"/>
      <c r="J835" s="298"/>
      <c r="K835" s="300"/>
    </row>
    <row r="836" ht="12.75">
      <c r="A836" s="297"/>
      <c r="B836" s="297"/>
      <c r="C836" s="297"/>
      <c r="D836" s="297"/>
      <c r="E836" s="297"/>
      <c r="F836" s="297"/>
      <c r="G836" s="298"/>
      <c r="H836" s="297"/>
      <c r="I836" s="298"/>
      <c r="J836" s="298"/>
      <c r="K836" s="300"/>
    </row>
    <row r="837" ht="12.75">
      <c r="A837" s="297"/>
      <c r="B837" s="297"/>
      <c r="C837" s="297"/>
      <c r="D837" s="297"/>
      <c r="E837" s="297"/>
      <c r="F837" s="297"/>
      <c r="G837" s="298"/>
      <c r="H837" s="297"/>
      <c r="I837" s="298"/>
      <c r="J837" s="298"/>
      <c r="K837" s="300"/>
    </row>
    <row r="838" ht="12.75">
      <c r="A838" s="297"/>
      <c r="B838" s="297"/>
      <c r="C838" s="297"/>
      <c r="D838" s="297"/>
      <c r="E838" s="297"/>
      <c r="F838" s="297"/>
      <c r="G838" s="298"/>
      <c r="H838" s="297"/>
      <c r="I838" s="298"/>
      <c r="J838" s="298"/>
      <c r="K838" s="300"/>
    </row>
    <row r="839" ht="12.75">
      <c r="A839" s="297"/>
      <c r="B839" s="297"/>
      <c r="C839" s="297"/>
      <c r="D839" s="297"/>
      <c r="E839" s="297"/>
      <c r="F839" s="297"/>
      <c r="G839" s="298"/>
      <c r="H839" s="297"/>
      <c r="I839" s="298"/>
      <c r="J839" s="298"/>
      <c r="K839" s="300"/>
    </row>
    <row r="840" ht="12.75">
      <c r="A840" s="297"/>
      <c r="B840" s="297"/>
      <c r="C840" s="297"/>
      <c r="D840" s="297"/>
      <c r="E840" s="297"/>
      <c r="F840" s="297"/>
      <c r="G840" s="298"/>
      <c r="H840" s="297"/>
      <c r="I840" s="298"/>
      <c r="J840" s="298"/>
      <c r="K840" s="300"/>
    </row>
    <row r="841" ht="12.75">
      <c r="A841" s="297"/>
      <c r="B841" s="297"/>
      <c r="C841" s="297"/>
      <c r="D841" s="297"/>
      <c r="E841" s="297"/>
      <c r="F841" s="297"/>
      <c r="G841" s="298"/>
      <c r="H841" s="297"/>
      <c r="I841" s="298"/>
      <c r="J841" s="298"/>
      <c r="K841" s="300"/>
    </row>
    <row r="842" ht="12.75">
      <c r="A842" s="297"/>
      <c r="B842" s="297"/>
      <c r="C842" s="297"/>
      <c r="D842" s="297"/>
      <c r="E842" s="297"/>
      <c r="F842" s="297"/>
      <c r="G842" s="298"/>
      <c r="H842" s="297"/>
      <c r="I842" s="298"/>
      <c r="J842" s="298"/>
      <c r="K842" s="300"/>
    </row>
    <row r="843" ht="12.75">
      <c r="A843" s="297"/>
      <c r="B843" s="297"/>
      <c r="C843" s="297"/>
      <c r="D843" s="297"/>
      <c r="E843" s="297"/>
      <c r="F843" s="297"/>
      <c r="G843" s="298"/>
      <c r="H843" s="297"/>
      <c r="I843" s="298"/>
      <c r="J843" s="298"/>
      <c r="K843" s="300"/>
    </row>
    <row r="844" ht="12.75">
      <c r="A844" s="297"/>
      <c r="B844" s="297"/>
      <c r="C844" s="297"/>
      <c r="D844" s="297"/>
      <c r="E844" s="297"/>
      <c r="F844" s="297"/>
      <c r="G844" s="298"/>
      <c r="H844" s="297"/>
      <c r="I844" s="298"/>
      <c r="J844" s="298"/>
      <c r="K844" s="300"/>
    </row>
    <row r="845" ht="12.75">
      <c r="A845" s="297"/>
      <c r="B845" s="297"/>
      <c r="C845" s="297"/>
      <c r="D845" s="297"/>
      <c r="E845" s="297"/>
      <c r="F845" s="297"/>
      <c r="G845" s="298"/>
      <c r="H845" s="297"/>
      <c r="I845" s="298"/>
      <c r="J845" s="298"/>
      <c r="K845" s="300"/>
    </row>
    <row r="846" ht="12.75">
      <c r="A846" s="297"/>
      <c r="B846" s="297"/>
      <c r="C846" s="297"/>
      <c r="D846" s="297"/>
      <c r="E846" s="297"/>
      <c r="F846" s="297"/>
      <c r="G846" s="298"/>
      <c r="H846" s="297"/>
      <c r="I846" s="298"/>
      <c r="J846" s="298"/>
      <c r="K846" s="300"/>
    </row>
    <row r="847" ht="12.75">
      <c r="A847" s="297"/>
      <c r="B847" s="297"/>
      <c r="C847" s="297"/>
      <c r="D847" s="297"/>
      <c r="E847" s="297"/>
      <c r="F847" s="297"/>
      <c r="G847" s="298"/>
      <c r="H847" s="297"/>
      <c r="I847" s="298"/>
      <c r="J847" s="298"/>
      <c r="K847" s="300"/>
    </row>
    <row r="848" ht="12.75">
      <c r="A848" s="297"/>
      <c r="B848" s="297"/>
      <c r="C848" s="297"/>
      <c r="D848" s="297"/>
      <c r="E848" s="297"/>
      <c r="F848" s="297"/>
      <c r="G848" s="298"/>
      <c r="H848" s="297"/>
      <c r="I848" s="298"/>
      <c r="J848" s="298"/>
      <c r="K848" s="300"/>
    </row>
    <row r="849" ht="12.75">
      <c r="A849" s="297"/>
      <c r="B849" s="297"/>
      <c r="C849" s="297"/>
      <c r="D849" s="297"/>
      <c r="E849" s="297"/>
      <c r="F849" s="297"/>
      <c r="G849" s="298"/>
      <c r="H849" s="297"/>
      <c r="I849" s="298"/>
      <c r="J849" s="298"/>
      <c r="K849" s="300"/>
    </row>
    <row r="850" ht="12.75">
      <c r="A850" s="297"/>
      <c r="B850" s="297"/>
      <c r="C850" s="297"/>
      <c r="D850" s="297"/>
      <c r="E850" s="297"/>
      <c r="F850" s="297"/>
      <c r="G850" s="298"/>
      <c r="H850" s="297"/>
      <c r="I850" s="298"/>
      <c r="J850" s="298"/>
      <c r="K850" s="300"/>
    </row>
    <row r="851" ht="12.75">
      <c r="A851" s="297"/>
      <c r="B851" s="297"/>
      <c r="C851" s="297"/>
      <c r="D851" s="297"/>
      <c r="E851" s="297"/>
      <c r="F851" s="297"/>
      <c r="G851" s="298"/>
      <c r="H851" s="297"/>
      <c r="I851" s="298"/>
      <c r="J851" s="298"/>
      <c r="K851" s="300"/>
    </row>
    <row r="852" ht="12.75">
      <c r="A852" s="297"/>
      <c r="B852" s="297"/>
      <c r="C852" s="297"/>
      <c r="D852" s="297"/>
      <c r="E852" s="297"/>
      <c r="F852" s="297"/>
      <c r="G852" s="298"/>
      <c r="H852" s="297"/>
      <c r="I852" s="298"/>
      <c r="J852" s="298"/>
      <c r="K852" s="300"/>
    </row>
    <row r="853" ht="12.75">
      <c r="A853" s="297"/>
      <c r="B853" s="297"/>
      <c r="C853" s="297"/>
      <c r="D853" s="297"/>
      <c r="E853" s="297"/>
      <c r="F853" s="297"/>
      <c r="G853" s="298"/>
      <c r="H853" s="297"/>
      <c r="I853" s="298"/>
      <c r="J853" s="298"/>
      <c r="K853" s="300"/>
    </row>
    <row r="854" ht="12.75">
      <c r="A854" s="297"/>
      <c r="B854" s="297"/>
      <c r="C854" s="297"/>
      <c r="D854" s="297"/>
      <c r="E854" s="297"/>
      <c r="F854" s="297"/>
      <c r="G854" s="298"/>
      <c r="H854" s="297"/>
      <c r="I854" s="298"/>
      <c r="J854" s="298"/>
      <c r="K854" s="300"/>
    </row>
    <row r="855" ht="12.75">
      <c r="A855" s="297"/>
      <c r="B855" s="297"/>
      <c r="C855" s="297"/>
      <c r="D855" s="297"/>
      <c r="E855" s="297"/>
      <c r="F855" s="297"/>
      <c r="G855" s="298"/>
      <c r="H855" s="297"/>
      <c r="I855" s="298"/>
      <c r="J855" s="298"/>
      <c r="K855" s="300"/>
    </row>
    <row r="856" ht="12.75">
      <c r="A856" s="297"/>
      <c r="B856" s="297"/>
      <c r="C856" s="297"/>
      <c r="D856" s="297"/>
      <c r="E856" s="297"/>
      <c r="F856" s="297"/>
      <c r="G856" s="298"/>
      <c r="H856" s="297"/>
      <c r="I856" s="298"/>
      <c r="J856" s="298"/>
      <c r="K856" s="300"/>
    </row>
    <row r="857" ht="12.75">
      <c r="A857" s="297"/>
      <c r="B857" s="297"/>
      <c r="C857" s="297"/>
      <c r="D857" s="297"/>
      <c r="E857" s="297"/>
      <c r="F857" s="297"/>
      <c r="G857" s="298"/>
      <c r="H857" s="297"/>
      <c r="I857" s="298"/>
      <c r="J857" s="298"/>
      <c r="K857" s="300"/>
    </row>
    <row r="858" ht="12.75">
      <c r="A858" s="297"/>
      <c r="B858" s="297"/>
      <c r="C858" s="297"/>
      <c r="D858" s="297"/>
      <c r="E858" s="297"/>
      <c r="F858" s="297"/>
      <c r="G858" s="298"/>
      <c r="H858" s="297"/>
      <c r="I858" s="298"/>
      <c r="J858" s="298"/>
      <c r="K858" s="300"/>
    </row>
    <row r="859" ht="12.75">
      <c r="A859" s="297"/>
      <c r="B859" s="297"/>
      <c r="C859" s="297"/>
      <c r="D859" s="297"/>
      <c r="E859" s="297"/>
      <c r="F859" s="297"/>
      <c r="G859" s="298"/>
      <c r="H859" s="297"/>
      <c r="I859" s="298"/>
      <c r="J859" s="298"/>
      <c r="K859" s="300"/>
    </row>
    <row r="860" ht="12.75">
      <c r="A860" s="297"/>
      <c r="B860" s="297"/>
      <c r="C860" s="297"/>
      <c r="D860" s="297"/>
      <c r="E860" s="297"/>
      <c r="F860" s="297"/>
      <c r="G860" s="298"/>
      <c r="H860" s="297"/>
      <c r="I860" s="298"/>
      <c r="J860" s="298"/>
      <c r="K860" s="300"/>
    </row>
    <row r="861" ht="12.75">
      <c r="A861" s="297"/>
      <c r="B861" s="297"/>
      <c r="C861" s="297"/>
      <c r="D861" s="297"/>
      <c r="E861" s="297"/>
      <c r="F861" s="297"/>
      <c r="G861" s="298"/>
      <c r="H861" s="297"/>
      <c r="I861" s="298"/>
      <c r="J861" s="298"/>
      <c r="K861" s="300"/>
    </row>
    <row r="862" ht="12.75">
      <c r="A862" s="297"/>
      <c r="B862" s="297"/>
      <c r="C862" s="297"/>
      <c r="D862" s="297"/>
      <c r="E862" s="297"/>
      <c r="F862" s="297"/>
      <c r="G862" s="298"/>
      <c r="H862" s="297"/>
      <c r="I862" s="298"/>
      <c r="J862" s="298"/>
      <c r="K862" s="300"/>
    </row>
    <row r="863" ht="12.75">
      <c r="A863" s="297"/>
      <c r="B863" s="297"/>
      <c r="C863" s="297"/>
      <c r="D863" s="297"/>
      <c r="E863" s="297"/>
      <c r="F863" s="297"/>
      <c r="G863" s="298"/>
      <c r="H863" s="297"/>
      <c r="I863" s="298"/>
      <c r="J863" s="298"/>
      <c r="K863" s="300"/>
    </row>
    <row r="864" ht="12.75">
      <c r="A864" s="297"/>
      <c r="B864" s="297"/>
      <c r="C864" s="297"/>
      <c r="D864" s="297"/>
      <c r="E864" s="297"/>
      <c r="F864" s="297"/>
      <c r="G864" s="298"/>
      <c r="H864" s="297"/>
      <c r="I864" s="298"/>
      <c r="J864" s="298"/>
      <c r="K864" s="300"/>
    </row>
    <row r="865" ht="12.75">
      <c r="A865" s="297"/>
      <c r="B865" s="297"/>
      <c r="C865" s="297"/>
      <c r="D865" s="297"/>
      <c r="E865" s="297"/>
      <c r="F865" s="297"/>
      <c r="G865" s="298"/>
      <c r="H865" s="297"/>
      <c r="I865" s="298"/>
      <c r="J865" s="298"/>
      <c r="K865" s="300"/>
    </row>
    <row r="866" ht="12.75">
      <c r="A866" s="297"/>
      <c r="B866" s="297"/>
      <c r="C866" s="297"/>
      <c r="D866" s="297"/>
      <c r="E866" s="297"/>
      <c r="F866" s="297"/>
      <c r="G866" s="298"/>
      <c r="H866" s="297"/>
      <c r="I866" s="298"/>
      <c r="J866" s="298"/>
      <c r="K866" s="300"/>
    </row>
    <row r="867" ht="12.75">
      <c r="A867" s="297"/>
      <c r="B867" s="297"/>
      <c r="C867" s="297"/>
      <c r="D867" s="297"/>
      <c r="E867" s="297"/>
      <c r="F867" s="297"/>
      <c r="G867" s="298"/>
      <c r="H867" s="297"/>
      <c r="I867" s="298"/>
      <c r="J867" s="298"/>
      <c r="K867" s="300"/>
    </row>
    <row r="868" ht="12.75">
      <c r="A868" s="297"/>
      <c r="B868" s="297"/>
      <c r="C868" s="297"/>
      <c r="D868" s="297"/>
      <c r="E868" s="297"/>
      <c r="F868" s="297"/>
      <c r="G868" s="298"/>
      <c r="H868" s="297"/>
      <c r="I868" s="298"/>
      <c r="J868" s="298"/>
      <c r="K868" s="300"/>
    </row>
    <row r="869" ht="12.75">
      <c r="A869" s="297"/>
      <c r="B869" s="297"/>
      <c r="C869" s="297"/>
      <c r="D869" s="297"/>
      <c r="E869" s="297"/>
      <c r="F869" s="297"/>
      <c r="G869" s="298"/>
      <c r="H869" s="297"/>
      <c r="I869" s="298"/>
      <c r="J869" s="298"/>
      <c r="K869" s="300"/>
    </row>
    <row r="870" ht="12.75">
      <c r="A870" s="297"/>
      <c r="B870" s="297"/>
      <c r="C870" s="297"/>
      <c r="D870" s="297"/>
      <c r="E870" s="297"/>
      <c r="F870" s="297"/>
      <c r="G870" s="298"/>
      <c r="H870" s="297"/>
      <c r="I870" s="298"/>
      <c r="J870" s="298"/>
      <c r="K870" s="300"/>
    </row>
    <row r="871" ht="12.75">
      <c r="A871" s="297"/>
      <c r="B871" s="297"/>
      <c r="C871" s="297"/>
      <c r="D871" s="297"/>
      <c r="E871" s="297"/>
      <c r="F871" s="297"/>
      <c r="G871" s="298"/>
      <c r="H871" s="297"/>
      <c r="I871" s="298"/>
      <c r="J871" s="298"/>
      <c r="K871" s="300"/>
    </row>
    <row r="872" ht="12.75">
      <c r="A872" s="297"/>
      <c r="B872" s="297"/>
      <c r="C872" s="297"/>
      <c r="D872" s="297"/>
      <c r="E872" s="297"/>
      <c r="F872" s="297"/>
      <c r="G872" s="298"/>
      <c r="H872" s="297"/>
      <c r="I872" s="298"/>
      <c r="J872" s="298"/>
      <c r="K872" s="300"/>
    </row>
    <row r="873" ht="12.75">
      <c r="A873" s="297"/>
      <c r="B873" s="297"/>
      <c r="C873" s="297"/>
      <c r="D873" s="297"/>
      <c r="E873" s="297"/>
      <c r="F873" s="297"/>
      <c r="G873" s="298"/>
      <c r="H873" s="297"/>
      <c r="I873" s="298"/>
      <c r="J873" s="298"/>
      <c r="K873" s="300"/>
    </row>
    <row r="874" ht="12.75">
      <c r="A874" s="297"/>
      <c r="B874" s="297"/>
      <c r="C874" s="297"/>
      <c r="D874" s="297"/>
      <c r="E874" s="297"/>
      <c r="F874" s="297"/>
      <c r="G874" s="298"/>
      <c r="H874" s="297"/>
      <c r="I874" s="298"/>
      <c r="J874" s="298"/>
      <c r="K874" s="300"/>
    </row>
    <row r="875" ht="12.75">
      <c r="A875" s="297"/>
      <c r="B875" s="297"/>
      <c r="C875" s="297"/>
      <c r="D875" s="297"/>
      <c r="E875" s="297"/>
      <c r="F875" s="297"/>
      <c r="G875" s="298"/>
      <c r="H875" s="297"/>
      <c r="I875" s="298"/>
      <c r="J875" s="298"/>
      <c r="K875" s="300"/>
    </row>
    <row r="876" ht="12.75">
      <c r="A876" s="297"/>
      <c r="B876" s="297"/>
      <c r="C876" s="297"/>
      <c r="D876" s="297"/>
      <c r="E876" s="297"/>
      <c r="F876" s="297"/>
      <c r="G876" s="298"/>
      <c r="H876" s="297"/>
      <c r="I876" s="298"/>
      <c r="J876" s="298"/>
      <c r="K876" s="300"/>
    </row>
    <row r="877" ht="12.75">
      <c r="A877" s="297"/>
      <c r="B877" s="297"/>
      <c r="C877" s="297"/>
      <c r="D877" s="297"/>
      <c r="E877" s="297"/>
      <c r="F877" s="297"/>
      <c r="G877" s="298"/>
      <c r="H877" s="297"/>
      <c r="I877" s="298"/>
      <c r="J877" s="298"/>
      <c r="K877" s="300"/>
    </row>
    <row r="878" ht="12.75">
      <c r="A878" s="297"/>
      <c r="B878" s="297"/>
      <c r="C878" s="297"/>
      <c r="D878" s="297"/>
      <c r="E878" s="297"/>
      <c r="F878" s="297"/>
      <c r="G878" s="298"/>
      <c r="H878" s="297"/>
      <c r="I878" s="298"/>
      <c r="J878" s="298"/>
      <c r="K878" s="300"/>
    </row>
    <row r="879" ht="12.75">
      <c r="A879" s="297"/>
      <c r="B879" s="297"/>
      <c r="C879" s="297"/>
      <c r="D879" s="297"/>
      <c r="E879" s="297"/>
      <c r="F879" s="297"/>
      <c r="G879" s="298"/>
      <c r="H879" s="297"/>
      <c r="I879" s="298"/>
      <c r="J879" s="298"/>
      <c r="K879" s="300"/>
    </row>
    <row r="880" ht="12.75">
      <c r="A880" s="297"/>
      <c r="B880" s="297"/>
      <c r="C880" s="297"/>
      <c r="D880" s="297"/>
      <c r="E880" s="297"/>
      <c r="F880" s="297"/>
      <c r="G880" s="298"/>
      <c r="H880" s="297"/>
      <c r="I880" s="298"/>
      <c r="J880" s="298"/>
      <c r="K880" s="300"/>
    </row>
    <row r="881" ht="12.75">
      <c r="A881" s="297"/>
      <c r="B881" s="297"/>
      <c r="C881" s="297"/>
      <c r="D881" s="297"/>
      <c r="E881" s="297"/>
      <c r="F881" s="297"/>
      <c r="G881" s="298"/>
      <c r="H881" s="297"/>
      <c r="I881" s="298"/>
      <c r="J881" s="298"/>
      <c r="K881" s="300"/>
    </row>
    <row r="882" ht="12.75">
      <c r="A882" s="297"/>
      <c r="B882" s="297"/>
      <c r="C882" s="297"/>
      <c r="D882" s="297"/>
      <c r="E882" s="297"/>
      <c r="F882" s="297"/>
      <c r="G882" s="298"/>
      <c r="H882" s="297"/>
      <c r="I882" s="298"/>
      <c r="J882" s="298"/>
      <c r="K882" s="300"/>
    </row>
    <row r="883" ht="12.75">
      <c r="A883" s="297"/>
      <c r="B883" s="297"/>
      <c r="C883" s="297"/>
      <c r="D883" s="297"/>
      <c r="E883" s="297"/>
      <c r="F883" s="297"/>
      <c r="G883" s="298"/>
      <c r="H883" s="297"/>
      <c r="I883" s="298"/>
      <c r="J883" s="298"/>
      <c r="K883" s="300"/>
    </row>
    <row r="884" ht="12.75">
      <c r="A884" s="297"/>
      <c r="B884" s="297"/>
      <c r="C884" s="297"/>
      <c r="D884" s="297"/>
      <c r="E884" s="297"/>
      <c r="F884" s="297"/>
      <c r="G884" s="298"/>
      <c r="H884" s="297"/>
      <c r="I884" s="298"/>
      <c r="J884" s="298"/>
      <c r="K884" s="300"/>
    </row>
    <row r="885" ht="12.75">
      <c r="A885" s="297"/>
      <c r="B885" s="297"/>
      <c r="C885" s="297"/>
      <c r="D885" s="297"/>
      <c r="E885" s="297"/>
      <c r="F885" s="297"/>
      <c r="G885" s="298"/>
      <c r="H885" s="297"/>
      <c r="I885" s="298"/>
      <c r="J885" s="298"/>
      <c r="K885" s="300"/>
    </row>
    <row r="886" ht="12.75">
      <c r="A886" s="297"/>
      <c r="B886" s="297"/>
      <c r="C886" s="297"/>
      <c r="D886" s="297"/>
      <c r="E886" s="297"/>
      <c r="F886" s="297"/>
      <c r="G886" s="298"/>
      <c r="H886" s="297"/>
      <c r="I886" s="298"/>
      <c r="J886" s="298"/>
      <c r="K886" s="300"/>
    </row>
    <row r="887" ht="12.75">
      <c r="A887" s="297"/>
      <c r="B887" s="297"/>
      <c r="C887" s="297"/>
      <c r="D887" s="297"/>
      <c r="E887" s="297"/>
      <c r="F887" s="297"/>
      <c r="G887" s="298"/>
      <c r="H887" s="297"/>
      <c r="I887" s="298"/>
      <c r="J887" s="298"/>
      <c r="K887" s="300"/>
    </row>
    <row r="888" ht="12.75">
      <c r="A888" s="297"/>
      <c r="B888" s="297"/>
      <c r="C888" s="297"/>
      <c r="D888" s="297"/>
      <c r="E888" s="297"/>
      <c r="F888" s="297"/>
      <c r="G888" s="298"/>
      <c r="H888" s="297"/>
      <c r="I888" s="298"/>
      <c r="J888" s="298"/>
      <c r="K888" s="300"/>
    </row>
    <row r="889" ht="12.75">
      <c r="A889" s="297"/>
      <c r="B889" s="297"/>
      <c r="C889" s="297"/>
      <c r="D889" s="297"/>
      <c r="E889" s="297"/>
      <c r="F889" s="297"/>
      <c r="G889" s="298"/>
      <c r="H889" s="297"/>
      <c r="I889" s="298"/>
      <c r="J889" s="298"/>
      <c r="K889" s="300"/>
    </row>
    <row r="890" ht="12.75">
      <c r="A890" s="297"/>
      <c r="B890" s="297"/>
      <c r="C890" s="297"/>
      <c r="D890" s="297"/>
      <c r="E890" s="297"/>
      <c r="F890" s="297"/>
      <c r="G890" s="298"/>
      <c r="H890" s="297"/>
      <c r="I890" s="298"/>
      <c r="J890" s="298"/>
      <c r="K890" s="300"/>
    </row>
    <row r="891" ht="12.75">
      <c r="A891" s="297"/>
      <c r="B891" s="297"/>
      <c r="C891" s="297"/>
      <c r="D891" s="297"/>
      <c r="E891" s="297"/>
      <c r="F891" s="297"/>
      <c r="G891" s="298"/>
      <c r="H891" s="297"/>
      <c r="I891" s="298"/>
      <c r="J891" s="298"/>
      <c r="K891" s="300"/>
    </row>
    <row r="892" ht="12.75">
      <c r="A892" s="297"/>
      <c r="B892" s="297"/>
      <c r="C892" s="297"/>
      <c r="D892" s="297"/>
      <c r="E892" s="297"/>
      <c r="F892" s="297"/>
      <c r="G892" s="298"/>
      <c r="H892" s="297"/>
      <c r="I892" s="298"/>
      <c r="J892" s="298"/>
      <c r="K892" s="300"/>
    </row>
    <row r="893" ht="12.75">
      <c r="A893" s="297"/>
      <c r="B893" s="297"/>
      <c r="C893" s="297"/>
      <c r="D893" s="297"/>
      <c r="E893" s="297"/>
      <c r="F893" s="297"/>
      <c r="G893" s="298"/>
      <c r="H893" s="297"/>
      <c r="I893" s="298"/>
      <c r="J893" s="298"/>
      <c r="K893" s="300"/>
    </row>
    <row r="894" ht="12.75">
      <c r="A894" s="297"/>
      <c r="B894" s="297"/>
      <c r="C894" s="297"/>
      <c r="D894" s="297"/>
      <c r="E894" s="297"/>
      <c r="F894" s="297"/>
      <c r="G894" s="298"/>
      <c r="H894" s="297"/>
      <c r="I894" s="298"/>
      <c r="J894" s="298"/>
      <c r="K894" s="300"/>
    </row>
    <row r="895" ht="12.75">
      <c r="A895" s="297"/>
      <c r="B895" s="297"/>
      <c r="C895" s="297"/>
      <c r="D895" s="297"/>
      <c r="E895" s="297"/>
      <c r="F895" s="297"/>
      <c r="G895" s="298"/>
      <c r="H895" s="297"/>
      <c r="I895" s="298"/>
      <c r="J895" s="298"/>
      <c r="K895" s="300"/>
    </row>
    <row r="896" ht="12.75">
      <c r="A896" s="297"/>
      <c r="B896" s="297"/>
      <c r="C896" s="297"/>
      <c r="D896" s="297"/>
      <c r="E896" s="297"/>
      <c r="F896" s="297"/>
      <c r="G896" s="298"/>
      <c r="H896" s="297"/>
      <c r="I896" s="298"/>
      <c r="J896" s="298"/>
      <c r="K896" s="300"/>
    </row>
    <row r="897" ht="12.75">
      <c r="A897" s="297"/>
      <c r="B897" s="297"/>
      <c r="C897" s="297"/>
      <c r="D897" s="297"/>
      <c r="E897" s="297"/>
      <c r="F897" s="297"/>
      <c r="G897" s="298"/>
      <c r="H897" s="297"/>
      <c r="I897" s="298"/>
      <c r="J897" s="298"/>
      <c r="K897" s="300"/>
    </row>
    <row r="898" ht="12.75">
      <c r="A898" s="297"/>
      <c r="B898" s="297"/>
      <c r="C898" s="297"/>
      <c r="D898" s="297"/>
      <c r="E898" s="297"/>
      <c r="F898" s="297"/>
      <c r="G898" s="298"/>
      <c r="H898" s="297"/>
      <c r="I898" s="298"/>
      <c r="J898" s="298"/>
      <c r="K898" s="300"/>
    </row>
    <row r="899" ht="12.75">
      <c r="A899" s="297"/>
      <c r="B899" s="297"/>
      <c r="C899" s="297"/>
      <c r="D899" s="297"/>
      <c r="E899" s="297"/>
      <c r="F899" s="297"/>
      <c r="G899" s="298"/>
      <c r="H899" s="297"/>
      <c r="I899" s="298"/>
      <c r="J899" s="298"/>
      <c r="K899" s="300"/>
    </row>
    <row r="900" ht="12.75">
      <c r="A900" s="297"/>
      <c r="B900" s="297"/>
      <c r="C900" s="297"/>
      <c r="D900" s="297"/>
      <c r="E900" s="297"/>
      <c r="F900" s="297"/>
      <c r="G900" s="298"/>
      <c r="H900" s="297"/>
      <c r="I900" s="298"/>
      <c r="J900" s="298"/>
      <c r="K900" s="300"/>
    </row>
    <row r="901" ht="12.75">
      <c r="A901" s="297"/>
      <c r="B901" s="297"/>
      <c r="C901" s="297"/>
      <c r="D901" s="297"/>
      <c r="E901" s="297"/>
      <c r="F901" s="297"/>
      <c r="G901" s="298"/>
      <c r="H901" s="297"/>
      <c r="I901" s="298"/>
      <c r="J901" s="298"/>
      <c r="K901" s="300"/>
    </row>
    <row r="902" ht="12.75">
      <c r="A902" s="297"/>
      <c r="B902" s="297"/>
      <c r="C902" s="297"/>
      <c r="D902" s="297"/>
      <c r="E902" s="297"/>
      <c r="F902" s="297"/>
      <c r="G902" s="298"/>
      <c r="H902" s="297"/>
      <c r="I902" s="298"/>
      <c r="J902" s="298"/>
      <c r="K902" s="300"/>
    </row>
    <row r="903" ht="12.75">
      <c r="A903" s="297"/>
      <c r="B903" s="297"/>
      <c r="C903" s="297"/>
      <c r="D903" s="297"/>
      <c r="E903" s="297"/>
      <c r="F903" s="297"/>
      <c r="G903" s="298"/>
      <c r="H903" s="297"/>
      <c r="I903" s="298"/>
      <c r="J903" s="298"/>
      <c r="K903" s="300"/>
    </row>
    <row r="904" ht="12.75">
      <c r="A904" s="297"/>
      <c r="B904" s="297"/>
      <c r="C904" s="297"/>
      <c r="D904" s="297"/>
      <c r="E904" s="297"/>
      <c r="F904" s="297"/>
      <c r="G904" s="298"/>
      <c r="H904" s="297"/>
      <c r="I904" s="298"/>
      <c r="J904" s="298"/>
      <c r="K904" s="300"/>
    </row>
    <row r="905" ht="12.75">
      <c r="A905" s="297"/>
      <c r="B905" s="297"/>
      <c r="C905" s="297"/>
      <c r="D905" s="297"/>
      <c r="E905" s="297"/>
      <c r="F905" s="297"/>
      <c r="G905" s="298"/>
      <c r="H905" s="297"/>
      <c r="I905" s="298"/>
      <c r="J905" s="298"/>
      <c r="K905" s="300"/>
    </row>
    <row r="906" ht="12.75">
      <c r="A906" s="297"/>
      <c r="B906" s="297"/>
      <c r="C906" s="297"/>
      <c r="D906" s="297"/>
      <c r="E906" s="297"/>
      <c r="F906" s="297"/>
      <c r="G906" s="298"/>
      <c r="H906" s="297"/>
      <c r="I906" s="298"/>
      <c r="J906" s="298"/>
      <c r="K906" s="300"/>
    </row>
    <row r="907" ht="12.75">
      <c r="A907" s="297"/>
      <c r="B907" s="297"/>
      <c r="C907" s="297"/>
      <c r="D907" s="297"/>
      <c r="E907" s="297"/>
      <c r="F907" s="297"/>
      <c r="G907" s="298"/>
      <c r="H907" s="297"/>
      <c r="I907" s="298"/>
      <c r="J907" s="298"/>
      <c r="K907" s="300"/>
    </row>
    <row r="908" ht="12.75">
      <c r="A908" s="297"/>
      <c r="B908" s="297"/>
      <c r="C908" s="297"/>
      <c r="D908" s="297"/>
      <c r="E908" s="297"/>
      <c r="F908" s="297"/>
      <c r="G908" s="298"/>
      <c r="H908" s="297"/>
      <c r="I908" s="298"/>
      <c r="J908" s="298"/>
      <c r="K908" s="300"/>
    </row>
    <row r="909" ht="12.75">
      <c r="A909" s="297"/>
      <c r="B909" s="297"/>
      <c r="C909" s="297"/>
      <c r="D909" s="297"/>
      <c r="E909" s="297"/>
      <c r="F909" s="297"/>
      <c r="G909" s="298"/>
      <c r="H909" s="297"/>
      <c r="I909" s="298"/>
      <c r="J909" s="298"/>
      <c r="K909" s="300"/>
    </row>
    <row r="910" ht="12.75">
      <c r="A910" s="297"/>
      <c r="B910" s="297"/>
      <c r="C910" s="297"/>
      <c r="D910" s="297"/>
      <c r="E910" s="297"/>
      <c r="F910" s="297"/>
      <c r="G910" s="298"/>
      <c r="H910" s="297"/>
      <c r="I910" s="298"/>
      <c r="J910" s="298"/>
      <c r="K910" s="300"/>
    </row>
    <row r="911" ht="12.75">
      <c r="A911" s="297"/>
      <c r="B911" s="297"/>
      <c r="C911" s="297"/>
      <c r="D911" s="297"/>
      <c r="E911" s="297"/>
      <c r="F911" s="297"/>
      <c r="G911" s="298"/>
      <c r="H911" s="297"/>
      <c r="I911" s="298"/>
      <c r="J911" s="298"/>
      <c r="K911" s="300"/>
    </row>
    <row r="912" ht="12.75">
      <c r="A912" s="297"/>
      <c r="B912" s="297"/>
      <c r="C912" s="297"/>
      <c r="D912" s="297"/>
      <c r="E912" s="297"/>
      <c r="F912" s="297"/>
      <c r="G912" s="298"/>
      <c r="H912" s="297"/>
      <c r="I912" s="298"/>
      <c r="J912" s="298"/>
      <c r="K912" s="300"/>
    </row>
    <row r="913" ht="12.75">
      <c r="A913" s="297"/>
      <c r="B913" s="297"/>
      <c r="C913" s="297"/>
      <c r="D913" s="297"/>
      <c r="E913" s="297"/>
      <c r="F913" s="297"/>
      <c r="G913" s="298"/>
      <c r="H913" s="297"/>
      <c r="I913" s="298"/>
      <c r="J913" s="298"/>
      <c r="K913" s="300"/>
    </row>
    <row r="914" ht="12.75">
      <c r="A914" s="297"/>
      <c r="B914" s="297"/>
      <c r="C914" s="297"/>
      <c r="D914" s="297"/>
      <c r="E914" s="297"/>
      <c r="F914" s="297"/>
      <c r="G914" s="298"/>
      <c r="H914" s="297"/>
      <c r="I914" s="298"/>
      <c r="J914" s="298"/>
      <c r="K914" s="300"/>
    </row>
    <row r="915" ht="12.75">
      <c r="A915" s="297"/>
      <c r="B915" s="297"/>
      <c r="C915" s="297"/>
      <c r="D915" s="297"/>
      <c r="E915" s="297"/>
      <c r="F915" s="297"/>
      <c r="G915" s="298"/>
      <c r="H915" s="297"/>
      <c r="I915" s="298"/>
      <c r="J915" s="298"/>
      <c r="K915" s="300"/>
    </row>
    <row r="916" ht="12.75">
      <c r="A916" s="297"/>
      <c r="B916" s="297"/>
      <c r="C916" s="297"/>
      <c r="D916" s="297"/>
      <c r="E916" s="297"/>
      <c r="F916" s="297"/>
      <c r="G916" s="298"/>
      <c r="H916" s="297"/>
      <c r="I916" s="298"/>
      <c r="J916" s="298"/>
      <c r="K916" s="300"/>
    </row>
    <row r="917" ht="12.75">
      <c r="A917" s="297"/>
      <c r="B917" s="297"/>
      <c r="C917" s="297"/>
      <c r="D917" s="297"/>
      <c r="E917" s="297"/>
      <c r="F917" s="297"/>
      <c r="G917" s="298"/>
      <c r="H917" s="297"/>
      <c r="I917" s="298"/>
      <c r="J917" s="298"/>
      <c r="K917" s="300"/>
    </row>
    <row r="918" ht="12.75">
      <c r="A918" s="297"/>
      <c r="B918" s="297"/>
      <c r="C918" s="297"/>
      <c r="D918" s="297"/>
      <c r="E918" s="297"/>
      <c r="F918" s="297"/>
      <c r="G918" s="298"/>
      <c r="H918" s="297"/>
      <c r="I918" s="298"/>
      <c r="J918" s="298"/>
      <c r="K918" s="300"/>
    </row>
    <row r="919" ht="12.75">
      <c r="A919" s="297"/>
      <c r="B919" s="297"/>
      <c r="C919" s="297"/>
      <c r="D919" s="297"/>
      <c r="E919" s="297"/>
      <c r="F919" s="297"/>
      <c r="G919" s="298"/>
      <c r="H919" s="297"/>
      <c r="I919" s="298"/>
      <c r="J919" s="298"/>
      <c r="K919" s="300"/>
    </row>
    <row r="920" ht="12.75">
      <c r="A920" s="297"/>
      <c r="B920" s="297"/>
      <c r="C920" s="297"/>
      <c r="D920" s="297"/>
      <c r="E920" s="297"/>
      <c r="F920" s="297"/>
      <c r="G920" s="298"/>
      <c r="H920" s="297"/>
      <c r="I920" s="298"/>
      <c r="J920" s="298"/>
      <c r="K920" s="300"/>
    </row>
    <row r="921" ht="12.75">
      <c r="A921" s="297"/>
      <c r="B921" s="297"/>
      <c r="C921" s="297"/>
      <c r="D921" s="297"/>
      <c r="E921" s="297"/>
      <c r="F921" s="297"/>
      <c r="G921" s="298"/>
      <c r="H921" s="297"/>
      <c r="I921" s="298"/>
      <c r="J921" s="298"/>
      <c r="K921" s="300"/>
    </row>
    <row r="922" ht="12.75">
      <c r="A922" s="297"/>
      <c r="B922" s="297"/>
      <c r="C922" s="297"/>
      <c r="D922" s="297"/>
      <c r="E922" s="297"/>
      <c r="F922" s="297"/>
      <c r="G922" s="298"/>
      <c r="H922" s="297"/>
      <c r="I922" s="298"/>
      <c r="J922" s="298"/>
      <c r="K922" s="300"/>
    </row>
    <row r="923" ht="12.75">
      <c r="A923" s="297"/>
      <c r="B923" s="297"/>
      <c r="C923" s="297"/>
      <c r="D923" s="297"/>
      <c r="E923" s="297"/>
      <c r="F923" s="297"/>
      <c r="G923" s="298"/>
      <c r="H923" s="297"/>
      <c r="I923" s="298"/>
      <c r="J923" s="298"/>
      <c r="K923" s="300"/>
    </row>
    <row r="924" ht="12.75">
      <c r="A924" s="297"/>
      <c r="B924" s="297"/>
      <c r="C924" s="297"/>
      <c r="D924" s="297"/>
      <c r="E924" s="297"/>
      <c r="F924" s="297"/>
      <c r="G924" s="298"/>
      <c r="H924" s="297"/>
      <c r="I924" s="298"/>
      <c r="J924" s="298"/>
      <c r="K924" s="300"/>
    </row>
    <row r="925" ht="12.75">
      <c r="A925" s="297"/>
      <c r="B925" s="297"/>
      <c r="C925" s="297"/>
      <c r="D925" s="297"/>
      <c r="E925" s="297"/>
      <c r="F925" s="297"/>
      <c r="G925" s="298"/>
      <c r="H925" s="297"/>
      <c r="I925" s="298"/>
      <c r="J925" s="298"/>
      <c r="K925" s="300"/>
    </row>
    <row r="926" ht="12.75">
      <c r="A926" s="297"/>
      <c r="B926" s="297"/>
      <c r="C926" s="297"/>
      <c r="D926" s="297"/>
      <c r="E926" s="297"/>
      <c r="F926" s="297"/>
      <c r="G926" s="298"/>
      <c r="H926" s="297"/>
      <c r="I926" s="298"/>
      <c r="J926" s="298"/>
      <c r="K926" s="300"/>
    </row>
    <row r="927" ht="12.75">
      <c r="A927" s="297"/>
      <c r="B927" s="297"/>
      <c r="C927" s="297"/>
      <c r="D927" s="297"/>
      <c r="E927" s="297"/>
      <c r="F927" s="297"/>
      <c r="G927" s="298"/>
      <c r="H927" s="297"/>
      <c r="I927" s="298"/>
      <c r="J927" s="298"/>
      <c r="K927" s="300"/>
    </row>
    <row r="928" ht="12.75">
      <c r="A928" s="297"/>
      <c r="B928" s="297"/>
      <c r="C928" s="297"/>
      <c r="D928" s="297"/>
      <c r="E928" s="297"/>
      <c r="F928" s="297"/>
      <c r="G928" s="298"/>
      <c r="H928" s="297"/>
      <c r="I928" s="298"/>
      <c r="J928" s="298"/>
      <c r="K928" s="300"/>
    </row>
    <row r="929" ht="12.75">
      <c r="A929" s="297"/>
      <c r="B929" s="297"/>
      <c r="C929" s="297"/>
      <c r="D929" s="297"/>
      <c r="E929" s="297"/>
      <c r="F929" s="297"/>
      <c r="G929" s="298"/>
      <c r="H929" s="297"/>
      <c r="I929" s="298"/>
      <c r="J929" s="298"/>
      <c r="K929" s="300"/>
    </row>
    <row r="930" ht="12.75">
      <c r="A930" s="297"/>
      <c r="B930" s="297"/>
      <c r="C930" s="297"/>
      <c r="D930" s="297"/>
      <c r="E930" s="297"/>
      <c r="F930" s="297"/>
      <c r="G930" s="298"/>
      <c r="H930" s="297"/>
      <c r="I930" s="298"/>
      <c r="J930" s="298"/>
      <c r="K930" s="300"/>
    </row>
    <row r="931" ht="12.75">
      <c r="A931" s="297"/>
      <c r="B931" s="297"/>
      <c r="C931" s="297"/>
      <c r="D931" s="297"/>
      <c r="E931" s="297"/>
      <c r="F931" s="297"/>
      <c r="G931" s="298"/>
      <c r="H931" s="297"/>
      <c r="I931" s="298"/>
      <c r="J931" s="298"/>
      <c r="K931" s="300"/>
    </row>
    <row r="932" ht="12.75">
      <c r="A932" s="297"/>
      <c r="B932" s="297"/>
      <c r="C932" s="297"/>
      <c r="D932" s="297"/>
      <c r="E932" s="297"/>
      <c r="F932" s="297"/>
      <c r="G932" s="298"/>
      <c r="H932" s="297"/>
      <c r="I932" s="298"/>
      <c r="J932" s="298"/>
      <c r="K932" s="300"/>
    </row>
    <row r="933" ht="12.75">
      <c r="A933" s="297"/>
      <c r="B933" s="297"/>
      <c r="C933" s="297"/>
      <c r="D933" s="297"/>
      <c r="E933" s="297"/>
      <c r="F933" s="297"/>
      <c r="G933" s="298"/>
      <c r="H933" s="297"/>
      <c r="I933" s="298"/>
      <c r="J933" s="298"/>
      <c r="K933" s="300"/>
    </row>
    <row r="934" ht="12.75">
      <c r="A934" s="297"/>
      <c r="B934" s="297"/>
      <c r="C934" s="297"/>
      <c r="D934" s="297"/>
      <c r="E934" s="297"/>
      <c r="F934" s="297"/>
      <c r="G934" s="298"/>
      <c r="H934" s="297"/>
      <c r="I934" s="298"/>
      <c r="J934" s="298"/>
      <c r="K934" s="300"/>
    </row>
    <row r="935" ht="12.75">
      <c r="A935" s="297"/>
      <c r="B935" s="297"/>
      <c r="C935" s="297"/>
      <c r="D935" s="297"/>
      <c r="E935" s="297"/>
      <c r="F935" s="297"/>
      <c r="G935" s="298"/>
      <c r="H935" s="297"/>
      <c r="I935" s="298"/>
      <c r="J935" s="298"/>
      <c r="K935" s="300"/>
    </row>
    <row r="936" ht="12.75">
      <c r="A936" s="297"/>
      <c r="B936" s="297"/>
      <c r="C936" s="297"/>
      <c r="D936" s="297"/>
      <c r="E936" s="297"/>
      <c r="F936" s="297"/>
      <c r="G936" s="298"/>
      <c r="H936" s="297"/>
      <c r="I936" s="298"/>
      <c r="J936" s="298"/>
      <c r="K936" s="300"/>
    </row>
    <row r="937" ht="12.75">
      <c r="A937" s="297"/>
      <c r="B937" s="297"/>
      <c r="C937" s="297"/>
      <c r="D937" s="297"/>
      <c r="E937" s="297"/>
      <c r="F937" s="297"/>
      <c r="G937" s="298"/>
      <c r="H937" s="297"/>
      <c r="I937" s="298"/>
      <c r="J937" s="298"/>
      <c r="K937" s="300"/>
    </row>
    <row r="938" ht="12.75">
      <c r="A938" s="297"/>
      <c r="B938" s="297"/>
      <c r="C938" s="297"/>
      <c r="D938" s="297"/>
      <c r="E938" s="297"/>
      <c r="F938" s="297"/>
      <c r="G938" s="298"/>
      <c r="H938" s="297"/>
      <c r="I938" s="298"/>
      <c r="J938" s="298"/>
      <c r="K938" s="300"/>
    </row>
    <row r="939" ht="12.75">
      <c r="A939" s="297"/>
      <c r="B939" s="297"/>
      <c r="C939" s="297"/>
      <c r="D939" s="297"/>
      <c r="E939" s="297"/>
      <c r="F939" s="297"/>
      <c r="G939" s="298"/>
      <c r="H939" s="297"/>
      <c r="I939" s="298"/>
      <c r="J939" s="298"/>
      <c r="K939" s="300"/>
    </row>
    <row r="940" ht="12.75">
      <c r="A940" s="297"/>
      <c r="B940" s="297"/>
      <c r="C940" s="297"/>
      <c r="D940" s="297"/>
      <c r="E940" s="297"/>
      <c r="F940" s="297"/>
      <c r="G940" s="298"/>
      <c r="H940" s="297"/>
      <c r="I940" s="298"/>
      <c r="J940" s="298"/>
      <c r="K940" s="300"/>
    </row>
    <row r="941" ht="12.75">
      <c r="A941" s="297"/>
      <c r="B941" s="297"/>
      <c r="C941" s="297"/>
      <c r="D941" s="297"/>
      <c r="E941" s="297"/>
      <c r="F941" s="297"/>
      <c r="G941" s="298"/>
      <c r="H941" s="297"/>
      <c r="I941" s="298"/>
      <c r="J941" s="298"/>
      <c r="K941" s="300"/>
    </row>
    <row r="942" ht="12.75">
      <c r="A942" s="297"/>
      <c r="B942" s="297"/>
      <c r="C942" s="297"/>
      <c r="D942" s="297"/>
      <c r="E942" s="297"/>
      <c r="F942" s="297"/>
      <c r="G942" s="298"/>
      <c r="H942" s="297"/>
      <c r="I942" s="298"/>
      <c r="J942" s="298"/>
      <c r="K942" s="300"/>
    </row>
    <row r="943" ht="12.75">
      <c r="A943" s="297"/>
      <c r="B943" s="297"/>
      <c r="C943" s="297"/>
      <c r="D943" s="297"/>
      <c r="E943" s="297"/>
      <c r="F943" s="297"/>
      <c r="G943" s="298"/>
      <c r="H943" s="297"/>
      <c r="I943" s="298"/>
      <c r="J943" s="298"/>
      <c r="K943" s="300"/>
    </row>
    <row r="944" ht="12.75">
      <c r="A944" s="297"/>
      <c r="B944" s="297"/>
      <c r="C944" s="297"/>
      <c r="D944" s="297"/>
      <c r="E944" s="297"/>
      <c r="F944" s="297"/>
      <c r="G944" s="298"/>
      <c r="H944" s="297"/>
      <c r="I944" s="298"/>
      <c r="J944" s="298"/>
      <c r="K944" s="300"/>
    </row>
    <row r="945" ht="12.75">
      <c r="A945" s="297"/>
      <c r="B945" s="297"/>
      <c r="C945" s="297"/>
      <c r="D945" s="297"/>
      <c r="E945" s="297"/>
      <c r="F945" s="297"/>
      <c r="G945" s="298"/>
      <c r="H945" s="297"/>
      <c r="I945" s="298"/>
      <c r="J945" s="298"/>
      <c r="K945" s="300"/>
    </row>
    <row r="946" ht="12.75">
      <c r="A946" s="297"/>
      <c r="B946" s="297"/>
      <c r="C946" s="297"/>
      <c r="D946" s="297"/>
      <c r="E946" s="297"/>
      <c r="F946" s="297"/>
      <c r="G946" s="298"/>
      <c r="H946" s="297"/>
      <c r="I946" s="298"/>
      <c r="J946" s="298"/>
      <c r="K946" s="300"/>
    </row>
    <row r="947" ht="12.75">
      <c r="A947" s="297"/>
      <c r="B947" s="297"/>
      <c r="C947" s="297"/>
      <c r="D947" s="297"/>
      <c r="E947" s="297"/>
      <c r="F947" s="297"/>
      <c r="G947" s="298"/>
      <c r="H947" s="297"/>
      <c r="I947" s="298"/>
      <c r="J947" s="298"/>
      <c r="K947" s="300"/>
    </row>
    <row r="948" ht="12.75">
      <c r="A948" s="297"/>
      <c r="B948" s="297"/>
      <c r="C948" s="297"/>
      <c r="D948" s="297"/>
      <c r="E948" s="297"/>
      <c r="F948" s="297"/>
      <c r="G948" s="298"/>
      <c r="H948" s="297"/>
      <c r="I948" s="298"/>
      <c r="J948" s="298"/>
      <c r="K948" s="300"/>
    </row>
    <row r="949" ht="12.75">
      <c r="A949" s="297"/>
      <c r="B949" s="297"/>
      <c r="C949" s="297"/>
      <c r="D949" s="297"/>
      <c r="E949" s="297"/>
      <c r="F949" s="297"/>
      <c r="G949" s="298"/>
      <c r="H949" s="297"/>
      <c r="I949" s="298"/>
      <c r="J949" s="298"/>
      <c r="K949" s="300"/>
    </row>
    <row r="950" ht="12.75">
      <c r="A950" s="297"/>
      <c r="B950" s="297"/>
      <c r="C950" s="297"/>
      <c r="D950" s="297"/>
      <c r="E950" s="297"/>
      <c r="F950" s="297"/>
      <c r="G950" s="298"/>
      <c r="H950" s="297"/>
      <c r="I950" s="298"/>
      <c r="J950" s="298"/>
      <c r="K950" s="300"/>
    </row>
    <row r="951" ht="12.75">
      <c r="A951" s="297"/>
      <c r="B951" s="297"/>
      <c r="C951" s="297"/>
      <c r="D951" s="297"/>
      <c r="E951" s="297"/>
      <c r="F951" s="297"/>
      <c r="G951" s="298"/>
      <c r="H951" s="297"/>
      <c r="I951" s="298"/>
      <c r="J951" s="298"/>
      <c r="K951" s="300"/>
    </row>
    <row r="952" ht="12.75">
      <c r="A952" s="297"/>
      <c r="B952" s="297"/>
      <c r="C952" s="297"/>
      <c r="D952" s="297"/>
      <c r="E952" s="297"/>
      <c r="F952" s="297"/>
      <c r="G952" s="298"/>
      <c r="H952" s="297"/>
      <c r="I952" s="298"/>
      <c r="J952" s="298"/>
      <c r="K952" s="300"/>
    </row>
    <row r="953" ht="12.75">
      <c r="A953" s="297"/>
      <c r="B953" s="297"/>
      <c r="C953" s="297"/>
      <c r="D953" s="297"/>
      <c r="E953" s="297"/>
      <c r="F953" s="297"/>
      <c r="G953" s="298"/>
      <c r="H953" s="297"/>
      <c r="I953" s="298"/>
      <c r="J953" s="298"/>
      <c r="K953" s="300"/>
    </row>
    <row r="954" ht="12.75">
      <c r="A954" s="297"/>
      <c r="B954" s="297"/>
      <c r="C954" s="297"/>
      <c r="D954" s="297"/>
      <c r="E954" s="297"/>
      <c r="F954" s="297"/>
      <c r="G954" s="298"/>
      <c r="H954" s="297"/>
      <c r="I954" s="298"/>
      <c r="J954" s="298"/>
      <c r="K954" s="300"/>
    </row>
    <row r="955" ht="12.75">
      <c r="A955" s="297"/>
      <c r="B955" s="297"/>
      <c r="C955" s="297"/>
      <c r="D955" s="297"/>
      <c r="E955" s="297"/>
      <c r="F955" s="297"/>
      <c r="G955" s="298"/>
      <c r="H955" s="297"/>
      <c r="I955" s="298"/>
      <c r="J955" s="298"/>
      <c r="K955" s="300"/>
    </row>
    <row r="956" ht="12.75">
      <c r="A956" s="297"/>
      <c r="B956" s="297"/>
      <c r="C956" s="297"/>
      <c r="D956" s="297"/>
      <c r="E956" s="297"/>
      <c r="F956" s="297"/>
      <c r="G956" s="298"/>
      <c r="H956" s="297"/>
      <c r="I956" s="298"/>
      <c r="J956" s="298"/>
      <c r="K956" s="300"/>
    </row>
    <row r="957" ht="12.75">
      <c r="A957" s="297"/>
      <c r="B957" s="297"/>
      <c r="C957" s="297"/>
      <c r="D957" s="297"/>
      <c r="E957" s="297"/>
      <c r="F957" s="297"/>
      <c r="G957" s="298"/>
      <c r="H957" s="297"/>
      <c r="I957" s="298"/>
      <c r="J957" s="298"/>
      <c r="K957" s="300"/>
    </row>
    <row r="958" ht="12.75">
      <c r="A958" s="297"/>
      <c r="B958" s="297"/>
      <c r="C958" s="297"/>
      <c r="D958" s="297"/>
      <c r="E958" s="297"/>
      <c r="F958" s="297"/>
      <c r="G958" s="298"/>
      <c r="H958" s="297"/>
      <c r="I958" s="298"/>
      <c r="J958" s="298"/>
      <c r="K958" s="300"/>
    </row>
    <row r="959" ht="12.75">
      <c r="A959" s="297"/>
      <c r="B959" s="297"/>
      <c r="C959" s="297"/>
      <c r="D959" s="297"/>
      <c r="E959" s="297"/>
      <c r="F959" s="297"/>
      <c r="G959" s="298"/>
      <c r="H959" s="297"/>
      <c r="I959" s="298"/>
      <c r="J959" s="298"/>
      <c r="K959" s="300"/>
    </row>
    <row r="960" ht="12.75">
      <c r="A960" s="297"/>
      <c r="B960" s="297"/>
      <c r="C960" s="297"/>
      <c r="D960" s="297"/>
      <c r="E960" s="297"/>
      <c r="F960" s="297"/>
      <c r="G960" s="298"/>
      <c r="H960" s="297"/>
      <c r="I960" s="298"/>
      <c r="J960" s="298"/>
      <c r="K960" s="300"/>
    </row>
    <row r="961" ht="12.75">
      <c r="A961" s="297"/>
      <c r="B961" s="297"/>
      <c r="C961" s="297"/>
      <c r="D961" s="297"/>
      <c r="E961" s="297"/>
      <c r="F961" s="297"/>
      <c r="G961" s="298"/>
      <c r="H961" s="297"/>
      <c r="I961" s="298"/>
      <c r="J961" s="298"/>
      <c r="K961" s="300"/>
    </row>
    <row r="962" ht="12.75">
      <c r="A962" s="297"/>
      <c r="B962" s="297"/>
      <c r="C962" s="297"/>
      <c r="D962" s="297"/>
      <c r="E962" s="297"/>
      <c r="F962" s="297"/>
      <c r="G962" s="298"/>
      <c r="H962" s="297"/>
      <c r="I962" s="298"/>
      <c r="J962" s="298"/>
      <c r="K962" s="300"/>
    </row>
    <row r="963" ht="12.75">
      <c r="A963" s="297"/>
      <c r="B963" s="297"/>
      <c r="C963" s="297"/>
      <c r="D963" s="297"/>
      <c r="E963" s="297"/>
      <c r="F963" s="297"/>
      <c r="G963" s="298"/>
      <c r="H963" s="297"/>
      <c r="I963" s="298"/>
      <c r="J963" s="298"/>
      <c r="K963" s="300"/>
    </row>
    <row r="964" ht="12.75">
      <c r="A964" s="297"/>
      <c r="B964" s="297"/>
      <c r="C964" s="297"/>
      <c r="D964" s="297"/>
      <c r="E964" s="297"/>
      <c r="F964" s="297"/>
      <c r="G964" s="298"/>
      <c r="H964" s="297"/>
      <c r="I964" s="298"/>
      <c r="J964" s="298"/>
      <c r="K964" s="300"/>
    </row>
    <row r="965" ht="12.75">
      <c r="A965" s="297"/>
      <c r="B965" s="297"/>
      <c r="C965" s="297"/>
      <c r="D965" s="297"/>
      <c r="E965" s="297"/>
      <c r="F965" s="297"/>
      <c r="G965" s="298"/>
      <c r="H965" s="297"/>
      <c r="I965" s="298"/>
      <c r="J965" s="298"/>
      <c r="K965" s="300"/>
    </row>
    <row r="966" ht="12.75">
      <c r="A966" s="297"/>
      <c r="B966" s="297"/>
      <c r="C966" s="297"/>
      <c r="D966" s="297"/>
      <c r="E966" s="297"/>
      <c r="F966" s="297"/>
      <c r="G966" s="298"/>
      <c r="H966" s="297"/>
      <c r="I966" s="298"/>
      <c r="J966" s="298"/>
      <c r="K966" s="300"/>
    </row>
    <row r="967" ht="12.75">
      <c r="A967" s="297"/>
      <c r="B967" s="297"/>
      <c r="C967" s="297"/>
      <c r="D967" s="297"/>
      <c r="E967" s="297"/>
      <c r="F967" s="297"/>
      <c r="G967" s="298"/>
      <c r="H967" s="297"/>
      <c r="I967" s="298"/>
      <c r="J967" s="298"/>
      <c r="K967" s="300"/>
    </row>
    <row r="968" ht="12.75">
      <c r="A968" s="297"/>
      <c r="B968" s="297"/>
      <c r="C968" s="297"/>
      <c r="D968" s="297"/>
      <c r="E968" s="297"/>
      <c r="F968" s="297"/>
      <c r="G968" s="298"/>
      <c r="H968" s="297"/>
      <c r="I968" s="298"/>
      <c r="J968" s="298"/>
      <c r="K968" s="300"/>
    </row>
    <row r="969" ht="12.75">
      <c r="A969" s="297"/>
      <c r="B969" s="297"/>
      <c r="C969" s="297"/>
      <c r="D969" s="297"/>
      <c r="E969" s="297"/>
      <c r="F969" s="297"/>
      <c r="G969" s="298"/>
      <c r="H969" s="297"/>
      <c r="I969" s="298"/>
      <c r="J969" s="298"/>
      <c r="K969" s="300"/>
    </row>
    <row r="970" ht="12.75">
      <c r="A970" s="297"/>
      <c r="B970" s="297"/>
      <c r="C970" s="297"/>
      <c r="D970" s="297"/>
      <c r="E970" s="297"/>
      <c r="F970" s="297"/>
      <c r="G970" s="298"/>
      <c r="H970" s="297"/>
      <c r="I970" s="298"/>
      <c r="J970" s="298"/>
      <c r="K970" s="300"/>
    </row>
    <row r="971" ht="12.75">
      <c r="A971" s="297"/>
      <c r="B971" s="297"/>
      <c r="C971" s="297"/>
      <c r="D971" s="297"/>
      <c r="E971" s="297"/>
      <c r="F971" s="297"/>
      <c r="G971" s="298"/>
      <c r="H971" s="297"/>
      <c r="I971" s="298"/>
      <c r="J971" s="298"/>
      <c r="K971" s="300"/>
    </row>
    <row r="972" ht="12.75">
      <c r="A972" s="297"/>
      <c r="B972" s="297"/>
      <c r="C972" s="297"/>
      <c r="D972" s="297"/>
      <c r="E972" s="297"/>
      <c r="F972" s="297"/>
      <c r="G972" s="298"/>
      <c r="H972" s="297"/>
      <c r="I972" s="298"/>
      <c r="J972" s="298"/>
      <c r="K972" s="300"/>
    </row>
    <row r="973" ht="12.75">
      <c r="A973" s="297"/>
      <c r="B973" s="297"/>
      <c r="C973" s="297"/>
      <c r="D973" s="297"/>
      <c r="E973" s="297"/>
      <c r="F973" s="297"/>
      <c r="G973" s="298"/>
      <c r="H973" s="297"/>
      <c r="I973" s="298"/>
      <c r="J973" s="298"/>
      <c r="K973" s="300"/>
    </row>
    <row r="974" ht="12.75">
      <c r="A974" s="297"/>
      <c r="B974" s="297"/>
      <c r="C974" s="297"/>
      <c r="D974" s="297"/>
      <c r="E974" s="297"/>
      <c r="F974" s="297"/>
      <c r="G974" s="298"/>
      <c r="H974" s="297"/>
      <c r="I974" s="298"/>
      <c r="J974" s="298"/>
      <c r="K974" s="300"/>
    </row>
    <row r="975" ht="12.75">
      <c r="A975" s="297"/>
      <c r="B975" s="297"/>
      <c r="C975" s="297"/>
      <c r="D975" s="297"/>
      <c r="E975" s="297"/>
      <c r="F975" s="297"/>
      <c r="G975" s="298"/>
      <c r="H975" s="297"/>
      <c r="I975" s="298"/>
      <c r="J975" s="298"/>
      <c r="K975" s="300"/>
    </row>
    <row r="976" ht="12.75">
      <c r="A976" s="297"/>
      <c r="B976" s="297"/>
      <c r="C976" s="297"/>
      <c r="D976" s="297"/>
      <c r="E976" s="297"/>
      <c r="F976" s="297"/>
      <c r="G976" s="298"/>
      <c r="H976" s="297"/>
      <c r="I976" s="298"/>
      <c r="J976" s="298"/>
      <c r="K976" s="300"/>
    </row>
    <row r="977" ht="12.75">
      <c r="A977" s="297"/>
      <c r="B977" s="297"/>
      <c r="C977" s="297"/>
      <c r="D977" s="297"/>
      <c r="E977" s="297"/>
      <c r="F977" s="297"/>
      <c r="G977" s="298"/>
      <c r="H977" s="297"/>
      <c r="I977" s="298"/>
      <c r="J977" s="298"/>
      <c r="K977" s="300"/>
    </row>
    <row r="978" ht="12.75">
      <c r="A978" s="297"/>
      <c r="B978" s="297"/>
      <c r="C978" s="297"/>
      <c r="D978" s="297"/>
      <c r="E978" s="297"/>
      <c r="F978" s="297"/>
      <c r="G978" s="298"/>
      <c r="H978" s="297"/>
      <c r="I978" s="298"/>
      <c r="J978" s="298"/>
      <c r="K978" s="300"/>
    </row>
    <row r="979" ht="12.75">
      <c r="A979" s="297"/>
      <c r="B979" s="297"/>
      <c r="C979" s="297"/>
      <c r="D979" s="297"/>
      <c r="E979" s="297"/>
      <c r="F979" s="297"/>
      <c r="G979" s="298"/>
      <c r="H979" s="297"/>
      <c r="I979" s="298"/>
      <c r="J979" s="298"/>
      <c r="K979" s="300"/>
    </row>
    <row r="980" ht="12.75">
      <c r="A980" s="297"/>
      <c r="B980" s="297"/>
      <c r="C980" s="297"/>
      <c r="D980" s="297"/>
      <c r="E980" s="297"/>
      <c r="F980" s="297"/>
      <c r="G980" s="298"/>
      <c r="H980" s="297"/>
      <c r="I980" s="298"/>
      <c r="J980" s="298"/>
      <c r="K980" s="300"/>
    </row>
    <row r="981" ht="12.75">
      <c r="A981" s="297"/>
      <c r="B981" s="297"/>
      <c r="C981" s="297"/>
      <c r="D981" s="297"/>
      <c r="E981" s="297"/>
      <c r="F981" s="297"/>
      <c r="G981" s="298"/>
      <c r="H981" s="297"/>
      <c r="I981" s="298"/>
      <c r="J981" s="298"/>
      <c r="K981" s="300"/>
    </row>
    <row r="982" ht="12.75">
      <c r="A982" s="297"/>
      <c r="B982" s="297"/>
      <c r="C982" s="297"/>
      <c r="D982" s="297"/>
      <c r="E982" s="297"/>
      <c r="F982" s="297"/>
      <c r="G982" s="298"/>
      <c r="H982" s="297"/>
      <c r="I982" s="298"/>
      <c r="J982" s="298"/>
      <c r="K982" s="300"/>
    </row>
    <row r="983" ht="12.75">
      <c r="A983" s="297"/>
      <c r="B983" s="297"/>
      <c r="C983" s="297"/>
      <c r="D983" s="297"/>
      <c r="E983" s="297"/>
      <c r="F983" s="297"/>
      <c r="G983" s="298"/>
      <c r="H983" s="297"/>
      <c r="I983" s="298"/>
      <c r="J983" s="298"/>
      <c r="K983" s="300"/>
    </row>
    <row r="984" ht="12.75">
      <c r="A984" s="297"/>
      <c r="B984" s="297"/>
      <c r="C984" s="297"/>
      <c r="D984" s="297"/>
      <c r="E984" s="297"/>
      <c r="F984" s="297"/>
      <c r="G984" s="298"/>
      <c r="H984" s="297"/>
      <c r="I984" s="298"/>
      <c r="J984" s="298"/>
      <c r="K984" s="300"/>
    </row>
    <row r="985" ht="12.75">
      <c r="A985" s="297"/>
      <c r="B985" s="297"/>
      <c r="C985" s="297"/>
      <c r="D985" s="297"/>
      <c r="E985" s="297"/>
      <c r="F985" s="297"/>
      <c r="G985" s="298"/>
      <c r="H985" s="297"/>
      <c r="I985" s="298"/>
      <c r="J985" s="298"/>
      <c r="K985" s="300"/>
    </row>
    <row r="986" ht="12.75">
      <c r="A986" s="297"/>
      <c r="B986" s="297"/>
      <c r="C986" s="297"/>
      <c r="D986" s="297"/>
      <c r="E986" s="297"/>
      <c r="F986" s="297"/>
      <c r="G986" s="298"/>
      <c r="H986" s="297"/>
      <c r="I986" s="298"/>
      <c r="J986" s="298"/>
      <c r="K986" s="300"/>
    </row>
    <row r="987" ht="12.75">
      <c r="A987" s="297"/>
      <c r="B987" s="297"/>
      <c r="C987" s="297"/>
      <c r="D987" s="297"/>
      <c r="E987" s="297"/>
      <c r="F987" s="297"/>
      <c r="G987" s="298"/>
      <c r="H987" s="297"/>
      <c r="I987" s="298"/>
      <c r="J987" s="298"/>
      <c r="K987" s="300"/>
    </row>
    <row r="988" ht="12.75">
      <c r="A988" s="297"/>
      <c r="B988" s="297"/>
      <c r="C988" s="297"/>
      <c r="D988" s="297"/>
      <c r="E988" s="297"/>
      <c r="F988" s="297"/>
      <c r="G988" s="298"/>
      <c r="H988" s="297"/>
      <c r="I988" s="298"/>
      <c r="J988" s="298"/>
      <c r="K988" s="300"/>
    </row>
    <row r="989" ht="12.75">
      <c r="A989" s="297"/>
      <c r="B989" s="297"/>
      <c r="C989" s="297"/>
      <c r="D989" s="297"/>
      <c r="E989" s="297"/>
      <c r="F989" s="297"/>
      <c r="G989" s="298"/>
      <c r="H989" s="297"/>
      <c r="I989" s="298"/>
      <c r="J989" s="298"/>
      <c r="K989" s="300"/>
    </row>
    <row r="990" ht="12.75">
      <c r="A990" s="297"/>
      <c r="B990" s="297"/>
      <c r="C990" s="297"/>
      <c r="D990" s="297"/>
      <c r="E990" s="297"/>
      <c r="F990" s="297"/>
      <c r="G990" s="298"/>
      <c r="H990" s="297"/>
      <c r="I990" s="298"/>
      <c r="J990" s="298"/>
      <c r="K990" s="300"/>
    </row>
    <row r="991" ht="12.75">
      <c r="A991" s="297"/>
      <c r="B991" s="297"/>
      <c r="C991" s="297"/>
      <c r="D991" s="297"/>
      <c r="E991" s="297"/>
      <c r="F991" s="297"/>
      <c r="G991" s="298"/>
      <c r="H991" s="297"/>
      <c r="I991" s="298"/>
      <c r="J991" s="298"/>
      <c r="K991" s="300"/>
    </row>
    <row r="992" ht="12.75">
      <c r="A992" s="297"/>
      <c r="B992" s="297"/>
      <c r="C992" s="297"/>
      <c r="D992" s="297"/>
      <c r="E992" s="297"/>
      <c r="F992" s="297"/>
      <c r="G992" s="298"/>
      <c r="H992" s="297"/>
      <c r="I992" s="298"/>
      <c r="J992" s="298"/>
      <c r="K992" s="300"/>
    </row>
    <row r="993" ht="12.75">
      <c r="A993" s="297"/>
      <c r="B993" s="297"/>
      <c r="C993" s="297"/>
      <c r="D993" s="297"/>
      <c r="E993" s="297"/>
      <c r="F993" s="297"/>
      <c r="G993" s="298"/>
      <c r="H993" s="297"/>
      <c r="I993" s="298"/>
      <c r="J993" s="298"/>
      <c r="K993" s="300"/>
    </row>
    <row r="994" ht="12.75">
      <c r="A994" s="297"/>
      <c r="B994" s="297"/>
      <c r="C994" s="297"/>
      <c r="D994" s="297"/>
      <c r="E994" s="297"/>
      <c r="F994" s="297"/>
      <c r="G994" s="298"/>
      <c r="H994" s="297"/>
      <c r="I994" s="298"/>
      <c r="J994" s="298"/>
      <c r="K994" s="300"/>
    </row>
    <row r="995" ht="12.75">
      <c r="A995" s="297"/>
      <c r="B995" s="297"/>
      <c r="C995" s="297"/>
      <c r="D995" s="297"/>
      <c r="E995" s="297"/>
      <c r="F995" s="297"/>
      <c r="G995" s="298"/>
      <c r="H995" s="297"/>
      <c r="I995" s="298"/>
      <c r="J995" s="298"/>
      <c r="K995" s="300"/>
    </row>
    <row r="996" ht="12.75">
      <c r="A996" s="297"/>
      <c r="B996" s="297"/>
      <c r="C996" s="297"/>
      <c r="D996" s="297"/>
      <c r="E996" s="297"/>
      <c r="F996" s="297"/>
      <c r="G996" s="298"/>
      <c r="H996" s="297"/>
      <c r="I996" s="298"/>
      <c r="J996" s="298"/>
      <c r="K996" s="300"/>
    </row>
    <row r="997" ht="12.75">
      <c r="A997" s="297"/>
      <c r="B997" s="297"/>
      <c r="C997" s="297"/>
      <c r="D997" s="297"/>
      <c r="E997" s="297"/>
      <c r="F997" s="297"/>
      <c r="G997" s="298"/>
      <c r="H997" s="297"/>
      <c r="I997" s="298"/>
      <c r="J997" s="298"/>
      <c r="K997" s="300"/>
    </row>
    <row r="998" ht="12.75">
      <c r="A998" s="297"/>
      <c r="B998" s="297"/>
      <c r="C998" s="297"/>
      <c r="D998" s="297"/>
      <c r="E998" s="297"/>
      <c r="F998" s="297"/>
      <c r="G998" s="298"/>
      <c r="H998" s="297"/>
      <c r="I998" s="298"/>
      <c r="J998" s="298"/>
      <c r="K998" s="300"/>
    </row>
    <row r="999" ht="12.75">
      <c r="A999" s="297"/>
      <c r="B999" s="297"/>
      <c r="C999" s="297"/>
      <c r="D999" s="297"/>
      <c r="E999" s="297"/>
      <c r="F999" s="297"/>
      <c r="G999" s="298"/>
      <c r="H999" s="297"/>
      <c r="I999" s="298"/>
      <c r="J999" s="298"/>
      <c r="K999" s="300"/>
    </row>
    <row r="1000" ht="12.75">
      <c r="A1000" s="297"/>
      <c r="B1000" s="297"/>
      <c r="C1000" s="297"/>
      <c r="D1000" s="297"/>
      <c r="E1000" s="297"/>
      <c r="F1000" s="297"/>
      <c r="G1000" s="298"/>
      <c r="H1000" s="297"/>
      <c r="I1000" s="298"/>
      <c r="J1000" s="298"/>
      <c r="K1000" s="300"/>
    </row>
    <row r="1001" ht="12.75">
      <c r="A1001" s="297"/>
      <c r="B1001" s="297"/>
      <c r="C1001" s="297"/>
      <c r="D1001" s="297"/>
      <c r="E1001" s="297"/>
      <c r="F1001" s="297"/>
      <c r="G1001" s="298"/>
      <c r="H1001" s="297"/>
      <c r="I1001" s="298"/>
      <c r="J1001" s="298"/>
      <c r="K1001" s="300"/>
    </row>
    <row r="1002" ht="12.75">
      <c r="A1002" s="297"/>
      <c r="B1002" s="297"/>
      <c r="C1002" s="297"/>
      <c r="D1002" s="297"/>
      <c r="E1002" s="297"/>
      <c r="F1002" s="297"/>
      <c r="G1002" s="298"/>
      <c r="H1002" s="297"/>
      <c r="I1002" s="298"/>
      <c r="J1002" s="298"/>
      <c r="K1002" s="300"/>
    </row>
    <row r="1003" ht="12.75">
      <c r="A1003" s="297"/>
      <c r="B1003" s="297"/>
      <c r="C1003" s="297"/>
      <c r="D1003" s="297"/>
      <c r="E1003" s="297"/>
      <c r="F1003" s="297"/>
      <c r="G1003" s="298"/>
      <c r="H1003" s="297"/>
      <c r="I1003" s="298"/>
      <c r="J1003" s="298"/>
      <c r="K1003" s="300"/>
    </row>
    <row r="1004" ht="12.75">
      <c r="A1004" s="297"/>
      <c r="B1004" s="297"/>
      <c r="C1004" s="297"/>
      <c r="D1004" s="297"/>
      <c r="E1004" s="297"/>
      <c r="F1004" s="297"/>
      <c r="G1004" s="298"/>
      <c r="H1004" s="297"/>
      <c r="I1004" s="298"/>
      <c r="J1004" s="298"/>
      <c r="K1004" s="300"/>
    </row>
    <row r="1005" ht="12.75">
      <c r="A1005" s="297"/>
      <c r="B1005" s="297"/>
      <c r="C1005" s="297"/>
      <c r="D1005" s="297"/>
      <c r="E1005" s="297"/>
      <c r="F1005" s="297"/>
      <c r="G1005" s="298"/>
      <c r="H1005" s="297"/>
      <c r="I1005" s="298"/>
      <c r="J1005" s="298"/>
      <c r="K1005" s="300"/>
    </row>
    <row r="1006" ht="12.75">
      <c r="A1006" s="297"/>
      <c r="B1006" s="297"/>
      <c r="C1006" s="297"/>
      <c r="D1006" s="297"/>
      <c r="E1006" s="297"/>
      <c r="F1006" s="297"/>
      <c r="G1006" s="298"/>
      <c r="H1006" s="297"/>
      <c r="I1006" s="298"/>
      <c r="J1006" s="298"/>
      <c r="K1006" s="300"/>
    </row>
    <row r="1007" ht="12.75">
      <c r="A1007" s="297"/>
      <c r="B1007" s="297"/>
      <c r="C1007" s="297"/>
      <c r="D1007" s="297"/>
      <c r="E1007" s="297"/>
      <c r="F1007" s="297"/>
      <c r="G1007" s="298"/>
      <c r="H1007" s="297"/>
      <c r="I1007" s="298"/>
      <c r="J1007" s="298"/>
      <c r="K1007" s="300"/>
    </row>
    <row r="1008" ht="12.75">
      <c r="A1008" s="297"/>
      <c r="B1008" s="297"/>
      <c r="C1008" s="297"/>
      <c r="D1008" s="297"/>
      <c r="E1008" s="297"/>
      <c r="F1008" s="297"/>
      <c r="G1008" s="298"/>
      <c r="H1008" s="297"/>
      <c r="I1008" s="298"/>
      <c r="J1008" s="298"/>
      <c r="K1008" s="300"/>
    </row>
    <row r="1009" ht="12.75">
      <c r="A1009" s="297"/>
      <c r="B1009" s="297"/>
      <c r="C1009" s="297"/>
      <c r="D1009" s="297"/>
      <c r="E1009" s="297"/>
      <c r="F1009" s="297"/>
      <c r="G1009" s="298"/>
      <c r="H1009" s="297"/>
      <c r="I1009" s="298"/>
      <c r="J1009" s="298"/>
      <c r="K1009" s="300"/>
    </row>
    <row r="1010" ht="12.75">
      <c r="A1010" s="297"/>
      <c r="B1010" s="297"/>
      <c r="C1010" s="297"/>
      <c r="D1010" s="297"/>
      <c r="E1010" s="297"/>
      <c r="F1010" s="297"/>
      <c r="G1010" s="298"/>
      <c r="H1010" s="297"/>
      <c r="I1010" s="298"/>
      <c r="J1010" s="298"/>
      <c r="K1010" s="300"/>
    </row>
    <row r="1011" ht="12.75">
      <c r="A1011" s="297"/>
      <c r="B1011" s="297"/>
      <c r="C1011" s="297"/>
      <c r="D1011" s="297"/>
      <c r="E1011" s="297"/>
      <c r="F1011" s="297"/>
      <c r="G1011" s="298"/>
      <c r="H1011" s="297"/>
      <c r="I1011" s="298"/>
      <c r="J1011" s="298"/>
      <c r="K1011" s="300"/>
    </row>
    <row r="1012" ht="12.75">
      <c r="A1012" s="297"/>
      <c r="B1012" s="297"/>
      <c r="C1012" s="297"/>
      <c r="D1012" s="297"/>
      <c r="E1012" s="297"/>
      <c r="F1012" s="297"/>
      <c r="G1012" s="298"/>
      <c r="H1012" s="297"/>
      <c r="I1012" s="298"/>
      <c r="J1012" s="298"/>
      <c r="K1012" s="300"/>
    </row>
    <row r="1013" ht="12.75">
      <c r="A1013" s="297"/>
      <c r="B1013" s="297"/>
      <c r="C1013" s="297"/>
      <c r="D1013" s="297"/>
      <c r="E1013" s="297"/>
      <c r="F1013" s="297"/>
      <c r="G1013" s="298"/>
      <c r="H1013" s="297"/>
      <c r="I1013" s="298"/>
      <c r="J1013" s="298"/>
      <c r="K1013" s="300"/>
    </row>
    <row r="1014" ht="12.75">
      <c r="A1014" s="297"/>
      <c r="B1014" s="297"/>
      <c r="C1014" s="297"/>
      <c r="D1014" s="297"/>
      <c r="E1014" s="297"/>
      <c r="F1014" s="297"/>
      <c r="G1014" s="298"/>
      <c r="H1014" s="297"/>
      <c r="I1014" s="298"/>
      <c r="J1014" s="298"/>
      <c r="K1014" s="300"/>
    </row>
    <row r="1015" ht="12.75">
      <c r="A1015" s="297"/>
      <c r="B1015" s="297"/>
      <c r="C1015" s="297"/>
      <c r="D1015" s="297"/>
      <c r="E1015" s="297"/>
      <c r="F1015" s="297"/>
      <c r="G1015" s="298"/>
      <c r="H1015" s="297"/>
      <c r="I1015" s="298"/>
      <c r="J1015" s="298"/>
      <c r="K1015" s="300"/>
    </row>
    <row r="1016" ht="12.75">
      <c r="A1016" s="297"/>
      <c r="B1016" s="297"/>
      <c r="C1016" s="297"/>
      <c r="D1016" s="297"/>
      <c r="E1016" s="297"/>
      <c r="F1016" s="297"/>
      <c r="G1016" s="298"/>
      <c r="H1016" s="297"/>
      <c r="I1016" s="298"/>
      <c r="J1016" s="298"/>
      <c r="K1016" s="300"/>
    </row>
    <row r="1017" ht="12.75">
      <c r="A1017" s="297"/>
      <c r="B1017" s="297"/>
      <c r="C1017" s="297"/>
      <c r="D1017" s="297"/>
      <c r="E1017" s="297"/>
      <c r="F1017" s="297"/>
      <c r="G1017" s="298"/>
      <c r="H1017" s="297"/>
      <c r="I1017" s="298"/>
      <c r="J1017" s="298"/>
      <c r="K1017" s="300"/>
    </row>
    <row r="1018" ht="12.75">
      <c r="A1018" s="297"/>
      <c r="B1018" s="297"/>
      <c r="C1018" s="297"/>
      <c r="D1018" s="297"/>
      <c r="E1018" s="297"/>
      <c r="F1018" s="297"/>
      <c r="G1018" s="298"/>
      <c r="H1018" s="297"/>
      <c r="I1018" s="298"/>
      <c r="J1018" s="298"/>
      <c r="K1018" s="300"/>
    </row>
    <row r="1019" ht="12.75">
      <c r="A1019" s="297"/>
      <c r="B1019" s="297"/>
      <c r="C1019" s="297"/>
      <c r="D1019" s="297"/>
      <c r="E1019" s="297"/>
      <c r="F1019" s="297"/>
      <c r="G1019" s="298"/>
      <c r="H1019" s="297"/>
      <c r="I1019" s="298"/>
      <c r="J1019" s="298"/>
      <c r="K1019" s="300"/>
    </row>
    <row r="1020" ht="12.75">
      <c r="A1020" s="297"/>
      <c r="B1020" s="297"/>
      <c r="C1020" s="297"/>
      <c r="D1020" s="297"/>
      <c r="E1020" s="297"/>
      <c r="F1020" s="297"/>
      <c r="G1020" s="298"/>
      <c r="H1020" s="297"/>
      <c r="I1020" s="298"/>
      <c r="J1020" s="298"/>
      <c r="K1020" s="300"/>
    </row>
    <row r="1021" ht="12.75">
      <c r="A1021" s="297"/>
      <c r="B1021" s="297"/>
      <c r="C1021" s="297"/>
      <c r="D1021" s="297"/>
      <c r="E1021" s="297"/>
      <c r="F1021" s="297"/>
      <c r="G1021" s="298"/>
      <c r="H1021" s="297"/>
      <c r="I1021" s="298"/>
      <c r="J1021" s="298"/>
      <c r="K1021" s="300"/>
    </row>
    <row r="1022" ht="12.75">
      <c r="A1022" s="297"/>
      <c r="B1022" s="297"/>
      <c r="C1022" s="297"/>
      <c r="D1022" s="297"/>
      <c r="E1022" s="297"/>
      <c r="F1022" s="297"/>
      <c r="G1022" s="298"/>
      <c r="H1022" s="297"/>
      <c r="I1022" s="298"/>
      <c r="J1022" s="298"/>
      <c r="K1022" s="300"/>
    </row>
    <row r="1023" ht="12.75">
      <c r="A1023" s="297"/>
      <c r="B1023" s="297"/>
      <c r="C1023" s="297"/>
      <c r="D1023" s="297"/>
      <c r="E1023" s="297"/>
      <c r="F1023" s="297"/>
      <c r="G1023" s="298"/>
      <c r="H1023" s="297"/>
      <c r="I1023" s="298"/>
      <c r="J1023" s="298"/>
      <c r="K1023" s="300"/>
    </row>
    <row r="1024" ht="12.75">
      <c r="A1024" s="297"/>
      <c r="B1024" s="297"/>
      <c r="C1024" s="297"/>
      <c r="D1024" s="297"/>
      <c r="E1024" s="297"/>
      <c r="F1024" s="297"/>
      <c r="G1024" s="298"/>
      <c r="H1024" s="297"/>
      <c r="I1024" s="298"/>
      <c r="J1024" s="298"/>
      <c r="K1024" s="300"/>
    </row>
    <row r="1025" ht="12.75">
      <c r="A1025" s="297"/>
      <c r="B1025" s="297"/>
      <c r="C1025" s="297"/>
      <c r="D1025" s="297"/>
      <c r="E1025" s="297"/>
      <c r="F1025" s="297"/>
      <c r="G1025" s="298"/>
      <c r="H1025" s="297"/>
      <c r="I1025" s="298"/>
      <c r="J1025" s="298"/>
      <c r="K1025" s="300"/>
    </row>
    <row r="1026" ht="12.75">
      <c r="A1026" s="297"/>
      <c r="B1026" s="297"/>
      <c r="C1026" s="297"/>
      <c r="D1026" s="297"/>
      <c r="E1026" s="297"/>
      <c r="F1026" s="297"/>
      <c r="G1026" s="298"/>
      <c r="H1026" s="297"/>
      <c r="I1026" s="298"/>
      <c r="J1026" s="298"/>
      <c r="K1026" s="300"/>
    </row>
    <row r="1027" ht="12.75">
      <c r="A1027" s="297"/>
      <c r="B1027" s="297"/>
      <c r="C1027" s="297"/>
      <c r="D1027" s="297"/>
      <c r="E1027" s="297"/>
      <c r="F1027" s="297"/>
      <c r="G1027" s="298"/>
      <c r="H1027" s="297"/>
      <c r="I1027" s="298"/>
      <c r="J1027" s="298"/>
      <c r="K1027" s="300"/>
    </row>
    <row r="1028" ht="12.75">
      <c r="A1028" s="297"/>
      <c r="B1028" s="297"/>
      <c r="C1028" s="297"/>
      <c r="D1028" s="297"/>
      <c r="E1028" s="297"/>
      <c r="F1028" s="297"/>
      <c r="G1028" s="298"/>
      <c r="H1028" s="297"/>
      <c r="I1028" s="298"/>
      <c r="J1028" s="298"/>
      <c r="K1028" s="300"/>
    </row>
    <row r="1029" ht="12.75">
      <c r="A1029" s="297"/>
      <c r="B1029" s="297"/>
      <c r="C1029" s="297"/>
      <c r="D1029" s="297"/>
      <c r="E1029" s="297"/>
      <c r="F1029" s="297"/>
      <c r="G1029" s="298"/>
      <c r="H1029" s="297"/>
      <c r="I1029" s="298"/>
      <c r="J1029" s="298"/>
      <c r="K1029" s="300"/>
    </row>
    <row r="1030" ht="12.75">
      <c r="A1030" s="297"/>
      <c r="B1030" s="297"/>
      <c r="C1030" s="297"/>
      <c r="D1030" s="297"/>
      <c r="E1030" s="297"/>
      <c r="F1030" s="297"/>
      <c r="G1030" s="298"/>
      <c r="H1030" s="297"/>
      <c r="I1030" s="298"/>
      <c r="J1030" s="298"/>
      <c r="K1030" s="300"/>
    </row>
    <row r="1031" ht="12.75">
      <c r="A1031" s="297"/>
      <c r="B1031" s="297"/>
      <c r="C1031" s="297"/>
      <c r="D1031" s="297"/>
      <c r="E1031" s="297"/>
      <c r="F1031" s="297"/>
      <c r="G1031" s="298"/>
      <c r="H1031" s="297"/>
      <c r="I1031" s="298"/>
      <c r="J1031" s="298"/>
      <c r="K1031" s="300"/>
    </row>
    <row r="1032" ht="12.75">
      <c r="A1032" s="297"/>
      <c r="B1032" s="297"/>
      <c r="C1032" s="297"/>
      <c r="D1032" s="297"/>
      <c r="E1032" s="297"/>
      <c r="F1032" s="297"/>
      <c r="G1032" s="298"/>
      <c r="H1032" s="297"/>
      <c r="I1032" s="298"/>
      <c r="J1032" s="298"/>
      <c r="K1032" s="300"/>
    </row>
    <row r="1033" ht="12.75">
      <c r="A1033" s="297"/>
      <c r="B1033" s="297"/>
      <c r="C1033" s="297"/>
      <c r="D1033" s="297"/>
      <c r="E1033" s="297"/>
      <c r="F1033" s="297"/>
      <c r="G1033" s="298"/>
      <c r="H1033" s="297"/>
      <c r="I1033" s="298"/>
      <c r="J1033" s="298"/>
      <c r="K1033" s="300"/>
    </row>
    <row r="1034" ht="12.75">
      <c r="A1034" s="297"/>
      <c r="B1034" s="297"/>
      <c r="C1034" s="297"/>
      <c r="D1034" s="297"/>
      <c r="E1034" s="297"/>
      <c r="F1034" s="297"/>
      <c r="G1034" s="298"/>
      <c r="H1034" s="297"/>
      <c r="I1034" s="298"/>
      <c r="J1034" s="298"/>
      <c r="K1034" s="300"/>
    </row>
    <row r="1035" ht="12.75">
      <c r="A1035" s="297"/>
      <c r="B1035" s="297"/>
      <c r="C1035" s="297"/>
      <c r="D1035" s="297"/>
      <c r="E1035" s="297"/>
      <c r="F1035" s="297"/>
      <c r="G1035" s="298"/>
      <c r="H1035" s="297"/>
      <c r="I1035" s="298"/>
      <c r="J1035" s="298"/>
      <c r="K1035" s="300"/>
    </row>
    <row r="1036" ht="12.75">
      <c r="A1036" s="297"/>
      <c r="B1036" s="297"/>
      <c r="C1036" s="297"/>
      <c r="D1036" s="297"/>
      <c r="E1036" s="297"/>
      <c r="F1036" s="297"/>
      <c r="G1036" s="298"/>
      <c r="H1036" s="297"/>
      <c r="I1036" s="298"/>
      <c r="J1036" s="298"/>
      <c r="K1036" s="300"/>
    </row>
    <row r="1037" ht="12.75">
      <c r="A1037" s="297"/>
      <c r="B1037" s="297"/>
      <c r="C1037" s="297"/>
      <c r="D1037" s="297"/>
      <c r="E1037" s="297"/>
      <c r="F1037" s="297"/>
      <c r="G1037" s="298"/>
      <c r="H1037" s="297"/>
      <c r="I1037" s="298"/>
      <c r="J1037" s="298"/>
      <c r="K1037" s="300"/>
    </row>
    <row r="1038" ht="12.75">
      <c r="A1038" s="297"/>
      <c r="B1038" s="297"/>
      <c r="C1038" s="297"/>
      <c r="D1038" s="297"/>
      <c r="E1038" s="297"/>
      <c r="F1038" s="297"/>
      <c r="G1038" s="298"/>
      <c r="H1038" s="297"/>
      <c r="I1038" s="298"/>
      <c r="J1038" s="298"/>
      <c r="K1038" s="300"/>
    </row>
  </sheetData>
  <printOptions headings="0" gridLines="0" horizontalCentered="0" verticalCentered="0"/>
  <pageMargins left="0.69999999999999996" right="0.69999999999999996" top="0.75" bottom="0.75" header="0.51181102362204689" footer="0.51181102362204689"/>
  <pageSetup paperSize="8" scale="100" fitToWidth="1" fitToHeight="1" pageOrder="downThenOver" orientation="landscape" usePrinterDefaults="1" blackAndWhite="0" draft="0" cellComments="none" useFirstPageNumber="0" errors="displayed" horizontalDpi="300" verticalDpi="300" copies="1"/>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A2" activeCellId="0" sqref="A2"/>
    </sheetView>
  </sheetViews>
  <sheetFormatPr defaultColWidth="8.6796875" defaultRowHeight="12.75"/>
  <cols>
    <col customWidth="1" min="1" max="1" style="0" width="117.29000000000001"/>
    <col customWidth="1" min="2" max="2" style="0" width="20.57"/>
    <col customWidth="1" min="3" max="3" style="291" width="6.71"/>
    <col customWidth="1" min="4" max="4" style="0" width="18.710000000000001"/>
    <col customWidth="1" min="5" max="5" style="291" width="18.420000000000002"/>
    <col customWidth="1" min="6" max="6" style="291" width="12.15"/>
    <col customWidth="1" min="7" max="7" style="0" width="16.850000000000001"/>
    <col customWidth="1" min="8" max="8" style="0" width="19.859999999999999"/>
    <col customWidth="1" min="9" max="9" style="0" width="19.710000000000001"/>
    <col customWidth="1" min="10" max="10" style="0" width="9.1400000000000006"/>
    <col customWidth="1" min="11" max="11" style="0" width="16.289999999999999"/>
  </cols>
  <sheetData>
    <row r="1" ht="12.75">
      <c r="A1" s="301" t="s">
        <v>7849</v>
      </c>
      <c r="B1" s="301" t="s">
        <v>7850</v>
      </c>
      <c r="C1" s="291" t="s">
        <v>5</v>
      </c>
      <c r="D1" s="301" t="s">
        <v>6</v>
      </c>
      <c r="E1" s="291" t="s">
        <v>7851</v>
      </c>
      <c r="F1" s="291" t="s">
        <v>7852</v>
      </c>
      <c r="G1" s="302" t="s">
        <v>7853</v>
      </c>
      <c r="H1" s="301" t="s">
        <v>7854</v>
      </c>
      <c r="I1" s="291" t="s">
        <v>7855</v>
      </c>
      <c r="J1" s="291" t="s">
        <v>7856</v>
      </c>
      <c r="K1" s="302" t="s">
        <v>7857</v>
      </c>
    </row>
    <row r="2" ht="12.75">
      <c r="A2" t="s">
        <v>6929</v>
      </c>
      <c r="B2" t="s">
        <v>6928</v>
      </c>
      <c r="C2" s="291" t="s">
        <v>217</v>
      </c>
      <c r="D2" t="s">
        <v>5528</v>
      </c>
      <c r="E2" s="291">
        <v>1904</v>
      </c>
      <c r="F2" s="291">
        <v>2020</v>
      </c>
      <c r="G2" s="291">
        <v>4.6219178082191803</v>
      </c>
      <c r="H2">
        <v>4</v>
      </c>
      <c r="I2" s="291"/>
      <c r="J2" s="291">
        <v>8.6219178082191803</v>
      </c>
      <c r="K2" s="291"/>
    </row>
    <row r="3" ht="12.75">
      <c r="A3" t="s">
        <v>7115</v>
      </c>
      <c r="B3" t="s">
        <v>7114</v>
      </c>
      <c r="C3" s="291" t="s">
        <v>695</v>
      </c>
      <c r="D3" t="s">
        <v>1679</v>
      </c>
      <c r="E3" s="291">
        <v>1957</v>
      </c>
      <c r="F3" s="291">
        <v>2021</v>
      </c>
      <c r="G3" s="291">
        <v>0.64657534246575299</v>
      </c>
      <c r="H3">
        <v>3</v>
      </c>
      <c r="I3" s="291"/>
      <c r="J3" s="291">
        <v>3.6465753424657499</v>
      </c>
      <c r="K3" s="291"/>
    </row>
    <row r="4" ht="12.75">
      <c r="A4" t="s">
        <v>7258</v>
      </c>
      <c r="B4" t="s">
        <v>7257</v>
      </c>
      <c r="C4" s="291" t="s">
        <v>84</v>
      </c>
      <c r="D4" t="s">
        <v>3115</v>
      </c>
      <c r="E4" s="291">
        <v>1991</v>
      </c>
      <c r="F4" s="291">
        <v>2021</v>
      </c>
      <c r="G4" s="291">
        <v>0.52328767123287701</v>
      </c>
      <c r="H4">
        <v>3</v>
      </c>
      <c r="I4" s="291"/>
      <c r="J4" s="291">
        <v>3.5232876712328798</v>
      </c>
      <c r="K4" s="291"/>
    </row>
    <row r="5" ht="12.75">
      <c r="A5" t="s">
        <v>7763</v>
      </c>
      <c r="B5" t="s">
        <v>7762</v>
      </c>
      <c r="C5" s="291" t="s">
        <v>564</v>
      </c>
      <c r="D5" t="s">
        <v>565</v>
      </c>
      <c r="E5" s="291">
        <v>2109</v>
      </c>
      <c r="F5" s="291">
        <v>2024</v>
      </c>
      <c r="G5" s="291">
        <v>0.613698630136986</v>
      </c>
      <c r="I5" s="291"/>
      <c r="J5" s="291">
        <v>0.613698630136986</v>
      </c>
      <c r="K5" s="291"/>
    </row>
    <row r="6" ht="12.75">
      <c r="A6" t="s">
        <v>7333</v>
      </c>
      <c r="B6" t="s">
        <v>7332</v>
      </c>
      <c r="C6" s="291" t="s">
        <v>428</v>
      </c>
      <c r="D6" t="s">
        <v>429</v>
      </c>
      <c r="E6" s="291">
        <v>2008</v>
      </c>
      <c r="F6" s="291">
        <v>2022</v>
      </c>
      <c r="G6" s="291">
        <v>0.49315068493150699</v>
      </c>
      <c r="I6" s="291"/>
      <c r="J6" s="291">
        <v>0.49315068493150699</v>
      </c>
      <c r="K6" s="291"/>
    </row>
    <row r="7" ht="12.75">
      <c r="A7" t="s">
        <v>7655</v>
      </c>
      <c r="B7" t="s">
        <v>7653</v>
      </c>
      <c r="C7" s="291" t="s">
        <v>1480</v>
      </c>
      <c r="D7" t="s">
        <v>7654</v>
      </c>
      <c r="E7" s="291">
        <v>2083</v>
      </c>
      <c r="F7" s="291">
        <v>2024</v>
      </c>
      <c r="G7" s="291">
        <v>0.25205479452054802</v>
      </c>
      <c r="I7" s="291"/>
      <c r="J7" s="291">
        <v>0.25205479452054802</v>
      </c>
      <c r="K7" s="291"/>
    </row>
    <row r="8" ht="12.75">
      <c r="A8" t="s">
        <v>7672</v>
      </c>
      <c r="B8" t="s">
        <v>7671</v>
      </c>
      <c r="C8" s="291" t="s">
        <v>1075</v>
      </c>
      <c r="D8" t="s">
        <v>3368</v>
      </c>
      <c r="E8" s="291">
        <v>2087</v>
      </c>
      <c r="F8" s="291">
        <v>2024</v>
      </c>
      <c r="G8" s="291">
        <v>0.19452054794520501</v>
      </c>
      <c r="I8" s="291"/>
      <c r="J8" s="291">
        <v>0.19452054794520501</v>
      </c>
      <c r="K8" s="291"/>
    </row>
    <row r="9" ht="12.75">
      <c r="A9" t="s">
        <v>7337</v>
      </c>
      <c r="B9" t="s">
        <v>7336</v>
      </c>
      <c r="C9" s="291" t="s">
        <v>704</v>
      </c>
      <c r="D9" t="s">
        <v>705</v>
      </c>
      <c r="E9" s="291">
        <v>2009</v>
      </c>
      <c r="F9" s="291">
        <v>2022</v>
      </c>
      <c r="G9" s="291"/>
      <c r="I9" s="291"/>
      <c r="J9" s="291">
        <v>0</v>
      </c>
      <c r="K9" s="291"/>
    </row>
    <row r="10" ht="12.75">
      <c r="G10" s="291"/>
      <c r="I10" s="291"/>
      <c r="J10" s="291"/>
      <c r="K10" s="291"/>
    </row>
    <row r="11" ht="12.75">
      <c r="G11" s="291"/>
      <c r="I11" s="291"/>
      <c r="J11" s="291"/>
      <c r="K11" s="291"/>
    </row>
    <row r="12" ht="12.75">
      <c r="G12" s="291"/>
      <c r="I12" s="291"/>
      <c r="J12" s="291"/>
      <c r="K12" s="291"/>
    </row>
    <row r="13" ht="12.75">
      <c r="G13" s="291"/>
      <c r="I13" s="291"/>
      <c r="J13" s="291"/>
      <c r="K13" s="291"/>
    </row>
    <row r="14" ht="12.75">
      <c r="G14" s="291"/>
      <c r="I14" s="291"/>
      <c r="J14" s="291"/>
      <c r="K14" s="291"/>
    </row>
    <row r="15" ht="12.75">
      <c r="G15" s="291"/>
      <c r="I15" s="291"/>
      <c r="J15" s="291"/>
      <c r="K15" s="291"/>
    </row>
    <row r="16" ht="12.75">
      <c r="G16" s="291"/>
      <c r="I16" s="291"/>
      <c r="J16" s="291"/>
      <c r="K16" s="291"/>
    </row>
    <row r="17" ht="12.75">
      <c r="G17" s="291"/>
      <c r="I17" s="291"/>
      <c r="J17" s="291"/>
      <c r="K17" s="291"/>
    </row>
    <row r="18" ht="12.75">
      <c r="G18" s="291"/>
      <c r="I18" s="291"/>
      <c r="J18" s="291"/>
      <c r="K18" s="291"/>
    </row>
    <row r="19" ht="12.75">
      <c r="G19" s="291"/>
      <c r="I19" s="291"/>
      <c r="J19" s="291"/>
      <c r="K19" s="291"/>
    </row>
    <row r="20" ht="12.75">
      <c r="G20" s="291"/>
      <c r="I20" s="291"/>
      <c r="J20" s="291"/>
      <c r="K20" s="291"/>
    </row>
    <row r="21" ht="12.75">
      <c r="G21" s="291"/>
      <c r="I21" s="291"/>
      <c r="J21" s="291"/>
      <c r="K21" s="291"/>
    </row>
    <row r="22" ht="12.75">
      <c r="G22" s="291"/>
      <c r="I22" s="291"/>
      <c r="J22" s="291"/>
      <c r="K22" s="291"/>
    </row>
    <row r="23" ht="12.75">
      <c r="G23" s="291"/>
      <c r="I23" s="291"/>
      <c r="J23" s="291"/>
      <c r="K23" s="291"/>
    </row>
    <row r="24" ht="12.75">
      <c r="G24" s="291"/>
      <c r="I24" s="291"/>
      <c r="J24" s="291"/>
      <c r="K24" s="291"/>
    </row>
    <row r="25" ht="12.75">
      <c r="G25" s="291"/>
      <c r="I25" s="291"/>
      <c r="J25" s="291"/>
      <c r="K25" s="291"/>
    </row>
    <row r="26" ht="12.75">
      <c r="G26" s="291"/>
      <c r="I26" s="291"/>
      <c r="J26" s="291"/>
      <c r="K26" s="291"/>
    </row>
    <row r="27" ht="12.75">
      <c r="G27" s="291"/>
      <c r="I27" s="291"/>
      <c r="J27" s="291"/>
      <c r="K27" s="291"/>
    </row>
    <row r="28" ht="12.75">
      <c r="B28" s="290"/>
      <c r="C28" s="290"/>
      <c r="D28" s="290"/>
      <c r="E28" s="290"/>
      <c r="F28" s="290"/>
      <c r="G28" s="291"/>
      <c r="I28" s="291"/>
      <c r="J28" s="291"/>
      <c r="K28" s="291"/>
    </row>
    <row r="29" ht="12.75">
      <c r="G29" s="291"/>
      <c r="I29" s="291"/>
      <c r="J29" s="291"/>
      <c r="K29" s="291"/>
    </row>
    <row r="30" ht="12.75">
      <c r="G30" s="291"/>
      <c r="I30" s="291"/>
      <c r="J30" s="291"/>
      <c r="K30" s="291"/>
    </row>
    <row r="31" ht="12.75">
      <c r="G31" s="291"/>
      <c r="I31" s="291"/>
      <c r="J31" s="291"/>
      <c r="K31" s="291"/>
    </row>
    <row r="32" ht="12.75">
      <c r="G32" s="291"/>
      <c r="I32" s="291"/>
      <c r="J32" s="291"/>
      <c r="K32" s="291"/>
    </row>
    <row r="33" ht="12.75">
      <c r="G33" s="291"/>
      <c r="I33" s="291"/>
      <c r="J33" s="291"/>
      <c r="K33" s="291"/>
    </row>
    <row r="34" ht="12.75">
      <c r="G34" s="291"/>
      <c r="I34" s="291"/>
      <c r="J34" s="291"/>
      <c r="K34" s="291"/>
    </row>
    <row r="35" ht="12.75">
      <c r="G35" s="291"/>
      <c r="I35" s="291"/>
      <c r="J35" s="291"/>
      <c r="K35" s="291"/>
    </row>
    <row r="36" ht="12.75">
      <c r="G36" s="291"/>
      <c r="I36" s="291"/>
      <c r="J36" s="291"/>
      <c r="K36" s="291"/>
    </row>
    <row r="37" ht="12.75">
      <c r="G37" s="291"/>
      <c r="I37" s="291"/>
      <c r="J37" s="291"/>
      <c r="K37" s="291"/>
    </row>
    <row r="38" ht="12.75">
      <c r="G38" s="291"/>
      <c r="I38" s="291"/>
      <c r="J38" s="291"/>
      <c r="K38" s="291"/>
    </row>
    <row r="39" ht="12.75">
      <c r="G39" s="291"/>
      <c r="I39" s="291"/>
      <c r="J39" s="291"/>
      <c r="K39" s="291"/>
    </row>
    <row r="40" ht="12.75">
      <c r="B40" s="290"/>
      <c r="G40" s="291"/>
      <c r="I40" s="291"/>
      <c r="J40" s="291"/>
      <c r="K40" s="291"/>
    </row>
    <row r="41" ht="12.75">
      <c r="G41" s="291"/>
      <c r="I41" s="291"/>
      <c r="J41" s="291"/>
      <c r="K41" s="291"/>
    </row>
    <row r="42" ht="12.75">
      <c r="G42" s="291"/>
      <c r="I42" s="291"/>
      <c r="J42" s="291"/>
      <c r="K42" s="291"/>
    </row>
    <row r="43" ht="12.75">
      <c r="G43" s="291"/>
      <c r="I43" s="291"/>
      <c r="J43" s="291"/>
      <c r="K43" s="291"/>
    </row>
    <row r="44" ht="12.75">
      <c r="G44" s="291"/>
      <c r="I44" s="291"/>
      <c r="J44" s="291"/>
      <c r="K44" s="291"/>
    </row>
    <row r="45" ht="12.75">
      <c r="G45" s="291"/>
      <c r="I45" s="291"/>
      <c r="J45" s="291"/>
      <c r="K45" s="291"/>
    </row>
    <row r="46" ht="12.75">
      <c r="G46" s="291"/>
      <c r="I46" s="291"/>
      <c r="J46" s="291"/>
      <c r="K46" s="291"/>
    </row>
    <row r="47" ht="12.75">
      <c r="G47" s="291"/>
      <c r="I47" s="291"/>
      <c r="J47" s="291"/>
      <c r="K47" s="291"/>
    </row>
    <row r="48" ht="12.75">
      <c r="G48" s="291"/>
      <c r="I48" s="291"/>
      <c r="J48" s="291"/>
      <c r="K48" s="291"/>
    </row>
    <row r="49" ht="12.75">
      <c r="G49" s="291"/>
      <c r="I49" s="291"/>
      <c r="J49" s="291"/>
      <c r="K49" s="291"/>
    </row>
    <row r="50" ht="12.75">
      <c r="G50" s="291"/>
      <c r="I50" s="291"/>
      <c r="J50" s="291"/>
      <c r="K50" s="291"/>
    </row>
    <row r="51" ht="12.75">
      <c r="G51" s="291"/>
      <c r="I51" s="291"/>
      <c r="J51" s="291"/>
      <c r="K51" s="291"/>
    </row>
    <row r="52" ht="12.75">
      <c r="G52" s="291"/>
      <c r="I52" s="291"/>
      <c r="J52" s="291"/>
      <c r="K52" s="291"/>
    </row>
    <row r="53" ht="12.75">
      <c r="G53" s="291"/>
      <c r="I53" s="291"/>
      <c r="J53" s="291"/>
      <c r="K53" s="291"/>
    </row>
    <row r="54" ht="12.75">
      <c r="G54" s="291"/>
      <c r="I54" s="291"/>
      <c r="J54" s="291"/>
      <c r="K54" s="291"/>
    </row>
    <row r="55" ht="12.75">
      <c r="G55" s="291"/>
      <c r="I55" s="291"/>
      <c r="J55" s="291"/>
      <c r="K55" s="291"/>
    </row>
    <row r="56" ht="12.75">
      <c r="G56" s="291"/>
      <c r="I56" s="291"/>
      <c r="J56" s="291"/>
      <c r="K56" s="291"/>
    </row>
    <row r="57" ht="12.75">
      <c r="G57" s="291"/>
      <c r="I57" s="291"/>
      <c r="J57" s="291"/>
      <c r="K57" s="291"/>
    </row>
    <row r="58" ht="12.75">
      <c r="G58" s="291"/>
      <c r="I58" s="291"/>
      <c r="J58" s="291"/>
      <c r="K58" s="291"/>
    </row>
    <row r="59" ht="12.75">
      <c r="G59" s="291"/>
      <c r="I59" s="291"/>
      <c r="J59" s="291"/>
      <c r="K59" s="291"/>
    </row>
    <row r="60" ht="12.75">
      <c r="G60" s="291"/>
      <c r="I60" s="291"/>
      <c r="J60" s="291"/>
      <c r="K60" s="291"/>
    </row>
    <row r="61" ht="12.75">
      <c r="G61" s="291"/>
      <c r="I61" s="291"/>
      <c r="J61" s="291"/>
      <c r="K61" s="291"/>
    </row>
    <row r="62" ht="12.75">
      <c r="G62" s="291"/>
      <c r="I62" s="291"/>
      <c r="J62" s="291"/>
      <c r="K62" s="291"/>
    </row>
    <row r="63" ht="12.75">
      <c r="G63" s="291"/>
      <c r="I63" s="291"/>
      <c r="J63" s="291"/>
      <c r="K63" s="291"/>
    </row>
    <row r="64" ht="12.75">
      <c r="G64" s="291"/>
      <c r="I64" s="291"/>
      <c r="J64" s="291"/>
      <c r="K64" s="291"/>
    </row>
    <row r="65" ht="12.75">
      <c r="G65" s="291"/>
      <c r="I65" s="291"/>
      <c r="J65" s="291"/>
      <c r="K65" s="291"/>
    </row>
    <row r="66" ht="12.75">
      <c r="G66" s="291"/>
      <c r="I66" s="291"/>
      <c r="J66" s="291"/>
      <c r="K66" s="291"/>
    </row>
    <row r="67" ht="12.75">
      <c r="B67" s="290"/>
      <c r="G67" s="291"/>
      <c r="I67" s="291"/>
      <c r="J67" s="291"/>
      <c r="K67" s="291"/>
    </row>
    <row r="68" ht="12.75">
      <c r="G68" s="291"/>
      <c r="I68" s="291"/>
      <c r="J68" s="291"/>
      <c r="K68" s="291"/>
    </row>
    <row r="69" ht="12.75">
      <c r="G69" s="291"/>
      <c r="I69" s="291"/>
      <c r="J69" s="291"/>
      <c r="K69" s="291"/>
    </row>
    <row r="70" ht="12.75">
      <c r="G70" s="291"/>
      <c r="I70" s="291"/>
      <c r="J70" s="291"/>
      <c r="K70" s="291"/>
    </row>
    <row r="71" ht="12.75">
      <c r="G71" s="291"/>
      <c r="I71" s="291"/>
      <c r="J71" s="291"/>
      <c r="K71" s="291"/>
    </row>
    <row r="72" ht="12.75">
      <c r="B72" s="290"/>
      <c r="G72" s="291"/>
      <c r="I72" s="291"/>
      <c r="J72" s="291"/>
      <c r="K72" s="291"/>
    </row>
    <row r="73" ht="12.75">
      <c r="G73" s="291"/>
      <c r="I73" s="291"/>
      <c r="J73" s="291"/>
      <c r="K73" s="291"/>
    </row>
    <row r="74" ht="12.75">
      <c r="G74" s="291"/>
      <c r="I74" s="291"/>
      <c r="J74" s="291"/>
      <c r="K74" s="291"/>
    </row>
    <row r="75" ht="12.75">
      <c r="G75" s="291"/>
      <c r="I75" s="291"/>
      <c r="J75" s="291"/>
      <c r="K75" s="291"/>
    </row>
    <row r="76" ht="12.75">
      <c r="G76" s="291"/>
      <c r="I76" s="291"/>
      <c r="J76" s="291"/>
      <c r="K76" s="291"/>
    </row>
    <row r="77" ht="12.75">
      <c r="G77" s="291"/>
      <c r="I77" s="291"/>
      <c r="J77" s="291"/>
      <c r="K77" s="291"/>
    </row>
    <row r="78" ht="12.75">
      <c r="G78" s="291"/>
      <c r="I78" s="291"/>
      <c r="J78" s="291"/>
      <c r="K78" s="291"/>
    </row>
    <row r="79" ht="12.75">
      <c r="G79" s="291"/>
      <c r="I79" s="291"/>
      <c r="J79" s="291"/>
      <c r="K79" s="291"/>
    </row>
    <row r="80" ht="12.75">
      <c r="G80" s="291"/>
      <c r="I80" s="291"/>
      <c r="J80" s="291"/>
      <c r="K80" s="291"/>
    </row>
    <row r="81" ht="12.75">
      <c r="G81" s="291"/>
      <c r="I81" s="291"/>
      <c r="J81" s="291"/>
      <c r="K81" s="291"/>
    </row>
    <row r="82" ht="12.75">
      <c r="G82" s="291"/>
      <c r="I82" s="291"/>
      <c r="J82" s="291"/>
      <c r="K82" s="291"/>
    </row>
    <row r="83" ht="12.75">
      <c r="G83" s="291"/>
      <c r="I83" s="291"/>
      <c r="J83" s="291"/>
      <c r="K83" s="291"/>
    </row>
    <row r="84" ht="12.75">
      <c r="G84" s="291"/>
      <c r="I84" s="291"/>
      <c r="J84" s="291"/>
      <c r="K84" s="291"/>
    </row>
    <row r="85" ht="12.75">
      <c r="G85" s="291"/>
      <c r="I85" s="291"/>
      <c r="J85" s="291"/>
      <c r="K85" s="291"/>
    </row>
    <row r="86" ht="12.75">
      <c r="G86" s="291"/>
      <c r="I86" s="291"/>
      <c r="J86" s="291"/>
      <c r="K86" s="291"/>
    </row>
    <row r="87" ht="12.75">
      <c r="G87" s="291"/>
      <c r="I87" s="291"/>
      <c r="J87" s="291"/>
      <c r="K87" s="291"/>
    </row>
    <row r="88" ht="12.75">
      <c r="G88" s="291"/>
      <c r="I88" s="291"/>
      <c r="J88" s="291"/>
      <c r="K88" s="291"/>
    </row>
    <row r="89" ht="12.75">
      <c r="G89" s="291"/>
      <c r="I89" s="291"/>
      <c r="J89" s="291"/>
      <c r="K89" s="291"/>
    </row>
    <row r="90" ht="12.75">
      <c r="G90" s="291"/>
      <c r="I90" s="291"/>
      <c r="J90" s="291"/>
      <c r="K90" s="291"/>
    </row>
    <row r="91" ht="12.75">
      <c r="G91" s="291"/>
      <c r="I91" s="291"/>
      <c r="J91" s="291"/>
      <c r="K91" s="291"/>
    </row>
    <row r="92" ht="12.75">
      <c r="G92" s="291"/>
      <c r="I92" s="291"/>
      <c r="J92" s="291"/>
      <c r="K92" s="291"/>
    </row>
    <row r="93" ht="12.75">
      <c r="G93" s="291"/>
      <c r="I93" s="291"/>
      <c r="J93" s="291"/>
      <c r="K93" s="291"/>
    </row>
    <row r="94" ht="12.75">
      <c r="G94" s="291"/>
      <c r="I94" s="291"/>
      <c r="J94" s="291"/>
      <c r="K94" s="291"/>
    </row>
    <row r="95" ht="12.75">
      <c r="G95" s="291"/>
      <c r="I95" s="291"/>
      <c r="J95" s="291"/>
      <c r="K95" s="291"/>
    </row>
    <row r="96" ht="12.75">
      <c r="G96" s="291"/>
      <c r="I96" s="291"/>
      <c r="J96" s="291"/>
      <c r="K96" s="291"/>
    </row>
    <row r="97" ht="12.75">
      <c r="G97" s="291"/>
      <c r="I97" s="291"/>
      <c r="J97" s="291"/>
      <c r="K97" s="291"/>
    </row>
    <row r="98" ht="12.75">
      <c r="G98" s="291"/>
      <c r="I98" s="291"/>
      <c r="J98" s="291"/>
      <c r="K98" s="291"/>
    </row>
    <row r="99" ht="12.75">
      <c r="G99" s="291"/>
      <c r="I99" s="291"/>
      <c r="J99" s="291"/>
      <c r="K99" s="291"/>
    </row>
    <row r="100" ht="12.75">
      <c r="G100" s="291"/>
      <c r="I100" s="291"/>
      <c r="J100" s="291"/>
      <c r="K100" s="291"/>
    </row>
    <row r="101" ht="12.75">
      <c r="G101" s="291"/>
      <c r="I101" s="291"/>
      <c r="J101" s="291"/>
      <c r="K101" s="291"/>
    </row>
    <row r="102" ht="12.75">
      <c r="B102" s="290"/>
      <c r="G102" s="291"/>
      <c r="I102" s="291"/>
      <c r="J102" s="291"/>
      <c r="K102" s="291"/>
    </row>
    <row r="103" ht="12.75">
      <c r="G103" s="291"/>
      <c r="I103" s="291"/>
      <c r="J103" s="291"/>
      <c r="K103" s="291"/>
    </row>
    <row r="104" ht="12.75">
      <c r="G104" s="291"/>
      <c r="I104" s="291"/>
      <c r="J104" s="291"/>
      <c r="K104" s="291"/>
    </row>
    <row r="105" ht="12.75">
      <c r="G105" s="291"/>
      <c r="I105" s="291"/>
      <c r="J105" s="291"/>
      <c r="K105" s="291"/>
    </row>
    <row r="106" ht="12.75">
      <c r="G106" s="291"/>
      <c r="I106" s="291"/>
      <c r="J106" s="291"/>
      <c r="K106" s="291"/>
    </row>
    <row r="107" ht="12.75">
      <c r="B107" s="290"/>
      <c r="C107" s="290"/>
      <c r="D107" s="290"/>
      <c r="E107" s="290"/>
      <c r="F107" s="290"/>
      <c r="G107" s="291"/>
      <c r="I107" s="291"/>
      <c r="J107" s="291"/>
      <c r="K107" s="291"/>
    </row>
    <row r="108" ht="12.75">
      <c r="G108" s="291"/>
      <c r="I108" s="291"/>
      <c r="J108" s="291"/>
      <c r="K108" s="291"/>
    </row>
    <row r="109" ht="12.75">
      <c r="G109" s="291"/>
      <c r="I109" s="291"/>
      <c r="J109" s="291"/>
      <c r="K109" s="291"/>
    </row>
    <row r="110" ht="12.75">
      <c r="G110" s="291"/>
      <c r="I110" s="291"/>
      <c r="J110" s="291"/>
      <c r="K110" s="291"/>
    </row>
    <row r="111" ht="12.75">
      <c r="G111" s="291"/>
      <c r="I111" s="291"/>
      <c r="J111" s="291"/>
      <c r="K111" s="291"/>
    </row>
    <row r="112" ht="12.75">
      <c r="B112" s="290"/>
      <c r="G112" s="291"/>
      <c r="I112" s="291"/>
      <c r="J112" s="291"/>
      <c r="K112" s="291"/>
    </row>
    <row r="113" ht="12.75">
      <c r="G113" s="291"/>
      <c r="I113" s="291"/>
      <c r="J113" s="291"/>
      <c r="K113" s="291"/>
    </row>
    <row r="114" ht="12.75">
      <c r="G114" s="291"/>
      <c r="I114" s="291"/>
      <c r="J114" s="291"/>
      <c r="K114" s="291"/>
    </row>
    <row r="115" ht="12.75">
      <c r="G115" s="291"/>
      <c r="I115" s="291"/>
      <c r="J115" s="291"/>
      <c r="K115" s="291"/>
    </row>
    <row r="116" ht="12.75">
      <c r="B116" s="290"/>
      <c r="G116" s="291"/>
      <c r="I116" s="291"/>
      <c r="J116" s="291"/>
      <c r="K116" s="291"/>
    </row>
    <row r="117" ht="12.75">
      <c r="G117" s="291"/>
      <c r="I117" s="291"/>
      <c r="J117" s="291"/>
      <c r="K117" s="291"/>
    </row>
    <row r="118" ht="12.75">
      <c r="G118" s="291"/>
      <c r="I118" s="291"/>
      <c r="J118" s="291"/>
      <c r="K118" s="291"/>
    </row>
    <row r="119" ht="12.75">
      <c r="G119" s="291"/>
      <c r="I119" s="291"/>
      <c r="J119" s="291"/>
      <c r="K119" s="291"/>
    </row>
    <row r="120" ht="12.75">
      <c r="G120" s="291"/>
      <c r="I120" s="291"/>
      <c r="J120" s="291"/>
      <c r="K120" s="291"/>
    </row>
    <row r="121" ht="12.75">
      <c r="B121" s="290"/>
      <c r="G121" s="291"/>
      <c r="I121" s="291"/>
      <c r="J121" s="291"/>
      <c r="K121" s="291"/>
    </row>
    <row r="122" ht="12.75">
      <c r="B122" s="290"/>
      <c r="G122" s="291"/>
      <c r="I122" s="291"/>
      <c r="J122" s="291"/>
      <c r="K122" s="291"/>
    </row>
    <row r="123" ht="12.75">
      <c r="G123" s="291"/>
      <c r="I123" s="291"/>
      <c r="J123" s="291"/>
      <c r="K123" s="291"/>
    </row>
    <row r="124" ht="12.75">
      <c r="G124" s="291"/>
      <c r="I124" s="291"/>
      <c r="J124" s="291"/>
      <c r="K124" s="291"/>
    </row>
    <row r="125" ht="12.75">
      <c r="G125" s="291"/>
      <c r="I125" s="291"/>
      <c r="J125" s="291"/>
      <c r="K125" s="291"/>
    </row>
    <row r="126" ht="12.75">
      <c r="G126" s="291"/>
      <c r="I126" s="291"/>
      <c r="J126" s="291"/>
      <c r="K126" s="291"/>
    </row>
    <row r="127" ht="12.75">
      <c r="G127" s="291"/>
      <c r="I127" s="291"/>
      <c r="J127" s="291"/>
      <c r="K127" s="291"/>
    </row>
    <row r="128" ht="12.75">
      <c r="B128" s="290"/>
      <c r="G128" s="291"/>
      <c r="I128" s="291"/>
      <c r="J128" s="291"/>
      <c r="K128" s="291"/>
    </row>
    <row r="129" ht="12.75">
      <c r="G129" s="291"/>
      <c r="I129" s="291"/>
      <c r="J129" s="291"/>
      <c r="K129" s="291"/>
    </row>
    <row r="130" ht="12.75">
      <c r="G130" s="291"/>
      <c r="I130" s="291"/>
      <c r="J130" s="291"/>
      <c r="K130" s="291"/>
    </row>
    <row r="131" ht="12.75">
      <c r="G131" s="291"/>
      <c r="I131" s="291"/>
      <c r="J131" s="291"/>
      <c r="K131" s="291"/>
    </row>
    <row r="132" ht="12.75">
      <c r="G132" s="291"/>
      <c r="I132" s="291"/>
      <c r="J132" s="291"/>
      <c r="K132" s="291">
        <v>1</v>
      </c>
    </row>
    <row r="133" ht="12.75">
      <c r="G133" s="291"/>
      <c r="I133" s="291"/>
      <c r="J133" s="291"/>
      <c r="K133" s="291"/>
    </row>
    <row r="134" ht="12.75">
      <c r="G134" s="291"/>
      <c r="I134" s="291"/>
      <c r="J134" s="291"/>
      <c r="K134" s="291"/>
    </row>
    <row r="135" ht="12.75">
      <c r="G135" s="291"/>
      <c r="I135" s="291"/>
      <c r="J135" s="291"/>
      <c r="K135" s="291"/>
    </row>
  </sheetData>
  <printOptions headings="0" gridLines="0" horizontalCentered="0" verticalCentered="0"/>
  <pageMargins left="0.69999999999999996" right="0.69999999999999996" top="0.75" bottom="0.75" header="0.51181102362204689" footer="0.51181102362204689"/>
  <pageSetup paperSize="8" scale="100" fitToWidth="1" fitToHeight="1" pageOrder="downThenOver" orientation="landscape" usePrinterDefaults="1" blackAndWhite="0" draft="0" cellComments="none" useFirstPageNumber="0" errors="displayed" horizontalDpi="300" verticalDpi="300" copies="1"/>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15" workbookViewId="0">
      <selection activeCell="A2" activeCellId="0" sqref="A2"/>
    </sheetView>
  </sheetViews>
  <sheetFormatPr defaultColWidth="8.6796875" defaultRowHeight="12.75"/>
  <cols>
    <col customWidth="1" min="1" max="1" style="0" width="88.569999999999993"/>
    <col customWidth="1" min="2" max="2" style="0" width="25.420000000000002"/>
    <col customWidth="1" min="3" max="3" style="0" width="5.71"/>
    <col customWidth="1" min="4" max="4" style="291" width="20.57"/>
    <col customWidth="1" min="5" max="5" style="0" width="18.140000000000001"/>
    <col customWidth="1" min="7" max="7" style="0" width="19.289999999999999"/>
    <col customWidth="1" min="8" max="8" style="0" width="6.71"/>
    <col customWidth="1" min="10" max="10" style="0" width="16.289999999999999"/>
  </cols>
  <sheetData>
    <row r="1" ht="12.75">
      <c r="A1" s="301" t="s">
        <v>7849</v>
      </c>
      <c r="B1" s="301" t="s">
        <v>7850</v>
      </c>
      <c r="C1" s="301" t="s">
        <v>5</v>
      </c>
      <c r="D1" s="291" t="s">
        <v>6</v>
      </c>
      <c r="E1" s="301" t="s">
        <v>7858</v>
      </c>
      <c r="F1" s="301" t="s">
        <v>7852</v>
      </c>
      <c r="G1" s="302" t="s">
        <v>7859</v>
      </c>
      <c r="H1" s="301" t="s">
        <v>7860</v>
      </c>
      <c r="I1" s="291" t="s">
        <v>7856</v>
      </c>
      <c r="J1" s="302" t="s">
        <v>7857</v>
      </c>
    </row>
    <row r="2" ht="12.75">
      <c r="A2" t="s">
        <v>4116</v>
      </c>
      <c r="B2" t="s">
        <v>4115</v>
      </c>
      <c r="C2" t="s">
        <v>217</v>
      </c>
      <c r="D2" s="291" t="s">
        <v>221</v>
      </c>
      <c r="E2">
        <v>1193</v>
      </c>
      <c r="F2">
        <v>1986</v>
      </c>
      <c r="G2" s="291">
        <v>13.5342465753425</v>
      </c>
      <c r="H2">
        <v>38</v>
      </c>
      <c r="I2" s="291">
        <v>51.5342465753425</v>
      </c>
      <c r="J2" s="291"/>
    </row>
    <row r="3" ht="12.75">
      <c r="A3" s="296" t="s">
        <v>6553</v>
      </c>
      <c r="B3" t="s">
        <v>6552</v>
      </c>
      <c r="C3" t="s">
        <v>49</v>
      </c>
      <c r="D3" s="291" t="s">
        <v>3871</v>
      </c>
      <c r="E3">
        <v>1800</v>
      </c>
      <c r="F3">
        <v>2016</v>
      </c>
      <c r="G3" s="291">
        <v>9.3726027397260303</v>
      </c>
      <c r="H3">
        <v>8</v>
      </c>
      <c r="I3" s="291">
        <v>17.372602739725998</v>
      </c>
      <c r="J3" s="291">
        <v>1</v>
      </c>
    </row>
    <row r="4" ht="12.75">
      <c r="G4" s="291"/>
      <c r="I4" s="291"/>
      <c r="J4" s="291"/>
    </row>
    <row r="5" ht="12.75">
      <c r="G5" s="291"/>
      <c r="I5" s="291"/>
      <c r="J5" s="291"/>
    </row>
    <row r="6" ht="12.75">
      <c r="G6" s="291"/>
      <c r="I6" s="291"/>
      <c r="J6" s="291"/>
    </row>
    <row r="7" ht="12.75">
      <c r="G7" s="291"/>
      <c r="I7" s="291"/>
      <c r="J7" s="291"/>
    </row>
    <row r="8" ht="12.75">
      <c r="G8" s="291"/>
      <c r="I8" s="291"/>
      <c r="J8" s="291"/>
    </row>
    <row r="9" ht="25.5" customHeight="1">
      <c r="G9" s="291"/>
      <c r="I9" s="291"/>
      <c r="J9" s="291"/>
    </row>
    <row r="10" ht="12.75">
      <c r="B10" s="290"/>
      <c r="G10" s="291"/>
      <c r="I10" s="291"/>
      <c r="J10" s="291"/>
    </row>
    <row r="11" ht="12.75">
      <c r="G11" s="291"/>
      <c r="I11" s="291"/>
      <c r="J11" s="291"/>
    </row>
    <row r="12" ht="12.75">
      <c r="G12" s="291"/>
      <c r="I12" s="291"/>
      <c r="J12" s="291"/>
    </row>
    <row r="13" ht="12.75">
      <c r="G13" s="291"/>
      <c r="I13" s="291"/>
      <c r="J13" s="291"/>
    </row>
    <row r="14" ht="12.75">
      <c r="G14" s="291"/>
      <c r="I14" s="291"/>
      <c r="J14" s="291"/>
    </row>
    <row r="15" ht="12.75">
      <c r="G15" s="291"/>
      <c r="I15" s="291"/>
      <c r="J15" s="291"/>
    </row>
    <row r="16" ht="12.75">
      <c r="B16" s="290"/>
      <c r="G16" s="291"/>
      <c r="I16" s="291"/>
      <c r="J16" s="291"/>
    </row>
    <row r="17" ht="12.75">
      <c r="G17" s="291"/>
      <c r="I17" s="291"/>
      <c r="J17" s="291"/>
    </row>
    <row r="18" ht="12.75">
      <c r="G18" s="291"/>
      <c r="I18" s="291"/>
      <c r="J18" s="291"/>
    </row>
    <row r="19" ht="12.75">
      <c r="G19" s="291"/>
      <c r="I19" s="291"/>
      <c r="J19" s="291"/>
    </row>
    <row r="20" ht="12.75">
      <c r="G20" s="291"/>
      <c r="I20" s="291"/>
      <c r="J20" s="291"/>
    </row>
    <row r="21" ht="12.75">
      <c r="G21" s="291"/>
      <c r="I21" s="291"/>
      <c r="J21" s="291"/>
    </row>
    <row r="22" ht="12.75">
      <c r="G22" s="291"/>
      <c r="I22" s="291"/>
      <c r="J22" s="291"/>
    </row>
    <row r="23" ht="12.75">
      <c r="G23" s="291"/>
      <c r="I23" s="291"/>
      <c r="J23" s="291"/>
    </row>
    <row r="24" ht="12.75">
      <c r="G24" s="291"/>
      <c r="I24" s="291"/>
      <c r="J24" s="291"/>
    </row>
    <row r="25" ht="12.75">
      <c r="G25" s="291"/>
      <c r="I25" s="291"/>
      <c r="J25" s="291"/>
    </row>
    <row r="26" ht="12.75">
      <c r="G26" s="291"/>
      <c r="I26" s="291"/>
      <c r="J26" s="291"/>
    </row>
    <row r="27" ht="12.75">
      <c r="G27" s="291"/>
      <c r="I27" s="291"/>
      <c r="J27" s="291"/>
    </row>
    <row r="28" ht="12.75">
      <c r="G28" s="291"/>
      <c r="I28" s="291"/>
      <c r="J28" s="291"/>
    </row>
    <row r="29" ht="12.75">
      <c r="G29" s="291"/>
      <c r="I29" s="291"/>
      <c r="J29" s="291"/>
    </row>
    <row r="30" ht="12.75">
      <c r="G30" s="291"/>
      <c r="I30" s="291"/>
      <c r="J30" s="291"/>
    </row>
    <row r="31" ht="12.75">
      <c r="G31" s="291"/>
      <c r="I31" s="291"/>
      <c r="J31" s="291"/>
    </row>
    <row r="32" ht="12.75">
      <c r="G32" s="291"/>
      <c r="I32" s="291"/>
      <c r="J32" s="291"/>
    </row>
    <row r="33" ht="12.75">
      <c r="G33" s="291"/>
      <c r="I33" s="291"/>
      <c r="J33" s="291"/>
    </row>
    <row r="34" ht="12.75">
      <c r="G34" s="291"/>
      <c r="I34" s="291"/>
      <c r="J34" s="291"/>
    </row>
    <row r="35" ht="12.75">
      <c r="G35" s="291"/>
      <c r="I35" s="291"/>
      <c r="J35" s="291"/>
    </row>
    <row r="36" ht="12.75">
      <c r="G36" s="291"/>
      <c r="I36" s="291"/>
      <c r="J36" s="291"/>
    </row>
    <row r="37" ht="12.75">
      <c r="G37" s="291"/>
      <c r="I37" s="291"/>
      <c r="J37" s="291"/>
    </row>
    <row r="38" ht="12.75">
      <c r="G38" s="291"/>
      <c r="I38" s="291"/>
      <c r="J38" s="291"/>
    </row>
    <row r="39" ht="12.75">
      <c r="G39" s="291"/>
      <c r="I39" s="291"/>
      <c r="J39" s="291"/>
    </row>
    <row r="40" ht="12.75">
      <c r="G40" s="291"/>
      <c r="I40" s="291"/>
      <c r="J40" s="291"/>
    </row>
    <row r="41" ht="12.75">
      <c r="G41" s="291"/>
      <c r="I41" s="291"/>
      <c r="J41" s="291"/>
    </row>
    <row r="42" ht="12.75">
      <c r="G42" s="291"/>
      <c r="I42" s="291"/>
      <c r="J42" s="291"/>
    </row>
    <row r="43" ht="12.75">
      <c r="G43" s="291"/>
      <c r="I43" s="291"/>
      <c r="J43" s="291"/>
    </row>
    <row r="44" ht="12.75">
      <c r="G44" s="291"/>
      <c r="I44" s="291"/>
      <c r="J44" s="291"/>
    </row>
    <row r="45" ht="12.75">
      <c r="G45" s="291"/>
      <c r="I45" s="291"/>
      <c r="J45" s="291"/>
    </row>
    <row r="46" ht="12.75">
      <c r="G46" s="291"/>
      <c r="I46" s="291"/>
      <c r="J46" s="291"/>
    </row>
    <row r="47" ht="12.75">
      <c r="G47" s="291"/>
      <c r="I47" s="291"/>
      <c r="J47" s="291"/>
    </row>
    <row r="48" ht="12.75">
      <c r="G48" s="291"/>
      <c r="I48" s="291"/>
      <c r="J48" s="291"/>
    </row>
    <row r="49" ht="12.75">
      <c r="G49" s="291"/>
      <c r="I49" s="291"/>
      <c r="J49" s="291"/>
    </row>
    <row r="50" ht="12.75">
      <c r="G50" s="291"/>
      <c r="I50" s="291"/>
      <c r="J50" s="291"/>
    </row>
    <row r="51" ht="12.75">
      <c r="G51" s="291"/>
      <c r="I51" s="291"/>
      <c r="J51" s="291"/>
    </row>
    <row r="52" ht="12.75">
      <c r="G52" s="291"/>
      <c r="I52" s="291"/>
      <c r="J52" s="291"/>
    </row>
    <row r="53" ht="12.75">
      <c r="G53" s="291"/>
      <c r="I53" s="291"/>
      <c r="J53" s="291"/>
    </row>
    <row r="54" ht="12.75">
      <c r="G54" s="291"/>
      <c r="I54" s="291"/>
      <c r="J54" s="291"/>
    </row>
    <row r="55" ht="12.75">
      <c r="G55" s="291"/>
      <c r="I55" s="291"/>
      <c r="J55" s="291"/>
    </row>
    <row r="56" ht="12.75">
      <c r="G56" s="291"/>
      <c r="I56" s="291"/>
      <c r="J56" s="291"/>
    </row>
    <row r="57" ht="12.75">
      <c r="G57" s="291"/>
      <c r="I57" s="291"/>
      <c r="J57" s="291"/>
    </row>
    <row r="58" ht="12.75">
      <c r="G58" s="291"/>
      <c r="I58" s="291"/>
      <c r="J58" s="291"/>
    </row>
    <row r="59" ht="12.75">
      <c r="G59" s="291"/>
      <c r="I59" s="291"/>
      <c r="J59" s="291"/>
    </row>
    <row r="60" ht="12.75">
      <c r="G60" s="291"/>
      <c r="I60" s="291"/>
      <c r="J60" s="291"/>
    </row>
    <row r="61" ht="12.75">
      <c r="G61" s="291"/>
      <c r="I61" s="291"/>
      <c r="J61" s="291"/>
    </row>
    <row r="62" ht="12.75">
      <c r="G62" s="291"/>
      <c r="I62" s="291"/>
      <c r="J62" s="291"/>
    </row>
    <row r="63" ht="12.75">
      <c r="G63" s="291"/>
      <c r="I63" s="291"/>
      <c r="J63" s="291"/>
    </row>
    <row r="64" ht="12.75">
      <c r="G64" s="291"/>
      <c r="I64" s="291"/>
      <c r="J64" s="291"/>
    </row>
    <row r="65" ht="12.75">
      <c r="G65" s="291"/>
      <c r="I65" s="291"/>
      <c r="J65" s="291"/>
    </row>
    <row r="66" ht="12.75">
      <c r="G66" s="291"/>
      <c r="I66" s="291"/>
      <c r="J66" s="291"/>
    </row>
    <row r="67" ht="12.75">
      <c r="G67" s="291"/>
      <c r="I67" s="291"/>
      <c r="J67" s="291"/>
    </row>
    <row r="68" ht="12.75">
      <c r="G68" s="291"/>
      <c r="I68" s="291"/>
      <c r="J68" s="291"/>
    </row>
    <row r="69" ht="12.75">
      <c r="G69" s="291"/>
      <c r="I69" s="291"/>
      <c r="J69" s="291"/>
    </row>
    <row r="70" ht="12.75">
      <c r="G70" s="291"/>
      <c r="I70" s="291"/>
      <c r="J70" s="291"/>
    </row>
    <row r="71" ht="12.75">
      <c r="G71" s="291"/>
      <c r="I71" s="291"/>
      <c r="J71" s="291"/>
    </row>
    <row r="72" ht="12.75">
      <c r="G72" s="291"/>
      <c r="I72" s="291"/>
      <c r="J72" s="291"/>
    </row>
    <row r="73" ht="12.75">
      <c r="G73" s="291"/>
      <c r="I73" s="291"/>
      <c r="J73" s="291"/>
    </row>
    <row r="74" ht="12.75">
      <c r="G74" s="291"/>
      <c r="I74" s="291"/>
      <c r="J74" s="291"/>
    </row>
    <row r="75" ht="12.75">
      <c r="G75" s="291"/>
      <c r="I75" s="291"/>
      <c r="J75" s="291"/>
    </row>
    <row r="76" ht="12.75">
      <c r="G76" s="291"/>
      <c r="I76" s="291"/>
      <c r="J76" s="291"/>
    </row>
    <row r="77" ht="12.75">
      <c r="G77" s="291"/>
      <c r="I77" s="291"/>
      <c r="J77" s="291"/>
    </row>
    <row r="78" ht="12.75">
      <c r="G78" s="291"/>
      <c r="I78" s="291"/>
      <c r="J78" s="291"/>
    </row>
  </sheetData>
  <printOptions headings="0" gridLines="0" horizontalCentered="0" verticalCentered="0"/>
  <pageMargins left="0.69999999999999996" right="0.69999999999999996" top="0.75" bottom="0.75" header="0.51181102362204689" footer="0.51181102362204689"/>
  <pageSetup paperSize="8" scale="100" fitToWidth="1" fitToHeight="1" pageOrder="downThenOver" orientation="landscape" usePrinterDefaults="1" blackAndWhite="0" draft="0" cellComments="none" useFirstPageNumber="0" errors="displayed" horizontalDpi="300" verticalDpi="300" copies="1"/>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15" workbookViewId="0">
      <selection activeCell="A2" activeCellId="0" sqref="A2"/>
    </sheetView>
  </sheetViews>
  <sheetFormatPr defaultColWidth="8.6796875" defaultRowHeight="12.75"/>
  <cols>
    <col customWidth="1" min="1" max="1" style="0" width="63.289999999999999"/>
    <col customWidth="1" min="2" max="2" style="0" width="35.710000000000001"/>
    <col customWidth="1" min="3" max="3" style="291" width="5.4199999999999999"/>
    <col customWidth="1" min="4" max="4" style="0" width="20.57"/>
    <col customWidth="1" min="5" max="5" style="0" width="24.57"/>
    <col customWidth="1" min="6" max="6" style="0" width="14.42"/>
    <col customWidth="1" min="7" max="7" style="0" width="18"/>
    <col customWidth="1" min="8" max="8" style="0" width="11.710000000000001"/>
  </cols>
  <sheetData>
    <row r="1" ht="12.75">
      <c r="A1" s="301" t="s">
        <v>7849</v>
      </c>
      <c r="B1" s="301" t="s">
        <v>7850</v>
      </c>
      <c r="C1" s="291" t="s">
        <v>5</v>
      </c>
      <c r="D1" s="301" t="s">
        <v>6</v>
      </c>
      <c r="E1" s="301" t="s">
        <v>7851</v>
      </c>
      <c r="F1" s="301" t="s">
        <v>7852</v>
      </c>
      <c r="G1" s="291" t="s">
        <v>7861</v>
      </c>
      <c r="H1" s="290" t="s">
        <v>7862</v>
      </c>
      <c r="I1" s="291" t="s">
        <v>7863</v>
      </c>
    </row>
    <row r="2" ht="12.75">
      <c r="A2" t="s">
        <v>2701</v>
      </c>
      <c r="B2" t="s">
        <v>2700</v>
      </c>
      <c r="C2" s="291" t="s">
        <v>84</v>
      </c>
      <c r="D2" t="s">
        <v>85</v>
      </c>
      <c r="E2">
        <v>762</v>
      </c>
      <c r="F2">
        <v>1962</v>
      </c>
      <c r="G2" s="291">
        <v>7.7013698630137002</v>
      </c>
      <c r="H2">
        <v>62</v>
      </c>
      <c r="I2" s="291">
        <v>100.506849315069</v>
      </c>
    </row>
    <row r="3" ht="12.75">
      <c r="A3" t="s">
        <v>1939</v>
      </c>
      <c r="B3" t="s">
        <v>1937</v>
      </c>
      <c r="C3" s="291" t="s">
        <v>84</v>
      </c>
      <c r="D3" t="s">
        <v>1938</v>
      </c>
      <c r="E3">
        <v>506</v>
      </c>
      <c r="F3">
        <v>1954</v>
      </c>
      <c r="G3" s="291">
        <v>0.97808219178082201</v>
      </c>
      <c r="H3">
        <v>70</v>
      </c>
      <c r="I3" s="291">
        <v>74.890410958904098</v>
      </c>
    </row>
    <row r="4" ht="12.75">
      <c r="A4" t="s">
        <v>2358</v>
      </c>
      <c r="B4" t="s">
        <v>2357</v>
      </c>
      <c r="C4" s="291" t="s">
        <v>428</v>
      </c>
      <c r="D4" t="s">
        <v>429</v>
      </c>
      <c r="E4">
        <v>649</v>
      </c>
      <c r="F4">
        <v>1962</v>
      </c>
      <c r="G4" s="291">
        <v>2.1643835616438398</v>
      </c>
      <c r="H4">
        <v>62</v>
      </c>
      <c r="I4" s="291">
        <v>72.821917808219197</v>
      </c>
    </row>
    <row r="5" ht="12.75">
      <c r="A5" t="s">
        <v>1929</v>
      </c>
      <c r="B5" t="s">
        <v>1928</v>
      </c>
      <c r="C5" s="291" t="s">
        <v>84</v>
      </c>
      <c r="D5" t="s">
        <v>85</v>
      </c>
      <c r="E5">
        <v>503</v>
      </c>
      <c r="F5">
        <v>1953</v>
      </c>
      <c r="G5" s="291">
        <v>0.29315068493150698</v>
      </c>
      <c r="H5">
        <v>71</v>
      </c>
      <c r="I5" s="291">
        <v>72.465753424657507</v>
      </c>
    </row>
    <row r="6" ht="12.75">
      <c r="A6" t="s">
        <v>3243</v>
      </c>
      <c r="B6" t="s">
        <v>3242</v>
      </c>
      <c r="C6" s="291" t="s">
        <v>2026</v>
      </c>
      <c r="D6" t="s">
        <v>3139</v>
      </c>
      <c r="E6">
        <v>917</v>
      </c>
      <c r="F6">
        <v>1974</v>
      </c>
      <c r="G6" s="291">
        <v>2.56712328767123</v>
      </c>
      <c r="H6">
        <v>50</v>
      </c>
      <c r="I6" s="291">
        <v>62.835616438356197</v>
      </c>
    </row>
    <row r="7" ht="12.75">
      <c r="A7" t="s">
        <v>2393</v>
      </c>
      <c r="B7" t="s">
        <v>2392</v>
      </c>
      <c r="C7" s="291" t="s">
        <v>84</v>
      </c>
      <c r="D7" t="s">
        <v>850</v>
      </c>
      <c r="E7">
        <v>662</v>
      </c>
      <c r="F7">
        <v>1962</v>
      </c>
      <c r="G7" s="291">
        <v>0.016438356164383602</v>
      </c>
      <c r="H7">
        <v>62</v>
      </c>
      <c r="I7" s="291">
        <v>62.082191780821901</v>
      </c>
    </row>
    <row r="8" ht="12.75">
      <c r="A8" t="s">
        <v>3747</v>
      </c>
      <c r="B8" t="s">
        <v>3590</v>
      </c>
      <c r="C8" s="291" t="s">
        <v>695</v>
      </c>
      <c r="D8" t="s">
        <v>696</v>
      </c>
      <c r="E8">
        <v>1071</v>
      </c>
      <c r="F8">
        <v>1982</v>
      </c>
      <c r="G8" s="291">
        <v>2.61095890410959</v>
      </c>
      <c r="H8">
        <v>42</v>
      </c>
      <c r="I8" s="291">
        <v>55.054794520547901</v>
      </c>
    </row>
    <row r="9" ht="12.75">
      <c r="A9" t="s">
        <v>5311</v>
      </c>
      <c r="B9" t="s">
        <v>5310</v>
      </c>
      <c r="C9" s="291" t="s">
        <v>2092</v>
      </c>
      <c r="D9" t="s">
        <v>3818</v>
      </c>
      <c r="E9">
        <v>1535</v>
      </c>
      <c r="F9">
        <v>2006</v>
      </c>
      <c r="G9" s="291">
        <v>0.89863013698630101</v>
      </c>
      <c r="H9">
        <v>18</v>
      </c>
      <c r="I9" s="291">
        <v>22.4931506849315</v>
      </c>
    </row>
    <row r="10" ht="12.75">
      <c r="G10" s="291"/>
      <c r="I10" s="291"/>
    </row>
    <row r="11" ht="12.75">
      <c r="G11" s="291"/>
      <c r="I11" s="291"/>
    </row>
    <row r="12" ht="12.75">
      <c r="G12" s="291"/>
      <c r="I12" s="291"/>
    </row>
    <row r="13" ht="12.75">
      <c r="G13" s="291"/>
      <c r="I13" s="291"/>
    </row>
    <row r="14" ht="12.75">
      <c r="G14" s="291"/>
      <c r="I14" s="291"/>
    </row>
    <row r="15" ht="12.75">
      <c r="G15" s="291"/>
      <c r="I15" s="291"/>
    </row>
    <row r="16" ht="12.75">
      <c r="G16" s="291"/>
      <c r="I16" s="291"/>
    </row>
    <row r="17" ht="12.75">
      <c r="G17" s="291"/>
      <c r="I17" s="291"/>
    </row>
    <row r="18" ht="12.75">
      <c r="G18" s="291"/>
      <c r="I18" s="291"/>
    </row>
    <row r="19" ht="12.75">
      <c r="G19" s="291"/>
      <c r="I19" s="291"/>
    </row>
    <row r="20" ht="12.75">
      <c r="G20" s="291"/>
      <c r="I20" s="291"/>
    </row>
    <row r="21" ht="12.75">
      <c r="G21" s="291"/>
      <c r="I21" s="291"/>
    </row>
    <row r="22" ht="12.75">
      <c r="G22" s="291"/>
      <c r="I22" s="291"/>
    </row>
    <row r="23" ht="12.75">
      <c r="G23" s="291"/>
      <c r="I23" s="291"/>
    </row>
    <row r="24" ht="12.75">
      <c r="G24" s="291"/>
      <c r="I24" s="291"/>
    </row>
    <row r="25" ht="12.75">
      <c r="G25" s="291"/>
      <c r="I25" s="291"/>
    </row>
    <row r="26" ht="12.75">
      <c r="G26" s="291"/>
      <c r="I26" s="291"/>
    </row>
    <row r="27" ht="12.75">
      <c r="G27" s="291"/>
      <c r="I27" s="291"/>
    </row>
    <row r="28" ht="12.75">
      <c r="G28" s="291"/>
      <c r="I28" s="291"/>
    </row>
    <row r="29" ht="12.75">
      <c r="G29" s="291"/>
      <c r="I29" s="291"/>
    </row>
    <row r="30" ht="12.75">
      <c r="G30" s="291"/>
      <c r="I30" s="291"/>
    </row>
    <row r="31" ht="12.75">
      <c r="G31" s="291"/>
      <c r="I31" s="291"/>
    </row>
    <row r="32" ht="12.75">
      <c r="G32" s="291"/>
      <c r="I32" s="291"/>
    </row>
    <row r="33" ht="12.75">
      <c r="G33" s="291"/>
      <c r="I33" s="291"/>
    </row>
    <row r="34" ht="12.75">
      <c r="G34" s="291"/>
      <c r="I34" s="291"/>
    </row>
    <row r="35" ht="12.75">
      <c r="G35" s="291"/>
      <c r="I35" s="291"/>
    </row>
    <row r="36" ht="12.75">
      <c r="G36" s="291"/>
      <c r="I36" s="291"/>
    </row>
    <row r="37" ht="12.75">
      <c r="G37" s="291"/>
      <c r="I37" s="291"/>
    </row>
    <row r="38" ht="12.75">
      <c r="G38" s="291"/>
      <c r="I38" s="291"/>
    </row>
    <row r="39" ht="12.75">
      <c r="G39" s="291"/>
      <c r="I39" s="291"/>
    </row>
    <row r="40" ht="12.75">
      <c r="G40" s="291"/>
      <c r="I40" s="291"/>
    </row>
    <row r="41" ht="12.75">
      <c r="G41" s="291"/>
      <c r="I41" s="291"/>
    </row>
    <row r="42" ht="12.75">
      <c r="G42" s="291"/>
      <c r="I42" s="291"/>
    </row>
    <row r="43" ht="12.75">
      <c r="G43" s="291"/>
      <c r="I43" s="291"/>
    </row>
    <row r="44" ht="12.75">
      <c r="G44" s="291"/>
      <c r="I44" s="291"/>
    </row>
    <row r="45" ht="12.75">
      <c r="G45" s="291"/>
      <c r="I45" s="291"/>
    </row>
    <row r="46" ht="12.75">
      <c r="G46" s="291"/>
      <c r="I46" s="291"/>
    </row>
    <row r="47" ht="12.75">
      <c r="G47" s="291"/>
      <c r="I47" s="291"/>
    </row>
    <row r="48" ht="12.75">
      <c r="G48" s="291"/>
      <c r="I48" s="291"/>
    </row>
    <row r="49" ht="12.75">
      <c r="G49" s="291"/>
      <c r="I49" s="291"/>
    </row>
    <row r="50" ht="12.75">
      <c r="G50" s="291"/>
      <c r="I50" s="291"/>
    </row>
    <row r="51" ht="12.75">
      <c r="G51" s="291"/>
      <c r="I51" s="291"/>
    </row>
    <row r="52" ht="12.75">
      <c r="G52" s="291"/>
      <c r="I52" s="291"/>
    </row>
    <row r="53" ht="12.75">
      <c r="G53" s="291"/>
      <c r="I53" s="291"/>
    </row>
    <row r="54" ht="12.75">
      <c r="G54" s="291"/>
      <c r="I54" s="291"/>
    </row>
    <row r="55" ht="12.75">
      <c r="G55" s="291"/>
      <c r="I55" s="291"/>
    </row>
    <row r="56" ht="12.75">
      <c r="G56" s="291"/>
      <c r="I56" s="291"/>
    </row>
    <row r="57" ht="12.75">
      <c r="G57" s="291"/>
      <c r="I57" s="291"/>
    </row>
    <row r="58" ht="12.75">
      <c r="G58" s="291"/>
      <c r="I58" s="291"/>
    </row>
    <row r="59" ht="12.75">
      <c r="G59" s="291"/>
      <c r="I59" s="291"/>
    </row>
    <row r="60" ht="12.75">
      <c r="G60" s="291"/>
      <c r="I60" s="291"/>
    </row>
    <row r="61" ht="12.75">
      <c r="G61" s="291"/>
      <c r="I61" s="291"/>
    </row>
    <row r="62" ht="12.75">
      <c r="G62" s="291"/>
      <c r="I62" s="291"/>
    </row>
    <row r="63" ht="12.75">
      <c r="G63" s="291"/>
      <c r="I63" s="291"/>
    </row>
    <row r="64" ht="12.75">
      <c r="G64" s="291"/>
      <c r="I64" s="291"/>
    </row>
    <row r="65" ht="12.75">
      <c r="G65" s="291"/>
      <c r="I65" s="291"/>
    </row>
    <row r="66" ht="12.75">
      <c r="G66" s="291"/>
      <c r="I66" s="291"/>
    </row>
    <row r="67" ht="12.75">
      <c r="G67" s="291"/>
      <c r="I67" s="291"/>
    </row>
    <row r="68" ht="12.75">
      <c r="G68" s="291"/>
      <c r="I68" s="291"/>
    </row>
    <row r="69" ht="12.75">
      <c r="G69" s="291"/>
      <c r="I69" s="291"/>
    </row>
    <row r="70" ht="12.75">
      <c r="G70" s="291"/>
      <c r="I70" s="291"/>
    </row>
    <row r="71" ht="12.75">
      <c r="G71" s="291"/>
      <c r="I71" s="291"/>
    </row>
    <row r="72" ht="12.75">
      <c r="G72" s="291"/>
      <c r="I72" s="291"/>
    </row>
    <row r="73" ht="12.75">
      <c r="G73" s="291"/>
      <c r="I73" s="291"/>
    </row>
    <row r="74" ht="12.75">
      <c r="G74" s="291"/>
      <c r="I74" s="291"/>
    </row>
    <row r="75" ht="12.75">
      <c r="G75" s="291"/>
      <c r="I75" s="291"/>
    </row>
    <row r="76" ht="12.75">
      <c r="G76" s="291"/>
      <c r="I76" s="291"/>
    </row>
    <row r="77" ht="12.75">
      <c r="G77" s="291"/>
      <c r="I77" s="291"/>
    </row>
    <row r="78" ht="12.75">
      <c r="G78" s="291"/>
      <c r="I78" s="291"/>
    </row>
  </sheetData>
  <printOptions headings="0" gridLines="0" horizontalCentered="0" verticalCentered="0"/>
  <pageMargins left="0.69999999999999996" right="0.69999999999999996" top="0.75" bottom="0.75" header="0.51181102362204689" footer="0.51181102362204689"/>
  <pageSetup paperSize="8" scale="100" fitToWidth="1" fitToHeight="1" pageOrder="downThenOver" orientation="landscape" usePrinterDefaults="1" blackAndWhite="0" draft="0" cellComments="none" useFirstPageNumber="0" errors="displayed" horizontalDpi="300" verticalDpi="300" copies="1"/>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6" zoomScale="80" workbookViewId="0">
      <selection activeCell="T39" activeCellId="0" sqref="T39"/>
    </sheetView>
  </sheetViews>
  <sheetFormatPr defaultColWidth="8.6796875" defaultRowHeight="12.75"/>
  <cols>
    <col customWidth="1" min="1" max="1" style="0" width="67.140000000000001"/>
    <col customWidth="1" min="2" max="2" style="0" width="19.859999999999999"/>
    <col customWidth="1" min="3" max="3" style="0" width="5.29"/>
    <col customWidth="1" min="4" max="4" style="0" width="14.859999999999999"/>
    <col customWidth="1" min="5" max="5" style="0" width="9.2899999999999991"/>
    <col customWidth="1" min="6" max="6" style="0" width="10.289999999999999"/>
    <col customWidth="1" min="7" max="7" style="0" width="15.140000000000001"/>
    <col customWidth="1" min="8" max="8" style="0" width="12.57"/>
    <col customWidth="1" min="9" max="9" style="0" width="12.42"/>
    <col customWidth="1" min="10" max="10" style="0" width="10.42"/>
    <col customWidth="1" min="11" max="11" style="0" width="9.5700000000000003"/>
    <col customWidth="1" min="12" max="12" style="0" width="13.15"/>
    <col customWidth="1" min="13" max="13" style="0" width="10.140000000000001"/>
  </cols>
  <sheetData>
    <row r="1" ht="12.75">
      <c r="A1" s="303" t="s">
        <v>7849</v>
      </c>
      <c r="B1" s="304" t="s">
        <v>7850</v>
      </c>
      <c r="C1" s="304" t="s">
        <v>5</v>
      </c>
      <c r="D1" s="304" t="s">
        <v>6</v>
      </c>
      <c r="E1" s="304" t="s">
        <v>7851</v>
      </c>
      <c r="F1" s="305" t="s">
        <v>13</v>
      </c>
      <c r="G1" s="305" t="s">
        <v>7864</v>
      </c>
      <c r="H1" s="305" t="s">
        <v>46</v>
      </c>
      <c r="I1" s="305" t="s">
        <v>7865</v>
      </c>
      <c r="J1" s="305" t="s">
        <v>7859</v>
      </c>
      <c r="K1" s="305" t="s">
        <v>4501</v>
      </c>
      <c r="L1" s="305" t="s">
        <v>7866</v>
      </c>
      <c r="M1" s="305" t="s">
        <v>7867</v>
      </c>
    </row>
    <row r="2" ht="12.75">
      <c r="A2" t="s">
        <v>4116</v>
      </c>
      <c r="B2" t="s">
        <v>4115</v>
      </c>
      <c r="C2" t="s">
        <v>217</v>
      </c>
      <c r="D2" t="s">
        <v>221</v>
      </c>
      <c r="E2">
        <v>1193</v>
      </c>
      <c r="F2">
        <v>1986</v>
      </c>
      <c r="G2">
        <v>8.4986301369863</v>
      </c>
      <c r="H2">
        <v>38</v>
      </c>
      <c r="I2">
        <v>25.4958904109589</v>
      </c>
      <c r="J2">
        <v>13.5342465753425</v>
      </c>
      <c r="L2">
        <v>85.528767123287693</v>
      </c>
    </row>
    <row r="3" ht="12.75">
      <c r="A3" t="s">
        <v>3257</v>
      </c>
      <c r="B3" t="s">
        <v>3256</v>
      </c>
      <c r="C3" t="s">
        <v>64</v>
      </c>
      <c r="D3" t="s">
        <v>69</v>
      </c>
      <c r="E3">
        <v>921</v>
      </c>
      <c r="F3">
        <v>1975</v>
      </c>
      <c r="G3">
        <v>9.1041095890410997</v>
      </c>
      <c r="H3">
        <v>49</v>
      </c>
      <c r="I3">
        <v>27.312328767123301</v>
      </c>
      <c r="L3">
        <v>85.416438356164406</v>
      </c>
    </row>
    <row r="4" ht="12.75">
      <c r="A4" t="s">
        <v>2350</v>
      </c>
      <c r="B4" t="s">
        <v>2349</v>
      </c>
      <c r="C4" t="s">
        <v>179</v>
      </c>
      <c r="D4" t="s">
        <v>339</v>
      </c>
      <c r="E4">
        <v>646</v>
      </c>
      <c r="F4">
        <v>1962</v>
      </c>
      <c r="G4">
        <v>3.8246575342465801</v>
      </c>
      <c r="H4">
        <v>62</v>
      </c>
      <c r="I4">
        <v>11.4739726027397</v>
      </c>
      <c r="L4">
        <v>77.298630136986304</v>
      </c>
    </row>
    <row r="5" ht="12.75">
      <c r="A5" t="s">
        <v>2701</v>
      </c>
      <c r="B5" t="s">
        <v>2700</v>
      </c>
      <c r="C5" t="s">
        <v>84</v>
      </c>
      <c r="D5" t="s">
        <v>85</v>
      </c>
      <c r="E5">
        <v>762</v>
      </c>
      <c r="F5">
        <v>1962</v>
      </c>
      <c r="G5">
        <v>7.7013698630137002</v>
      </c>
      <c r="H5">
        <v>62</v>
      </c>
      <c r="L5">
        <v>77.013698630137</v>
      </c>
    </row>
    <row r="6" ht="12.75">
      <c r="A6" t="s">
        <v>3396</v>
      </c>
      <c r="B6" t="s">
        <v>3394</v>
      </c>
      <c r="C6" t="s">
        <v>179</v>
      </c>
      <c r="D6" t="s">
        <v>3395</v>
      </c>
      <c r="E6">
        <v>959</v>
      </c>
      <c r="F6">
        <v>1977</v>
      </c>
      <c r="G6">
        <v>5.38630136986301</v>
      </c>
      <c r="H6">
        <v>47</v>
      </c>
      <c r="I6">
        <v>16.158904109588999</v>
      </c>
      <c r="L6">
        <v>68.545205479452093</v>
      </c>
    </row>
    <row r="7" ht="12.75">
      <c r="A7" t="s">
        <v>2124</v>
      </c>
      <c r="B7" t="s">
        <v>2123</v>
      </c>
      <c r="C7" t="s">
        <v>172</v>
      </c>
      <c r="D7" t="s">
        <v>173</v>
      </c>
      <c r="E7">
        <v>562</v>
      </c>
      <c r="F7">
        <v>1957</v>
      </c>
      <c r="G7">
        <v>1.4630136986301401</v>
      </c>
      <c r="H7">
        <v>67</v>
      </c>
      <c r="L7">
        <v>68.463013698630107</v>
      </c>
    </row>
    <row r="8" ht="12.75">
      <c r="A8" t="s">
        <v>2318</v>
      </c>
      <c r="B8" t="s">
        <v>2316</v>
      </c>
      <c r="C8" t="s">
        <v>695</v>
      </c>
      <c r="D8" t="s">
        <v>2317</v>
      </c>
      <c r="E8">
        <v>634</v>
      </c>
      <c r="F8">
        <v>1961</v>
      </c>
      <c r="G8">
        <v>0.60821917808219195</v>
      </c>
      <c r="H8">
        <v>63</v>
      </c>
      <c r="L8">
        <v>63.608219178082201</v>
      </c>
    </row>
    <row r="9" ht="12.75">
      <c r="A9" t="s">
        <v>2299</v>
      </c>
      <c r="B9" t="s">
        <v>2298</v>
      </c>
      <c r="C9" t="s">
        <v>172</v>
      </c>
      <c r="D9" t="s">
        <v>2287</v>
      </c>
      <c r="E9">
        <v>625</v>
      </c>
      <c r="F9">
        <v>1961</v>
      </c>
      <c r="G9">
        <v>0.38356164383561597</v>
      </c>
      <c r="H9">
        <v>63</v>
      </c>
      <c r="L9">
        <v>63.383561643835598</v>
      </c>
    </row>
    <row r="10" ht="12.75">
      <c r="A10" t="s">
        <v>3825</v>
      </c>
      <c r="B10" t="s">
        <v>3824</v>
      </c>
      <c r="C10" t="s">
        <v>140</v>
      </c>
      <c r="D10" t="s">
        <v>532</v>
      </c>
      <c r="E10">
        <v>1098</v>
      </c>
      <c r="F10">
        <v>1983</v>
      </c>
      <c r="G10">
        <v>5.1616438356164398</v>
      </c>
      <c r="H10">
        <v>41</v>
      </c>
      <c r="I10">
        <v>15.4849315068493</v>
      </c>
      <c r="L10">
        <v>61.646575342465802</v>
      </c>
    </row>
    <row r="11" ht="12.75">
      <c r="A11" t="s">
        <v>3121</v>
      </c>
      <c r="B11" t="s">
        <v>3119</v>
      </c>
      <c r="C11" t="s">
        <v>179</v>
      </c>
      <c r="D11" t="s">
        <v>3120</v>
      </c>
      <c r="E11">
        <v>882</v>
      </c>
      <c r="F11">
        <v>1973</v>
      </c>
      <c r="G11">
        <v>4.5068493150684903</v>
      </c>
      <c r="H11">
        <v>51</v>
      </c>
      <c r="L11">
        <v>55.5068493150685</v>
      </c>
    </row>
    <row r="12" ht="12.75">
      <c r="A12" t="s">
        <v>3122</v>
      </c>
      <c r="B12" t="s">
        <v>3119</v>
      </c>
      <c r="C12" t="s">
        <v>179</v>
      </c>
      <c r="D12" t="s">
        <v>3120</v>
      </c>
      <c r="E12">
        <v>882</v>
      </c>
      <c r="F12">
        <v>1973</v>
      </c>
      <c r="G12">
        <v>4.5068493150684903</v>
      </c>
      <c r="H12">
        <v>51</v>
      </c>
      <c r="L12">
        <v>55.5068493150685</v>
      </c>
    </row>
    <row r="13" ht="12.75">
      <c r="A13" t="s">
        <v>3323</v>
      </c>
      <c r="B13" t="s">
        <v>3321</v>
      </c>
      <c r="C13" t="s">
        <v>84</v>
      </c>
      <c r="D13" t="s">
        <v>3322</v>
      </c>
      <c r="E13">
        <v>941</v>
      </c>
      <c r="F13">
        <v>1976</v>
      </c>
      <c r="G13">
        <v>0.86301369863013699</v>
      </c>
      <c r="H13">
        <v>48</v>
      </c>
      <c r="L13">
        <v>48.863013698630098</v>
      </c>
    </row>
    <row r="14" ht="12.75">
      <c r="A14" t="s">
        <v>4140</v>
      </c>
      <c r="B14" t="s">
        <v>4138</v>
      </c>
      <c r="C14" t="s">
        <v>84</v>
      </c>
      <c r="D14" t="s">
        <v>4139</v>
      </c>
      <c r="E14">
        <v>1200</v>
      </c>
      <c r="F14">
        <v>1986</v>
      </c>
      <c r="G14">
        <v>2.3342465753424699</v>
      </c>
      <c r="H14">
        <v>38</v>
      </c>
      <c r="I14">
        <v>7.0027397260274</v>
      </c>
      <c r="L14">
        <v>47.336986301369897</v>
      </c>
    </row>
    <row r="15" ht="12.75">
      <c r="A15" t="s">
        <v>4323</v>
      </c>
      <c r="B15" t="s">
        <v>4322</v>
      </c>
      <c r="C15" t="s">
        <v>64</v>
      </c>
      <c r="D15" t="s">
        <v>728</v>
      </c>
      <c r="E15">
        <v>1255</v>
      </c>
      <c r="F15">
        <v>1987</v>
      </c>
      <c r="G15">
        <v>2.0520547945205498</v>
      </c>
      <c r="H15">
        <v>37</v>
      </c>
      <c r="I15">
        <v>6.1561643835616398</v>
      </c>
      <c r="L15">
        <v>45.208219178082203</v>
      </c>
    </row>
    <row r="16" ht="12.75">
      <c r="A16" t="s">
        <v>3652</v>
      </c>
      <c r="B16" t="s">
        <v>3651</v>
      </c>
      <c r="C16" t="s">
        <v>64</v>
      </c>
      <c r="D16" t="s">
        <v>69</v>
      </c>
      <c r="E16">
        <v>1042</v>
      </c>
      <c r="F16">
        <v>1980</v>
      </c>
      <c r="G16">
        <v>0.32328767123287699</v>
      </c>
      <c r="H16">
        <v>44</v>
      </c>
      <c r="L16">
        <v>44.323287671232897</v>
      </c>
    </row>
    <row r="17" ht="12.75">
      <c r="A17" t="s">
        <v>4584</v>
      </c>
      <c r="B17" t="s">
        <v>4583</v>
      </c>
      <c r="C17" t="s">
        <v>695</v>
      </c>
      <c r="D17" t="s">
        <v>696</v>
      </c>
      <c r="E17">
        <v>1324</v>
      </c>
      <c r="F17">
        <v>1992</v>
      </c>
      <c r="G17">
        <v>3.0739726027397301</v>
      </c>
      <c r="H17">
        <v>32</v>
      </c>
      <c r="I17">
        <v>9.2219178082191799</v>
      </c>
      <c r="L17">
        <v>44.295890410958897</v>
      </c>
    </row>
    <row r="18" ht="12.75">
      <c r="A18" t="s">
        <v>4899</v>
      </c>
      <c r="B18" t="s">
        <v>4898</v>
      </c>
      <c r="C18" t="s">
        <v>428</v>
      </c>
      <c r="D18" t="s">
        <v>4891</v>
      </c>
      <c r="E18">
        <v>1415</v>
      </c>
      <c r="F18">
        <v>1998</v>
      </c>
      <c r="G18">
        <v>4.3342465753424699</v>
      </c>
      <c r="H18">
        <v>26</v>
      </c>
      <c r="I18">
        <v>13.0027397260274</v>
      </c>
      <c r="L18">
        <v>43.336986301369897</v>
      </c>
    </row>
    <row r="19" ht="12.75">
      <c r="A19" t="s">
        <v>4773</v>
      </c>
      <c r="B19" t="s">
        <v>4772</v>
      </c>
      <c r="C19" t="s">
        <v>84</v>
      </c>
      <c r="D19" t="s">
        <v>85</v>
      </c>
      <c r="E19">
        <v>1380</v>
      </c>
      <c r="F19">
        <v>1997</v>
      </c>
      <c r="G19">
        <v>3.5917808219178098</v>
      </c>
      <c r="H19">
        <v>27</v>
      </c>
      <c r="I19">
        <v>10.7753424657534</v>
      </c>
      <c r="L19">
        <v>41.367123287671198</v>
      </c>
    </row>
    <row r="20" ht="12.75">
      <c r="A20" t="s">
        <v>6564</v>
      </c>
      <c r="B20" t="s">
        <v>6563</v>
      </c>
      <c r="C20" t="s">
        <v>84</v>
      </c>
      <c r="D20" t="s">
        <v>85</v>
      </c>
      <c r="E20">
        <v>1802</v>
      </c>
      <c r="F20">
        <v>2016</v>
      </c>
      <c r="G20">
        <v>8.0712328767123296</v>
      </c>
      <c r="H20">
        <v>8</v>
      </c>
      <c r="I20">
        <v>24.213698630136999</v>
      </c>
      <c r="L20">
        <v>40.284931506849297</v>
      </c>
    </row>
    <row r="21" ht="12.75">
      <c r="A21" t="s">
        <v>4543</v>
      </c>
      <c r="B21" t="s">
        <v>4542</v>
      </c>
      <c r="C21" t="s">
        <v>84</v>
      </c>
      <c r="D21" t="s">
        <v>85</v>
      </c>
      <c r="E21">
        <v>1313</v>
      </c>
      <c r="F21">
        <v>1990</v>
      </c>
      <c r="G21">
        <v>1.4027397260273999</v>
      </c>
      <c r="H21">
        <v>34</v>
      </c>
      <c r="I21">
        <v>4.2082191780821896</v>
      </c>
      <c r="L21">
        <v>39.610958904109602</v>
      </c>
    </row>
    <row r="22" ht="12.75">
      <c r="A22" t="s">
        <v>4179</v>
      </c>
      <c r="B22" t="s">
        <v>4177</v>
      </c>
      <c r="C22" t="s">
        <v>1075</v>
      </c>
      <c r="D22" t="s">
        <v>4178</v>
      </c>
      <c r="E22">
        <v>1212</v>
      </c>
      <c r="F22">
        <v>1986</v>
      </c>
      <c r="G22">
        <v>0.098630136986301395</v>
      </c>
      <c r="H22">
        <v>38</v>
      </c>
      <c r="I22">
        <v>0.295890410958904</v>
      </c>
      <c r="L22">
        <v>38.394520547945199</v>
      </c>
    </row>
    <row r="23" ht="12.75">
      <c r="A23" t="s">
        <v>6508</v>
      </c>
      <c r="B23" t="s">
        <v>6507</v>
      </c>
      <c r="C23" t="s">
        <v>898</v>
      </c>
      <c r="D23" t="s">
        <v>899</v>
      </c>
      <c r="E23">
        <v>1786</v>
      </c>
      <c r="F23">
        <v>2016</v>
      </c>
      <c r="G23">
        <v>7.0191780821917797</v>
      </c>
      <c r="H23">
        <v>8</v>
      </c>
      <c r="I23">
        <v>21.057534246575301</v>
      </c>
      <c r="L23">
        <v>36.076712328767101</v>
      </c>
    </row>
    <row r="24" ht="12.75">
      <c r="A24" t="s">
        <v>5975</v>
      </c>
      <c r="B24" t="s">
        <v>5974</v>
      </c>
      <c r="C24" t="s">
        <v>84</v>
      </c>
      <c r="D24" t="s">
        <v>85</v>
      </c>
      <c r="E24">
        <v>1633</v>
      </c>
      <c r="F24">
        <v>2011</v>
      </c>
      <c r="G24">
        <v>5.3315068493150699</v>
      </c>
      <c r="H24">
        <v>13</v>
      </c>
      <c r="I24">
        <v>15.9945205479452</v>
      </c>
      <c r="L24">
        <v>34.326027397260297</v>
      </c>
    </row>
    <row r="25" ht="12.75">
      <c r="A25" t="s">
        <v>4571</v>
      </c>
      <c r="B25" t="s">
        <v>4570</v>
      </c>
      <c r="C25" t="s">
        <v>84</v>
      </c>
      <c r="D25" t="s">
        <v>85</v>
      </c>
      <c r="E25">
        <v>1321</v>
      </c>
      <c r="F25">
        <v>1991</v>
      </c>
      <c r="G25">
        <v>0.29315068493150698</v>
      </c>
      <c r="H25">
        <v>33</v>
      </c>
      <c r="L25">
        <v>33.293150684931497</v>
      </c>
    </row>
    <row r="26" ht="12.75">
      <c r="A26" t="s">
        <v>4645</v>
      </c>
      <c r="B26" t="s">
        <v>4644</v>
      </c>
      <c r="C26" t="s">
        <v>84</v>
      </c>
      <c r="D26" t="s">
        <v>1068</v>
      </c>
      <c r="E26">
        <v>1344</v>
      </c>
      <c r="F26">
        <v>1995</v>
      </c>
      <c r="G26">
        <v>1.41369863013699</v>
      </c>
      <c r="H26">
        <v>29</v>
      </c>
      <c r="L26">
        <v>30.413698630136999</v>
      </c>
    </row>
    <row r="27" ht="12.75">
      <c r="A27" t="s">
        <v>4701</v>
      </c>
      <c r="B27" t="s">
        <v>4699</v>
      </c>
      <c r="C27" t="s">
        <v>695</v>
      </c>
      <c r="D27" t="s">
        <v>4700</v>
      </c>
      <c r="E27">
        <v>1359</v>
      </c>
      <c r="F27">
        <v>1995</v>
      </c>
      <c r="G27">
        <v>0.28767123287671198</v>
      </c>
      <c r="H27">
        <v>29</v>
      </c>
      <c r="I27">
        <v>0.86301369863013699</v>
      </c>
      <c r="L27">
        <v>30.150684931506898</v>
      </c>
    </row>
    <row r="28" ht="12.75">
      <c r="A28" t="s">
        <v>5296</v>
      </c>
      <c r="B28" t="s">
        <v>5294</v>
      </c>
      <c r="C28" t="s">
        <v>49</v>
      </c>
      <c r="D28" t="s">
        <v>5295</v>
      </c>
      <c r="E28">
        <v>1529</v>
      </c>
      <c r="F28">
        <v>2006</v>
      </c>
      <c r="G28">
        <v>2.9397260273972599</v>
      </c>
      <c r="H28">
        <v>18</v>
      </c>
      <c r="I28">
        <v>8.8191780821917796</v>
      </c>
      <c r="L28">
        <v>29.758904109589</v>
      </c>
    </row>
    <row r="29" ht="12.75">
      <c r="A29" t="s">
        <v>5123</v>
      </c>
      <c r="B29" t="s">
        <v>5121</v>
      </c>
      <c r="C29" t="s">
        <v>179</v>
      </c>
      <c r="D29" t="s">
        <v>5122</v>
      </c>
      <c r="E29">
        <v>1484</v>
      </c>
      <c r="F29">
        <v>2001</v>
      </c>
      <c r="G29">
        <v>4.2410958904109597</v>
      </c>
      <c r="H29">
        <v>23</v>
      </c>
      <c r="L29">
        <v>27.241095890411</v>
      </c>
    </row>
    <row r="30" ht="12.75">
      <c r="A30" t="s">
        <v>3747</v>
      </c>
      <c r="B30" t="s">
        <v>3590</v>
      </c>
      <c r="C30" t="s">
        <v>695</v>
      </c>
      <c r="D30" t="s">
        <v>696</v>
      </c>
      <c r="E30">
        <v>1071</v>
      </c>
      <c r="F30">
        <v>1982</v>
      </c>
      <c r="G30">
        <v>2.61095890410959</v>
      </c>
      <c r="H30">
        <v>42</v>
      </c>
      <c r="L30">
        <v>26.109589041095902</v>
      </c>
    </row>
    <row r="31" ht="12.75">
      <c r="A31" t="s">
        <v>3243</v>
      </c>
      <c r="B31" t="s">
        <v>3242</v>
      </c>
      <c r="C31" t="s">
        <v>2026</v>
      </c>
      <c r="D31" t="s">
        <v>3139</v>
      </c>
      <c r="E31">
        <v>917</v>
      </c>
      <c r="F31">
        <v>1974</v>
      </c>
      <c r="G31">
        <v>2.56712328767123</v>
      </c>
      <c r="H31">
        <v>50</v>
      </c>
      <c r="L31">
        <v>25.671232876712299</v>
      </c>
    </row>
    <row r="32" ht="12.75">
      <c r="A32" s="296" t="s">
        <v>6553</v>
      </c>
      <c r="B32" t="s">
        <v>6552</v>
      </c>
      <c r="C32" t="s">
        <v>49</v>
      </c>
      <c r="D32" t="s">
        <v>3871</v>
      </c>
      <c r="E32">
        <v>1800</v>
      </c>
      <c r="F32">
        <v>2016</v>
      </c>
      <c r="G32">
        <v>8.1260273972602697</v>
      </c>
      <c r="H32">
        <v>8</v>
      </c>
      <c r="J32">
        <v>9.3726027397260303</v>
      </c>
      <c r="L32">
        <v>25.4986301369863</v>
      </c>
      <c r="M32">
        <v>1</v>
      </c>
    </row>
    <row r="33" ht="12.75">
      <c r="A33" t="s">
        <v>2358</v>
      </c>
      <c r="B33" t="s">
        <v>2357</v>
      </c>
      <c r="C33" t="s">
        <v>428</v>
      </c>
      <c r="D33" t="s">
        <v>429</v>
      </c>
      <c r="E33">
        <v>649</v>
      </c>
      <c r="F33">
        <v>1962</v>
      </c>
      <c r="G33">
        <v>2.1643835616438398</v>
      </c>
      <c r="H33">
        <v>62</v>
      </c>
      <c r="I33">
        <v>6.4931506849315097</v>
      </c>
      <c r="L33">
        <v>21.643835616438398</v>
      </c>
    </row>
    <row r="34" ht="12.75">
      <c r="A34" t="s">
        <v>5978</v>
      </c>
      <c r="B34" t="s">
        <v>5977</v>
      </c>
      <c r="C34" t="s">
        <v>84</v>
      </c>
      <c r="D34" t="s">
        <v>85</v>
      </c>
      <c r="E34">
        <v>1634</v>
      </c>
      <c r="F34">
        <v>2011</v>
      </c>
      <c r="G34">
        <v>1.2958904109589</v>
      </c>
      <c r="H34">
        <v>13</v>
      </c>
      <c r="I34">
        <v>3.88767123287671</v>
      </c>
      <c r="L34">
        <v>18.183561643835599</v>
      </c>
    </row>
    <row r="35" ht="12.75">
      <c r="A35" t="s">
        <v>5801</v>
      </c>
      <c r="B35" t="s">
        <v>5800</v>
      </c>
      <c r="C35" t="s">
        <v>49</v>
      </c>
      <c r="D35" t="s">
        <v>468</v>
      </c>
      <c r="E35">
        <v>1593</v>
      </c>
      <c r="F35">
        <v>2010</v>
      </c>
      <c r="G35">
        <v>1.0109589041095901</v>
      </c>
      <c r="H35">
        <v>14</v>
      </c>
      <c r="I35">
        <v>3.0328767123287701</v>
      </c>
      <c r="L35">
        <v>18.0438356164384</v>
      </c>
    </row>
    <row r="36" ht="12.75">
      <c r="A36" t="s">
        <v>6123</v>
      </c>
      <c r="B36" t="s">
        <v>6121</v>
      </c>
      <c r="C36" t="s">
        <v>140</v>
      </c>
      <c r="D36" t="s">
        <v>6122</v>
      </c>
      <c r="E36">
        <v>1679</v>
      </c>
      <c r="F36">
        <v>2013</v>
      </c>
      <c r="G36">
        <v>6.9369863013698598</v>
      </c>
      <c r="H36">
        <v>11</v>
      </c>
      <c r="L36">
        <v>17.936986301369899</v>
      </c>
    </row>
    <row r="37" ht="12.75">
      <c r="A37" t="s">
        <v>6183</v>
      </c>
      <c r="B37" t="s">
        <v>6181</v>
      </c>
      <c r="C37" t="s">
        <v>5199</v>
      </c>
      <c r="D37" t="s">
        <v>6182</v>
      </c>
      <c r="E37">
        <v>1696</v>
      </c>
      <c r="F37">
        <v>2014</v>
      </c>
      <c r="G37">
        <v>7.5753424657534199</v>
      </c>
      <c r="H37">
        <v>10</v>
      </c>
      <c r="L37">
        <v>17.575342465753401</v>
      </c>
    </row>
    <row r="38" ht="12.75">
      <c r="A38" t="s">
        <v>6185</v>
      </c>
      <c r="B38" t="s">
        <v>6184</v>
      </c>
      <c r="C38" t="s">
        <v>5199</v>
      </c>
      <c r="D38" t="s">
        <v>6182</v>
      </c>
      <c r="E38">
        <v>1697</v>
      </c>
      <c r="F38">
        <v>2014</v>
      </c>
      <c r="G38">
        <v>7.5506849315068498</v>
      </c>
      <c r="H38">
        <v>10</v>
      </c>
      <c r="L38">
        <v>17.5506849315069</v>
      </c>
    </row>
    <row r="39" ht="12.75">
      <c r="A39" t="s">
        <v>6357</v>
      </c>
      <c r="B39" t="s">
        <v>6356</v>
      </c>
      <c r="C39" t="s">
        <v>704</v>
      </c>
      <c r="D39" t="s">
        <v>705</v>
      </c>
      <c r="E39">
        <v>1741</v>
      </c>
      <c r="F39">
        <v>2015</v>
      </c>
      <c r="G39">
        <v>0.59726027397260295</v>
      </c>
      <c r="H39">
        <v>9</v>
      </c>
      <c r="I39">
        <v>1.79178082191781</v>
      </c>
      <c r="L39">
        <v>11.3890410958904</v>
      </c>
    </row>
    <row r="40" ht="12.75">
      <c r="A40" t="s">
        <v>6217</v>
      </c>
      <c r="B40" t="s">
        <v>6216</v>
      </c>
      <c r="C40" t="s">
        <v>84</v>
      </c>
      <c r="D40" t="s">
        <v>85</v>
      </c>
      <c r="E40">
        <v>1706</v>
      </c>
      <c r="F40">
        <v>2014</v>
      </c>
      <c r="G40">
        <v>0.64657534246575299</v>
      </c>
      <c r="H40">
        <v>10</v>
      </c>
      <c r="L40">
        <v>10.6465753424658</v>
      </c>
    </row>
    <row r="41" ht="12.75">
      <c r="A41" t="s">
        <v>1939</v>
      </c>
      <c r="B41" t="s">
        <v>1937</v>
      </c>
      <c r="C41" t="s">
        <v>84</v>
      </c>
      <c r="D41" t="s">
        <v>1938</v>
      </c>
      <c r="E41">
        <v>506</v>
      </c>
      <c r="F41">
        <v>1954</v>
      </c>
      <c r="G41">
        <v>0.97808219178082201</v>
      </c>
      <c r="H41">
        <v>70</v>
      </c>
      <c r="L41">
        <v>9.7808219178082201</v>
      </c>
    </row>
    <row r="42" ht="12.75">
      <c r="A42" t="s">
        <v>6494</v>
      </c>
      <c r="B42" t="s">
        <v>6493</v>
      </c>
      <c r="C42" t="s">
        <v>84</v>
      </c>
      <c r="D42" t="s">
        <v>6249</v>
      </c>
      <c r="E42">
        <v>1782</v>
      </c>
      <c r="F42">
        <v>2016</v>
      </c>
      <c r="G42">
        <v>1.51780821917808</v>
      </c>
      <c r="H42">
        <v>8</v>
      </c>
      <c r="L42">
        <v>9.5178082191780806</v>
      </c>
    </row>
    <row r="43" ht="12.75">
      <c r="A43" t="s">
        <v>6461</v>
      </c>
      <c r="B43" t="s">
        <v>6460</v>
      </c>
      <c r="C43" t="s">
        <v>2154</v>
      </c>
      <c r="D43" t="s">
        <v>2155</v>
      </c>
      <c r="E43">
        <v>1771</v>
      </c>
      <c r="F43">
        <v>2015</v>
      </c>
      <c r="H43">
        <v>9</v>
      </c>
      <c r="L43">
        <v>9</v>
      </c>
    </row>
    <row r="44" ht="12.75">
      <c r="A44" t="s">
        <v>5311</v>
      </c>
      <c r="B44" t="s">
        <v>5310</v>
      </c>
      <c r="C44" t="s">
        <v>2092</v>
      </c>
      <c r="D44" t="s">
        <v>3818</v>
      </c>
      <c r="E44">
        <v>1535</v>
      </c>
      <c r="F44">
        <v>2006</v>
      </c>
      <c r="G44">
        <v>0.89863013698630101</v>
      </c>
      <c r="H44">
        <v>18</v>
      </c>
      <c r="L44">
        <v>8.9863013698630105</v>
      </c>
    </row>
    <row r="45" ht="12.75">
      <c r="A45" t="s">
        <v>6929</v>
      </c>
      <c r="B45" t="s">
        <v>6928</v>
      </c>
      <c r="C45" t="s">
        <v>217</v>
      </c>
      <c r="D45" t="s">
        <v>5528</v>
      </c>
      <c r="E45">
        <v>1904</v>
      </c>
      <c r="F45">
        <v>2020</v>
      </c>
      <c r="G45">
        <v>4.6219178082191803</v>
      </c>
      <c r="H45">
        <v>4</v>
      </c>
      <c r="L45">
        <v>8.6219178082191803</v>
      </c>
    </row>
    <row r="46" ht="12.75">
      <c r="A46" t="s">
        <v>6641</v>
      </c>
      <c r="B46" t="s">
        <v>6640</v>
      </c>
      <c r="C46" t="s">
        <v>704</v>
      </c>
      <c r="D46" t="s">
        <v>1697</v>
      </c>
      <c r="E46">
        <v>1826</v>
      </c>
      <c r="F46">
        <v>2017</v>
      </c>
      <c r="G46">
        <v>0.19452054794520501</v>
      </c>
      <c r="H46">
        <v>7</v>
      </c>
      <c r="L46">
        <v>7.1945205479452099</v>
      </c>
    </row>
    <row r="47" ht="12.75">
      <c r="A47" t="s">
        <v>7115</v>
      </c>
      <c r="B47" t="s">
        <v>7114</v>
      </c>
      <c r="C47" t="s">
        <v>695</v>
      </c>
      <c r="D47" t="s">
        <v>1679</v>
      </c>
      <c r="E47">
        <v>1957</v>
      </c>
      <c r="F47">
        <v>2021</v>
      </c>
      <c r="G47">
        <v>0.64657534246575299</v>
      </c>
      <c r="H47">
        <v>3</v>
      </c>
      <c r="L47">
        <v>3.6465753424657499</v>
      </c>
    </row>
    <row r="48" ht="12.75">
      <c r="A48" t="s">
        <v>7258</v>
      </c>
      <c r="B48" t="s">
        <v>7257</v>
      </c>
      <c r="C48" t="s">
        <v>84</v>
      </c>
      <c r="D48" t="s">
        <v>3115</v>
      </c>
      <c r="E48">
        <v>1991</v>
      </c>
      <c r="F48">
        <v>2021</v>
      </c>
      <c r="G48">
        <v>0.52328767123287701</v>
      </c>
      <c r="H48">
        <v>3</v>
      </c>
      <c r="L48">
        <v>3.5232876712328798</v>
      </c>
    </row>
    <row r="49" ht="12.75">
      <c r="A49" t="s">
        <v>1929</v>
      </c>
      <c r="B49" t="s">
        <v>1928</v>
      </c>
      <c r="C49" t="s">
        <v>84</v>
      </c>
      <c r="D49" t="s">
        <v>85</v>
      </c>
      <c r="E49">
        <v>503</v>
      </c>
      <c r="F49">
        <v>1953</v>
      </c>
      <c r="G49">
        <v>0.29315068493150698</v>
      </c>
      <c r="H49">
        <v>71</v>
      </c>
      <c r="I49">
        <v>0.87945205479452104</v>
      </c>
      <c r="L49">
        <v>2.93150684931507</v>
      </c>
    </row>
    <row r="50" ht="12.75">
      <c r="A50" t="s">
        <v>7763</v>
      </c>
      <c r="B50" t="s">
        <v>7762</v>
      </c>
      <c r="C50" t="s">
        <v>564</v>
      </c>
      <c r="D50" t="s">
        <v>565</v>
      </c>
      <c r="E50">
        <v>2109</v>
      </c>
      <c r="F50">
        <v>2024</v>
      </c>
      <c r="G50">
        <v>0.613698630136986</v>
      </c>
      <c r="L50">
        <v>0.613698630136986</v>
      </c>
    </row>
    <row r="51" ht="12.75">
      <c r="A51" t="s">
        <v>7333</v>
      </c>
      <c r="B51" t="s">
        <v>7332</v>
      </c>
      <c r="C51" t="s">
        <v>428</v>
      </c>
      <c r="D51" t="s">
        <v>429</v>
      </c>
      <c r="E51">
        <v>2008</v>
      </c>
      <c r="F51">
        <v>2022</v>
      </c>
      <c r="G51">
        <v>0.49315068493150699</v>
      </c>
      <c r="L51">
        <v>0.49315068493150699</v>
      </c>
    </row>
    <row r="52" ht="12.75">
      <c r="A52" t="s">
        <v>7655</v>
      </c>
      <c r="B52" t="s">
        <v>7653</v>
      </c>
      <c r="C52" t="s">
        <v>1480</v>
      </c>
      <c r="D52" t="s">
        <v>7654</v>
      </c>
      <c r="E52">
        <v>2083</v>
      </c>
      <c r="F52">
        <v>2024</v>
      </c>
      <c r="G52">
        <v>0.25205479452054802</v>
      </c>
      <c r="L52">
        <v>0.25205479452054802</v>
      </c>
    </row>
    <row r="53" ht="12.75">
      <c r="A53" t="s">
        <v>7672</v>
      </c>
      <c r="B53" t="s">
        <v>7671</v>
      </c>
      <c r="C53" t="s">
        <v>1075</v>
      </c>
      <c r="D53" t="s">
        <v>3368</v>
      </c>
      <c r="E53">
        <v>2087</v>
      </c>
      <c r="F53">
        <v>2024</v>
      </c>
      <c r="G53">
        <v>0.19452054794520501</v>
      </c>
      <c r="L53">
        <v>0.19452054794520501</v>
      </c>
    </row>
    <row r="54" ht="12.75">
      <c r="A54" t="s">
        <v>2393</v>
      </c>
      <c r="B54" t="s">
        <v>2392</v>
      </c>
      <c r="C54" t="s">
        <v>84</v>
      </c>
      <c r="D54" t="s">
        <v>850</v>
      </c>
      <c r="E54">
        <v>662</v>
      </c>
      <c r="F54">
        <v>1962</v>
      </c>
      <c r="G54">
        <v>0.016438356164383602</v>
      </c>
      <c r="H54">
        <v>62</v>
      </c>
      <c r="L54">
        <v>0.164383561643836</v>
      </c>
    </row>
    <row r="55" ht="12.75">
      <c r="A55" t="s">
        <v>7337</v>
      </c>
      <c r="B55" t="s">
        <v>7336</v>
      </c>
      <c r="C55" t="s">
        <v>704</v>
      </c>
      <c r="D55" t="s">
        <v>705</v>
      </c>
      <c r="E55">
        <v>2009</v>
      </c>
      <c r="F55">
        <v>2022</v>
      </c>
      <c r="L55">
        <v>0</v>
      </c>
    </row>
    <row r="56" ht="12.75">
      <c r="A56" t="s">
        <v>4838</v>
      </c>
      <c r="B56" t="s">
        <v>4836</v>
      </c>
      <c r="C56" t="s">
        <v>83</v>
      </c>
      <c r="D56" t="s">
        <v>4837</v>
      </c>
      <c r="E56">
        <v>1399</v>
      </c>
      <c r="F56">
        <v>1997</v>
      </c>
      <c r="G56">
        <v>0.147945205479452</v>
      </c>
      <c r="H56">
        <v>27</v>
      </c>
      <c r="K56">
        <v>-40</v>
      </c>
      <c r="L56">
        <v>-12.8520547945205</v>
      </c>
    </row>
  </sheetData>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J63" activeCellId="0" sqref="J63"/>
    </sheetView>
  </sheetViews>
  <sheetFormatPr defaultColWidth="8.6796875" defaultRowHeight="12.75"/>
  <cols>
    <col customWidth="1" min="1" max="1" style="0" width="26.289999999999999"/>
    <col customWidth="1" min="2" max="2" style="0" width="5"/>
    <col customWidth="1" min="3" max="3" style="0" width="36.710000000000001"/>
    <col customWidth="1" min="4" max="4" style="0" width="5"/>
    <col customWidth="1" min="5" max="5" style="0" width="28"/>
    <col customWidth="1" min="6" max="6" style="0" width="5"/>
    <col customWidth="1" min="7" max="7" style="0" width="16.57"/>
    <col customWidth="1" min="8" max="8" style="0" width="6.5700000000000003"/>
    <col customWidth="1" min="9" max="9" style="0" width="36"/>
    <col customWidth="1" min="10" max="11" style="0" width="16.57"/>
    <col customWidth="1" hidden="1" min="12" max="12" style="0" width="42.140000000000001"/>
    <col customWidth="1" hidden="1" min="13" max="13" style="0" width="6"/>
    <col customWidth="1" hidden="1" min="14" max="14" style="0" width="35.710000000000001"/>
    <col customWidth="1" hidden="1" min="15" max="15" style="0" width="32"/>
    <col customWidth="1" min="16" max="16" style="0" width="9.2899999999999991"/>
    <col customWidth="1" min="17" max="87" style="0" width="16.57"/>
    <col customWidth="1" min="88" max="88" style="0" width="10"/>
  </cols>
  <sheetData>
    <row r="1" ht="12.75">
      <c r="A1" s="306" t="s">
        <v>7868</v>
      </c>
      <c r="B1" s="307"/>
      <c r="C1" s="306" t="s">
        <v>7869</v>
      </c>
      <c r="D1" s="307"/>
      <c r="E1" s="306"/>
      <c r="F1" s="306"/>
      <c r="G1" s="308"/>
      <c r="H1" s="308"/>
      <c r="I1" s="308"/>
      <c r="J1" s="308"/>
      <c r="K1" s="309"/>
    </row>
    <row r="2" ht="12.75">
      <c r="A2" s="306" t="s">
        <v>13</v>
      </c>
      <c r="B2" s="307" t="s">
        <v>7825</v>
      </c>
      <c r="C2" s="306" t="s">
        <v>32</v>
      </c>
      <c r="D2" s="307" t="s">
        <v>7825</v>
      </c>
      <c r="E2" s="306"/>
      <c r="F2" s="306"/>
      <c r="G2" s="308"/>
      <c r="H2" s="308"/>
      <c r="I2" s="308"/>
      <c r="J2" s="308"/>
      <c r="K2" s="309"/>
    </row>
    <row r="3" ht="12.75">
      <c r="A3" s="306">
        <v>1938</v>
      </c>
      <c r="B3" s="307">
        <v>322</v>
      </c>
      <c r="C3" s="306">
        <v>1938</v>
      </c>
      <c r="D3" s="307">
        <v>242</v>
      </c>
      <c r="E3" s="310"/>
      <c r="F3" s="310"/>
      <c r="G3" s="311"/>
      <c r="H3" s="311"/>
      <c r="I3" s="311"/>
      <c r="J3" s="311"/>
      <c r="K3" s="312"/>
    </row>
    <row r="4" ht="12.75">
      <c r="A4" s="313">
        <v>1939</v>
      </c>
      <c r="B4" s="314">
        <v>33</v>
      </c>
      <c r="C4" s="313">
        <v>1939</v>
      </c>
      <c r="D4" s="314">
        <v>48</v>
      </c>
      <c r="E4" s="310"/>
      <c r="F4" s="310"/>
      <c r="G4" s="311"/>
      <c r="H4" s="311"/>
      <c r="I4" s="311"/>
      <c r="J4" s="311"/>
      <c r="K4" s="312"/>
    </row>
    <row r="5" ht="12.75">
      <c r="A5" s="313">
        <v>1940</v>
      </c>
      <c r="B5" s="314">
        <v>16</v>
      </c>
      <c r="C5" s="313">
        <v>1940</v>
      </c>
      <c r="D5" s="314">
        <v>18</v>
      </c>
      <c r="E5" s="310"/>
      <c r="F5" s="310"/>
      <c r="G5" s="311"/>
      <c r="H5" s="311"/>
      <c r="I5" s="311"/>
      <c r="J5" s="311"/>
      <c r="K5" s="312"/>
    </row>
    <row r="6" ht="12.75">
      <c r="A6" s="313">
        <v>1941</v>
      </c>
      <c r="B6" s="314">
        <v>69</v>
      </c>
      <c r="C6" s="313">
        <v>1941</v>
      </c>
      <c r="D6" s="314">
        <v>50</v>
      </c>
      <c r="E6" s="310"/>
      <c r="F6" s="310"/>
      <c r="G6" s="311"/>
      <c r="H6" s="311"/>
      <c r="I6" s="311"/>
      <c r="J6" s="311"/>
      <c r="K6" s="312"/>
      <c r="L6" s="315" t="s">
        <v>7870</v>
      </c>
      <c r="M6" s="316" t="s">
        <v>7871</v>
      </c>
      <c r="N6" s="315" t="s">
        <v>7870</v>
      </c>
      <c r="O6" s="316" t="s">
        <v>7872</v>
      </c>
    </row>
    <row r="7" ht="12.75">
      <c r="A7" s="313">
        <v>1942</v>
      </c>
      <c r="B7" s="314">
        <v>28</v>
      </c>
      <c r="C7" s="313">
        <v>1942</v>
      </c>
      <c r="D7" s="314">
        <v>7</v>
      </c>
      <c r="E7" s="310"/>
      <c r="F7" s="310"/>
      <c r="G7" s="311"/>
      <c r="H7" s="311"/>
      <c r="I7" s="311"/>
      <c r="J7" s="311"/>
      <c r="K7" s="312"/>
      <c r="L7" s="317">
        <v>1950</v>
      </c>
      <c r="M7" s="318">
        <v>-4</v>
      </c>
      <c r="N7" s="317">
        <v>1950</v>
      </c>
      <c r="O7" s="318" t="e">
        <f>#VALUE!</f>
        <v>#VALUE!</v>
      </c>
    </row>
    <row r="8" ht="12.75">
      <c r="A8" s="313">
        <v>1943</v>
      </c>
      <c r="B8" s="314">
        <v>9</v>
      </c>
      <c r="C8" s="313">
        <v>1943</v>
      </c>
      <c r="D8" s="314">
        <v>47</v>
      </c>
      <c r="E8" s="310"/>
      <c r="F8" s="310"/>
      <c r="G8" s="311"/>
      <c r="H8" s="311"/>
      <c r="I8" s="311"/>
      <c r="J8" s="311"/>
      <c r="K8" s="312"/>
      <c r="L8" s="319">
        <v>1951</v>
      </c>
      <c r="M8" s="320" t="e">
        <f>#VALUE!</f>
        <v>#VALUE!</v>
      </c>
      <c r="N8" s="319">
        <v>1951</v>
      </c>
      <c r="O8" s="320" t="e">
        <f>#VALUE!</f>
        <v>#VALUE!</v>
      </c>
    </row>
    <row r="9" ht="12.75">
      <c r="A9" s="313">
        <v>1944</v>
      </c>
      <c r="B9" s="314">
        <v>9</v>
      </c>
      <c r="C9" s="313">
        <v>1944</v>
      </c>
      <c r="D9" s="314">
        <v>11</v>
      </c>
      <c r="E9" s="310"/>
      <c r="F9" s="310"/>
      <c r="G9" s="311"/>
      <c r="H9" s="311"/>
      <c r="I9" s="311"/>
      <c r="J9" s="311"/>
      <c r="K9" s="312"/>
      <c r="L9" s="319">
        <v>1952</v>
      </c>
      <c r="M9" s="320" t="e">
        <f>#VALUE!</f>
        <v>#VALUE!</v>
      </c>
      <c r="N9" s="319">
        <v>1952</v>
      </c>
      <c r="O9" s="320" t="e">
        <f>#VALUE!</f>
        <v>#VALUE!</v>
      </c>
    </row>
    <row r="10" ht="12.75">
      <c r="A10" s="313">
        <v>1945</v>
      </c>
      <c r="B10" s="314">
        <v>9</v>
      </c>
      <c r="C10" s="313">
        <v>1945</v>
      </c>
      <c r="D10" s="314">
        <v>2</v>
      </c>
      <c r="E10" s="310"/>
      <c r="F10" s="310"/>
      <c r="G10" s="311"/>
      <c r="H10" s="311"/>
      <c r="I10" s="311"/>
      <c r="J10" s="311"/>
      <c r="K10" s="312"/>
      <c r="L10" s="319">
        <v>1953</v>
      </c>
      <c r="M10" s="320" t="e">
        <f>#VALUE!</f>
        <v>#VALUE!</v>
      </c>
      <c r="N10" s="319">
        <v>1953</v>
      </c>
      <c r="O10" s="320" t="e">
        <f>#VALUE!</f>
        <v>#VALUE!</v>
      </c>
    </row>
    <row r="11" ht="12.75">
      <c r="A11" s="313">
        <v>1946</v>
      </c>
      <c r="B11" s="314">
        <v>8</v>
      </c>
      <c r="C11" s="313">
        <v>1946</v>
      </c>
      <c r="D11" s="314">
        <v>5</v>
      </c>
      <c r="E11" s="310"/>
      <c r="F11" s="310"/>
      <c r="G11" s="311"/>
      <c r="H11" s="311"/>
      <c r="I11" s="311"/>
      <c r="J11" s="311"/>
      <c r="K11" s="312"/>
      <c r="L11" s="319">
        <v>1954</v>
      </c>
      <c r="M11" s="320" t="e">
        <f>#VALUE!</f>
        <v>#VALUE!</v>
      </c>
      <c r="N11" s="319">
        <v>1954</v>
      </c>
      <c r="O11" s="320" t="e">
        <f>#VALUE!</f>
        <v>#VALUE!</v>
      </c>
    </row>
    <row r="12" ht="12.75">
      <c r="A12" s="313">
        <v>1947</v>
      </c>
      <c r="B12" s="314">
        <v>3</v>
      </c>
      <c r="C12" s="313">
        <v>1947</v>
      </c>
      <c r="D12" s="314">
        <v>3</v>
      </c>
      <c r="E12" s="310"/>
      <c r="F12" s="310"/>
      <c r="G12" s="311"/>
      <c r="H12" s="311"/>
      <c r="I12" s="311"/>
      <c r="J12" s="311"/>
      <c r="K12" s="312"/>
      <c r="L12" s="319">
        <v>1955</v>
      </c>
      <c r="M12" s="320" t="e">
        <f>#VALUE!</f>
        <v>#VALUE!</v>
      </c>
      <c r="N12" s="319">
        <v>1955</v>
      </c>
      <c r="O12" s="320" t="e">
        <f>#VALUE!</f>
        <v>#VALUE!</v>
      </c>
    </row>
    <row r="13" ht="12.75">
      <c r="A13" s="313">
        <v>1948</v>
      </c>
      <c r="B13" s="314">
        <v>20</v>
      </c>
      <c r="C13" s="313">
        <v>1948</v>
      </c>
      <c r="D13" s="314">
        <v>11</v>
      </c>
      <c r="E13" s="310"/>
      <c r="F13" s="310"/>
      <c r="G13" s="311"/>
      <c r="H13" s="311"/>
      <c r="I13" s="311"/>
      <c r="J13" s="311"/>
      <c r="K13" s="312"/>
      <c r="L13" s="319">
        <v>1956</v>
      </c>
      <c r="M13" s="320" t="e">
        <f>#VALUE!</f>
        <v>#VALUE!</v>
      </c>
      <c r="N13" s="319">
        <v>1956</v>
      </c>
      <c r="O13" s="320" t="e">
        <f>#VALUE!</f>
        <v>#VALUE!</v>
      </c>
    </row>
    <row r="14" ht="12.75">
      <c r="A14" s="313">
        <v>1949</v>
      </c>
      <c r="B14" s="314">
        <v>31</v>
      </c>
      <c r="C14" s="313">
        <v>1949</v>
      </c>
      <c r="D14" s="314">
        <v>34</v>
      </c>
      <c r="E14" s="321"/>
      <c r="F14" s="321"/>
      <c r="G14" s="322"/>
      <c r="H14" s="322"/>
      <c r="I14" s="322"/>
      <c r="J14" s="322"/>
      <c r="K14" s="323"/>
      <c r="L14" s="319">
        <v>1957</v>
      </c>
      <c r="M14" s="320" t="e">
        <f>#VALUE!</f>
        <v>#VALUE!</v>
      </c>
      <c r="N14" s="319">
        <v>1957</v>
      </c>
      <c r="O14" s="320" t="e">
        <f>#VALUE!</f>
        <v>#VALUE!</v>
      </c>
    </row>
    <row r="15" ht="12.75">
      <c r="A15" s="313">
        <v>1950</v>
      </c>
      <c r="B15" s="314">
        <v>30</v>
      </c>
      <c r="C15" s="313">
        <v>1950</v>
      </c>
      <c r="D15" s="314">
        <v>56</v>
      </c>
      <c r="H15" s="313">
        <v>1950</v>
      </c>
      <c r="I15">
        <f>I14+GETPIVOTDATA("Ano de abertura",$A$1,"Ano de abertura",1950)-GETPIVOTDATA("Ano tombamento (inscrição)",$C$1,"Ano tombamento (inscrição)",1949)</f>
        <v>-4</v>
      </c>
      <c r="J15" s="324" t="e">
        <f>1-(GETPIVOTDATA("Ano tombamento (inscrição)",$C$1,"Ano tombamento (inscrição)",1950)+GETPIVOTDATA("Ano Indeferimento",$E$1,"Ano Indeferimento",1950))/I15</f>
        <v>#REF!</v>
      </c>
      <c r="L15" s="319">
        <v>1958</v>
      </c>
      <c r="M15" s="320" t="e">
        <f>#VALUE!</f>
        <v>#VALUE!</v>
      </c>
      <c r="N15" s="319">
        <v>1958</v>
      </c>
      <c r="O15" s="320" t="e">
        <f>#VALUE!</f>
        <v>#VALUE!</v>
      </c>
    </row>
    <row r="16" ht="12.75">
      <c r="A16" s="313">
        <v>1951</v>
      </c>
      <c r="B16" s="314">
        <v>15</v>
      </c>
      <c r="C16" s="313">
        <v>1951</v>
      </c>
      <c r="D16" s="314">
        <v>16</v>
      </c>
      <c r="H16" s="313">
        <v>1951</v>
      </c>
      <c r="I16" t="e">
        <f>I15+GETPIVOTDATA("Ano de abertura",$A$1,"Ano de abertura",1951)-GETPIVOTDATA("Ano tombamento (inscrição)",$C$1,"Ano tombamento (inscrição)",1950)-GETPIVOTDATA("Ano Indeferimento",$E$1,"Ano Indeferimento",1950)</f>
        <v>#REF!</v>
      </c>
      <c r="J16" s="324" t="e">
        <f>1-(GETPIVOTDATA("Ano tombamento (inscrição)",$C$1,"Ano tombamento (inscrição)",1951)+GETPIVOTDATA("Ano Indeferimento",$E$1,"Ano Indeferimento",1951))/I16</f>
        <v>#REF!</v>
      </c>
      <c r="L16" s="319">
        <v>1959</v>
      </c>
      <c r="M16" s="320" t="e">
        <f>#VALUE!</f>
        <v>#VALUE!</v>
      </c>
      <c r="N16" s="319">
        <v>1959</v>
      </c>
      <c r="O16" s="320" t="e">
        <f>#VALUE!</f>
        <v>#VALUE!</v>
      </c>
    </row>
    <row r="17" ht="12.75">
      <c r="A17" s="313">
        <v>1952</v>
      </c>
      <c r="B17" s="314">
        <v>19</v>
      </c>
      <c r="C17" s="313">
        <v>1952</v>
      </c>
      <c r="D17" s="314">
        <v>9</v>
      </c>
      <c r="H17" s="313">
        <v>1952</v>
      </c>
      <c r="I17" t="e">
        <f>I16+GETPIVOTDATA("Ano de abertura",$A$1,"Ano de abertura",1952)-GETPIVOTDATA("Ano tombamento (inscrição)",$C$1,"Ano tombamento (inscrição)",1951)-GETPIVOTDATA("Ano Indeferimento",$E$1,"Ano Indeferimento",1951)</f>
        <v>#REF!</v>
      </c>
      <c r="J17" s="324" t="e">
        <f>1-(GETPIVOTDATA("Ano tombamento (inscrição)",$C$1,"Ano tombamento (inscrição)",1952)/I17)</f>
        <v>#REF!</v>
      </c>
      <c r="L17" s="319">
        <v>1960</v>
      </c>
      <c r="M17" s="320" t="e">
        <f>#VALUE!</f>
        <v>#VALUE!</v>
      </c>
      <c r="N17" s="319">
        <v>1960</v>
      </c>
      <c r="O17" s="320" t="e">
        <f>#VALUE!</f>
        <v>#VALUE!</v>
      </c>
    </row>
    <row r="18" ht="12.75">
      <c r="A18" s="313">
        <v>1953</v>
      </c>
      <c r="B18" s="314">
        <v>11</v>
      </c>
      <c r="C18" s="313">
        <v>1953</v>
      </c>
      <c r="D18" s="314">
        <v>5</v>
      </c>
      <c r="H18" s="313">
        <v>1953</v>
      </c>
      <c r="I18" t="e">
        <f>I17+GETPIVOTDATA("Ano de abertura",$A$1,"Ano de abertura",1953)-GETPIVOTDATA("Ano tombamento (inscrição)",$C$1,"Ano tombamento (inscrição)",1952)</f>
        <v>#REF!</v>
      </c>
      <c r="J18" s="324" t="e">
        <f>1-(GETPIVOTDATA("Ano tombamento (inscrição)",$C$1,"Ano tombamento (inscrição)",1953)/I18)</f>
        <v>#REF!</v>
      </c>
      <c r="L18" s="319">
        <v>1961</v>
      </c>
      <c r="M18" s="320" t="e">
        <f>#VALUE!</f>
        <v>#VALUE!</v>
      </c>
      <c r="N18" s="319">
        <v>1961</v>
      </c>
      <c r="O18" s="320" t="e">
        <f>#VALUE!</f>
        <v>#VALUE!</v>
      </c>
    </row>
    <row r="19" ht="12.75">
      <c r="A19" s="313">
        <v>1954</v>
      </c>
      <c r="B19" s="314">
        <v>14</v>
      </c>
      <c r="C19" s="313">
        <v>1954</v>
      </c>
      <c r="D19" s="314">
        <v>17</v>
      </c>
      <c r="H19" s="313">
        <v>1954</v>
      </c>
      <c r="I19" t="e">
        <f>I18+GETPIVOTDATA("Ano de abertura",$A$1,"Ano de abertura",1954)-GETPIVOTDATA("Ano tombamento (inscrição)",$C$1,"Ano tombamento (inscrição)",1953)</f>
        <v>#REF!</v>
      </c>
      <c r="J19" s="324" t="e">
        <f>1-(GETPIVOTDATA("Ano tombamento (inscrição)",$C$1,"Ano tombamento (inscrição)",1954)+GETPIVOTDATA("Ano Indeferimento",$E$1,"Ano Indeferimento",1954))/I19</f>
        <v>#REF!</v>
      </c>
      <c r="L19" s="319">
        <v>1962</v>
      </c>
      <c r="M19" s="320" t="e">
        <f>#VALUE!</f>
        <v>#VALUE!</v>
      </c>
      <c r="N19" s="319">
        <v>1962</v>
      </c>
      <c r="O19" s="320" t="e">
        <f>#VALUE!</f>
        <v>#VALUE!</v>
      </c>
    </row>
    <row r="20" ht="12.75">
      <c r="A20" s="313">
        <v>1955</v>
      </c>
      <c r="B20" s="314">
        <v>13</v>
      </c>
      <c r="C20" s="313">
        <v>1955</v>
      </c>
      <c r="D20" s="314">
        <v>19</v>
      </c>
      <c r="H20" s="313">
        <v>1955</v>
      </c>
      <c r="I20" t="e">
        <f>I19+GETPIVOTDATA("Ano de abertura",$A$1,"Ano de abertura",1955)-GETPIVOTDATA("Ano tombamento (inscrição)",$C$1,"Ano tombamento (inscrição)",1954)-GETPIVOTDATA("Ano Indeferimento",$E$1,"Ano Indeferimento",1954)</f>
        <v>#REF!</v>
      </c>
      <c r="J20" s="324" t="e">
        <f>1-(GETPIVOTDATA("Ano tombamento (inscrição)",$C$1,"Ano tombamento (inscrição)",1955)/I20)</f>
        <v>#REF!</v>
      </c>
      <c r="L20" s="319">
        <v>1963</v>
      </c>
      <c r="M20" s="320" t="e">
        <f>#VALUE!</f>
        <v>#VALUE!</v>
      </c>
      <c r="N20" s="319">
        <v>1963</v>
      </c>
      <c r="O20" s="320" t="e">
        <f>#VALUE!</f>
        <v>#VALUE!</v>
      </c>
    </row>
    <row r="21" ht="12.75">
      <c r="A21" s="313">
        <v>1956</v>
      </c>
      <c r="B21" s="314">
        <v>18</v>
      </c>
      <c r="C21" s="313">
        <v>1956</v>
      </c>
      <c r="D21" s="314">
        <v>3</v>
      </c>
      <c r="H21" s="313">
        <v>1956</v>
      </c>
      <c r="I21" t="e">
        <f>I20+GETPIVOTDATA("Ano de abertura",$A$1,"Ano de abertura",1956)-GETPIVOTDATA("Ano tombamento (inscrição)",$C$1,"Ano tombamento (inscrição)",1955)</f>
        <v>#REF!</v>
      </c>
      <c r="J21" s="324" t="e">
        <f>1-(GETPIVOTDATA("Ano tombamento (inscrição)",$C$1,"Ano tombamento (inscrição)",1956)+GETPIVOTDATA("Ano Indeferimento",$E$1,"Ano Indeferimento",1956))/I21</f>
        <v>#REF!</v>
      </c>
      <c r="L21" s="319">
        <v>1964</v>
      </c>
      <c r="M21" s="320" t="e">
        <f>#VALUE!</f>
        <v>#VALUE!</v>
      </c>
      <c r="N21" s="319">
        <v>1964</v>
      </c>
      <c r="O21" s="320" t="e">
        <f>#VALUE!</f>
        <v>#VALUE!</v>
      </c>
    </row>
    <row r="22" ht="12.75">
      <c r="A22" s="313">
        <v>1957</v>
      </c>
      <c r="B22" s="314">
        <v>14</v>
      </c>
      <c r="C22" s="313">
        <v>1957</v>
      </c>
      <c r="D22" s="314">
        <v>13</v>
      </c>
      <c r="H22" s="313">
        <v>1957</v>
      </c>
      <c r="I22" t="e">
        <f>I21+GETPIVOTDATA("Ano de abertura",$A$1,"Ano de abertura",1957)-GETPIVOTDATA("Ano tombamento (inscrição)",$C$1,"Ano tombamento (inscrição)",1956)-GETPIVOTDATA("Ano Indeferimento",$E$1,"Ano Indeferimento",1956)</f>
        <v>#REF!</v>
      </c>
      <c r="J22" s="324" t="e">
        <f>1-(GETPIVOTDATA("Ano tombamento (inscrição)",$C$1,"Ano tombamento (inscrição)",1957)/I22)</f>
        <v>#REF!</v>
      </c>
      <c r="L22" s="319">
        <v>1965</v>
      </c>
      <c r="M22" s="320" t="e">
        <f>#VALUE!</f>
        <v>#VALUE!</v>
      </c>
      <c r="N22" s="319">
        <v>1965</v>
      </c>
      <c r="O22" s="320" t="e">
        <f>#VALUE!</f>
        <v>#VALUE!</v>
      </c>
    </row>
    <row r="23" ht="12.75">
      <c r="A23" s="313">
        <v>1958</v>
      </c>
      <c r="B23" s="314">
        <v>19</v>
      </c>
      <c r="C23" s="313">
        <v>1958</v>
      </c>
      <c r="D23" s="314">
        <v>13</v>
      </c>
      <c r="H23" s="313">
        <v>1958</v>
      </c>
      <c r="I23" t="e">
        <f>I22+GETPIVOTDATA("Ano de abertura",$A$1,"Ano de abertura",1958)-GETPIVOTDATA("Ano tombamento (inscrição)",$C$1,"Ano tombamento (inscrição)",1957)</f>
        <v>#REF!</v>
      </c>
      <c r="J23" s="324" t="e">
        <f>1-(GETPIVOTDATA("Ano tombamento (inscrição)",$C$1,"Ano tombamento (inscrição)",1958)+GETPIVOTDATA("Ano Indeferimento",$E$1,"Ano Indeferimento",1958))/I23</f>
        <v>#REF!</v>
      </c>
      <c r="L23" s="319">
        <v>1966</v>
      </c>
      <c r="M23" s="320" t="e">
        <f>#VALUE!</f>
        <v>#VALUE!</v>
      </c>
      <c r="N23" s="319">
        <v>1966</v>
      </c>
      <c r="O23" s="320" t="e">
        <f>#VALUE!</f>
        <v>#VALUE!</v>
      </c>
    </row>
    <row r="24" ht="12.75">
      <c r="A24" s="313">
        <v>1959</v>
      </c>
      <c r="B24" s="314">
        <v>12</v>
      </c>
      <c r="C24" s="313">
        <v>1959</v>
      </c>
      <c r="D24" s="314">
        <v>16</v>
      </c>
      <c r="H24" s="313">
        <v>1959</v>
      </c>
      <c r="I24" t="e">
        <f>I23+GETPIVOTDATA("Ano de abertura",$A$1,"Ano de abertura",1959)-GETPIVOTDATA("Ano tombamento (inscrição)",$C$1,"Ano tombamento (inscrição)",1958)-GETPIVOTDATA("Ano Indeferimento",$E$1,"Ano Indeferimento",1958)</f>
        <v>#REF!</v>
      </c>
      <c r="J24" s="324" t="e">
        <f>1-(GETPIVOTDATA("Ano tombamento (inscrição)",$C$1,"Ano tombamento (inscrição)",1959)/I24)</f>
        <v>#REF!</v>
      </c>
      <c r="L24" s="319">
        <v>1967</v>
      </c>
      <c r="M24" s="320" t="e">
        <f>#VALUE!</f>
        <v>#VALUE!</v>
      </c>
      <c r="N24" s="319">
        <v>1967</v>
      </c>
      <c r="O24" s="320" t="e">
        <f>#VALUE!</f>
        <v>#VALUE!</v>
      </c>
    </row>
    <row r="25" ht="12.75">
      <c r="A25" s="313">
        <v>1960</v>
      </c>
      <c r="B25" s="314">
        <v>15</v>
      </c>
      <c r="C25" s="313">
        <v>1960</v>
      </c>
      <c r="D25" s="314">
        <v>8</v>
      </c>
      <c r="H25" s="313">
        <v>1960</v>
      </c>
      <c r="I25" t="e">
        <f>I24+GETPIVOTDATA("Ano de abertura",$A$1,"Ano de abertura",1960)-GETPIVOTDATA("Ano tombamento (inscrição)",$C$1,"Ano tombamento (inscrição)",1959)</f>
        <v>#REF!</v>
      </c>
      <c r="J25" s="324" t="e">
        <f>1-(GETPIVOTDATA("Ano tombamento (inscrição)",$C$1,"Ano tombamento (inscrição)",1960)/I25)</f>
        <v>#REF!</v>
      </c>
      <c r="L25" s="319">
        <v>1968</v>
      </c>
      <c r="M25" s="320" t="e">
        <f>#VALUE!</f>
        <v>#VALUE!</v>
      </c>
      <c r="N25" s="319">
        <v>1968</v>
      </c>
      <c r="O25" s="320" t="e">
        <f>#VALUE!</f>
        <v>#VALUE!</v>
      </c>
    </row>
    <row r="26" ht="12.75">
      <c r="A26" s="313">
        <v>1961</v>
      </c>
      <c r="B26" s="314">
        <v>30</v>
      </c>
      <c r="C26" s="313">
        <v>1961</v>
      </c>
      <c r="D26" s="314">
        <v>5</v>
      </c>
      <c r="H26" s="313">
        <v>1961</v>
      </c>
      <c r="I26" t="e">
        <f>I25+GETPIVOTDATA("Ano de abertura",$A$1,"Ano de abertura",1961)-GETPIVOTDATA("Ano tombamento (inscrição)",$C$1,"Ano tombamento (inscrição)",1960)</f>
        <v>#REF!</v>
      </c>
      <c r="J26" s="324" t="e">
        <f>1-(GETPIVOTDATA("Ano tombamento (inscrição)",$C$1,"Ano tombamento (inscrição)",1961)/I26)</f>
        <v>#REF!</v>
      </c>
      <c r="L26" s="319">
        <v>1969</v>
      </c>
      <c r="M26" s="320" t="e">
        <f>#VALUE!</f>
        <v>#VALUE!</v>
      </c>
      <c r="N26" s="319">
        <v>1969</v>
      </c>
      <c r="O26" s="320" t="e">
        <f>#VALUE!</f>
        <v>#VALUE!</v>
      </c>
    </row>
    <row r="27" ht="12.75">
      <c r="A27" s="313">
        <v>1962</v>
      </c>
      <c r="B27" s="314">
        <v>47</v>
      </c>
      <c r="C27" s="313">
        <v>1962</v>
      </c>
      <c r="D27" s="314">
        <v>34</v>
      </c>
      <c r="H27" s="313">
        <v>1962</v>
      </c>
      <c r="I27" t="e">
        <f>I26+GETPIVOTDATA("Ano de abertura",$A$1,"Ano de abertura",1962)-GETPIVOTDATA("Ano tombamento (inscrição)",$C$1,"Ano tombamento (inscrição)",1961)</f>
        <v>#REF!</v>
      </c>
      <c r="J27" s="324" t="e">
        <f>1-(GETPIVOTDATA("Ano tombamento (inscrição)",$C$1,"Ano tombamento (inscrição)",1962)+GETPIVOTDATA("Ano Indeferimento",$E$1,"Ano Indeferimento",1962))/I27</f>
        <v>#REF!</v>
      </c>
      <c r="L27" s="319">
        <v>1970</v>
      </c>
      <c r="M27" s="320" t="e">
        <f>#VALUE!</f>
        <v>#VALUE!</v>
      </c>
      <c r="N27" s="319">
        <v>1970</v>
      </c>
      <c r="O27" s="320" t="e">
        <f>#VALUE!</f>
        <v>#VALUE!</v>
      </c>
    </row>
    <row r="28" ht="12.75">
      <c r="A28" s="313">
        <v>1963</v>
      </c>
      <c r="B28" s="314">
        <v>39</v>
      </c>
      <c r="C28" s="313">
        <v>1963</v>
      </c>
      <c r="D28" s="314">
        <v>11</v>
      </c>
      <c r="H28" s="313">
        <v>1963</v>
      </c>
      <c r="I28" t="e">
        <f>I27+GETPIVOTDATA("Ano de abertura",$A$1,"Ano de abertura",1963)-GETPIVOTDATA("Ano tombamento (inscrição)",$C$1,"Ano tombamento (inscrição)",1962)-GETPIVOTDATA("Ano Indeferimento",$E$1,"Ano Indeferimento",1962)</f>
        <v>#REF!</v>
      </c>
      <c r="J28" s="324" t="e">
        <f>1-(GETPIVOTDATA("Ano tombamento (inscrição)",$C$1,"Ano tombamento (inscrição)",1963)/I28)</f>
        <v>#REF!</v>
      </c>
      <c r="L28" s="319">
        <v>1971</v>
      </c>
      <c r="M28" s="320" t="e">
        <f>#VALUE!</f>
        <v>#VALUE!</v>
      </c>
      <c r="N28" s="319">
        <v>1971</v>
      </c>
      <c r="O28" s="320" t="e">
        <f>#VALUE!</f>
        <v>#VALUE!</v>
      </c>
    </row>
    <row r="29" ht="12.75">
      <c r="A29" s="313">
        <v>1964</v>
      </c>
      <c r="B29" s="314">
        <v>29</v>
      </c>
      <c r="C29" s="313">
        <v>1964</v>
      </c>
      <c r="D29" s="314">
        <v>29</v>
      </c>
      <c r="H29" s="313">
        <v>1964</v>
      </c>
      <c r="I29" t="e">
        <f>I28+GETPIVOTDATA("Ano de abertura",$A$1,"Ano de abertura",1964)-GETPIVOTDATA("Ano tombamento (inscrição)",$C$1,"Ano tombamento (inscrição)",1963)</f>
        <v>#REF!</v>
      </c>
      <c r="J29" s="324" t="e">
        <f>1-(GETPIVOTDATA("Ano tombamento (inscrição)",$C$1,"Ano tombamento (inscrição)",1964)+GETPIVOTDATA("Ano Indeferimento",$E$1,"Ano Indeferimento",1964))/I29</f>
        <v>#REF!</v>
      </c>
      <c r="L29" s="319">
        <v>1972</v>
      </c>
      <c r="M29" s="320" t="e">
        <f>#VALUE!</f>
        <v>#VALUE!</v>
      </c>
      <c r="N29" s="319">
        <v>1972</v>
      </c>
      <c r="O29" s="320" t="e">
        <f>#VALUE!</f>
        <v>#VALUE!</v>
      </c>
    </row>
    <row r="30" ht="12.75">
      <c r="A30" s="313">
        <v>1965</v>
      </c>
      <c r="B30" s="314">
        <v>13</v>
      </c>
      <c r="C30" s="313">
        <v>1965</v>
      </c>
      <c r="D30" s="314">
        <v>12</v>
      </c>
      <c r="H30" s="313">
        <v>1965</v>
      </c>
      <c r="I30" t="e">
        <f>I29+GETPIVOTDATA("Ano de abertura",$A$1,"Ano de abertura",1965)-GETPIVOTDATA("Ano tombamento (inscrição)",$C$1,"Ano tombamento (inscrição)",1964)-GETPIVOTDATA("Ano Indeferimento",$E$1,"Ano Indeferimento",1964)</f>
        <v>#REF!</v>
      </c>
      <c r="J30" s="324" t="e">
        <f>1-(GETPIVOTDATA("Ano tombamento (inscrição)",$C$1,"Ano tombamento (inscrição)",1965)/I30)</f>
        <v>#REF!</v>
      </c>
      <c r="L30" s="319">
        <v>1973</v>
      </c>
      <c r="M30" s="320" t="e">
        <f>#VALUE!</f>
        <v>#VALUE!</v>
      </c>
      <c r="N30" s="319">
        <v>1973</v>
      </c>
      <c r="O30" s="320" t="e">
        <f>#VALUE!</f>
        <v>#VALUE!</v>
      </c>
    </row>
    <row r="31" ht="12.75">
      <c r="A31" s="313">
        <v>1966</v>
      </c>
      <c r="B31" s="314">
        <v>19</v>
      </c>
      <c r="C31" s="313">
        <v>1966</v>
      </c>
      <c r="D31" s="314">
        <v>7</v>
      </c>
      <c r="H31" s="313">
        <v>1966</v>
      </c>
      <c r="I31" t="e">
        <f>I30+GETPIVOTDATA("Ano de abertura",$A$1,"Ano de abertura",1966)-GETPIVOTDATA("Ano tombamento (inscrição)",$C$1,"Ano tombamento (inscrição)",1965)</f>
        <v>#REF!</v>
      </c>
      <c r="J31" s="324" t="e">
        <f>1-(GETPIVOTDATA("Ano tombamento (inscrição)",$C$1,"Ano tombamento (inscrição)",1966)+GETPIVOTDATA("Ano Indeferimento",$E$1,"Ano Indeferimento",1966))/I31</f>
        <v>#REF!</v>
      </c>
      <c r="L31" s="319">
        <v>1974</v>
      </c>
      <c r="M31" s="320" t="e">
        <f>#VALUE!</f>
        <v>#VALUE!</v>
      </c>
      <c r="N31" s="319">
        <v>1974</v>
      </c>
      <c r="O31" s="320" t="e">
        <f>#VALUE!</f>
        <v>#VALUE!</v>
      </c>
    </row>
    <row r="32" ht="12.75">
      <c r="A32" s="313">
        <v>1967</v>
      </c>
      <c r="B32" s="314">
        <v>20</v>
      </c>
      <c r="C32" s="313">
        <v>1967</v>
      </c>
      <c r="D32" s="314">
        <v>25</v>
      </c>
      <c r="H32" s="313">
        <v>1967</v>
      </c>
      <c r="I32" t="e">
        <f>I31+GETPIVOTDATA("Ano de abertura",$A$1,"Ano de abertura",1967)-GETPIVOTDATA("Ano tombamento (inscrição)",$C$1,"Ano tombamento (inscrição)",1966)-GETPIVOTDATA("Ano Indeferimento",$E$1,"Ano Indeferimento",1966)</f>
        <v>#REF!</v>
      </c>
      <c r="J32" s="324" t="e">
        <f>1-(GETPIVOTDATA("Ano tombamento (inscrição)",$C$1,"Ano tombamento (inscrição)",1967)+GETPIVOTDATA("Ano Indeferimento",$E$1,"Ano Indeferimento",1967))/I32</f>
        <v>#REF!</v>
      </c>
      <c r="L32" s="319">
        <v>1975</v>
      </c>
      <c r="M32" s="320" t="e">
        <f>#VALUE!</f>
        <v>#VALUE!</v>
      </c>
      <c r="N32" s="319">
        <v>1975</v>
      </c>
      <c r="O32" s="320" t="e">
        <f>#VALUE!</f>
        <v>#VALUE!</v>
      </c>
    </row>
    <row r="33" ht="12.75">
      <c r="A33" s="313">
        <v>1968</v>
      </c>
      <c r="B33" s="314">
        <v>11</v>
      </c>
      <c r="C33" s="313">
        <v>1968</v>
      </c>
      <c r="D33" s="314">
        <v>7</v>
      </c>
      <c r="H33" s="313">
        <v>1968</v>
      </c>
      <c r="I33" t="e">
        <f>I32+GETPIVOTDATA("Ano de abertura",$A$1,"Ano de abertura",1968)-GETPIVOTDATA("Ano tombamento (inscrição)",$C$1,"Ano tombamento (inscrição)",1967)-GETPIVOTDATA("Ano Indeferimento",$E$1,"Ano Indeferimento",1967)</f>
        <v>#REF!</v>
      </c>
      <c r="J33" s="324" t="e">
        <f>1-(GETPIVOTDATA("Ano tombamento (inscrição)",$C$1,"Ano tombamento (inscrição)",1968)+GETPIVOTDATA("Ano Indeferimento",$E$1,"Ano Indeferimento",1968))/I33</f>
        <v>#REF!</v>
      </c>
      <c r="L33" s="319">
        <v>1976</v>
      </c>
      <c r="M33" s="320" t="e">
        <f>#VALUE!</f>
        <v>#VALUE!</v>
      </c>
      <c r="N33" s="319">
        <v>1976</v>
      </c>
      <c r="O33" s="320" t="e">
        <f>#VALUE!</f>
        <v>#VALUE!</v>
      </c>
    </row>
    <row r="34" ht="12.75">
      <c r="A34" s="313">
        <v>1969</v>
      </c>
      <c r="B34" s="314">
        <v>17</v>
      </c>
      <c r="C34" s="313">
        <v>1969</v>
      </c>
      <c r="D34" s="314">
        <v>16</v>
      </c>
      <c r="H34" s="313">
        <v>1969</v>
      </c>
      <c r="I34" t="e">
        <f>I33+GETPIVOTDATA("Ano de abertura",$A$1,"Ano de abertura",1969)-GETPIVOTDATA("Ano tombamento (inscrição)",$C$1,"Ano tombamento (inscrição)",1968)-GETPIVOTDATA("Ano Indeferimento",$E$1,"Ano Indeferimento",1968)</f>
        <v>#REF!</v>
      </c>
      <c r="J34" s="324" t="e">
        <f>1-(GETPIVOTDATA("Ano tombamento (inscrição)",$C$1,"Ano tombamento (inscrição)",1969)+GETPIVOTDATA("Ano Indeferimento",$E$1,"Ano Indeferimento",1969))/I34</f>
        <v>#REF!</v>
      </c>
      <c r="L34" s="319">
        <v>1977</v>
      </c>
      <c r="M34" s="320" t="e">
        <f>#VALUE!</f>
        <v>#VALUE!</v>
      </c>
      <c r="N34" s="319">
        <v>1977</v>
      </c>
      <c r="O34" s="320" t="e">
        <f>#VALUE!</f>
        <v>#VALUE!</v>
      </c>
    </row>
    <row r="35" ht="12.75">
      <c r="A35" s="313">
        <v>1970</v>
      </c>
      <c r="B35" s="314">
        <v>7</v>
      </c>
      <c r="C35" s="313">
        <v>1970</v>
      </c>
      <c r="D35" s="314">
        <v>11</v>
      </c>
      <c r="H35" s="313">
        <v>1970</v>
      </c>
      <c r="I35" t="e">
        <f>I34+GETPIVOTDATA("Ano de abertura",$A$1,"Ano de abertura",1970)-GETPIVOTDATA("Ano tombamento (inscrição)",$C$1,"Ano tombamento (inscrição)",1969)-GETPIVOTDATA("Ano Indeferimento",$E$1,"Ano Indeferimento",1969)</f>
        <v>#REF!</v>
      </c>
      <c r="J35" s="324" t="e">
        <f>1-(GETPIVOTDATA("Ano tombamento (inscrição)",$C$1,"Ano tombamento (inscrição)",1970)+GETPIVOTDATA("Ano Indeferimento",$E$1,"Ano Indeferimento",1970))/I35</f>
        <v>#REF!</v>
      </c>
      <c r="L35" s="319">
        <v>1978</v>
      </c>
      <c r="M35" s="320" t="e">
        <f>#VALUE!</f>
        <v>#VALUE!</v>
      </c>
      <c r="N35" s="319">
        <v>1978</v>
      </c>
      <c r="O35" s="320" t="e">
        <f>#VALUE!</f>
        <v>#VALUE!</v>
      </c>
    </row>
    <row r="36" ht="12.75">
      <c r="A36" s="313">
        <v>1971</v>
      </c>
      <c r="B36" s="314">
        <v>17</v>
      </c>
      <c r="C36" s="313">
        <v>1971</v>
      </c>
      <c r="D36" s="314">
        <v>7</v>
      </c>
      <c r="H36" s="313">
        <v>1971</v>
      </c>
      <c r="I36" t="e">
        <f>I35+GETPIVOTDATA("Ano de abertura",$A$1,"Ano de abertura",1971)-GETPIVOTDATA("Ano tombamento (inscrição)",$C$1,"Ano tombamento (inscrição)",1970)-GETPIVOTDATA("Ano Indeferimento",$E$1,"Ano Indeferimento",1970)</f>
        <v>#REF!</v>
      </c>
      <c r="J36" s="324" t="e">
        <f>1-(GETPIVOTDATA("Ano tombamento (inscrição)",$C$1,"Ano tombamento (inscrição)",1971)+GETPIVOTDATA("Ano Indeferimento",$E$1,"Ano Indeferimento",1971))/I36</f>
        <v>#REF!</v>
      </c>
      <c r="L36" s="319">
        <v>1979</v>
      </c>
      <c r="M36" s="320" t="e">
        <f>#VALUE!</f>
        <v>#VALUE!</v>
      </c>
      <c r="N36" s="319">
        <v>1979</v>
      </c>
      <c r="O36" s="320" t="e">
        <f>#VALUE!</f>
        <v>#VALUE!</v>
      </c>
    </row>
    <row r="37" ht="12.75">
      <c r="A37" s="313">
        <v>1972</v>
      </c>
      <c r="B37" s="314">
        <v>18</v>
      </c>
      <c r="C37" s="313">
        <v>1972</v>
      </c>
      <c r="D37" s="314">
        <v>11</v>
      </c>
      <c r="H37" s="313">
        <v>1972</v>
      </c>
      <c r="I37" t="e">
        <f>I36+GETPIVOTDATA("Ano de abertura",$A$1,"Ano de abertura",1972)-GETPIVOTDATA("Ano tombamento (inscrição)",$C$1,"Ano tombamento (inscrição)",1971)-GETPIVOTDATA("Ano Indeferimento",$E$1,"Ano Indeferimento",1971)</f>
        <v>#REF!</v>
      </c>
      <c r="J37" s="324" t="e">
        <f>1-(GETPIVOTDATA("Ano tombamento (inscrição)",$C$1,"Ano tombamento (inscrição)",1972)/I37)</f>
        <v>#REF!</v>
      </c>
      <c r="L37" s="319">
        <v>1980</v>
      </c>
      <c r="M37" s="320" t="e">
        <f>#VALUE!</f>
        <v>#VALUE!</v>
      </c>
      <c r="N37" s="319">
        <v>1980</v>
      </c>
      <c r="O37" s="320" t="e">
        <f>#VALUE!</f>
        <v>#VALUE!</v>
      </c>
    </row>
    <row r="38" ht="12.75">
      <c r="A38" s="313">
        <v>1973</v>
      </c>
      <c r="B38" s="314">
        <v>32</v>
      </c>
      <c r="C38" s="313">
        <v>1973</v>
      </c>
      <c r="D38" s="314">
        <v>19</v>
      </c>
      <c r="H38" s="313">
        <v>1973</v>
      </c>
      <c r="I38" t="e">
        <f>I37+GETPIVOTDATA("Ano de abertura",$A$1,"Ano de abertura",1973)-GETPIVOTDATA("Ano tombamento (inscrição)",$C$1,"Ano tombamento (inscrição)",1972)</f>
        <v>#REF!</v>
      </c>
      <c r="J38" s="324" t="e">
        <f>1-(GETPIVOTDATA("Ano tombamento (inscrição)",$C$1,"Ano tombamento (inscrição)",1973)/I38)</f>
        <v>#REF!</v>
      </c>
      <c r="L38" s="319">
        <v>1981</v>
      </c>
      <c r="M38" s="320" t="e">
        <f>#VALUE!</f>
        <v>#VALUE!</v>
      </c>
      <c r="N38" s="319">
        <v>1981</v>
      </c>
      <c r="O38" s="320" t="e">
        <f>#VALUE!</f>
        <v>#VALUE!</v>
      </c>
    </row>
    <row r="39" ht="12.75">
      <c r="A39" s="313">
        <v>1974</v>
      </c>
      <c r="B39" s="314">
        <v>36</v>
      </c>
      <c r="C39" s="313">
        <v>1974</v>
      </c>
      <c r="D39" s="314">
        <v>16</v>
      </c>
      <c r="H39" s="313">
        <v>1974</v>
      </c>
      <c r="I39" t="e">
        <f>I38+GETPIVOTDATA("Ano de abertura",$A$1,"Ano de abertura",1974)-GETPIVOTDATA("Ano tombamento (inscrição)",$C$1,"Ano tombamento (inscrição)",1973)</f>
        <v>#REF!</v>
      </c>
      <c r="J39" s="324" t="e">
        <f>1-(GETPIVOTDATA("Ano tombamento (inscrição)",$C$1,"Ano tombamento (inscrição)",1974)/I39)</f>
        <v>#REF!</v>
      </c>
      <c r="L39" s="319">
        <v>1982</v>
      </c>
      <c r="M39" s="320" t="e">
        <f>#VALUE!</f>
        <v>#VALUE!</v>
      </c>
      <c r="N39" s="319">
        <v>1982</v>
      </c>
      <c r="O39" s="325">
        <v>1</v>
      </c>
    </row>
    <row r="40" ht="12.75">
      <c r="A40" s="313">
        <v>1975</v>
      </c>
      <c r="B40" s="314">
        <v>18</v>
      </c>
      <c r="C40" s="313">
        <v>1975</v>
      </c>
      <c r="D40" s="314">
        <v>5</v>
      </c>
      <c r="H40" s="313">
        <v>1975</v>
      </c>
      <c r="I40" t="e">
        <f>I39+GETPIVOTDATA("Ano de abertura",$A$1,"Ano de abertura",1975)-GETPIVOTDATA("Ano tombamento (inscrição)",$C$1,"Ano tombamento (inscrição)",1974)</f>
        <v>#REF!</v>
      </c>
      <c r="J40" s="324" t="e">
        <f>1-(GETPIVOTDATA("Ano tombamento (inscrição)",$C$1,"Ano tombamento (inscrição)",1975)+GETPIVOTDATA("Ano Indeferimento",$E$1,"Ano Indeferimento",1975))/I40</f>
        <v>#REF!</v>
      </c>
      <c r="L40" s="319">
        <v>1983</v>
      </c>
      <c r="M40" s="320" t="e">
        <f>#VALUE!</f>
        <v>#VALUE!</v>
      </c>
      <c r="N40" s="319">
        <v>1983</v>
      </c>
      <c r="O40" s="320" t="e">
        <f>#VALUE!</f>
        <v>#VALUE!</v>
      </c>
    </row>
    <row r="41" ht="12.75">
      <c r="A41" s="313">
        <v>1976</v>
      </c>
      <c r="B41" s="314">
        <v>15</v>
      </c>
      <c r="C41" s="313">
        <v>1976</v>
      </c>
      <c r="D41" s="314">
        <v>1</v>
      </c>
      <c r="H41" s="313">
        <v>1976</v>
      </c>
      <c r="I41" t="e">
        <f>I40+GETPIVOTDATA("Ano de abertura",$A$1,"Ano de abertura",1976)-GETPIVOTDATA("Ano tombamento (inscrição)",$C$1,"Ano tombamento (inscrição)",1975)-GETPIVOTDATA("Ano Indeferimento",$E$1,"Ano Indeferimento",1975)</f>
        <v>#REF!</v>
      </c>
      <c r="J41" s="324" t="e">
        <f>1-(GETPIVOTDATA("Ano tombamento (inscrição)",$C$1,"Ano tombamento (inscrição)",1976)+GETPIVOTDATA("Ano Indeferimento",$E$1,"Ano Indeferimento",1976))/I41</f>
        <v>#REF!</v>
      </c>
      <c r="L41" s="319">
        <v>1984</v>
      </c>
      <c r="M41" s="320" t="e">
        <f>#VALUE!</f>
        <v>#VALUE!</v>
      </c>
      <c r="N41" s="319">
        <v>1984</v>
      </c>
      <c r="O41" s="320" t="e">
        <f>#VALUE!</f>
        <v>#VALUE!</v>
      </c>
    </row>
    <row r="42" ht="12.75">
      <c r="A42" s="313">
        <v>1977</v>
      </c>
      <c r="B42" s="314">
        <v>18</v>
      </c>
      <c r="C42" s="313">
        <v>1977</v>
      </c>
      <c r="D42" s="314">
        <v>2</v>
      </c>
      <c r="H42" s="313">
        <v>1977</v>
      </c>
      <c r="I42" t="e">
        <f>I41+GETPIVOTDATA("Ano de abertura",$A$1,"Ano de abertura",1977)-GETPIVOTDATA("Ano tombamento (inscrição)",$C$1,"Ano tombamento (inscrição)",1976)-GETPIVOTDATA("Ano Indeferimento",$E$1,"Ano Indeferimento",1976)</f>
        <v>#REF!</v>
      </c>
      <c r="J42" s="324" t="e">
        <f>1-(GETPIVOTDATA("Ano tombamento (inscrição)",$C$1,"Ano tombamento (inscrição)",1977)+GETPIVOTDATA("Ano Indeferimento",$E$1,"Ano Indeferimento",1977))/I42</f>
        <v>#REF!</v>
      </c>
      <c r="L42" s="319">
        <v>1985</v>
      </c>
      <c r="M42" s="320" t="e">
        <f>#VALUE!</f>
        <v>#VALUE!</v>
      </c>
      <c r="N42" s="319">
        <v>1985</v>
      </c>
      <c r="O42" s="320" t="e">
        <f>#VALUE!</f>
        <v>#VALUE!</v>
      </c>
    </row>
    <row r="43" ht="12.75">
      <c r="A43" s="313">
        <v>1978</v>
      </c>
      <c r="B43" s="314">
        <v>28</v>
      </c>
      <c r="C43" s="313">
        <v>1978</v>
      </c>
      <c r="D43" s="314">
        <v>6</v>
      </c>
      <c r="H43" s="313">
        <v>1978</v>
      </c>
      <c r="I43" t="e">
        <f>I42+GETPIVOTDATA("Ano de abertura",$A$1,"Ano de abertura",1978)-GETPIVOTDATA("Ano tombamento (inscrição)",$C$1,"Ano tombamento (inscrição)",1977)-GETPIVOTDATA("Ano Indeferimento",$E$1,"Ano Indeferimento",1977)</f>
        <v>#REF!</v>
      </c>
      <c r="J43" s="324" t="e">
        <f>1-(GETPIVOTDATA("Ano tombamento (inscrição)",$C$1,"Ano tombamento (inscrição)",1978)+GETPIVOTDATA("Ano Indeferimento",$E$1,"Ano Indeferimento",1978))/I43</f>
        <v>#REF!</v>
      </c>
      <c r="L43" s="319">
        <v>1986</v>
      </c>
      <c r="M43" s="320" t="e">
        <f>#VALUE!</f>
        <v>#VALUE!</v>
      </c>
      <c r="N43" s="319">
        <v>1986</v>
      </c>
      <c r="O43" s="320" t="e">
        <f>#VALUE!</f>
        <v>#VALUE!</v>
      </c>
    </row>
    <row r="44" ht="12.75">
      <c r="A44" s="313">
        <v>1979</v>
      </c>
      <c r="B44" s="314">
        <v>20</v>
      </c>
      <c r="C44" s="313">
        <v>1979</v>
      </c>
      <c r="D44" s="314">
        <v>1</v>
      </c>
      <c r="H44" s="313">
        <v>1979</v>
      </c>
      <c r="I44" t="e">
        <f>I43+GETPIVOTDATA("Ano de abertura",$A$1,"Ano de abertura",1979)-GETPIVOTDATA("Ano tombamento (inscrição)",$C$1,"Ano tombamento (inscrição)",1978)-GETPIVOTDATA("Ano Indeferimento",$E$1,"Ano Indeferimento",1978)</f>
        <v>#REF!</v>
      </c>
      <c r="J44" s="324" t="e">
        <f>1-(GETPIVOTDATA("Ano tombamento (inscrição)",$C$1,"Ano tombamento (inscrição)",1979)+GETPIVOTDATA("Ano Indeferimento",$E$1,"Ano Indeferimento",1979))/I44</f>
        <v>#REF!</v>
      </c>
      <c r="L44" s="319">
        <v>1987</v>
      </c>
      <c r="M44" s="320" t="e">
        <f>#VALUE!</f>
        <v>#VALUE!</v>
      </c>
      <c r="N44" s="319">
        <v>1987</v>
      </c>
      <c r="O44" s="320" t="e">
        <f>#VALUE!</f>
        <v>#VALUE!</v>
      </c>
    </row>
    <row r="45" ht="12.75">
      <c r="A45" s="313">
        <v>1980</v>
      </c>
      <c r="B45" s="314">
        <v>29</v>
      </c>
      <c r="C45" s="313">
        <v>1980</v>
      </c>
      <c r="D45" s="314">
        <v>18</v>
      </c>
      <c r="H45" s="313">
        <v>1980</v>
      </c>
      <c r="I45" t="e">
        <f>I44+GETPIVOTDATA("Ano de abertura",$A$1,"Ano de abertura",1980)-GETPIVOTDATA("Ano tombamento (inscrição)",$C$1,"Ano tombamento (inscrição)",1979)-GETPIVOTDATA("Ano Indeferimento",$E$1,"Ano Indeferimento",1979)</f>
        <v>#REF!</v>
      </c>
      <c r="J45" s="324" t="e">
        <f>1-((GETPIVOTDATA("Ano tombamento (inscrição)",$C$1,"Ano tombamento (inscrição)",1980)+GETPIVOTDATA("Ano Indeferimento",$E$1,"Ano Indeferimento",1980)))/I45</f>
        <v>#REF!</v>
      </c>
      <c r="L45" s="319">
        <v>1988</v>
      </c>
      <c r="M45" s="320" t="e">
        <f>#VALUE!</f>
        <v>#VALUE!</v>
      </c>
      <c r="N45" s="319">
        <v>1988</v>
      </c>
      <c r="O45" s="320" t="e">
        <f>#VALUE!</f>
        <v>#VALUE!</v>
      </c>
    </row>
    <row r="46" ht="12.75">
      <c r="A46" s="313">
        <v>1981</v>
      </c>
      <c r="B46" s="314">
        <v>14</v>
      </c>
      <c r="C46" s="313">
        <v>1981</v>
      </c>
      <c r="D46" s="314">
        <v>10</v>
      </c>
      <c r="H46" s="313">
        <v>1981</v>
      </c>
      <c r="I46" t="e">
        <f>I45+GETPIVOTDATA("Ano de abertura",$A$1,"Ano de abertura",1981)-GETPIVOTDATA("Ano tombamento (inscrição)",$C$1,"Ano tombamento (inscrição)",1980)-GETPIVOTDATA("Ano Indeferimento",$E$1,"Ano Indeferimento",1980)</f>
        <v>#REF!</v>
      </c>
      <c r="J46" s="324" t="e">
        <f>1-((GETPIVOTDATA("Ano tombamento (inscrição)",$C$1,"Ano tombamento (inscrição)",1981)+GETPIVOTDATA("Ano Indeferimento",$E$1,"Ano Indeferimento",1981)))/I46</f>
        <v>#REF!</v>
      </c>
      <c r="L46" s="319">
        <v>1989</v>
      </c>
      <c r="M46" s="320" t="e">
        <f>#VALUE!</f>
        <v>#VALUE!</v>
      </c>
      <c r="N46" s="319">
        <v>1989</v>
      </c>
      <c r="O46" s="320" t="e">
        <f>#VALUE!</f>
        <v>#VALUE!</v>
      </c>
    </row>
    <row r="47" ht="12.75">
      <c r="A47" s="313">
        <v>1982</v>
      </c>
      <c r="B47" s="314">
        <v>20</v>
      </c>
      <c r="C47" s="313">
        <v>1983</v>
      </c>
      <c r="D47" s="314">
        <v>7</v>
      </c>
      <c r="H47" s="313">
        <v>1982</v>
      </c>
      <c r="I47" t="e">
        <f>I46+GETPIVOTDATA("Ano de abertura",$A$1,"Ano de abertura",1982)-GETPIVOTDATA("Ano tombamento (inscrição)",$C$1,"Ano tombamento (inscrição)",1981)-GETPIVOTDATA("Ano Indeferimento",$E$1,"Ano Indeferimento",1981)</f>
        <v>#REF!</v>
      </c>
      <c r="J47" s="326">
        <f>1-0</f>
        <v>1</v>
      </c>
      <c r="L47" s="319">
        <v>1990</v>
      </c>
      <c r="M47" s="320" t="e">
        <f>#VALUE!</f>
        <v>#VALUE!</v>
      </c>
      <c r="N47" s="319">
        <v>1990</v>
      </c>
      <c r="O47" s="320" t="e">
        <f>#VALUE!</f>
        <v>#VALUE!</v>
      </c>
    </row>
    <row r="48" ht="12.75">
      <c r="A48" s="313">
        <v>1983</v>
      </c>
      <c r="B48" s="314">
        <v>35</v>
      </c>
      <c r="C48" s="313">
        <v>1984</v>
      </c>
      <c r="D48" s="314">
        <v>14</v>
      </c>
      <c r="H48" s="313">
        <v>1983</v>
      </c>
      <c r="I48" t="e">
        <f>I47+GETPIVOTDATA("Ano de abertura",$A$1,"Ano de abertura",1983)</f>
        <v>#REF!</v>
      </c>
      <c r="J48" s="324" t="e">
        <f>1-(GETPIVOTDATA("Ano tombamento (inscrição)",$C$1,"Ano tombamento (inscrição)",1983)/I48)</f>
        <v>#REF!</v>
      </c>
      <c r="L48" s="319">
        <v>1991</v>
      </c>
      <c r="M48" s="320" t="e">
        <f>#VALUE!</f>
        <v>#VALUE!</v>
      </c>
      <c r="N48" s="319">
        <v>1991</v>
      </c>
      <c r="O48" s="325">
        <v>1</v>
      </c>
    </row>
    <row r="49" ht="12.75">
      <c r="A49" s="313">
        <v>1984</v>
      </c>
      <c r="B49" s="314">
        <v>27</v>
      </c>
      <c r="C49" s="313">
        <v>1985</v>
      </c>
      <c r="D49" s="314">
        <v>11</v>
      </c>
      <c r="H49" s="313">
        <v>1984</v>
      </c>
      <c r="I49" t="e">
        <f>I48+GETPIVOTDATA("Ano de abertura",$A$1,"Ano de abertura",1984)-GETPIVOTDATA("Ano tombamento (inscrição)",$C$1,"Ano tombamento (inscrição)",1983)</f>
        <v>#REF!</v>
      </c>
      <c r="J49" s="324" t="e">
        <f>1-(GETPIVOTDATA("Ano tombamento (inscrição)",$C$1,"Ano tombamento (inscrição)",1984)/I49)</f>
        <v>#REF!</v>
      </c>
      <c r="L49" s="319">
        <v>1992</v>
      </c>
      <c r="M49" s="320" t="e">
        <f>#VALUE!</f>
        <v>#VALUE!</v>
      </c>
      <c r="N49" s="319">
        <v>1992</v>
      </c>
      <c r="O49" s="325">
        <v>1</v>
      </c>
    </row>
    <row r="50" ht="12.75">
      <c r="A50" s="313">
        <v>1985</v>
      </c>
      <c r="B50" s="314">
        <v>55</v>
      </c>
      <c r="C50" s="313">
        <v>1986</v>
      </c>
      <c r="D50" s="314">
        <v>17</v>
      </c>
      <c r="H50" s="313">
        <v>1985</v>
      </c>
      <c r="I50" t="e">
        <f>I49+GETPIVOTDATA("Ano de abertura",$A$1,"Ano de abertura",1985)-GETPIVOTDATA("Ano tombamento (inscrição)",$C$1,"Ano tombamento (inscrição)",1984)</f>
        <v>#REF!</v>
      </c>
      <c r="J50" s="324" t="e">
        <f>1-((GETPIVOTDATA("Ano tombamento (inscrição)",$C$1,"Ano tombamento (inscrição)",1985)+GETPIVOTDATA("Ano Indeferimento",$E$1,"Ano Indeferimento",1985))/I50)</f>
        <v>#REF!</v>
      </c>
      <c r="L50" s="319">
        <v>1993</v>
      </c>
      <c r="M50" s="320" t="e">
        <f>#VALUE!</f>
        <v>#VALUE!</v>
      </c>
      <c r="N50" s="319">
        <v>1993</v>
      </c>
      <c r="O50" s="320" t="e">
        <f>#VALUE!</f>
        <v>#VALUE!</v>
      </c>
    </row>
    <row r="51" ht="12.75">
      <c r="A51" s="313">
        <v>1986</v>
      </c>
      <c r="B51" s="314">
        <v>28</v>
      </c>
      <c r="C51" s="313">
        <v>1987</v>
      </c>
      <c r="D51" s="314">
        <v>10</v>
      </c>
      <c r="H51" s="313">
        <v>1986</v>
      </c>
      <c r="I51" t="e">
        <f>I50+GETPIVOTDATA("Ano de abertura",$A$1,"Ano de abertura",1986)-GETPIVOTDATA("Ano tombamento (inscrição)",$C$1,"Ano tombamento (inscrição)",1985)-GETPIVOTDATA("Ano Indeferimento",$E$1,"Ano Indeferimento",1985)</f>
        <v>#REF!</v>
      </c>
      <c r="J51" s="324" t="e">
        <f>1-((GETPIVOTDATA("Ano tombamento (inscrição)",$C$1,"Ano tombamento (inscrição)",1986)+GETPIVOTDATA("Ano Indeferimento",$E$1,"Ano Indeferimento",1986))/I51)</f>
        <v>#REF!</v>
      </c>
      <c r="L51" s="319">
        <v>1994</v>
      </c>
      <c r="M51" s="320" t="e">
        <f>#VALUE!</f>
        <v>#VALUE!</v>
      </c>
      <c r="N51" s="319">
        <v>1994</v>
      </c>
      <c r="O51" s="320" t="e">
        <f>#VALUE!</f>
        <v>#VALUE!</v>
      </c>
    </row>
    <row r="52" ht="12.75">
      <c r="A52" s="313">
        <v>1987</v>
      </c>
      <c r="B52" s="314">
        <v>45</v>
      </c>
      <c r="C52" s="313">
        <v>1988</v>
      </c>
      <c r="D52" s="314">
        <v>8</v>
      </c>
      <c r="H52" s="313">
        <v>1987</v>
      </c>
      <c r="I52" t="e">
        <f>I51+GETPIVOTDATA("Ano de abertura",$A$1,"Ano de abertura",1987)-GETPIVOTDATA("Ano tombamento (inscrição)",$C$1,"Ano tombamento (inscrição)",1986)-GETPIVOTDATA("Ano Indeferimento",$E$1,"Ano Indeferimento",1986)</f>
        <v>#REF!</v>
      </c>
      <c r="J52" s="324" t="e">
        <f>1-((GETPIVOTDATA("Ano tombamento (inscrição)",$C$1,"Ano tombamento (inscrição)",1987)+GETPIVOTDATA("Ano Indeferimento",$E$1,"Ano Indeferimento",1987))/I52)</f>
        <v>#REF!</v>
      </c>
      <c r="L52" s="319">
        <v>1995</v>
      </c>
      <c r="M52" s="320" t="e">
        <f>#VALUE!</f>
        <v>#VALUE!</v>
      </c>
      <c r="N52" s="319">
        <v>1995</v>
      </c>
      <c r="O52" s="320" t="e">
        <f>#VALUE!</f>
        <v>#VALUE!</v>
      </c>
    </row>
    <row r="53" ht="12.75">
      <c r="A53" s="313">
        <v>1988</v>
      </c>
      <c r="B53" s="314">
        <v>27</v>
      </c>
      <c r="C53" s="313">
        <v>1989</v>
      </c>
      <c r="D53" s="314">
        <v>1</v>
      </c>
      <c r="H53" s="313">
        <v>1988</v>
      </c>
      <c r="I53" t="e">
        <f>I52+GETPIVOTDATA("Ano de abertura",$A$1,"Ano de abertura",1988)-GETPIVOTDATA("Ano tombamento (inscrição)",$C$1,"Ano tombamento (inscrição)",1987)-GETPIVOTDATA("Ano Indeferimento",$E$1,"Ano Indeferimento",1987)</f>
        <v>#REF!</v>
      </c>
      <c r="J53" s="324" t="e">
        <f>1-((GETPIVOTDATA("Ano tombamento (inscrição)",$C$1,"Ano tombamento (inscrição)",1988)+GETPIVOTDATA("Ano Indeferimento",$E$1,"Ano Indeferimento",1988))/I53)</f>
        <v>#REF!</v>
      </c>
      <c r="L53" s="319">
        <v>1996</v>
      </c>
      <c r="M53" s="320" t="e">
        <f>#VALUE!</f>
        <v>#VALUE!</v>
      </c>
      <c r="N53" s="319">
        <v>1996</v>
      </c>
      <c r="O53" s="320" t="e">
        <f>#VALUE!</f>
        <v>#VALUE!</v>
      </c>
    </row>
    <row r="54" ht="12.75">
      <c r="A54" s="313">
        <v>1989</v>
      </c>
      <c r="B54" s="314">
        <v>18</v>
      </c>
      <c r="C54" s="313">
        <v>1990</v>
      </c>
      <c r="D54" s="314">
        <v>6</v>
      </c>
      <c r="H54" s="313">
        <v>1989</v>
      </c>
      <c r="I54" t="e">
        <f>I53+GETPIVOTDATA("Ano de abertura",$A$1,"Ano de abertura",1989)-GETPIVOTDATA("Ano tombamento (inscrição)",$C$1,"Ano tombamento (inscrição)",1988)-GETPIVOTDATA("Ano Indeferimento",$E$1,"Ano Indeferimento",1988)</f>
        <v>#REF!</v>
      </c>
      <c r="J54" s="324" t="e">
        <f>1-((GETPIVOTDATA("Ano tombamento (inscrição)",$C$1,"Ano tombamento (inscrição)",1989)+GETPIVOTDATA("Ano Indeferimento",$E$1,"Ano Indeferimento",1989))/I54)</f>
        <v>#REF!</v>
      </c>
      <c r="L54" s="319">
        <v>1997</v>
      </c>
      <c r="M54" s="320" t="e">
        <f>#VALUE!</f>
        <v>#VALUE!</v>
      </c>
      <c r="N54" s="319">
        <v>1997</v>
      </c>
      <c r="O54" s="320" t="e">
        <f>#VALUE!</f>
        <v>#VALUE!</v>
      </c>
    </row>
    <row r="55" ht="12.75">
      <c r="A55" s="313">
        <v>1990</v>
      </c>
      <c r="B55" s="314">
        <v>17</v>
      </c>
      <c r="C55" s="313">
        <v>1993</v>
      </c>
      <c r="D55" s="314">
        <v>5</v>
      </c>
      <c r="H55" s="313">
        <v>1990</v>
      </c>
      <c r="I55" t="e">
        <f>I54+GETPIVOTDATA("Ano de abertura",$A$1,"Ano de abertura",1990)-GETPIVOTDATA("Ano tombamento (inscrição)",$C$1,"Ano tombamento (inscrição)",1989)-GETPIVOTDATA("Ano Indeferimento",$E$1,"Ano Indeferimento",1989)</f>
        <v>#REF!</v>
      </c>
      <c r="J55" s="324" t="e">
        <f>1-((GETPIVOTDATA("Ano tombamento (inscrição)",$C$1,"Ano tombamento (inscrição)",1990)+GETPIVOTDATA("Ano Indeferimento",$E$1,"Ano Indeferimento",1990))/I55)</f>
        <v>#REF!</v>
      </c>
      <c r="L55" s="319">
        <v>1998</v>
      </c>
      <c r="M55" s="320" t="e">
        <f>#VALUE!</f>
        <v>#VALUE!</v>
      </c>
      <c r="N55" s="319">
        <v>1998</v>
      </c>
      <c r="O55" s="320" t="e">
        <f>#VALUE!</f>
        <v>#VALUE!</v>
      </c>
    </row>
    <row r="56" ht="12.75">
      <c r="A56" s="313">
        <v>1991</v>
      </c>
      <c r="B56" s="314">
        <v>3</v>
      </c>
      <c r="C56" s="313">
        <v>1994</v>
      </c>
      <c r="D56" s="314">
        <v>2</v>
      </c>
      <c r="H56" s="313">
        <v>1991</v>
      </c>
      <c r="I56" t="e">
        <f>I55+GETPIVOTDATA("Ano de abertura",$A$1,"Ano de abertura",1991)-GETPIVOTDATA("Ano tombamento (inscrição)",$C$1,"Ano tombamento (inscrição)",1990)-GETPIVOTDATA("Ano Indeferimento",$E$1,"Ano Indeferimento",1990)</f>
        <v>#REF!</v>
      </c>
      <c r="J56" s="324">
        <f t="shared" ref="J56:J57" si="42">1-(0)</f>
        <v>1</v>
      </c>
      <c r="L56" s="319">
        <v>1999</v>
      </c>
      <c r="M56" s="320" t="e">
        <f>#VALUE!</f>
        <v>#VALUE!</v>
      </c>
      <c r="N56" s="319">
        <v>1999</v>
      </c>
      <c r="O56" s="320" t="e">
        <f>#VALUE!</f>
        <v>#VALUE!</v>
      </c>
    </row>
    <row r="57" ht="12.75">
      <c r="A57" s="313">
        <v>1992</v>
      </c>
      <c r="B57" s="314">
        <v>4</v>
      </c>
      <c r="C57" s="313">
        <v>1996</v>
      </c>
      <c r="D57" s="314">
        <v>6</v>
      </c>
      <c r="H57" s="313">
        <v>1992</v>
      </c>
      <c r="I57" t="e">
        <f>I56+GETPIVOTDATA("Ano de abertura",$A$1,"Ano de abertura",1992)</f>
        <v>#REF!</v>
      </c>
      <c r="J57" s="324">
        <f t="shared" si="42"/>
        <v>1</v>
      </c>
      <c r="L57" s="319">
        <v>2000</v>
      </c>
      <c r="M57" s="320" t="e">
        <f>#VALUE!</f>
        <v>#VALUE!</v>
      </c>
      <c r="N57" s="319">
        <v>2000</v>
      </c>
      <c r="O57" s="320" t="e">
        <f>#VALUE!</f>
        <v>#VALUE!</v>
      </c>
    </row>
    <row r="58" ht="12.75">
      <c r="A58" s="313">
        <v>1993</v>
      </c>
      <c r="B58" s="314">
        <v>7</v>
      </c>
      <c r="C58" s="313">
        <v>1997</v>
      </c>
      <c r="D58" s="314">
        <v>2</v>
      </c>
      <c r="H58" s="313">
        <v>1993</v>
      </c>
      <c r="I58" t="e">
        <f>I57+GETPIVOTDATA("Ano de abertura",$A$1,"Ano de abertura",1993)</f>
        <v>#REF!</v>
      </c>
      <c r="J58" s="324" t="e">
        <f>1-((GETPIVOTDATA("Ano tombamento (inscrição)",$C$1,"Ano tombamento (inscrição)",1993)+GETPIVOTDATA("Ano Indeferimento",$E$1,"Ano Indeferimento",1993))/I58)</f>
        <v>#REF!</v>
      </c>
      <c r="L58" s="319">
        <v>2001</v>
      </c>
      <c r="M58" s="320" t="e">
        <f>#VALUE!</f>
        <v>#VALUE!</v>
      </c>
      <c r="N58" s="319">
        <v>2001</v>
      </c>
      <c r="O58" s="320" t="e">
        <f>#VALUE!</f>
        <v>#VALUE!</v>
      </c>
    </row>
    <row r="59" ht="12.75">
      <c r="A59" s="313">
        <v>1994</v>
      </c>
      <c r="B59" s="314">
        <v>9</v>
      </c>
      <c r="C59" s="313">
        <v>1998</v>
      </c>
      <c r="D59" s="314">
        <v>9</v>
      </c>
      <c r="H59" s="313">
        <v>1994</v>
      </c>
      <c r="I59" t="e">
        <f>I58+GETPIVOTDATA("Ano de abertura",$A$1,"Ano de abertura",1994)-GETPIVOTDATA("Ano tombamento (inscrição)",$C$1,"Ano tombamento (inscrição)",1993)-GETPIVOTDATA("Ano Indeferimento",$E$1,"Ano Indeferimento",1993)</f>
        <v>#REF!</v>
      </c>
      <c r="J59" s="324" t="e">
        <f>1-(GETPIVOTDATA("Ano tombamento (inscrição)",$C$1,"Ano tombamento (inscrição)",1994)/I59)</f>
        <v>#REF!</v>
      </c>
      <c r="L59" s="319">
        <v>2002</v>
      </c>
      <c r="M59" s="320" t="e">
        <f>#VALUE!</f>
        <v>#VALUE!</v>
      </c>
      <c r="N59" s="319">
        <v>2002</v>
      </c>
      <c r="O59" s="320" t="e">
        <f>#VALUE!</f>
        <v>#VALUE!</v>
      </c>
    </row>
    <row r="60" ht="12.75">
      <c r="A60" s="313">
        <v>1995</v>
      </c>
      <c r="B60" s="314">
        <v>22</v>
      </c>
      <c r="C60" s="313">
        <v>1999</v>
      </c>
      <c r="D60" s="314">
        <v>4</v>
      </c>
      <c r="H60" s="313">
        <v>1995</v>
      </c>
      <c r="I60" t="e">
        <f>I59+GETPIVOTDATA("Ano de abertura",$A$1,"Ano de abertura",1995)-GETPIVOTDATA("Ano tombamento (inscrição)",$C$1,"Ano tombamento (inscrição)",1994)</f>
        <v>#REF!</v>
      </c>
      <c r="J60" s="324" t="e">
        <f>1-((GETPIVOTDATA("Ano Indeferimento",$E$1,"Ano Indeferimento",1993))/I60)</f>
        <v>#REF!</v>
      </c>
      <c r="L60" s="319">
        <v>2003</v>
      </c>
      <c r="M60" s="320" t="e">
        <f>#VALUE!</f>
        <v>#VALUE!</v>
      </c>
      <c r="N60" s="319">
        <v>2003</v>
      </c>
      <c r="O60" s="320" t="e">
        <f>#VALUE!</f>
        <v>#VALUE!</v>
      </c>
    </row>
    <row r="61" ht="12.75">
      <c r="A61" s="313">
        <v>1996</v>
      </c>
      <c r="B61" s="314">
        <v>14</v>
      </c>
      <c r="C61" s="313">
        <v>2000</v>
      </c>
      <c r="D61" s="314">
        <v>8</v>
      </c>
      <c r="H61" s="313">
        <v>1996</v>
      </c>
      <c r="I61" t="e">
        <f>I60+GETPIVOTDATA("Ano de abertura",$A$1,"Ano de abertura",1996)-GETPIVOTDATA("Ano Indeferimento",$E$1,"Ano Indeferimento",1995)</f>
        <v>#REF!</v>
      </c>
      <c r="J61" s="324" t="e">
        <f>1-(GETPIVOTDATA("Ano tombamento (inscrição)",$C$1,"Ano tombamento (inscrição)",1996)/I61)</f>
        <v>#REF!</v>
      </c>
      <c r="L61" s="319">
        <v>2004</v>
      </c>
      <c r="M61" s="320" t="e">
        <f>#VALUE!</f>
        <v>#VALUE!</v>
      </c>
      <c r="N61" s="319">
        <v>2004</v>
      </c>
      <c r="O61" s="320" t="e">
        <f>#VALUE!</f>
        <v>#VALUE!</v>
      </c>
    </row>
    <row r="62" ht="12.75">
      <c r="A62" s="313">
        <v>1997</v>
      </c>
      <c r="B62" s="314">
        <v>30</v>
      </c>
      <c r="C62" s="313">
        <v>2001</v>
      </c>
      <c r="D62" s="314">
        <v>3</v>
      </c>
      <c r="H62" s="313">
        <v>1997</v>
      </c>
      <c r="I62" t="e">
        <f>I61+GETPIVOTDATA("Ano de abertura",$A$1,"Ano de abertura",1997)-GETPIVOTDATA("Ano tombamento (inscrição)",$C$1,"Ano tombamento (inscrição)",1996)</f>
        <v>#REF!</v>
      </c>
      <c r="J62" s="324" t="e">
        <f>1-((GETPIVOTDATA("Ano tombamento (inscrição)",$C$1,"Ano tombamento (inscrição)",1997)+GETPIVOTDATA("Ano Indeferimento",$E$1,"Ano Indeferimento",1997))/I62)</f>
        <v>#REF!</v>
      </c>
      <c r="L62" s="319">
        <v>2005</v>
      </c>
      <c r="M62" s="320" t="e">
        <f>#VALUE!</f>
        <v>#VALUE!</v>
      </c>
      <c r="N62" s="319">
        <v>2005</v>
      </c>
      <c r="O62" s="320" t="e">
        <f>#VALUE!</f>
        <v>#VALUE!</v>
      </c>
    </row>
    <row r="63" ht="12.75">
      <c r="A63" s="313">
        <v>1998</v>
      </c>
      <c r="B63" s="314">
        <v>31</v>
      </c>
      <c r="C63" s="313">
        <v>2002</v>
      </c>
      <c r="D63" s="314">
        <v>2</v>
      </c>
      <c r="H63" s="313">
        <v>1998</v>
      </c>
      <c r="I63" t="e">
        <f>I62+GETPIVOTDATA("Ano de abertura",$A$1,"Ano de abertura",1998)-GETPIVOTDATA("Ano tombamento (inscrição)",$C$1,"Ano tombamento (inscrição)",1997)-GETPIVOTDATA("Ano Indeferimento",$E$1,"Ano Indeferimento",1997)</f>
        <v>#REF!</v>
      </c>
      <c r="J63" s="324" t="e">
        <f>1-((GETPIVOTDATA("Ano tombamento (inscrição)",$C$1,"Ano tombamento (inscrição)",1998)+GETPIVOTDATA("Ano Indeferimento",$E$1,"Ano Indeferimento",1998))/I63)</f>
        <v>#REF!</v>
      </c>
      <c r="L63" s="319">
        <v>2006</v>
      </c>
      <c r="M63" s="320" t="e">
        <f>#VALUE!</f>
        <v>#VALUE!</v>
      </c>
      <c r="N63" s="319">
        <v>2006</v>
      </c>
      <c r="O63" s="320" t="e">
        <f>#VALUE!</f>
        <v>#VALUE!</v>
      </c>
    </row>
    <row r="64" ht="12.75">
      <c r="A64" s="313">
        <v>1999</v>
      </c>
      <c r="B64" s="314">
        <v>19</v>
      </c>
      <c r="C64" s="313">
        <v>2003</v>
      </c>
      <c r="D64" s="314">
        <v>6</v>
      </c>
      <c r="H64" s="313">
        <v>1999</v>
      </c>
      <c r="I64" t="e">
        <f>I63+GETPIVOTDATA("Ano de abertura",$A$1,"Ano de abertura",1999)-GETPIVOTDATA("Ano tombamento (inscrição)",$C$1,"Ano tombamento (inscrição)",1998)-GETPIVOTDATA("Ano Indeferimento",$E$1,"Ano Indeferimento",1998)</f>
        <v>#REF!</v>
      </c>
      <c r="J64" s="324" t="e">
        <f>1-((GETPIVOTDATA("Ano tombamento (inscrição)",$C$1,"Ano tombamento (inscrição)",1999)+GETPIVOTDATA("Ano Indeferimento",$E$1,"Ano Indeferimento",1999))/I64)</f>
        <v>#REF!</v>
      </c>
      <c r="L64" s="319">
        <v>2007</v>
      </c>
      <c r="M64" s="320" t="e">
        <f>#VALUE!</f>
        <v>#VALUE!</v>
      </c>
      <c r="N64" s="319">
        <v>2007</v>
      </c>
      <c r="O64" s="320" t="e">
        <f>#VALUE!</f>
        <v>#VALUE!</v>
      </c>
    </row>
    <row r="65" ht="12.75">
      <c r="A65" s="313">
        <v>2000</v>
      </c>
      <c r="B65" s="314">
        <v>14</v>
      </c>
      <c r="C65" s="313">
        <v>2004</v>
      </c>
      <c r="D65" s="314">
        <v>7</v>
      </c>
      <c r="H65" s="313">
        <v>2000</v>
      </c>
      <c r="I65" t="e">
        <f>I64+GETPIVOTDATA("Ano de abertura",$A$1,"Ano de abertura",2000)-GETPIVOTDATA("Ano tombamento (inscrição)",$C$1,"Ano tombamento (inscrição)",1999)-GETPIVOTDATA("Ano Indeferimento",$E$1,"Ano Indeferimento",1999)</f>
        <v>#REF!</v>
      </c>
      <c r="J65" s="324" t="e">
        <f>1-((GETPIVOTDATA("Ano tombamento (inscrição)",$C$1,"Ano tombamento (inscrição)",2000))/I65)</f>
        <v>#REF!</v>
      </c>
      <c r="L65" s="319">
        <v>2008</v>
      </c>
      <c r="M65" s="320" t="e">
        <f>#VALUE!</f>
        <v>#VALUE!</v>
      </c>
      <c r="N65" s="319">
        <v>2008</v>
      </c>
      <c r="O65" s="320" t="e">
        <f>#VALUE!</f>
        <v>#VALUE!</v>
      </c>
    </row>
    <row r="66" ht="12.75">
      <c r="A66" s="313">
        <v>2001</v>
      </c>
      <c r="B66" s="314">
        <v>16</v>
      </c>
      <c r="C66" s="313">
        <v>2005</v>
      </c>
      <c r="D66" s="314">
        <v>6</v>
      </c>
      <c r="H66" s="313">
        <v>2001</v>
      </c>
      <c r="I66" t="e">
        <f>I65+GETPIVOTDATA("Ano de abertura",$A$1,"Ano de abertura",2001)-GETPIVOTDATA("Ano tombamento (inscrição)",$C$1,"Ano tombamento (inscrição)",2000)</f>
        <v>#REF!</v>
      </c>
      <c r="J66" s="324" t="e">
        <f>1-((GETPIVOTDATA("Ano tombamento (inscrição)",$C$1,"Ano tombamento (inscrição)",2001))/I66)</f>
        <v>#REF!</v>
      </c>
      <c r="L66" s="319">
        <v>2009</v>
      </c>
      <c r="M66" s="320" t="e">
        <f>#VALUE!</f>
        <v>#VALUE!</v>
      </c>
      <c r="N66" s="319">
        <v>2009</v>
      </c>
      <c r="O66" s="320" t="e">
        <f>#VALUE!</f>
        <v>#VALUE!</v>
      </c>
    </row>
    <row r="67" ht="12.75">
      <c r="A67" s="313">
        <v>2002</v>
      </c>
      <c r="B67" s="314">
        <v>18</v>
      </c>
      <c r="C67" s="313">
        <v>2006</v>
      </c>
      <c r="D67" s="314">
        <v>2</v>
      </c>
      <c r="H67" s="313">
        <v>2002</v>
      </c>
      <c r="I67" t="e">
        <f>I66+GETPIVOTDATA("Ano de abertura",$A$1,"Ano de abertura",2002)-GETPIVOTDATA("Ano tombamento (inscrição)",$C$1,"Ano tombamento (inscrição)",2001)</f>
        <v>#REF!</v>
      </c>
      <c r="J67" s="324" t="e">
        <f>1-((GETPIVOTDATA("Ano tombamento (inscrição)",$C$1,"Ano tombamento (inscrição)",2002))/I67)</f>
        <v>#REF!</v>
      </c>
      <c r="L67" s="319">
        <v>2010</v>
      </c>
      <c r="M67" s="320" t="e">
        <f>#VALUE!</f>
        <v>#VALUE!</v>
      </c>
      <c r="N67" s="319">
        <v>2010</v>
      </c>
      <c r="O67" s="320" t="e">
        <f>#VALUE!</f>
        <v>#VALUE!</v>
      </c>
    </row>
    <row r="68" ht="12.75">
      <c r="A68" s="313">
        <v>2003</v>
      </c>
      <c r="B68" s="314">
        <v>9</v>
      </c>
      <c r="C68" s="313">
        <v>2008</v>
      </c>
      <c r="D68" s="314">
        <v>10</v>
      </c>
      <c r="H68" s="313">
        <v>2003</v>
      </c>
      <c r="I68" t="e">
        <f>I67+GETPIVOTDATA("Ano de abertura",$A$1,"Ano de abertura",2003)-GETPIVOTDATA("Ano tombamento (inscrição)",$C$1,"Ano tombamento (inscrição)",2002)</f>
        <v>#REF!</v>
      </c>
      <c r="J68" s="324" t="e">
        <f>1-((GETPIVOTDATA("Ano tombamento (inscrição)",$C$1,"Ano tombamento (inscrição)",2003)+GETPIVOTDATA("Ano Indeferimento",$E$1,"Ano Indeferimento",2003))/I68)</f>
        <v>#REF!</v>
      </c>
      <c r="L68" s="319">
        <v>2011</v>
      </c>
      <c r="M68" s="320" t="e">
        <f>#VALUE!</f>
        <v>#VALUE!</v>
      </c>
      <c r="N68" s="319">
        <v>2011</v>
      </c>
      <c r="O68" s="320" t="e">
        <f>#VALUE!</f>
        <v>#VALUE!</v>
      </c>
    </row>
    <row r="69" ht="12.75">
      <c r="A69" s="313">
        <v>2004</v>
      </c>
      <c r="B69" s="314">
        <v>7</v>
      </c>
      <c r="C69" s="313">
        <v>2009</v>
      </c>
      <c r="D69" s="314">
        <v>3</v>
      </c>
      <c r="H69" s="313">
        <v>2004</v>
      </c>
      <c r="I69" t="e">
        <f>I68+GETPIVOTDATA("Ano de abertura",$A$1,"Ano de abertura",2004)-GETPIVOTDATA("Ano tombamento (inscrição)",$C$1,"Ano tombamento (inscrição)",2003)-GETPIVOTDATA("Ano Indeferimento",$E$1,"Ano Indeferimento",2003)</f>
        <v>#REF!</v>
      </c>
      <c r="J69" s="324" t="e">
        <f>1-((GETPIVOTDATA("Ano tombamento (inscrição)",$C$1,"Ano tombamento (inscrição)",2004)+GETPIVOTDATA("Ano Indeferimento",$E$1,"Ano Indeferimento",2004))/I69)</f>
        <v>#REF!</v>
      </c>
      <c r="L69" s="319">
        <v>2012</v>
      </c>
      <c r="M69" s="320" t="e">
        <f>#VALUE!</f>
        <v>#VALUE!</v>
      </c>
      <c r="N69" s="319">
        <v>2012</v>
      </c>
      <c r="O69" s="320" t="e">
        <f>#VALUE!</f>
        <v>#VALUE!</v>
      </c>
    </row>
    <row r="70" ht="12.75">
      <c r="A70" s="313">
        <v>2005</v>
      </c>
      <c r="B70" s="314">
        <v>7</v>
      </c>
      <c r="C70" s="313">
        <v>2011</v>
      </c>
      <c r="D70" s="314">
        <v>9</v>
      </c>
      <c r="H70" s="313">
        <v>2005</v>
      </c>
      <c r="I70" t="e">
        <f>I69+GETPIVOTDATA("Ano de abertura",$A$1,"Ano de abertura",2005)-GETPIVOTDATA("Ano tombamento (inscrição)",$C$1,"Ano tombamento (inscrição)",2004)-GETPIVOTDATA("Ano Indeferimento",$E$1,"Ano Indeferimento",2004)</f>
        <v>#REF!</v>
      </c>
      <c r="J70" s="324" t="e">
        <f>1-((GETPIVOTDATA("Ano tombamento (inscrição)",$C$1,"Ano tombamento (inscrição)",2005)+GETPIVOTDATA("Ano Indeferimento",$E$1,"Ano Indeferimento",2005))/I70)</f>
        <v>#REF!</v>
      </c>
      <c r="L70" s="319">
        <v>2013</v>
      </c>
      <c r="M70" s="320" t="e">
        <f>#VALUE!</f>
        <v>#VALUE!</v>
      </c>
      <c r="N70" s="319">
        <v>2013</v>
      </c>
      <c r="O70" s="320" t="e">
        <f>#VALUE!</f>
        <v>#VALUE!</v>
      </c>
    </row>
    <row r="71" ht="12.75">
      <c r="A71" s="313">
        <v>2006</v>
      </c>
      <c r="B71" s="314">
        <v>10</v>
      </c>
      <c r="C71" s="313">
        <v>2012</v>
      </c>
      <c r="D71" s="314">
        <v>16</v>
      </c>
      <c r="H71" s="313">
        <v>2006</v>
      </c>
      <c r="I71" t="e">
        <f>I70+GETPIVOTDATA("Ano de abertura",$A$1,"Ano de abertura",2006)-GETPIVOTDATA("Ano tombamento (inscrição)",$C$1,"Ano tombamento (inscrição)",2005)-GETPIVOTDATA("Ano Indeferimento",$E$1,"Ano Indeferimento",2005)</f>
        <v>#REF!</v>
      </c>
      <c r="J71" s="324" t="e">
        <f>1-((GETPIVOTDATA("Ano tombamento (inscrição)",$C$1,"Ano tombamento (inscrição)",2006))/I71)</f>
        <v>#REF!</v>
      </c>
      <c r="L71" s="319">
        <v>2014</v>
      </c>
      <c r="M71" s="320" t="e">
        <f>#VALUE!</f>
        <v>#VALUE!</v>
      </c>
      <c r="N71" s="319">
        <v>2014</v>
      </c>
      <c r="O71" s="320" t="e">
        <f>#VALUE!</f>
        <v>#VALUE!</v>
      </c>
    </row>
    <row r="72" ht="12.75">
      <c r="A72" s="313">
        <v>2007</v>
      </c>
      <c r="B72" s="314">
        <v>107</v>
      </c>
      <c r="C72" s="313">
        <v>2013</v>
      </c>
      <c r="D72" s="314">
        <v>19</v>
      </c>
      <c r="H72" s="313">
        <v>2007</v>
      </c>
      <c r="I72" t="e">
        <f>I71+GETPIVOTDATA("Ano de abertura",$A$1,"Ano de abertura",2007)-GETPIVOTDATA("Ano tombamento (inscrição)",$C$1,"Ano tombamento (inscrição)",2006)</f>
        <v>#REF!</v>
      </c>
      <c r="J72" s="324" t="e">
        <f>1-((GETPIVOTDATA("Ano Indeferimento",$E$1,"Ano Indeferimento",2007))/I72)</f>
        <v>#REF!</v>
      </c>
      <c r="L72" s="319">
        <v>2015</v>
      </c>
      <c r="M72" s="320" t="e">
        <f>#VALUE!</f>
        <v>#VALUE!</v>
      </c>
      <c r="N72" s="319">
        <v>2015</v>
      </c>
      <c r="O72" s="320" t="e">
        <f>#VALUE!</f>
        <v>#VALUE!</v>
      </c>
    </row>
    <row r="73" ht="12.75">
      <c r="A73" s="313">
        <v>2008</v>
      </c>
      <c r="B73" s="314">
        <v>37</v>
      </c>
      <c r="C73" s="313">
        <v>2014</v>
      </c>
      <c r="D73" s="314">
        <v>9</v>
      </c>
      <c r="H73" s="313">
        <v>2008</v>
      </c>
      <c r="I73" t="e">
        <f>I72+GETPIVOTDATA("Ano de abertura",$A$1,"Ano de abertura",2008)-GETPIVOTDATA("Ano Indeferimento",$E$1,"Ano Indeferimento",2007)</f>
        <v>#REF!</v>
      </c>
      <c r="J73" s="324" t="e">
        <f>1-((GETPIVOTDATA("Ano tombamento (inscrição)",$C$1,"Ano tombamento (inscrição)",2008)+GETPIVOTDATA("Ano Indeferimento",$E$1,"Ano Indeferimento",2008))/I73)</f>
        <v>#REF!</v>
      </c>
      <c r="L73" s="319">
        <v>2016</v>
      </c>
      <c r="M73" s="320" t="e">
        <f>#VALUE!</f>
        <v>#VALUE!</v>
      </c>
      <c r="N73" s="319">
        <v>2016</v>
      </c>
      <c r="O73" s="320" t="e">
        <f>#VALUE!</f>
        <v>#VALUE!</v>
      </c>
    </row>
    <row r="74" ht="12.75">
      <c r="A74" s="313">
        <v>2009</v>
      </c>
      <c r="B74" s="314">
        <v>17</v>
      </c>
      <c r="C74" s="313">
        <v>2015</v>
      </c>
      <c r="D74" s="314">
        <v>75</v>
      </c>
      <c r="H74" s="313">
        <v>2009</v>
      </c>
      <c r="I74" t="e">
        <f>I73+GETPIVOTDATA("Ano de abertura",$A$1,"Ano de abertura",2009)-GETPIVOTDATA("Ano tombamento (inscrição)",$C$1,"Ano tombamento (inscrição)",2008)-GETPIVOTDATA("Ano Indeferimento",$E$1,"Ano Indeferimento",2008)</f>
        <v>#REF!</v>
      </c>
      <c r="J74" s="324" t="e">
        <f>1-((GETPIVOTDATA("Ano tombamento (inscrição)",$C$1,"Ano tombamento (inscrição)",2009)+GETPIVOTDATA("Ano Indeferimento",$E$1,"Ano Indeferimento",2009))/I74)</f>
        <v>#REF!</v>
      </c>
      <c r="L74" s="319">
        <v>2017</v>
      </c>
      <c r="M74" s="320" t="e">
        <f>#VALUE!</f>
        <v>#VALUE!</v>
      </c>
      <c r="N74" s="319">
        <v>2017</v>
      </c>
      <c r="O74" s="320" t="e">
        <f>#VALUE!</f>
        <v>#VALUE!</v>
      </c>
    </row>
    <row r="75" ht="12.75">
      <c r="A75" s="313">
        <v>2010</v>
      </c>
      <c r="B75" s="314">
        <v>42</v>
      </c>
      <c r="C75" s="313">
        <v>2016</v>
      </c>
      <c r="D75" s="314">
        <v>6</v>
      </c>
      <c r="H75" s="313">
        <v>2010</v>
      </c>
      <c r="I75" t="e">
        <f>I74+GETPIVOTDATA("Ano de abertura",$A$1,"Ano de abertura",2010)-GETPIVOTDATA("Ano tombamento (inscrição)",$C$1,"Ano tombamento (inscrição)",2009)-GETPIVOTDATA("Ano Indeferimento",$E$1,"Ano Indeferimento",2009)</f>
        <v>#REF!</v>
      </c>
      <c r="J75" s="324" t="e">
        <f>1-((GETPIVOTDATA("Ano Indeferimento",$E$1,"Ano Indeferimento",2010))/I75)</f>
        <v>#REF!</v>
      </c>
      <c r="L75" s="319">
        <v>2018</v>
      </c>
      <c r="M75" s="320" t="e">
        <f>#VALUE!</f>
        <v>#VALUE!</v>
      </c>
      <c r="N75" s="319">
        <v>2018</v>
      </c>
      <c r="O75" s="320" t="e">
        <f>#VALUE!</f>
        <v>#VALUE!</v>
      </c>
    </row>
    <row r="76" ht="12.75">
      <c r="A76" s="313">
        <v>2011</v>
      </c>
      <c r="B76" s="314">
        <v>22</v>
      </c>
      <c r="C76" s="313">
        <v>2017</v>
      </c>
      <c r="D76" s="314">
        <v>4</v>
      </c>
      <c r="H76" s="313">
        <v>2011</v>
      </c>
      <c r="I76" t="e">
        <f>I75+GETPIVOTDATA("Ano de abertura",$A$1,"Ano de abertura",2011)-GETPIVOTDATA("Ano Indeferimento",$E$1,"Ano Indeferimento",2010)</f>
        <v>#REF!</v>
      </c>
      <c r="J76" s="324" t="e">
        <f>1-((GETPIVOTDATA("Ano tombamento (inscrição)",$C$1,"Ano tombamento (inscrição)",2011)+GETPIVOTDATA("Ano Indeferimento",$E$1,"Ano Indeferimento",2011))/I76)</f>
        <v>#REF!</v>
      </c>
      <c r="L76" s="319">
        <v>2019</v>
      </c>
      <c r="M76" s="320" t="e">
        <f>#VALUE!</f>
        <v>#VALUE!</v>
      </c>
      <c r="N76" s="319">
        <v>2019</v>
      </c>
      <c r="O76" s="320" t="e">
        <f>#VALUE!</f>
        <v>#VALUE!</v>
      </c>
    </row>
    <row r="77" ht="12.75">
      <c r="A77" s="313">
        <v>2012</v>
      </c>
      <c r="B77" s="314">
        <v>24</v>
      </c>
      <c r="C77" s="313">
        <v>2018</v>
      </c>
      <c r="D77" s="314">
        <v>3</v>
      </c>
      <c r="H77" s="313">
        <v>2012</v>
      </c>
      <c r="I77" t="e">
        <f>I76+GETPIVOTDATA("Ano de abertura",$A$1,"Ano de abertura",2012)-GETPIVOTDATA("Ano tombamento (inscrição)",$C$1,"Ano tombamento (inscrição)",2011)-GETPIVOTDATA("Ano Indeferimento",$E$1,"Ano Indeferimento",2011)</f>
        <v>#REF!</v>
      </c>
      <c r="J77" s="324" t="e">
        <f>1-((GETPIVOTDATA("Ano tombamento (inscrição)",$C$1,"Ano tombamento (inscrição)",2012)+GETPIVOTDATA("Ano Indeferimento",$E$1,"Ano Indeferimento",2012))/I77)</f>
        <v>#REF!</v>
      </c>
      <c r="L77" s="319">
        <v>2020</v>
      </c>
      <c r="M77" s="320" t="e">
        <f>#VALUE!</f>
        <v>#VALUE!</v>
      </c>
      <c r="N77" s="319">
        <v>2020</v>
      </c>
      <c r="O77" s="320" t="e">
        <f>#VALUE!</f>
        <v>#VALUE!</v>
      </c>
    </row>
    <row r="78" ht="12.75">
      <c r="A78" s="313">
        <v>2013</v>
      </c>
      <c r="B78" s="314">
        <v>17</v>
      </c>
      <c r="C78" s="313">
        <v>2019</v>
      </c>
      <c r="D78" s="314">
        <v>24</v>
      </c>
      <c r="H78" s="313">
        <v>2013</v>
      </c>
      <c r="I78" t="e">
        <f>I77+GETPIVOTDATA("Ano de abertura",$A$1,"Ano de abertura",2013)-GETPIVOTDATA("Ano tombamento (inscrição)",$C$1,"Ano tombamento (inscrição)",2012)-GETPIVOTDATA("Ano Indeferimento",$E$1,"Ano Indeferimento",2012)</f>
        <v>#REF!</v>
      </c>
      <c r="J78" s="324" t="e">
        <f>1-((GETPIVOTDATA("Ano tombamento (inscrição)",$C$1,"Ano tombamento (inscrição)",2013)+GETPIVOTDATA("Ano Indeferimento",$E$1,"Ano Indeferimento",2013))/I78)</f>
        <v>#REF!</v>
      </c>
      <c r="L78" s="319" t="s">
        <v>7873</v>
      </c>
      <c r="M78" s="327"/>
      <c r="N78" s="319" t="s">
        <v>7873</v>
      </c>
      <c r="O78" s="327"/>
    </row>
    <row r="79" ht="12.75">
      <c r="A79" s="313">
        <v>2014</v>
      </c>
      <c r="B79" s="314">
        <v>44</v>
      </c>
      <c r="C79" s="313" t="s">
        <v>7873</v>
      </c>
      <c r="D79" s="314">
        <v>0</v>
      </c>
      <c r="H79" s="313">
        <v>2014</v>
      </c>
      <c r="I79" t="e">
        <f>I78+GETPIVOTDATA("Ano de abertura",$A$1,"Ano de abertura",2014)-GETPIVOTDATA("Ano tombamento (inscrição)",$C$1,"Ano tombamento (inscrição)",2013)-GETPIVOTDATA("Ano Indeferimento",$E$1,"Ano Indeferimento",2013)</f>
        <v>#REF!</v>
      </c>
      <c r="J79" s="324" t="e">
        <f>1-((GETPIVOTDATA("Ano tombamento (inscrição)",$C$1,"Ano tombamento (inscrição)",2014)+GETPIVOTDATA("Ano Indeferimento",$E$1,"Ano Indeferimento",2014))/I79)</f>
        <v>#REF!</v>
      </c>
      <c r="L79" s="328" t="s">
        <v>7874</v>
      </c>
      <c r="M79" s="329" t="e">
        <f>#VALUE!</f>
        <v>#VALUE!</v>
      </c>
      <c r="N79" s="328" t="s">
        <v>7874</v>
      </c>
      <c r="O79" s="329" t="e">
        <f>#VALUE!</f>
        <v>#VALUE!</v>
      </c>
    </row>
    <row r="80" ht="12.75">
      <c r="A80" s="313">
        <v>2015</v>
      </c>
      <c r="B80" s="314">
        <v>45</v>
      </c>
      <c r="C80" s="313" t="s">
        <v>62</v>
      </c>
      <c r="D80" s="314">
        <v>1</v>
      </c>
      <c r="H80" s="313">
        <v>2015</v>
      </c>
      <c r="I80" t="e">
        <f>I79+GETPIVOTDATA("Ano de abertura",$A$1,"Ano de abertura",2015)-GETPIVOTDATA("Ano tombamento (inscrição)",$C$1,"Ano tombamento (inscrição)",2014)-GETPIVOTDATA("Ano Indeferimento",$E$1,"Ano Indeferimento",2014)</f>
        <v>#REF!</v>
      </c>
      <c r="J80" s="324" t="e">
        <f>1-((GETPIVOTDATA("Ano tombamento (inscrição)",$C$1,"Ano tombamento (inscrição)",2015)+GETPIVOTDATA("Ano Indeferimento",$E$1,"Ano Indeferimento",2015))/I80)</f>
        <v>#REF!</v>
      </c>
    </row>
    <row r="81" ht="12.75">
      <c r="A81" s="313">
        <v>2016</v>
      </c>
      <c r="B81" s="314">
        <v>38</v>
      </c>
      <c r="C81" s="330" t="s">
        <v>7821</v>
      </c>
      <c r="D81" s="331">
        <v>1221</v>
      </c>
      <c r="H81" s="313">
        <v>2016</v>
      </c>
      <c r="I81" t="e">
        <f>I80+GETPIVOTDATA("Ano de abertura",$A$1,"Ano de abertura",2016)-GETPIVOTDATA("Ano tombamento (inscrição)",$C$1,"Ano tombamento (inscrição)",2015)-GETPIVOTDATA("Ano Indeferimento",$E$1,"Ano Indeferimento",2015)</f>
        <v>#REF!</v>
      </c>
      <c r="J81" s="324" t="e">
        <f>1-((GETPIVOTDATA("Ano tombamento (inscrição)",$C$1,"Ano tombamento (inscrição)",2016)+GETPIVOTDATA("Ano Indeferimento",$E$1,"Ano Indeferimento",2016))/I81)</f>
        <v>#REF!</v>
      </c>
    </row>
    <row r="82" ht="12.75">
      <c r="A82" s="313">
        <v>2017</v>
      </c>
      <c r="B82" s="314">
        <v>22</v>
      </c>
      <c r="H82" s="313">
        <v>2017</v>
      </c>
      <c r="I82" t="e">
        <f>I81+GETPIVOTDATA("Ano de abertura",$A$1,"Ano de abertura",2017)-GETPIVOTDATA("Ano tombamento (inscrição)",$C$1,"Ano tombamento (inscrição)",2016)-GETPIVOTDATA("Ano Indeferimento",$E$1,"Ano Indeferimento",2016)</f>
        <v>#REF!</v>
      </c>
      <c r="J82" s="324" t="e">
        <f>1-((GETPIVOTDATA("Ano tombamento (inscrição)",$C$1,"Ano tombamento (inscrição)",2017))/I82)</f>
        <v>#REF!</v>
      </c>
    </row>
    <row r="83" ht="12.75">
      <c r="A83" s="313">
        <v>2018</v>
      </c>
      <c r="B83" s="314">
        <v>32</v>
      </c>
      <c r="H83" s="313">
        <v>2018</v>
      </c>
      <c r="I83" t="e">
        <f>I82+GETPIVOTDATA("Ano de abertura",$A$1,"Ano de abertura",2018)-GETPIVOTDATA("Ano tombamento (inscrição)",$C$1,"Ano tombamento (inscrição)",2017)</f>
        <v>#REF!</v>
      </c>
      <c r="J83" s="324" t="e">
        <f>1-((GETPIVOTDATA("Ano tombamento (inscrição)",$C$1,"Ano tombamento (inscrição)",2018)+GETPIVOTDATA("Ano Indeferimento",$E$1,"Ano Indeferimento",2018))/I83)</f>
        <v>#REF!</v>
      </c>
    </row>
    <row r="84" ht="12.75">
      <c r="A84" s="313">
        <v>2019</v>
      </c>
      <c r="B84" s="314">
        <v>26</v>
      </c>
      <c r="H84" s="313">
        <v>2019</v>
      </c>
      <c r="I84" t="e">
        <f>I83+GETPIVOTDATA("Ano de abertura",$A$1,"Ano de abertura",2019)-GETPIVOTDATA("Ano tombamento (inscrição)",$C$1,"Ano tombamento (inscrição)",2018)-GETPIVOTDATA("Ano Indeferimento",$E$1,"Ano Indeferimento",2018)</f>
        <v>#REF!</v>
      </c>
      <c r="J84" s="324" t="e">
        <f t="shared" ref="J84:J85" si="43">1-((GETPIVOTDATA("Ano tombamento (inscrição)",$C$1,"Ano tombamento (inscrição)",2019)+GETPIVOTDATA("Ano Indeferimento",$E$1,"Ano Indeferimento",2019))/I84)</f>
        <v>#REF!</v>
      </c>
    </row>
    <row r="85" ht="12.75">
      <c r="A85" s="313">
        <v>2020</v>
      </c>
      <c r="B85" s="314">
        <v>40</v>
      </c>
      <c r="H85" s="313">
        <v>2020</v>
      </c>
      <c r="I85" t="e">
        <f>I84+GETPIVOTDATA("Ano de abertura",$A$1,"Ano de abertura",2020)-GETPIVOTDATA("Ano tombamento (inscrição)",$C$1,"Ano tombamento (inscrição)",2019)-GETPIVOTDATA("Ano Indeferimento",$E$1,"Ano Indeferimento",2019)</f>
        <v>#REF!</v>
      </c>
      <c r="J85" s="324" t="e">
        <f t="shared" si="43"/>
        <v>#REF!</v>
      </c>
    </row>
    <row r="86" ht="12.75">
      <c r="A86" s="313" t="s">
        <v>7873</v>
      </c>
      <c r="B86" s="314"/>
    </row>
    <row r="87" ht="12.75">
      <c r="A87" s="313">
        <v>2021</v>
      </c>
      <c r="B87" s="314">
        <v>6</v>
      </c>
    </row>
    <row r="88" ht="12.75">
      <c r="A88" s="330" t="s">
        <v>7821</v>
      </c>
      <c r="B88" s="331">
        <v>2225</v>
      </c>
    </row>
  </sheetData>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1"/>
  </sheetPr>
  <sheetViews>
    <sheetView showFormulas="0" showGridLines="1" showRowColHeaders="1" showZeros="1" rightToLeft="0" view="normal" topLeftCell="I1" zoomScale="100" workbookViewId="0">
      <selection activeCell="Y173" activeCellId="0" sqref="Y173"/>
    </sheetView>
  </sheetViews>
  <sheetFormatPr defaultColWidth="22.1484375" defaultRowHeight="12.75"/>
  <cols>
    <col customWidth="1" min="1" max="1" style="0" width="28.710000000000001"/>
    <col customWidth="1" min="2" max="4" style="0" width="22"/>
    <col customWidth="1" min="5" max="5" style="0" width="11.140000000000001"/>
    <col customWidth="1" min="6" max="10" style="0" width="21.57"/>
    <col customWidth="1" min="11" max="11" style="0" width="11.140000000000001"/>
    <col customWidth="1" min="12" max="12" style="0" width="13.859999999999999"/>
    <col customWidth="1" min="13" max="13" style="0" width="16.289999999999999"/>
    <col customWidth="1" min="14" max="17" style="0" width="13.57"/>
    <col customWidth="1" min="18" max="18" style="0" width="16.43"/>
    <col customWidth="1" min="19" max="26" style="0" width="14.57"/>
    <col customWidth="1" min="27" max="27" style="0" width="17"/>
    <col customWidth="1" min="28" max="31" style="0" width="16.850000000000001"/>
    <col customWidth="1" min="32" max="32" style="0" width="19.420000000000002"/>
    <col customWidth="1" min="33" max="35" style="0" width="16.850000000000001"/>
    <col customWidth="1" min="36" max="36" style="0" width="19.710000000000001"/>
    <col customWidth="1" min="37" max="40" style="0" width="17.420000000000002"/>
    <col customWidth="1" min="41" max="41" style="0" width="19.859999999999999"/>
    <col customWidth="1" min="42" max="43" style="0" width="11.140000000000001"/>
    <col customWidth="1" min="44" max="48" style="0" width="18.289999999999999"/>
    <col customWidth="1" min="49" max="49" style="0" width="11.140000000000001"/>
    <col customWidth="1" min="50" max="76" style="0" width="16.57"/>
    <col customWidth="1" min="77" max="77" style="0" width="11.140000000000001"/>
    <col customWidth="1" min="78" max="82" style="0" width="16.57"/>
    <col customWidth="1" min="83" max="83" style="0" width="11.140000000000001"/>
    <col customWidth="1" min="84" max="108" style="0" width="11.289999999999999"/>
    <col customWidth="1" min="109" max="109" style="0" width="16.289999999999999"/>
    <col customWidth="1" min="110" max="123" style="0" width="11.85"/>
    <col customWidth="1" min="124" max="124" style="0" width="16.43"/>
    <col customWidth="1" min="125" max="139" style="0" width="12.859999999999999"/>
    <col customWidth="1" min="140" max="140" style="0" width="17"/>
    <col customWidth="1" min="141" max="147" style="0" width="10.289999999999999"/>
    <col customWidth="1" min="148" max="148" style="0" width="19.420000000000002"/>
    <col customWidth="1" min="149" max="150" style="0" width="10.289999999999999"/>
    <col customWidth="1" min="151" max="151" style="0" width="19.710000000000001"/>
    <col customWidth="1" min="152" max="174" style="0" width="10.85"/>
    <col customWidth="1" min="175" max="175" style="0" width="19.859999999999999"/>
    <col customWidth="1" min="176" max="176" style="0" width="6"/>
    <col customWidth="1" min="177" max="180" style="0" width="15.710000000000001"/>
    <col customWidth="1" min="181" max="181" style="0" width="9.5700000000000003"/>
    <col customWidth="1" min="182" max="185" style="0" width="15.710000000000001"/>
    <col customWidth="1" min="186" max="186" style="0" width="9.5700000000000003"/>
    <col customWidth="1" min="187" max="189" style="0" width="15.710000000000001"/>
    <col customWidth="1" min="190" max="190" style="0" width="9.5700000000000003"/>
    <col customWidth="1" min="191" max="194" style="0" width="15.42"/>
    <col customWidth="1" min="195" max="195" style="0" width="9.5700000000000003"/>
    <col customWidth="1" min="196" max="198" style="0" width="15.710000000000001"/>
    <col customWidth="1" min="199" max="199" style="0" width="9.5700000000000003"/>
    <col customWidth="1" min="200" max="201" style="0" width="15.42"/>
    <col customWidth="1" min="202" max="202" style="0" width="9.5700000000000003"/>
    <col customWidth="1" min="203" max="204" style="0" width="14.859999999999999"/>
    <col customWidth="1" min="205" max="205" style="0" width="9.5700000000000003"/>
    <col customWidth="1" min="206" max="210" style="0" width="15.710000000000001"/>
    <col customWidth="1" min="211" max="211" style="0" width="9.5700000000000003"/>
    <col customWidth="1" min="212" max="215" style="0" width="15.42"/>
    <col customWidth="1" min="216" max="216" style="0" width="9.5700000000000003"/>
    <col customWidth="1" min="217" max="218" style="0" width="14.859999999999999"/>
    <col customWidth="1" min="219" max="219" style="0" width="9.5700000000000003"/>
    <col customWidth="1" min="220" max="225" style="0" width="15.42"/>
    <col customWidth="1" min="226" max="226" style="0" width="9.5700000000000003"/>
    <col customWidth="1" min="227" max="228" style="0" width="15.42"/>
    <col customWidth="1" min="229" max="229" style="0" width="9.5700000000000003"/>
    <col customWidth="1" min="230" max="234" style="0" width="15.42"/>
    <col customWidth="1" min="235" max="235" style="0" width="9.5700000000000003"/>
    <col customWidth="1" min="236" max="236" style="0" width="11.85"/>
    <col customWidth="1" min="237" max="237" style="0" width="9.5700000000000003"/>
    <col customWidth="1" min="238" max="238" style="0" width="11.85"/>
    <col customWidth="1" min="239" max="239" style="0" width="9.5700000000000003"/>
    <col customWidth="1" min="240" max="241" style="0" width="15.710000000000001"/>
    <col customWidth="1" min="242" max="242" style="0" width="10.85"/>
    <col customWidth="1" min="243" max="243" style="0" width="11.140000000000001"/>
  </cols>
  <sheetData>
    <row r="2" ht="12.75">
      <c r="A2" s="332" t="s">
        <v>7875</v>
      </c>
      <c r="B2" s="332"/>
      <c r="C2" s="332"/>
      <c r="D2" s="332"/>
      <c r="E2" s="332"/>
    </row>
    <row r="3" ht="12.75">
      <c r="A3" s="306" t="s">
        <v>7876</v>
      </c>
      <c r="B3" s="306" t="s">
        <v>10</v>
      </c>
      <c r="C3" s="308"/>
      <c r="D3" s="308"/>
      <c r="E3" s="309"/>
    </row>
    <row r="4" s="333" customFormat="1" ht="12.75">
      <c r="A4" s="334" t="s">
        <v>7</v>
      </c>
      <c r="B4" s="335" t="s">
        <v>53</v>
      </c>
      <c r="C4" s="336" t="s">
        <v>1748</v>
      </c>
      <c r="D4" s="336" t="s">
        <v>1978</v>
      </c>
      <c r="E4" s="337" t="s">
        <v>7821</v>
      </c>
    </row>
    <row r="5" ht="12.75">
      <c r="A5" s="338" t="s">
        <v>4337</v>
      </c>
      <c r="B5" s="339">
        <v>1</v>
      </c>
      <c r="C5" s="340"/>
      <c r="D5" s="340"/>
      <c r="E5" s="341">
        <v>1</v>
      </c>
    </row>
    <row r="6" ht="12.75">
      <c r="A6" s="342" t="s">
        <v>68</v>
      </c>
      <c r="B6" s="343">
        <v>93</v>
      </c>
      <c r="C6" s="344">
        <v>2</v>
      </c>
      <c r="D6" s="344">
        <v>2</v>
      </c>
      <c r="E6" s="345">
        <v>97</v>
      </c>
    </row>
    <row r="7" ht="12.75">
      <c r="A7" s="342" t="s">
        <v>257</v>
      </c>
      <c r="B7" s="343">
        <v>32</v>
      </c>
      <c r="C7" s="344"/>
      <c r="D7" s="344"/>
      <c r="E7" s="345">
        <v>32</v>
      </c>
    </row>
    <row r="8" ht="12.75">
      <c r="A8" s="342" t="s">
        <v>288</v>
      </c>
      <c r="B8" s="343">
        <v>81</v>
      </c>
      <c r="C8" s="344">
        <v>2</v>
      </c>
      <c r="D8" s="344">
        <v>5</v>
      </c>
      <c r="E8" s="345">
        <v>88</v>
      </c>
    </row>
    <row r="9" ht="12.75">
      <c r="A9" s="342" t="s">
        <v>57</v>
      </c>
      <c r="B9" s="343">
        <v>430</v>
      </c>
      <c r="C9" s="344">
        <v>2</v>
      </c>
      <c r="D9" s="344">
        <v>2</v>
      </c>
      <c r="E9" s="345">
        <v>434</v>
      </c>
    </row>
    <row r="10" ht="12.75">
      <c r="A10" s="342" t="s">
        <v>51</v>
      </c>
      <c r="B10" s="343">
        <v>371</v>
      </c>
      <c r="C10" s="344">
        <v>4</v>
      </c>
      <c r="D10" s="344">
        <v>5</v>
      </c>
      <c r="E10" s="345">
        <v>380</v>
      </c>
    </row>
    <row r="11" ht="12.75">
      <c r="A11" s="342" t="s">
        <v>501</v>
      </c>
      <c r="B11" s="343">
        <v>19</v>
      </c>
      <c r="C11" s="344"/>
      <c r="D11" s="344"/>
      <c r="E11" s="345">
        <v>19</v>
      </c>
    </row>
    <row r="12" ht="12.75">
      <c r="A12" s="342" t="s">
        <v>4501</v>
      </c>
      <c r="B12" s="343">
        <v>1</v>
      </c>
      <c r="C12" s="344"/>
      <c r="D12" s="344"/>
      <c r="E12" s="345">
        <v>1</v>
      </c>
    </row>
    <row r="13" ht="12.75">
      <c r="A13" s="342" t="s">
        <v>181</v>
      </c>
      <c r="B13" s="343">
        <v>29</v>
      </c>
      <c r="C13" s="344">
        <v>4</v>
      </c>
      <c r="D13" s="344"/>
      <c r="E13" s="345">
        <v>33</v>
      </c>
    </row>
    <row r="14" ht="12.75">
      <c r="A14" s="342" t="s">
        <v>977</v>
      </c>
      <c r="B14" s="343">
        <v>7</v>
      </c>
      <c r="C14" s="344"/>
      <c r="D14" s="344"/>
      <c r="E14" s="345">
        <v>7</v>
      </c>
    </row>
    <row r="15" ht="12.75">
      <c r="A15" s="342" t="s">
        <v>3735</v>
      </c>
      <c r="B15" s="343">
        <v>11</v>
      </c>
      <c r="C15" s="344"/>
      <c r="D15" s="344">
        <v>1</v>
      </c>
      <c r="E15" s="345">
        <v>12</v>
      </c>
    </row>
    <row r="16" ht="12.75">
      <c r="A16" s="313" t="s">
        <v>508</v>
      </c>
      <c r="B16" s="343">
        <v>20</v>
      </c>
      <c r="C16" s="344">
        <v>1</v>
      </c>
      <c r="D16" s="344">
        <v>1</v>
      </c>
      <c r="E16" s="345">
        <v>22</v>
      </c>
    </row>
    <row r="17" ht="12.75">
      <c r="A17" s="313" t="s">
        <v>88</v>
      </c>
      <c r="B17" s="343">
        <v>28</v>
      </c>
      <c r="C17" s="344">
        <v>2</v>
      </c>
      <c r="D17" s="344">
        <v>3</v>
      </c>
      <c r="E17" s="345">
        <v>33</v>
      </c>
    </row>
    <row r="18" ht="12.75">
      <c r="A18" s="313" t="s">
        <v>382</v>
      </c>
      <c r="B18" s="343">
        <v>56</v>
      </c>
      <c r="C18" s="344"/>
      <c r="D18" s="344">
        <v>5</v>
      </c>
      <c r="E18" s="345">
        <v>61</v>
      </c>
    </row>
    <row r="19" ht="12.75">
      <c r="A19" s="313" t="s">
        <v>491</v>
      </c>
      <c r="B19" s="343">
        <v>47</v>
      </c>
      <c r="C19" s="344"/>
      <c r="D19" s="344"/>
      <c r="E19" s="345">
        <v>47</v>
      </c>
    </row>
    <row r="20" ht="12.75">
      <c r="A20" s="346" t="s">
        <v>7821</v>
      </c>
      <c r="B20" s="347">
        <v>1226</v>
      </c>
      <c r="C20" s="348">
        <v>17</v>
      </c>
      <c r="D20" s="348">
        <v>24</v>
      </c>
      <c r="E20" s="349">
        <v>1267</v>
      </c>
    </row>
    <row r="30" ht="12.75">
      <c r="A30" s="350" t="s">
        <v>7877</v>
      </c>
      <c r="B30" s="350"/>
      <c r="C30" s="350"/>
      <c r="D30" s="350"/>
      <c r="E30" s="350"/>
    </row>
    <row r="31" ht="12.75">
      <c r="A31" s="306" t="s">
        <v>7878</v>
      </c>
      <c r="B31" s="306" t="s">
        <v>10</v>
      </c>
      <c r="C31" s="308"/>
      <c r="D31" s="308"/>
      <c r="E31" s="309"/>
    </row>
    <row r="32" ht="12.75">
      <c r="A32" s="351" t="s">
        <v>4</v>
      </c>
      <c r="B32" s="351" t="s">
        <v>53</v>
      </c>
      <c r="C32" s="352" t="s">
        <v>1748</v>
      </c>
      <c r="D32" s="352" t="s">
        <v>1978</v>
      </c>
      <c r="E32" s="353" t="s">
        <v>7821</v>
      </c>
    </row>
    <row r="33" ht="12.75">
      <c r="A33" s="334" t="s">
        <v>1074</v>
      </c>
      <c r="B33" s="339">
        <v>67</v>
      </c>
      <c r="C33" s="340">
        <v>2</v>
      </c>
      <c r="D33" s="340">
        <v>1</v>
      </c>
      <c r="E33" s="341">
        <v>70</v>
      </c>
    </row>
    <row r="34" ht="12.75">
      <c r="A34" s="354" t="s">
        <v>694</v>
      </c>
      <c r="B34" s="343">
        <v>39</v>
      </c>
      <c r="C34" s="344">
        <v>5</v>
      </c>
      <c r="D34" s="344">
        <v>2</v>
      </c>
      <c r="E34" s="345">
        <v>46</v>
      </c>
    </row>
    <row r="35" ht="12.75">
      <c r="A35" s="354" t="s">
        <v>63</v>
      </c>
      <c r="B35" s="343">
        <v>413</v>
      </c>
      <c r="C35" s="344">
        <v>2</v>
      </c>
      <c r="D35" s="344">
        <v>8</v>
      </c>
      <c r="E35" s="345">
        <v>423</v>
      </c>
    </row>
    <row r="36" ht="12.75">
      <c r="A36" s="354" t="s">
        <v>48</v>
      </c>
      <c r="B36" s="343">
        <v>146</v>
      </c>
      <c r="C36" s="344">
        <v>2</v>
      </c>
      <c r="D36" s="344">
        <v>7</v>
      </c>
      <c r="E36" s="345">
        <v>155</v>
      </c>
    </row>
    <row r="37" ht="12.75">
      <c r="A37" s="355" t="s">
        <v>83</v>
      </c>
      <c r="B37" s="343">
        <v>561</v>
      </c>
      <c r="C37" s="344">
        <v>6</v>
      </c>
      <c r="D37" s="344">
        <v>5</v>
      </c>
      <c r="E37" s="345">
        <v>572</v>
      </c>
    </row>
    <row r="38" ht="12.75">
      <c r="A38" s="313" t="s">
        <v>7873</v>
      </c>
      <c r="B38" s="343"/>
      <c r="C38" s="344"/>
      <c r="D38" s="344">
        <v>1</v>
      </c>
      <c r="E38" s="345">
        <v>1</v>
      </c>
    </row>
    <row r="39" ht="12.75">
      <c r="A39" s="346" t="s">
        <v>7821</v>
      </c>
      <c r="B39" s="347">
        <v>1226</v>
      </c>
      <c r="C39" s="348">
        <v>17</v>
      </c>
      <c r="D39" s="348">
        <v>24</v>
      </c>
      <c r="E39" s="349">
        <v>1267</v>
      </c>
    </row>
    <row r="43" ht="12.75">
      <c r="A43" s="350" t="s">
        <v>7879</v>
      </c>
      <c r="B43" s="350"/>
      <c r="C43" s="350"/>
      <c r="D43" s="350"/>
      <c r="E43" s="350"/>
    </row>
    <row r="44" ht="12.75">
      <c r="A44" s="306" t="s">
        <v>7878</v>
      </c>
      <c r="B44" s="306" t="s">
        <v>10</v>
      </c>
      <c r="C44" s="308"/>
      <c r="D44" s="308"/>
      <c r="E44" s="309"/>
    </row>
    <row r="45" ht="12.75">
      <c r="A45" s="351" t="s">
        <v>5</v>
      </c>
      <c r="B45" s="351" t="s">
        <v>53</v>
      </c>
      <c r="C45" s="352" t="s">
        <v>1748</v>
      </c>
      <c r="D45" s="352" t="s">
        <v>1978</v>
      </c>
      <c r="E45" s="353" t="s">
        <v>7821</v>
      </c>
    </row>
    <row r="46" ht="12.75">
      <c r="A46" s="356" t="s">
        <v>3727</v>
      </c>
      <c r="B46" s="339">
        <v>1</v>
      </c>
      <c r="C46" s="340"/>
      <c r="D46" s="340"/>
      <c r="E46" s="341">
        <v>1</v>
      </c>
    </row>
    <row r="47" ht="12.75">
      <c r="A47" s="354" t="s">
        <v>1230</v>
      </c>
      <c r="B47" s="343">
        <v>11</v>
      </c>
      <c r="C47" s="344"/>
      <c r="D47" s="344">
        <v>1</v>
      </c>
      <c r="E47" s="345">
        <v>12</v>
      </c>
    </row>
    <row r="48" ht="12.75">
      <c r="A48" s="354" t="s">
        <v>2495</v>
      </c>
      <c r="B48" s="343">
        <v>4</v>
      </c>
      <c r="C48" s="344">
        <v>2</v>
      </c>
      <c r="D48" s="344"/>
      <c r="E48" s="345">
        <v>6</v>
      </c>
    </row>
    <row r="49" ht="12.75">
      <c r="A49" s="354" t="s">
        <v>1593</v>
      </c>
      <c r="B49" s="343">
        <v>2</v>
      </c>
      <c r="C49" s="344"/>
      <c r="D49" s="344"/>
      <c r="E49" s="345">
        <v>2</v>
      </c>
    </row>
    <row r="50" ht="12.75">
      <c r="A50" s="354" t="s">
        <v>172</v>
      </c>
      <c r="B50" s="343">
        <v>190</v>
      </c>
      <c r="C50" s="344"/>
      <c r="D50" s="344">
        <v>2</v>
      </c>
      <c r="E50" s="345">
        <v>192</v>
      </c>
    </row>
    <row r="51" ht="12.75">
      <c r="A51" s="354" t="s">
        <v>428</v>
      </c>
      <c r="B51" s="343">
        <v>22</v>
      </c>
      <c r="C51" s="344"/>
      <c r="D51" s="344"/>
      <c r="E51" s="345">
        <v>22</v>
      </c>
    </row>
    <row r="52" ht="12.75">
      <c r="A52" s="354" t="s">
        <v>2154</v>
      </c>
      <c r="B52" s="343">
        <v>28</v>
      </c>
      <c r="C52" s="344"/>
      <c r="D52" s="344"/>
      <c r="E52" s="345">
        <v>28</v>
      </c>
    </row>
    <row r="53" ht="12.75">
      <c r="A53" s="354" t="s">
        <v>931</v>
      </c>
      <c r="B53" s="343">
        <v>14</v>
      </c>
      <c r="C53" s="344"/>
      <c r="D53" s="344"/>
      <c r="E53" s="345">
        <v>14</v>
      </c>
    </row>
    <row r="54" ht="12.75">
      <c r="A54" s="354" t="s">
        <v>1075</v>
      </c>
      <c r="B54" s="343">
        <v>26</v>
      </c>
      <c r="C54" s="344"/>
      <c r="D54" s="344"/>
      <c r="E54" s="345">
        <v>26</v>
      </c>
    </row>
    <row r="55" ht="12.75">
      <c r="A55" s="354" t="s">
        <v>354</v>
      </c>
      <c r="B55" s="343">
        <v>21</v>
      </c>
      <c r="C55" s="344">
        <v>1</v>
      </c>
      <c r="D55" s="344">
        <v>1</v>
      </c>
      <c r="E55" s="345">
        <v>23</v>
      </c>
    </row>
    <row r="56" ht="12.75">
      <c r="A56" s="354" t="s">
        <v>179</v>
      </c>
      <c r="B56" s="343">
        <v>206</v>
      </c>
      <c r="C56" s="344">
        <v>1</v>
      </c>
      <c r="D56" s="344"/>
      <c r="E56" s="345">
        <v>207</v>
      </c>
    </row>
    <row r="57" ht="12.75">
      <c r="A57" s="354" t="s">
        <v>2026</v>
      </c>
      <c r="B57" s="343">
        <v>6</v>
      </c>
      <c r="C57" s="344">
        <v>2</v>
      </c>
      <c r="D57" s="344"/>
      <c r="E57" s="345">
        <v>8</v>
      </c>
    </row>
    <row r="58" ht="12.75">
      <c r="A58" s="354" t="s">
        <v>2092</v>
      </c>
      <c r="B58" s="343">
        <v>7</v>
      </c>
      <c r="C58" s="344"/>
      <c r="D58" s="344">
        <v>1</v>
      </c>
      <c r="E58" s="345">
        <v>8</v>
      </c>
    </row>
    <row r="59" ht="12.75">
      <c r="A59" s="354" t="s">
        <v>695</v>
      </c>
      <c r="B59" s="343">
        <v>26</v>
      </c>
      <c r="C59" s="344">
        <v>2</v>
      </c>
      <c r="D59" s="344">
        <v>2</v>
      </c>
      <c r="E59" s="345">
        <v>30</v>
      </c>
    </row>
    <row r="60" ht="12.75">
      <c r="A60" s="354" t="s">
        <v>217</v>
      </c>
      <c r="B60" s="343">
        <v>23</v>
      </c>
      <c r="C60" s="344"/>
      <c r="D60" s="344">
        <v>1</v>
      </c>
      <c r="E60" s="345">
        <v>24</v>
      </c>
    </row>
    <row r="61" ht="12.75">
      <c r="A61" s="354" t="s">
        <v>64</v>
      </c>
      <c r="B61" s="343">
        <v>90</v>
      </c>
      <c r="C61" s="344">
        <v>1</v>
      </c>
      <c r="D61" s="344">
        <v>1</v>
      </c>
      <c r="E61" s="345">
        <v>92</v>
      </c>
    </row>
    <row r="62" ht="12.75">
      <c r="A62" s="354" t="s">
        <v>898</v>
      </c>
      <c r="B62" s="343">
        <v>15</v>
      </c>
      <c r="C62" s="344"/>
      <c r="D62" s="344">
        <v>1</v>
      </c>
      <c r="E62" s="345">
        <v>16</v>
      </c>
    </row>
    <row r="63" ht="12.75">
      <c r="A63" s="354" t="s">
        <v>140</v>
      </c>
      <c r="B63" s="343">
        <v>18</v>
      </c>
      <c r="C63" s="344"/>
      <c r="D63" s="344">
        <v>2</v>
      </c>
      <c r="E63" s="345">
        <v>20</v>
      </c>
    </row>
    <row r="64" ht="12.75">
      <c r="A64" s="354" t="s">
        <v>84</v>
      </c>
      <c r="B64" s="343">
        <v>240</v>
      </c>
      <c r="C64" s="344">
        <v>4</v>
      </c>
      <c r="D64" s="344">
        <v>4</v>
      </c>
      <c r="E64" s="345">
        <v>248</v>
      </c>
    </row>
    <row r="65" ht="12.75">
      <c r="A65" s="354" t="s">
        <v>1480</v>
      </c>
      <c r="B65" s="343">
        <v>15</v>
      </c>
      <c r="C65" s="344"/>
      <c r="D65" s="344"/>
      <c r="E65" s="345">
        <v>15</v>
      </c>
    </row>
    <row r="66" ht="12.75">
      <c r="A66" s="354" t="s">
        <v>1487</v>
      </c>
      <c r="B66" s="343">
        <v>4</v>
      </c>
      <c r="C66" s="344"/>
      <c r="D66" s="344"/>
      <c r="E66" s="345">
        <v>4</v>
      </c>
    </row>
    <row r="67" ht="12.75">
      <c r="A67" s="354" t="s">
        <v>5199</v>
      </c>
      <c r="B67" s="343"/>
      <c r="C67" s="344">
        <v>1</v>
      </c>
      <c r="D67" s="344"/>
      <c r="E67" s="345">
        <v>1</v>
      </c>
    </row>
    <row r="68" ht="12.75">
      <c r="A68" s="354" t="s">
        <v>49</v>
      </c>
      <c r="B68" s="343">
        <v>42</v>
      </c>
      <c r="C68" s="344">
        <v>1</v>
      </c>
      <c r="D68" s="344">
        <v>3</v>
      </c>
      <c r="E68" s="345">
        <v>46</v>
      </c>
    </row>
    <row r="69" ht="12.75">
      <c r="A69" s="354" t="s">
        <v>564</v>
      </c>
      <c r="B69" s="343">
        <v>86</v>
      </c>
      <c r="C69" s="344">
        <v>1</v>
      </c>
      <c r="D69" s="344">
        <v>3</v>
      </c>
      <c r="E69" s="345">
        <v>90</v>
      </c>
    </row>
    <row r="70" ht="12.75">
      <c r="A70" s="354" t="s">
        <v>83</v>
      </c>
      <c r="B70" s="343">
        <v>26</v>
      </c>
      <c r="C70" s="344"/>
      <c r="D70" s="344">
        <v>1</v>
      </c>
      <c r="E70" s="345">
        <v>27</v>
      </c>
    </row>
    <row r="71" ht="12.75">
      <c r="A71" s="354" t="s">
        <v>704</v>
      </c>
      <c r="B71" s="343">
        <v>101</v>
      </c>
      <c r="C71" s="344">
        <v>1</v>
      </c>
      <c r="D71" s="344">
        <v>1</v>
      </c>
      <c r="E71" s="345">
        <v>103</v>
      </c>
    </row>
    <row r="72" ht="12.75">
      <c r="A72" s="355" t="s">
        <v>3842</v>
      </c>
      <c r="B72" s="343">
        <v>2</v>
      </c>
      <c r="C72" s="344"/>
      <c r="D72" s="344"/>
      <c r="E72" s="345">
        <v>2</v>
      </c>
    </row>
    <row r="73" ht="12.75">
      <c r="A73" s="347" t="s">
        <v>7821</v>
      </c>
      <c r="B73" s="347">
        <v>1226</v>
      </c>
      <c r="C73" s="348">
        <v>17</v>
      </c>
      <c r="D73" s="348">
        <v>24</v>
      </c>
      <c r="E73" s="349">
        <v>1267</v>
      </c>
    </row>
    <row r="86" ht="12.75">
      <c r="A86" s="357" t="s">
        <v>7880</v>
      </c>
      <c r="B86" s="357"/>
      <c r="C86" s="357"/>
      <c r="D86" s="357"/>
      <c r="E86" s="357"/>
      <c r="F86" s="357"/>
      <c r="G86" s="357"/>
      <c r="H86" s="357"/>
      <c r="I86" s="357"/>
      <c r="J86" s="357"/>
      <c r="K86" s="357"/>
      <c r="L86" s="358"/>
      <c r="M86" s="358"/>
    </row>
    <row r="87" ht="12.75">
      <c r="A87" s="306" t="s">
        <v>7881</v>
      </c>
      <c r="B87" s="359" t="s">
        <v>1</v>
      </c>
      <c r="C87" s="308"/>
      <c r="D87" s="308"/>
      <c r="E87" s="308"/>
      <c r="F87" s="308"/>
      <c r="G87" s="308"/>
      <c r="H87" s="308"/>
      <c r="I87" s="308"/>
      <c r="J87" s="308"/>
      <c r="K87" s="309"/>
    </row>
    <row r="88" ht="12.75">
      <c r="A88" s="351" t="s">
        <v>18</v>
      </c>
      <c r="B88" s="351" t="s">
        <v>47</v>
      </c>
      <c r="C88" s="352" t="s">
        <v>1743</v>
      </c>
      <c r="D88" s="352" t="s">
        <v>1926</v>
      </c>
      <c r="E88" s="352" t="s">
        <v>7811</v>
      </c>
      <c r="F88" s="352" t="s">
        <v>1974</v>
      </c>
      <c r="G88" s="352" t="s">
        <v>7806</v>
      </c>
      <c r="H88" s="352" t="s">
        <v>190</v>
      </c>
      <c r="I88" s="352" t="s">
        <v>3996</v>
      </c>
      <c r="J88" s="352" t="s">
        <v>7818</v>
      </c>
      <c r="K88" s="353" t="s">
        <v>7821</v>
      </c>
    </row>
    <row r="89" ht="12.75">
      <c r="A89" s="360" t="s">
        <v>3999</v>
      </c>
      <c r="B89" s="361"/>
      <c r="C89" s="362"/>
      <c r="D89" s="362"/>
      <c r="E89" s="362"/>
      <c r="F89" s="362"/>
      <c r="G89" s="362"/>
      <c r="H89" s="362"/>
      <c r="I89" s="362">
        <v>6</v>
      </c>
      <c r="J89" s="362"/>
      <c r="K89" s="363">
        <v>6</v>
      </c>
    </row>
    <row r="90" ht="12.75">
      <c r="A90" s="364" t="s">
        <v>2102</v>
      </c>
      <c r="B90" s="365"/>
      <c r="C90" s="366"/>
      <c r="D90" s="366">
        <v>4</v>
      </c>
      <c r="E90" s="366"/>
      <c r="F90" s="366"/>
      <c r="G90" s="366"/>
      <c r="H90" s="366"/>
      <c r="I90" s="366"/>
      <c r="J90" s="366"/>
      <c r="K90" s="367">
        <v>4</v>
      </c>
    </row>
    <row r="91" ht="12.75">
      <c r="A91" s="364" t="s">
        <v>283</v>
      </c>
      <c r="B91" s="365">
        <v>3</v>
      </c>
      <c r="C91" s="366"/>
      <c r="D91" s="366">
        <v>132</v>
      </c>
      <c r="E91" s="366">
        <v>1</v>
      </c>
      <c r="F91" s="366">
        <v>1</v>
      </c>
      <c r="G91" s="366"/>
      <c r="H91" s="366">
        <v>270</v>
      </c>
      <c r="I91" s="366"/>
      <c r="J91" s="366"/>
      <c r="K91" s="367">
        <v>407</v>
      </c>
    </row>
    <row r="92" ht="12.75">
      <c r="A92" s="364" t="s">
        <v>5957</v>
      </c>
      <c r="B92" s="365">
        <v>1</v>
      </c>
      <c r="C92" s="366"/>
      <c r="D92" s="366">
        <v>1</v>
      </c>
      <c r="E92" s="366"/>
      <c r="F92" s="366"/>
      <c r="G92" s="366">
        <v>1</v>
      </c>
      <c r="H92" s="366"/>
      <c r="I92" s="366"/>
      <c r="J92" s="366"/>
      <c r="K92" s="367">
        <v>3</v>
      </c>
    </row>
    <row r="93" ht="12.75">
      <c r="A93" s="364" t="s">
        <v>1749</v>
      </c>
      <c r="B93" s="365"/>
      <c r="C93" s="366">
        <v>2</v>
      </c>
      <c r="D93" s="366">
        <v>1</v>
      </c>
      <c r="E93" s="366"/>
      <c r="F93" s="366">
        <v>1</v>
      </c>
      <c r="G93" s="366"/>
      <c r="H93" s="366"/>
      <c r="I93" s="366"/>
      <c r="J93" s="366">
        <v>2</v>
      </c>
      <c r="K93" s="367">
        <v>6</v>
      </c>
    </row>
    <row r="94" ht="12.75">
      <c r="A94" s="364" t="s">
        <v>5758</v>
      </c>
      <c r="B94" s="365"/>
      <c r="C94" s="366"/>
      <c r="D94" s="366">
        <v>1</v>
      </c>
      <c r="E94" s="366"/>
      <c r="F94" s="366"/>
      <c r="G94" s="366"/>
      <c r="H94" s="366">
        <v>4</v>
      </c>
      <c r="I94" s="366"/>
      <c r="J94" s="366"/>
      <c r="K94" s="367">
        <v>5</v>
      </c>
    </row>
    <row r="95" ht="12.75">
      <c r="A95" s="368" t="s">
        <v>1980</v>
      </c>
      <c r="B95" s="365"/>
      <c r="C95" s="366">
        <v>1</v>
      </c>
      <c r="D95" s="366">
        <v>13</v>
      </c>
      <c r="E95" s="366"/>
      <c r="F95" s="366"/>
      <c r="G95" s="366"/>
      <c r="H95" s="366">
        <v>2</v>
      </c>
      <c r="I95" s="366"/>
      <c r="J95" s="366"/>
      <c r="K95" s="367">
        <v>16</v>
      </c>
    </row>
    <row r="96" ht="12.75">
      <c r="A96" s="369" t="s">
        <v>7821</v>
      </c>
      <c r="B96" s="370">
        <v>4</v>
      </c>
      <c r="C96" s="371">
        <v>3</v>
      </c>
      <c r="D96" s="371">
        <v>152</v>
      </c>
      <c r="E96" s="371">
        <v>1</v>
      </c>
      <c r="F96" s="371">
        <v>2</v>
      </c>
      <c r="G96" s="371">
        <v>1</v>
      </c>
      <c r="H96" s="371">
        <v>276</v>
      </c>
      <c r="I96" s="371">
        <v>6</v>
      </c>
      <c r="J96" s="371">
        <v>2</v>
      </c>
      <c r="K96" s="372">
        <v>447</v>
      </c>
    </row>
    <row r="103" ht="12.75">
      <c r="A103" s="357" t="s">
        <v>7882</v>
      </c>
      <c r="B103" s="357"/>
      <c r="C103" s="357"/>
      <c r="D103" s="357"/>
      <c r="E103" s="357"/>
      <c r="F103" s="357"/>
      <c r="G103" s="357"/>
      <c r="H103" s="357"/>
      <c r="I103" s="357"/>
      <c r="J103" s="357"/>
    </row>
    <row r="104" ht="25.5">
      <c r="A104" s="306" t="s">
        <v>7881</v>
      </c>
      <c r="B104" s="373" t="s">
        <v>18</v>
      </c>
      <c r="C104" s="308"/>
      <c r="D104" s="308"/>
      <c r="E104" s="308"/>
      <c r="F104" s="308"/>
      <c r="G104" s="308"/>
      <c r="H104" s="308"/>
      <c r="I104" s="309"/>
    </row>
    <row r="105" s="344" customFormat="1" ht="25.5">
      <c r="A105" s="374" t="s">
        <v>17</v>
      </c>
      <c r="B105" s="374" t="s">
        <v>3999</v>
      </c>
      <c r="C105" s="375" t="s">
        <v>2102</v>
      </c>
      <c r="D105" s="375" t="s">
        <v>283</v>
      </c>
      <c r="E105" s="375" t="s">
        <v>5957</v>
      </c>
      <c r="F105" s="375" t="s">
        <v>1749</v>
      </c>
      <c r="G105" s="375" t="s">
        <v>5758</v>
      </c>
      <c r="H105" s="375" t="s">
        <v>1980</v>
      </c>
      <c r="I105" s="376" t="s">
        <v>7821</v>
      </c>
    </row>
    <row r="106" ht="12.75">
      <c r="A106" s="377">
        <v>1930</v>
      </c>
      <c r="B106" s="361"/>
      <c r="C106" s="362"/>
      <c r="D106" s="362"/>
      <c r="E106" s="362">
        <v>0</v>
      </c>
      <c r="F106" s="362"/>
      <c r="G106" s="362"/>
      <c r="H106" s="362"/>
      <c r="I106" s="363">
        <v>0</v>
      </c>
    </row>
    <row r="107" ht="12.75">
      <c r="A107" s="378">
        <v>1940</v>
      </c>
      <c r="B107" s="365">
        <v>1</v>
      </c>
      <c r="C107" s="366"/>
      <c r="D107" s="366">
        <v>6</v>
      </c>
      <c r="E107" s="366"/>
      <c r="F107" s="366"/>
      <c r="G107" s="366"/>
      <c r="H107" s="366"/>
      <c r="I107" s="379">
        <v>7</v>
      </c>
    </row>
    <row r="108" ht="12.75">
      <c r="A108" s="378">
        <v>1950</v>
      </c>
      <c r="B108" s="365"/>
      <c r="C108" s="366"/>
      <c r="D108" s="366">
        <v>13</v>
      </c>
      <c r="E108" s="366">
        <v>0</v>
      </c>
      <c r="F108" s="366"/>
      <c r="G108" s="366"/>
      <c r="H108" s="366">
        <v>3</v>
      </c>
      <c r="I108" s="379">
        <v>16</v>
      </c>
    </row>
    <row r="109" ht="12.75">
      <c r="A109" s="378">
        <v>1960</v>
      </c>
      <c r="B109" s="365"/>
      <c r="C109" s="366"/>
      <c r="D109" s="366">
        <v>23</v>
      </c>
      <c r="E109" s="366"/>
      <c r="F109" s="366"/>
      <c r="G109" s="366"/>
      <c r="H109" s="366"/>
      <c r="I109" s="379">
        <v>23</v>
      </c>
    </row>
    <row r="110" ht="12.75">
      <c r="A110" s="378">
        <v>1970</v>
      </c>
      <c r="B110" s="365">
        <v>2</v>
      </c>
      <c r="C110" s="366"/>
      <c r="D110" s="366">
        <v>29</v>
      </c>
      <c r="E110" s="366"/>
      <c r="F110" s="366"/>
      <c r="G110" s="366"/>
      <c r="H110" s="366"/>
      <c r="I110" s="379">
        <v>31</v>
      </c>
    </row>
    <row r="111" ht="12.75">
      <c r="A111" s="378">
        <v>1980</v>
      </c>
      <c r="B111" s="365">
        <v>2</v>
      </c>
      <c r="C111" s="366"/>
      <c r="D111" s="366">
        <v>55</v>
      </c>
      <c r="E111" s="366"/>
      <c r="F111" s="366">
        <v>1</v>
      </c>
      <c r="G111" s="366"/>
      <c r="H111" s="366">
        <v>2</v>
      </c>
      <c r="I111" s="379">
        <v>60</v>
      </c>
    </row>
    <row r="112" ht="12.75">
      <c r="A112" s="378">
        <v>1990</v>
      </c>
      <c r="B112" s="365">
        <v>1</v>
      </c>
      <c r="C112" s="366">
        <v>2</v>
      </c>
      <c r="D112" s="366">
        <v>49</v>
      </c>
      <c r="E112" s="366">
        <v>1</v>
      </c>
      <c r="F112" s="366"/>
      <c r="G112" s="366"/>
      <c r="H112" s="366">
        <v>3</v>
      </c>
      <c r="I112" s="379">
        <v>56</v>
      </c>
    </row>
    <row r="113" ht="12.75">
      <c r="A113" s="378">
        <v>2000</v>
      </c>
      <c r="B113" s="365"/>
      <c r="C113" s="366"/>
      <c r="D113" s="366">
        <v>31</v>
      </c>
      <c r="E113" s="366"/>
      <c r="F113" s="366">
        <v>3</v>
      </c>
      <c r="G113" s="366">
        <v>1</v>
      </c>
      <c r="H113" s="366">
        <v>4</v>
      </c>
      <c r="I113" s="379">
        <v>39</v>
      </c>
    </row>
    <row r="114" ht="12.75">
      <c r="A114" s="378">
        <v>2010</v>
      </c>
      <c r="B114" s="365"/>
      <c r="C114" s="366">
        <v>2</v>
      </c>
      <c r="D114" s="366">
        <v>143</v>
      </c>
      <c r="E114" s="366">
        <v>2</v>
      </c>
      <c r="F114" s="366">
        <v>2</v>
      </c>
      <c r="G114" s="366">
        <v>4</v>
      </c>
      <c r="H114" s="366">
        <v>4</v>
      </c>
      <c r="I114" s="379">
        <v>157</v>
      </c>
    </row>
    <row r="115" ht="12.75">
      <c r="A115" s="378">
        <v>2020</v>
      </c>
      <c r="B115" s="365"/>
      <c r="C115" s="366"/>
      <c r="D115" s="366">
        <v>50</v>
      </c>
      <c r="E115" s="366"/>
      <c r="F115" s="366"/>
      <c r="G115" s="366"/>
      <c r="H115" s="366"/>
      <c r="I115" s="379">
        <v>50</v>
      </c>
    </row>
    <row r="116" ht="12.75">
      <c r="A116" s="347" t="s">
        <v>7821</v>
      </c>
      <c r="B116" s="380">
        <v>6</v>
      </c>
      <c r="C116" s="381">
        <v>4</v>
      </c>
      <c r="D116" s="381">
        <v>399</v>
      </c>
      <c r="E116" s="381">
        <v>3</v>
      </c>
      <c r="F116" s="381">
        <v>6</v>
      </c>
      <c r="G116" s="381">
        <v>5</v>
      </c>
      <c r="H116" s="382">
        <v>16</v>
      </c>
      <c r="I116" s="372">
        <v>439</v>
      </c>
    </row>
    <row r="123" ht="12.75">
      <c r="A123" s="357" t="s">
        <v>7883</v>
      </c>
      <c r="B123" s="357"/>
      <c r="C123" s="357"/>
      <c r="D123" s="357"/>
      <c r="E123" s="357"/>
      <c r="F123" s="357"/>
      <c r="G123" s="357"/>
      <c r="H123" s="357"/>
      <c r="I123" s="357"/>
      <c r="J123" s="357"/>
    </row>
    <row r="124" ht="25.5">
      <c r="A124" s="306" t="s">
        <v>7881</v>
      </c>
      <c r="B124" s="373" t="s">
        <v>18</v>
      </c>
      <c r="C124" s="308"/>
      <c r="D124" s="308"/>
      <c r="E124" s="308"/>
      <c r="F124" s="308"/>
      <c r="G124" s="308"/>
      <c r="H124" s="308"/>
      <c r="I124" s="309"/>
    </row>
    <row r="125" s="344" customFormat="1" ht="12.75">
      <c r="A125" s="351" t="s">
        <v>5</v>
      </c>
      <c r="B125" s="383" t="s">
        <v>3999</v>
      </c>
      <c r="C125" s="384" t="s">
        <v>2102</v>
      </c>
      <c r="D125" s="384" t="s">
        <v>283</v>
      </c>
      <c r="E125" s="384" t="s">
        <v>5957</v>
      </c>
      <c r="F125" s="384" t="s">
        <v>1749</v>
      </c>
      <c r="G125" s="384" t="s">
        <v>5758</v>
      </c>
      <c r="H125" s="384" t="s">
        <v>1980</v>
      </c>
      <c r="I125" s="376" t="s">
        <v>7821</v>
      </c>
    </row>
    <row r="126" ht="12.75">
      <c r="A126" s="335" t="s">
        <v>3727</v>
      </c>
      <c r="B126" s="361"/>
      <c r="C126" s="362"/>
      <c r="D126" s="362">
        <v>1</v>
      </c>
      <c r="E126" s="362"/>
      <c r="F126" s="362">
        <v>1</v>
      </c>
      <c r="G126" s="362"/>
      <c r="H126" s="362"/>
      <c r="I126" s="363">
        <v>2</v>
      </c>
    </row>
    <row r="127" ht="12.75">
      <c r="A127" s="385" t="s">
        <v>1230</v>
      </c>
      <c r="B127" s="365"/>
      <c r="C127" s="366"/>
      <c r="D127" s="366">
        <v>6</v>
      </c>
      <c r="E127" s="366"/>
      <c r="F127" s="366"/>
      <c r="G127" s="366"/>
      <c r="H127" s="366">
        <v>1</v>
      </c>
      <c r="I127" s="379">
        <v>7</v>
      </c>
    </row>
    <row r="128" ht="12.75">
      <c r="A128" s="385" t="s">
        <v>2495</v>
      </c>
      <c r="B128" s="365"/>
      <c r="C128" s="366"/>
      <c r="D128" s="366">
        <v>4</v>
      </c>
      <c r="E128" s="366">
        <v>2</v>
      </c>
      <c r="F128" s="366"/>
      <c r="G128" s="366"/>
      <c r="H128" s="366"/>
      <c r="I128" s="379">
        <v>6</v>
      </c>
    </row>
    <row r="129" ht="12.75">
      <c r="A129" s="385" t="s">
        <v>172</v>
      </c>
      <c r="B129" s="365"/>
      <c r="C129" s="366"/>
      <c r="D129" s="366">
        <v>37</v>
      </c>
      <c r="E129" s="366">
        <v>0</v>
      </c>
      <c r="F129" s="366"/>
      <c r="G129" s="366">
        <v>2</v>
      </c>
      <c r="H129" s="366"/>
      <c r="I129" s="379">
        <v>39</v>
      </c>
    </row>
    <row r="130" ht="12.75">
      <c r="A130" s="385" t="s">
        <v>428</v>
      </c>
      <c r="B130" s="365"/>
      <c r="C130" s="366"/>
      <c r="D130" s="366">
        <v>24</v>
      </c>
      <c r="E130" s="366">
        <v>1</v>
      </c>
      <c r="F130" s="366"/>
      <c r="G130" s="366"/>
      <c r="H130" s="366"/>
      <c r="I130" s="379">
        <v>25</v>
      </c>
    </row>
    <row r="131" ht="12.75">
      <c r="A131" s="385" t="s">
        <v>2154</v>
      </c>
      <c r="B131" s="365"/>
      <c r="C131" s="366"/>
      <c r="D131" s="366">
        <v>11</v>
      </c>
      <c r="E131" s="366"/>
      <c r="F131" s="366"/>
      <c r="G131" s="366"/>
      <c r="H131" s="366"/>
      <c r="I131" s="379">
        <v>11</v>
      </c>
    </row>
    <row r="132" ht="12.75">
      <c r="A132" s="385" t="s">
        <v>931</v>
      </c>
      <c r="B132" s="365"/>
      <c r="C132" s="366"/>
      <c r="D132" s="366">
        <v>8</v>
      </c>
      <c r="E132" s="366"/>
      <c r="F132" s="366"/>
      <c r="G132" s="366"/>
      <c r="H132" s="366"/>
      <c r="I132" s="379">
        <v>8</v>
      </c>
    </row>
    <row r="133" ht="12.75">
      <c r="A133" s="385" t="s">
        <v>1075</v>
      </c>
      <c r="B133" s="365"/>
      <c r="C133" s="366"/>
      <c r="D133" s="366">
        <v>10</v>
      </c>
      <c r="E133" s="366"/>
      <c r="F133" s="366"/>
      <c r="G133" s="366"/>
      <c r="H133" s="366"/>
      <c r="I133" s="379">
        <v>10</v>
      </c>
    </row>
    <row r="134" ht="12.75">
      <c r="A134" s="385" t="s">
        <v>354</v>
      </c>
      <c r="B134" s="365"/>
      <c r="C134" s="366">
        <v>0</v>
      </c>
      <c r="D134" s="366">
        <v>4</v>
      </c>
      <c r="E134" s="366"/>
      <c r="F134" s="366"/>
      <c r="G134" s="366"/>
      <c r="H134" s="366">
        <v>1</v>
      </c>
      <c r="I134" s="379">
        <v>5</v>
      </c>
    </row>
    <row r="135" ht="12.75">
      <c r="A135" s="385" t="s">
        <v>179</v>
      </c>
      <c r="B135" s="365">
        <v>3</v>
      </c>
      <c r="C135" s="366"/>
      <c r="D135" s="366">
        <v>48</v>
      </c>
      <c r="E135" s="366"/>
      <c r="F135" s="366">
        <v>1</v>
      </c>
      <c r="G135" s="366"/>
      <c r="H135" s="366"/>
      <c r="I135" s="379">
        <v>52</v>
      </c>
    </row>
    <row r="136" ht="12.75">
      <c r="A136" s="385" t="s">
        <v>2026</v>
      </c>
      <c r="B136" s="365"/>
      <c r="C136" s="366">
        <v>1</v>
      </c>
      <c r="D136" s="366">
        <v>2</v>
      </c>
      <c r="E136" s="366"/>
      <c r="F136" s="366"/>
      <c r="G136" s="366"/>
      <c r="H136" s="366"/>
      <c r="I136" s="379">
        <v>3</v>
      </c>
    </row>
    <row r="137" ht="12.75">
      <c r="A137" s="385" t="s">
        <v>2092</v>
      </c>
      <c r="B137" s="365"/>
      <c r="C137" s="366"/>
      <c r="D137" s="366">
        <v>3</v>
      </c>
      <c r="E137" s="366"/>
      <c r="F137" s="366"/>
      <c r="G137" s="366"/>
      <c r="H137" s="366">
        <v>1</v>
      </c>
      <c r="I137" s="379">
        <v>4</v>
      </c>
    </row>
    <row r="138" ht="12.75">
      <c r="A138" s="385" t="s">
        <v>695</v>
      </c>
      <c r="B138" s="365"/>
      <c r="C138" s="366">
        <v>0</v>
      </c>
      <c r="D138" s="366">
        <v>30</v>
      </c>
      <c r="E138" s="366"/>
      <c r="F138" s="366"/>
      <c r="G138" s="366"/>
      <c r="H138" s="366">
        <v>2</v>
      </c>
      <c r="I138" s="379">
        <v>32</v>
      </c>
    </row>
    <row r="139" ht="12.75">
      <c r="A139" s="385" t="s">
        <v>217</v>
      </c>
      <c r="B139" s="365"/>
      <c r="C139" s="366"/>
      <c r="D139" s="366">
        <v>8</v>
      </c>
      <c r="E139" s="366">
        <v>0</v>
      </c>
      <c r="F139" s="366"/>
      <c r="G139" s="366"/>
      <c r="H139" s="366">
        <v>1</v>
      </c>
      <c r="I139" s="379">
        <v>9</v>
      </c>
    </row>
    <row r="140" ht="12.75">
      <c r="A140" s="385" t="s">
        <v>64</v>
      </c>
      <c r="B140" s="365"/>
      <c r="C140" s="366">
        <v>1</v>
      </c>
      <c r="D140" s="366">
        <v>23</v>
      </c>
      <c r="E140" s="366"/>
      <c r="F140" s="366"/>
      <c r="G140" s="366"/>
      <c r="H140" s="366">
        <v>1</v>
      </c>
      <c r="I140" s="379">
        <v>25</v>
      </c>
    </row>
    <row r="141" ht="12.75">
      <c r="A141" s="385" t="s">
        <v>6816</v>
      </c>
      <c r="B141" s="365"/>
      <c r="C141" s="366"/>
      <c r="D141" s="366">
        <v>4</v>
      </c>
      <c r="E141" s="366"/>
      <c r="F141" s="366"/>
      <c r="G141" s="366"/>
      <c r="H141" s="366"/>
      <c r="I141" s="379">
        <v>4</v>
      </c>
    </row>
    <row r="142" ht="12.75">
      <c r="A142" s="385" t="s">
        <v>898</v>
      </c>
      <c r="B142" s="365"/>
      <c r="C142" s="366"/>
      <c r="D142" s="366">
        <v>3</v>
      </c>
      <c r="E142" s="366"/>
      <c r="F142" s="366"/>
      <c r="G142" s="366"/>
      <c r="H142" s="366">
        <v>1</v>
      </c>
      <c r="I142" s="379">
        <v>4</v>
      </c>
    </row>
    <row r="143" ht="12.75">
      <c r="A143" s="385" t="s">
        <v>140</v>
      </c>
      <c r="B143" s="365"/>
      <c r="C143" s="366"/>
      <c r="D143" s="366">
        <v>8</v>
      </c>
      <c r="E143" s="366"/>
      <c r="F143" s="366"/>
      <c r="G143" s="366"/>
      <c r="H143" s="366">
        <v>2</v>
      </c>
      <c r="I143" s="379">
        <v>10</v>
      </c>
    </row>
    <row r="144" ht="12.75">
      <c r="A144" s="385" t="s">
        <v>84</v>
      </c>
      <c r="B144" s="365">
        <v>1</v>
      </c>
      <c r="C144" s="366">
        <v>2</v>
      </c>
      <c r="D144" s="366">
        <v>82</v>
      </c>
      <c r="E144" s="366"/>
      <c r="F144" s="366">
        <v>1</v>
      </c>
      <c r="G144" s="366">
        <v>1</v>
      </c>
      <c r="H144" s="366">
        <v>2</v>
      </c>
      <c r="I144" s="379">
        <v>89</v>
      </c>
    </row>
    <row r="145" ht="12.75">
      <c r="A145" s="385" t="s">
        <v>1480</v>
      </c>
      <c r="B145" s="365"/>
      <c r="C145" s="366"/>
      <c r="D145" s="366">
        <v>1</v>
      </c>
      <c r="E145" s="366"/>
      <c r="F145" s="366"/>
      <c r="G145" s="366"/>
      <c r="H145" s="366"/>
      <c r="I145" s="379">
        <v>1</v>
      </c>
    </row>
    <row r="146" ht="12.75">
      <c r="A146" s="385" t="s">
        <v>1487</v>
      </c>
      <c r="B146" s="365"/>
      <c r="C146" s="366"/>
      <c r="D146" s="366">
        <v>1</v>
      </c>
      <c r="E146" s="366"/>
      <c r="F146" s="366"/>
      <c r="G146" s="366"/>
      <c r="H146" s="366"/>
      <c r="I146" s="379">
        <v>1</v>
      </c>
    </row>
    <row r="147" ht="12.75">
      <c r="A147" s="385" t="s">
        <v>5199</v>
      </c>
      <c r="B147" s="365"/>
      <c r="C147" s="366">
        <v>0</v>
      </c>
      <c r="D147" s="366">
        <v>2</v>
      </c>
      <c r="E147" s="366"/>
      <c r="F147" s="366"/>
      <c r="G147" s="366"/>
      <c r="H147" s="366"/>
      <c r="I147" s="379">
        <v>2</v>
      </c>
    </row>
    <row r="148" ht="12.75">
      <c r="A148" s="385" t="s">
        <v>49</v>
      </c>
      <c r="B148" s="365"/>
      <c r="C148" s="366"/>
      <c r="D148" s="366">
        <v>15</v>
      </c>
      <c r="E148" s="366"/>
      <c r="F148" s="366">
        <v>1</v>
      </c>
      <c r="G148" s="366">
        <v>2</v>
      </c>
      <c r="H148" s="366">
        <v>1</v>
      </c>
      <c r="I148" s="379">
        <v>19</v>
      </c>
    </row>
    <row r="149" ht="12.75">
      <c r="A149" s="385" t="s">
        <v>564</v>
      </c>
      <c r="B149" s="365">
        <v>1</v>
      </c>
      <c r="C149" s="366"/>
      <c r="D149" s="366">
        <v>16</v>
      </c>
      <c r="E149" s="366"/>
      <c r="F149" s="366">
        <v>1</v>
      </c>
      <c r="G149" s="366"/>
      <c r="H149" s="366">
        <v>1</v>
      </c>
      <c r="I149" s="379">
        <v>19</v>
      </c>
    </row>
    <row r="150" ht="12.75">
      <c r="A150" s="385" t="s">
        <v>83</v>
      </c>
      <c r="B150" s="365"/>
      <c r="C150" s="366"/>
      <c r="D150" s="366">
        <v>3</v>
      </c>
      <c r="E150" s="366"/>
      <c r="F150" s="366"/>
      <c r="G150" s="366"/>
      <c r="H150" s="366">
        <v>1</v>
      </c>
      <c r="I150" s="379">
        <v>4</v>
      </c>
    </row>
    <row r="151" ht="12.75">
      <c r="A151" s="385" t="s">
        <v>704</v>
      </c>
      <c r="B151" s="365"/>
      <c r="C151" s="366"/>
      <c r="D151" s="366">
        <v>51</v>
      </c>
      <c r="E151" s="366"/>
      <c r="F151" s="366">
        <v>1</v>
      </c>
      <c r="G151" s="366"/>
      <c r="H151" s="366">
        <v>1</v>
      </c>
      <c r="I151" s="379">
        <v>53</v>
      </c>
    </row>
    <row r="152" ht="12.75">
      <c r="A152" s="385" t="s">
        <v>3842</v>
      </c>
      <c r="B152" s="365"/>
      <c r="C152" s="366"/>
      <c r="D152" s="366">
        <v>1</v>
      </c>
      <c r="E152" s="366"/>
      <c r="F152" s="366"/>
      <c r="G152" s="366"/>
      <c r="H152" s="366"/>
      <c r="I152" s="379">
        <v>1</v>
      </c>
    </row>
    <row r="153" ht="12.75">
      <c r="A153" s="347" t="s">
        <v>7821</v>
      </c>
      <c r="B153" s="370">
        <v>5</v>
      </c>
      <c r="C153" s="371">
        <v>4</v>
      </c>
      <c r="D153" s="371">
        <v>406</v>
      </c>
      <c r="E153" s="371">
        <v>3</v>
      </c>
      <c r="F153" s="371">
        <v>6</v>
      </c>
      <c r="G153" s="371">
        <v>5</v>
      </c>
      <c r="H153" s="371">
        <v>16</v>
      </c>
      <c r="I153" s="372">
        <v>445</v>
      </c>
    </row>
    <row r="162" ht="12.75">
      <c r="A162" s="357" t="s">
        <v>7884</v>
      </c>
      <c r="B162" s="357"/>
      <c r="C162" s="357"/>
      <c r="D162" s="357"/>
    </row>
    <row r="163" ht="12.75">
      <c r="A163" s="306" t="s">
        <v>7878</v>
      </c>
      <c r="B163" s="306" t="s">
        <v>10</v>
      </c>
      <c r="C163" s="309"/>
    </row>
    <row r="164" s="344" customFormat="1" ht="12.75">
      <c r="A164" s="306" t="s">
        <v>33</v>
      </c>
      <c r="B164" s="386" t="s">
        <v>53</v>
      </c>
      <c r="C164" s="376" t="s">
        <v>7821</v>
      </c>
    </row>
    <row r="165" ht="12.75">
      <c r="A165" s="306">
        <v>1930</v>
      </c>
      <c r="B165" s="339">
        <v>279</v>
      </c>
      <c r="C165" s="341">
        <v>279</v>
      </c>
    </row>
    <row r="166" ht="12.75">
      <c r="A166" s="313">
        <v>1940</v>
      </c>
      <c r="B166" s="343">
        <v>188</v>
      </c>
      <c r="C166" s="345">
        <v>188</v>
      </c>
    </row>
    <row r="167" ht="12.75">
      <c r="A167" s="313">
        <v>1950</v>
      </c>
      <c r="B167" s="343">
        <v>167</v>
      </c>
      <c r="C167" s="345">
        <v>167</v>
      </c>
    </row>
    <row r="168" ht="12.75">
      <c r="A168" s="313">
        <v>1960</v>
      </c>
      <c r="B168" s="343">
        <v>154</v>
      </c>
      <c r="C168" s="345">
        <v>154</v>
      </c>
    </row>
    <row r="169" ht="12.75">
      <c r="A169" s="313">
        <v>1970</v>
      </c>
      <c r="B169" s="343">
        <v>78</v>
      </c>
      <c r="C169" s="345">
        <v>78</v>
      </c>
    </row>
    <row r="170" ht="12.75">
      <c r="A170" s="313">
        <v>1980</v>
      </c>
      <c r="B170" s="343">
        <v>96</v>
      </c>
      <c r="C170" s="345">
        <v>96</v>
      </c>
    </row>
    <row r="171" ht="12.75">
      <c r="A171" s="313">
        <v>1990</v>
      </c>
      <c r="B171" s="343">
        <v>34</v>
      </c>
      <c r="C171" s="345">
        <v>34</v>
      </c>
    </row>
    <row r="172" ht="12.75">
      <c r="A172" s="313">
        <v>2000</v>
      </c>
      <c r="B172" s="343">
        <v>47</v>
      </c>
      <c r="C172" s="345">
        <v>47</v>
      </c>
    </row>
    <row r="173" ht="12.75">
      <c r="A173" s="313">
        <v>2010</v>
      </c>
      <c r="B173" s="343">
        <v>155</v>
      </c>
      <c r="C173" s="345">
        <v>155</v>
      </c>
    </row>
    <row r="174" ht="12.75">
      <c r="A174" s="313">
        <v>2020</v>
      </c>
      <c r="B174" s="343">
        <v>1</v>
      </c>
      <c r="C174" s="345">
        <v>1</v>
      </c>
    </row>
    <row r="175" ht="12.75">
      <c r="A175" s="347" t="s">
        <v>7821</v>
      </c>
      <c r="B175" s="347">
        <v>1199</v>
      </c>
      <c r="C175" s="349">
        <v>1199</v>
      </c>
    </row>
    <row r="184" ht="12.75">
      <c r="A184" s="357" t="s">
        <v>7880</v>
      </c>
      <c r="B184" s="357"/>
    </row>
    <row r="185" ht="12.75">
      <c r="A185" s="306" t="s">
        <v>7881</v>
      </c>
      <c r="B185" s="307"/>
    </row>
    <row r="186" ht="12.75">
      <c r="A186" s="306" t="s">
        <v>36</v>
      </c>
      <c r="B186" s="353" t="s">
        <v>7825</v>
      </c>
    </row>
    <row r="187" ht="12.75">
      <c r="A187" s="306">
        <v>1940</v>
      </c>
      <c r="B187" s="387">
        <v>3</v>
      </c>
    </row>
    <row r="188" ht="12.75">
      <c r="A188" s="313">
        <v>1950</v>
      </c>
      <c r="B188" s="388">
        <v>9</v>
      </c>
    </row>
    <row r="189" ht="12.75">
      <c r="A189" s="313">
        <v>1960</v>
      </c>
      <c r="B189" s="388">
        <v>25</v>
      </c>
    </row>
    <row r="190" ht="12.75">
      <c r="A190" s="313">
        <v>1970</v>
      </c>
      <c r="B190" s="388">
        <v>19</v>
      </c>
    </row>
    <row r="191" ht="12.75">
      <c r="A191" s="313">
        <v>1980</v>
      </c>
      <c r="B191" s="388">
        <v>36</v>
      </c>
    </row>
    <row r="192" ht="12.75">
      <c r="A192" s="313">
        <v>1990</v>
      </c>
      <c r="B192" s="388">
        <v>51</v>
      </c>
    </row>
    <row r="193" ht="12.75">
      <c r="A193" s="313">
        <v>2000</v>
      </c>
      <c r="B193" s="388">
        <v>80</v>
      </c>
    </row>
    <row r="194" ht="12.75">
      <c r="A194" s="313">
        <v>2010</v>
      </c>
      <c r="B194" s="388">
        <v>208</v>
      </c>
    </row>
    <row r="195" ht="12.75">
      <c r="A195" s="313" t="s">
        <v>62</v>
      </c>
      <c r="B195" s="388">
        <v>1</v>
      </c>
    </row>
    <row r="196" ht="12.75">
      <c r="A196" s="369" t="s">
        <v>7821</v>
      </c>
      <c r="B196" s="389">
        <v>432</v>
      </c>
    </row>
    <row r="206" ht="12.75">
      <c r="A206" s="357" t="s">
        <v>7880</v>
      </c>
      <c r="B206" s="357"/>
    </row>
    <row r="207" ht="12.75">
      <c r="A207" s="306" t="s">
        <v>7878</v>
      </c>
      <c r="B207" s="307"/>
    </row>
    <row r="208" ht="12.75">
      <c r="A208" s="306" t="s">
        <v>32</v>
      </c>
      <c r="B208" s="353" t="s">
        <v>7825</v>
      </c>
    </row>
    <row r="209" ht="12.75">
      <c r="A209" s="306">
        <v>1938</v>
      </c>
      <c r="B209" s="390">
        <v>242</v>
      </c>
    </row>
    <row r="210" ht="12.75">
      <c r="A210" s="313">
        <v>1939</v>
      </c>
      <c r="B210" s="391">
        <v>48</v>
      </c>
    </row>
    <row r="211" ht="12.75">
      <c r="A211" s="313">
        <v>1940</v>
      </c>
      <c r="B211" s="391">
        <v>18</v>
      </c>
    </row>
    <row r="212" ht="12.75">
      <c r="A212" s="313">
        <v>1941</v>
      </c>
      <c r="B212" s="391">
        <v>50</v>
      </c>
    </row>
    <row r="213" ht="12.75">
      <c r="A213" s="313">
        <v>1942</v>
      </c>
      <c r="B213" s="391">
        <v>7</v>
      </c>
    </row>
    <row r="214" ht="12.75">
      <c r="A214" s="313">
        <v>1943</v>
      </c>
      <c r="B214" s="391">
        <v>47</v>
      </c>
    </row>
    <row r="215" ht="12.75">
      <c r="A215" s="313">
        <v>1944</v>
      </c>
      <c r="B215" s="391">
        <v>11</v>
      </c>
    </row>
    <row r="216" ht="12.75">
      <c r="A216" s="313">
        <v>1945</v>
      </c>
      <c r="B216" s="391">
        <v>2</v>
      </c>
    </row>
    <row r="217" ht="12.75">
      <c r="A217" s="313">
        <v>1946</v>
      </c>
      <c r="B217" s="391">
        <v>5</v>
      </c>
    </row>
    <row r="218" ht="12.75">
      <c r="A218" s="313">
        <v>1947</v>
      </c>
      <c r="B218" s="391">
        <v>3</v>
      </c>
    </row>
    <row r="219" ht="12.75">
      <c r="A219" s="313">
        <v>1948</v>
      </c>
      <c r="B219" s="391">
        <v>11</v>
      </c>
    </row>
    <row r="220" ht="12.75">
      <c r="A220" s="313">
        <v>1949</v>
      </c>
      <c r="B220" s="391">
        <v>34</v>
      </c>
    </row>
    <row r="221" ht="12.75">
      <c r="A221" s="313">
        <v>1950</v>
      </c>
      <c r="B221" s="391">
        <v>56</v>
      </c>
    </row>
    <row r="222" ht="12.75">
      <c r="A222" s="313">
        <v>1951</v>
      </c>
      <c r="B222" s="391">
        <v>16</v>
      </c>
    </row>
    <row r="223" ht="12.75">
      <c r="A223" s="313">
        <v>1952</v>
      </c>
      <c r="B223" s="391">
        <v>9</v>
      </c>
    </row>
    <row r="224" ht="12.75">
      <c r="A224" s="313">
        <v>1953</v>
      </c>
      <c r="B224" s="391">
        <v>5</v>
      </c>
    </row>
    <row r="225" ht="12.75">
      <c r="A225" s="313">
        <v>1954</v>
      </c>
      <c r="B225" s="391">
        <v>17</v>
      </c>
    </row>
    <row r="226" ht="12.75">
      <c r="A226" s="313">
        <v>1955</v>
      </c>
      <c r="B226" s="391">
        <v>19</v>
      </c>
    </row>
    <row r="227" ht="12.75">
      <c r="A227" s="313">
        <v>1956</v>
      </c>
      <c r="B227" s="391">
        <v>3</v>
      </c>
    </row>
    <row r="228" ht="12.75">
      <c r="A228" s="313">
        <v>1957</v>
      </c>
      <c r="B228" s="391">
        <v>13</v>
      </c>
    </row>
    <row r="229" ht="12.75">
      <c r="A229" s="313">
        <v>1958</v>
      </c>
      <c r="B229" s="391">
        <v>13</v>
      </c>
    </row>
    <row r="230" ht="12.75">
      <c r="A230" s="313">
        <v>1959</v>
      </c>
      <c r="B230" s="391">
        <v>16</v>
      </c>
    </row>
    <row r="231" ht="12.75">
      <c r="A231" s="313">
        <v>1960</v>
      </c>
      <c r="B231" s="391">
        <v>8</v>
      </c>
    </row>
    <row r="232" ht="12.75">
      <c r="A232" s="313">
        <v>1961</v>
      </c>
      <c r="B232" s="391">
        <v>5</v>
      </c>
    </row>
    <row r="233" ht="12.75">
      <c r="A233" s="313">
        <v>1962</v>
      </c>
      <c r="B233" s="391">
        <v>34</v>
      </c>
    </row>
    <row r="234" ht="12.75">
      <c r="A234" s="313">
        <v>1963</v>
      </c>
      <c r="B234" s="391">
        <v>11</v>
      </c>
    </row>
    <row r="235" ht="12.75">
      <c r="A235" s="313">
        <v>1964</v>
      </c>
      <c r="B235" s="391">
        <v>29</v>
      </c>
    </row>
    <row r="236" ht="12.75">
      <c r="A236" s="313">
        <v>1965</v>
      </c>
      <c r="B236" s="391">
        <v>12</v>
      </c>
    </row>
    <row r="237" ht="12.75">
      <c r="A237" s="313">
        <v>1966</v>
      </c>
      <c r="B237" s="391">
        <v>7</v>
      </c>
    </row>
    <row r="238" ht="12.75">
      <c r="A238" s="313">
        <v>1967</v>
      </c>
      <c r="B238" s="391">
        <v>25</v>
      </c>
    </row>
    <row r="239" ht="12.75">
      <c r="A239" s="313">
        <v>1968</v>
      </c>
      <c r="B239" s="391">
        <v>7</v>
      </c>
    </row>
    <row r="240" ht="12.75">
      <c r="A240" s="313">
        <v>1969</v>
      </c>
      <c r="B240" s="391">
        <v>16</v>
      </c>
    </row>
    <row r="241" ht="12.75">
      <c r="A241" s="313">
        <v>1970</v>
      </c>
      <c r="B241" s="391">
        <v>11</v>
      </c>
    </row>
    <row r="242" ht="12.75">
      <c r="A242" s="313">
        <v>1971</v>
      </c>
      <c r="B242" s="391">
        <v>7</v>
      </c>
    </row>
    <row r="243" ht="12.75">
      <c r="A243" s="313">
        <v>1972</v>
      </c>
      <c r="B243" s="391">
        <v>11</v>
      </c>
    </row>
    <row r="244" ht="12.75">
      <c r="A244" s="313">
        <v>1973</v>
      </c>
      <c r="B244" s="391">
        <v>19</v>
      </c>
    </row>
    <row r="245" ht="12.75">
      <c r="A245" s="313">
        <v>1974</v>
      </c>
      <c r="B245" s="391">
        <v>16</v>
      </c>
    </row>
    <row r="246" ht="12.75">
      <c r="A246" s="313">
        <v>1975</v>
      </c>
      <c r="B246" s="391">
        <v>5</v>
      </c>
    </row>
    <row r="247" ht="12.75">
      <c r="A247" s="313">
        <v>1976</v>
      </c>
      <c r="B247" s="391">
        <v>1</v>
      </c>
    </row>
    <row r="248" ht="12.75">
      <c r="A248" s="313">
        <v>1977</v>
      </c>
      <c r="B248" s="391">
        <v>2</v>
      </c>
    </row>
    <row r="249" ht="12.75">
      <c r="A249" s="313">
        <v>1978</v>
      </c>
      <c r="B249" s="391">
        <v>6</v>
      </c>
    </row>
    <row r="250" ht="12.75">
      <c r="A250" s="313">
        <v>1979</v>
      </c>
      <c r="B250" s="391">
        <v>1</v>
      </c>
    </row>
    <row r="251" ht="12.75">
      <c r="A251" s="313">
        <v>1980</v>
      </c>
      <c r="B251" s="391">
        <v>18</v>
      </c>
    </row>
    <row r="252" ht="12.75">
      <c r="A252" s="313">
        <v>1981</v>
      </c>
      <c r="B252" s="391">
        <v>10</v>
      </c>
    </row>
    <row r="253" ht="12.75">
      <c r="A253" s="313">
        <v>1983</v>
      </c>
      <c r="B253" s="391">
        <v>7</v>
      </c>
    </row>
    <row r="254" ht="12.75">
      <c r="A254" s="313">
        <v>1984</v>
      </c>
      <c r="B254" s="391">
        <v>14</v>
      </c>
    </row>
    <row r="255" ht="12.75">
      <c r="A255" s="313">
        <v>1985</v>
      </c>
      <c r="B255" s="391">
        <v>11</v>
      </c>
    </row>
    <row r="256" ht="12.75">
      <c r="A256" s="313">
        <v>1986</v>
      </c>
      <c r="B256" s="391">
        <v>17</v>
      </c>
    </row>
    <row r="257" ht="12.75">
      <c r="A257" s="313">
        <v>1987</v>
      </c>
      <c r="B257" s="391">
        <v>10</v>
      </c>
    </row>
    <row r="258" ht="12.75">
      <c r="A258" s="313">
        <v>1988</v>
      </c>
      <c r="B258" s="391">
        <v>8</v>
      </c>
    </row>
    <row r="259" ht="12.75">
      <c r="A259" s="313">
        <v>1989</v>
      </c>
      <c r="B259" s="391">
        <v>1</v>
      </c>
    </row>
    <row r="260" ht="12.75">
      <c r="A260" s="313">
        <v>1990</v>
      </c>
      <c r="B260" s="391">
        <v>6</v>
      </c>
    </row>
    <row r="261" ht="12.75">
      <c r="A261" s="313">
        <v>1993</v>
      </c>
      <c r="B261" s="391">
        <v>5</v>
      </c>
    </row>
    <row r="262" ht="12.75">
      <c r="A262" s="313">
        <v>1994</v>
      </c>
      <c r="B262" s="391">
        <v>2</v>
      </c>
    </row>
    <row r="263" ht="12.75">
      <c r="A263" s="313">
        <v>1996</v>
      </c>
      <c r="B263" s="391">
        <v>6</v>
      </c>
    </row>
    <row r="264" ht="12.75">
      <c r="A264" s="313">
        <v>1997</v>
      </c>
      <c r="B264" s="391">
        <v>2</v>
      </c>
    </row>
    <row r="265" ht="12.75">
      <c r="A265" s="313">
        <v>1998</v>
      </c>
      <c r="B265" s="391">
        <v>9</v>
      </c>
    </row>
    <row r="266" ht="12.75">
      <c r="A266" s="313">
        <v>1999</v>
      </c>
      <c r="B266" s="391">
        <v>4</v>
      </c>
    </row>
    <row r="267" ht="12.75">
      <c r="A267" s="313">
        <v>2000</v>
      </c>
      <c r="B267" s="391">
        <v>8</v>
      </c>
    </row>
    <row r="268" ht="12.75">
      <c r="A268" s="313">
        <v>2001</v>
      </c>
      <c r="B268" s="391">
        <v>3</v>
      </c>
    </row>
    <row r="269" ht="12.75">
      <c r="A269" s="313">
        <v>2002</v>
      </c>
      <c r="B269" s="391">
        <v>2</v>
      </c>
    </row>
    <row r="270" ht="12.75">
      <c r="A270" s="313">
        <v>2003</v>
      </c>
      <c r="B270" s="391">
        <v>6</v>
      </c>
    </row>
    <row r="271" ht="12.75">
      <c r="A271" s="313">
        <v>2004</v>
      </c>
      <c r="B271" s="391">
        <v>7</v>
      </c>
    </row>
    <row r="272" ht="12.75">
      <c r="A272" s="313">
        <v>2005</v>
      </c>
      <c r="B272" s="391">
        <v>6</v>
      </c>
    </row>
    <row r="273" ht="12.75">
      <c r="A273" s="313">
        <v>2006</v>
      </c>
      <c r="B273" s="391">
        <v>2</v>
      </c>
    </row>
    <row r="274" ht="12.75">
      <c r="A274" s="313">
        <v>2008</v>
      </c>
      <c r="B274" s="391">
        <v>10</v>
      </c>
    </row>
    <row r="275" ht="12.75">
      <c r="A275" s="313">
        <v>2009</v>
      </c>
      <c r="B275" s="391">
        <v>3</v>
      </c>
    </row>
    <row r="276" ht="12.75">
      <c r="A276" s="313">
        <v>2011</v>
      </c>
      <c r="B276" s="391">
        <v>9</v>
      </c>
    </row>
    <row r="277" ht="12.75">
      <c r="A277" s="313">
        <v>2012</v>
      </c>
      <c r="B277" s="391">
        <v>16</v>
      </c>
    </row>
    <row r="278" ht="12.75">
      <c r="A278" s="313">
        <v>2013</v>
      </c>
      <c r="B278" s="391">
        <v>19</v>
      </c>
    </row>
    <row r="279" ht="12.75">
      <c r="A279" s="313">
        <v>2014</v>
      </c>
      <c r="B279" s="391">
        <v>9</v>
      </c>
    </row>
    <row r="280" ht="12.75">
      <c r="A280" s="313">
        <v>2015</v>
      </c>
      <c r="B280" s="391">
        <v>75</v>
      </c>
    </row>
    <row r="281" ht="12.75">
      <c r="A281" s="313">
        <v>2016</v>
      </c>
      <c r="B281" s="391">
        <v>6</v>
      </c>
    </row>
    <row r="282" ht="12.75">
      <c r="A282" s="313">
        <v>2018</v>
      </c>
      <c r="B282" s="391">
        <v>3</v>
      </c>
    </row>
    <row r="283" ht="12.75">
      <c r="A283" s="313">
        <v>2019</v>
      </c>
      <c r="B283" s="391">
        <v>24</v>
      </c>
    </row>
    <row r="284" ht="12.75">
      <c r="A284" s="313">
        <v>2017</v>
      </c>
      <c r="B284" s="391">
        <v>4</v>
      </c>
    </row>
    <row r="285" ht="12.75">
      <c r="A285" s="313" t="s">
        <v>62</v>
      </c>
      <c r="B285" s="391"/>
    </row>
    <row r="286" ht="12.75">
      <c r="A286" s="369" t="s">
        <v>7821</v>
      </c>
      <c r="B286" s="392">
        <v>1220</v>
      </c>
    </row>
  </sheetData>
  <mergeCells count="9">
    <mergeCell ref="A2:E2"/>
    <mergeCell ref="A30:E30"/>
    <mergeCell ref="A43:E43"/>
    <mergeCell ref="A86:K86"/>
    <mergeCell ref="A103:J103"/>
    <mergeCell ref="A123:J123"/>
    <mergeCell ref="A162:D162"/>
    <mergeCell ref="A184:B184"/>
    <mergeCell ref="A206:B206"/>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pane ySplit="1" topLeftCell="A2" activePane="bottomLeft" state="frozen"/>
      <selection activeCell="C10" activeCellId="0" sqref="C10"/>
    </sheetView>
  </sheetViews>
  <sheetFormatPr defaultColWidth="9.1484375" defaultRowHeight="12.75"/>
  <cols>
    <col customWidth="1" min="1" max="1" style="394" width="27.420000000000002"/>
    <col customWidth="1" min="2" max="2" style="395" width="58.420000000000002"/>
    <col customWidth="0" min="3" max="16384" style="393" width="9.1400000000000006"/>
  </cols>
  <sheetData>
    <row r="1" s="396" customFormat="1" ht="12.75">
      <c r="A1" s="397" t="s">
        <v>7885</v>
      </c>
      <c r="B1" s="398" t="s">
        <v>7886</v>
      </c>
    </row>
    <row r="2" ht="12.75">
      <c r="A2" s="394" t="s">
        <v>7887</v>
      </c>
      <c r="B2" s="395" t="s">
        <v>7888</v>
      </c>
    </row>
    <row r="3" ht="12.75">
      <c r="A3" s="394" t="s">
        <v>7889</v>
      </c>
      <c r="B3" s="399" t="s">
        <v>7890</v>
      </c>
    </row>
    <row r="4" ht="12.75">
      <c r="A4" s="394" t="s">
        <v>5</v>
      </c>
      <c r="B4" s="395" t="s">
        <v>7891</v>
      </c>
    </row>
    <row r="5" ht="12.75">
      <c r="A5" s="394" t="s">
        <v>7892</v>
      </c>
      <c r="B5" s="395" t="s">
        <v>7893</v>
      </c>
    </row>
    <row r="6" s="396" customFormat="1" ht="12.75">
      <c r="A6" s="397" t="s">
        <v>7894</v>
      </c>
      <c r="B6" s="398"/>
    </row>
    <row r="7" ht="51">
      <c r="A7" s="394" t="s">
        <v>25</v>
      </c>
      <c r="B7" s="395" t="s">
        <v>7895</v>
      </c>
    </row>
    <row r="8" ht="12.75">
      <c r="A8" s="394" t="s">
        <v>7896</v>
      </c>
      <c r="B8" s="395" t="s">
        <v>7897</v>
      </c>
    </row>
    <row r="9" ht="38.25" customHeight="1">
      <c r="A9" s="394" t="s">
        <v>7898</v>
      </c>
      <c r="B9" s="395" t="s">
        <v>7899</v>
      </c>
    </row>
    <row r="10" ht="38.25" customHeight="1">
      <c r="A10" s="394" t="s">
        <v>13</v>
      </c>
      <c r="B10" s="395" t="s">
        <v>7900</v>
      </c>
    </row>
    <row r="11" ht="12.75">
      <c r="A11" s="394" t="s">
        <v>7901</v>
      </c>
      <c r="B11" s="395" t="s">
        <v>7902</v>
      </c>
    </row>
    <row r="12" ht="52.5" customHeight="1">
      <c r="A12" s="394" t="s">
        <v>8</v>
      </c>
      <c r="B12" s="400" t="s">
        <v>7903</v>
      </c>
    </row>
    <row r="13" ht="12.75" customHeight="1">
      <c r="A13" s="394" t="s">
        <v>7904</v>
      </c>
      <c r="B13" s="395" t="s">
        <v>7905</v>
      </c>
    </row>
    <row r="14" ht="12.75">
      <c r="A14" s="394" t="s">
        <v>27</v>
      </c>
      <c r="B14" s="395"/>
    </row>
    <row r="15" ht="12.75">
      <c r="A15" s="394" t="s">
        <v>7906</v>
      </c>
      <c r="B15" s="395"/>
    </row>
    <row r="16" ht="12.75">
      <c r="A16" s="394" t="s">
        <v>29</v>
      </c>
      <c r="B16" s="395"/>
    </row>
    <row r="17" ht="12.75" customHeight="1">
      <c r="A17" s="394" t="s">
        <v>7907</v>
      </c>
      <c r="B17" s="395" t="s">
        <v>7908</v>
      </c>
    </row>
    <row r="18" ht="12.75">
      <c r="A18" s="394" t="s">
        <v>7909</v>
      </c>
      <c r="B18" s="395"/>
    </row>
    <row r="19" ht="12.75">
      <c r="A19" s="394" t="s">
        <v>7910</v>
      </c>
      <c r="B19" s="395"/>
    </row>
    <row r="20" ht="12.75">
      <c r="A20" s="394" t="s">
        <v>7911</v>
      </c>
      <c r="B20" s="395" t="s">
        <v>7912</v>
      </c>
    </row>
    <row r="21" ht="12.75">
      <c r="A21" s="394" t="s">
        <v>34</v>
      </c>
      <c r="B21" s="395" t="s">
        <v>7913</v>
      </c>
    </row>
    <row r="22" ht="12.75" customHeight="1">
      <c r="A22" s="394" t="s">
        <v>7914</v>
      </c>
      <c r="B22" s="395" t="s">
        <v>7915</v>
      </c>
    </row>
    <row r="23" ht="12.75">
      <c r="A23" s="394" t="s">
        <v>7916</v>
      </c>
      <c r="B23" s="395"/>
    </row>
    <row r="24" ht="12.75">
      <c r="A24" s="394" t="s">
        <v>7917</v>
      </c>
      <c r="B24" s="395" t="s">
        <v>7918</v>
      </c>
    </row>
    <row r="25" ht="25.5" customHeight="1">
      <c r="A25" s="394" t="s">
        <v>7919</v>
      </c>
      <c r="B25" s="395" t="s">
        <v>7920</v>
      </c>
    </row>
    <row r="26" ht="25.5">
      <c r="A26" s="394" t="s">
        <v>7921</v>
      </c>
      <c r="B26" s="395"/>
    </row>
    <row r="27" ht="12.75" customHeight="1">
      <c r="A27" s="394" t="s">
        <v>7922</v>
      </c>
      <c r="B27" s="395" t="s">
        <v>7923</v>
      </c>
    </row>
    <row r="28" ht="12.75">
      <c r="A28" s="394" t="s">
        <v>7924</v>
      </c>
      <c r="B28" s="395"/>
    </row>
    <row r="29" ht="25.5">
      <c r="A29" s="394" t="s">
        <v>7925</v>
      </c>
      <c r="B29" s="395" t="s">
        <v>7926</v>
      </c>
    </row>
    <row r="30" ht="12.75">
      <c r="A30" s="394" t="s">
        <v>7927</v>
      </c>
      <c r="B30" s="395" t="s">
        <v>7928</v>
      </c>
    </row>
    <row r="31" ht="12.75">
      <c r="A31" s="394" t="s">
        <v>7929</v>
      </c>
      <c r="B31" s="395" t="s">
        <v>7930</v>
      </c>
    </row>
  </sheetData>
  <mergeCells count="5">
    <mergeCell ref="B13:B16"/>
    <mergeCell ref="B17:B19"/>
    <mergeCell ref="B22:B23"/>
    <mergeCell ref="B25:B26"/>
    <mergeCell ref="B27:B28"/>
  </mergeCells>
  <hyperlinks>
    <hyperlink r:id="rId1" ref="B3"/>
  </hyperlinks>
  <printOptions headings="0" gridLines="0" horizontalCentered="0" verticalCentered="0"/>
  <pageMargins left="0.39375000000000004" right="0.39375000000000004" top="0.39375000000000004" bottom="0.39375000000000004" header="0.51181102362204689" footer="0.51181102362204689"/>
  <pageSetup paperSize="9" scale="82" fitToWidth="1" fitToHeight="1" pageOrder="downThenOver" orientation="portrait" usePrinterDefaults="1" blackAndWhite="0" draft="0" cellComments="none" useFirstPageNumber="0" errors="displayed" horizontalDpi="300" verticalDpi="300" copies="1"/>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C1" zoomScale="100" workbookViewId="0">
      <selection activeCell="E37" activeCellId="0" sqref="E37"/>
    </sheetView>
  </sheetViews>
  <sheetFormatPr defaultColWidth="8.6796875" defaultRowHeight="12.75"/>
  <cols>
    <col customWidth="1" min="1" max="1" style="0" width="43.420000000000002"/>
    <col customWidth="1" min="2" max="8" style="0" width="34.289999999999999"/>
    <col customWidth="1" min="9" max="10"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402" t="s">
        <v>5</v>
      </c>
      <c r="B6" s="403" t="s">
        <v>7935</v>
      </c>
    </row>
    <row r="7" ht="12.75">
      <c r="A7" s="404" t="s">
        <v>7936</v>
      </c>
      <c r="B7" s="404"/>
      <c r="C7" s="404"/>
      <c r="D7" s="404"/>
      <c r="E7" s="404"/>
    </row>
    <row r="8" ht="12.75">
      <c r="A8" s="338" t="s">
        <v>7937</v>
      </c>
      <c r="B8" s="405" t="s">
        <v>10</v>
      </c>
      <c r="C8" s="406"/>
      <c r="D8" s="406"/>
      <c r="E8" s="407"/>
    </row>
    <row r="9" ht="12.75">
      <c r="A9" s="408" t="s">
        <v>7</v>
      </c>
      <c r="B9" s="369" t="s">
        <v>53</v>
      </c>
      <c r="C9" s="409" t="s">
        <v>1748</v>
      </c>
      <c r="D9" s="410" t="s">
        <v>1978</v>
      </c>
      <c r="E9" s="337" t="s">
        <v>7821</v>
      </c>
    </row>
    <row r="10" ht="12.75">
      <c r="A10" s="408" t="s">
        <v>68</v>
      </c>
      <c r="B10" s="339">
        <v>20</v>
      </c>
      <c r="C10" s="340"/>
      <c r="D10" s="340">
        <v>1</v>
      </c>
      <c r="E10" s="341">
        <v>21</v>
      </c>
    </row>
    <row r="11" ht="12.75">
      <c r="A11" s="342" t="s">
        <v>257</v>
      </c>
      <c r="B11" s="343">
        <v>7</v>
      </c>
      <c r="C11" s="344"/>
      <c r="D11" s="344"/>
      <c r="E11" s="345">
        <v>7</v>
      </c>
    </row>
    <row r="12" ht="12.75">
      <c r="A12" s="342" t="s">
        <v>288</v>
      </c>
      <c r="B12" s="343">
        <v>6</v>
      </c>
      <c r="C12" s="344"/>
      <c r="D12" s="344"/>
      <c r="E12" s="345">
        <v>6</v>
      </c>
    </row>
    <row r="13" ht="12.75">
      <c r="A13" s="342" t="s">
        <v>57</v>
      </c>
      <c r="B13" s="343">
        <v>89</v>
      </c>
      <c r="C13" s="344">
        <v>1</v>
      </c>
      <c r="D13" s="344"/>
      <c r="E13" s="345">
        <v>90</v>
      </c>
    </row>
    <row r="14" ht="12.75">
      <c r="A14" s="342" t="s">
        <v>51</v>
      </c>
      <c r="B14" s="343">
        <v>60</v>
      </c>
      <c r="C14" s="344">
        <v>1</v>
      </c>
      <c r="D14" s="344"/>
      <c r="E14" s="345">
        <v>61</v>
      </c>
    </row>
    <row r="15" ht="12.75">
      <c r="A15" s="342" t="s">
        <v>501</v>
      </c>
      <c r="B15" s="343">
        <v>7</v>
      </c>
      <c r="C15" s="344"/>
      <c r="D15" s="344"/>
      <c r="E15" s="345">
        <v>7</v>
      </c>
    </row>
    <row r="16" ht="12.75">
      <c r="A16" s="342" t="s">
        <v>181</v>
      </c>
      <c r="B16" s="343">
        <v>3</v>
      </c>
      <c r="C16" s="344"/>
      <c r="D16" s="344"/>
      <c r="E16" s="345">
        <v>3</v>
      </c>
    </row>
    <row r="17" ht="12.75">
      <c r="A17" s="342" t="s">
        <v>508</v>
      </c>
      <c r="B17" s="343">
        <v>12</v>
      </c>
      <c r="C17" s="344"/>
      <c r="D17" s="344"/>
      <c r="E17" s="345">
        <v>12</v>
      </c>
    </row>
    <row r="18" ht="12.75">
      <c r="A18" s="342" t="s">
        <v>88</v>
      </c>
      <c r="B18" s="343">
        <v>6</v>
      </c>
      <c r="C18" s="344">
        <v>2</v>
      </c>
      <c r="D18" s="344">
        <v>1</v>
      </c>
      <c r="E18" s="345">
        <v>9</v>
      </c>
    </row>
    <row r="19" ht="12.75">
      <c r="A19" s="342" t="s">
        <v>382</v>
      </c>
      <c r="B19" s="343">
        <v>14</v>
      </c>
      <c r="C19" s="344"/>
      <c r="D19" s="344">
        <v>2</v>
      </c>
      <c r="E19" s="345">
        <v>16</v>
      </c>
    </row>
    <row r="20" ht="12.75">
      <c r="A20" s="342" t="s">
        <v>491</v>
      </c>
      <c r="B20" s="343">
        <v>15</v>
      </c>
      <c r="C20" s="344"/>
      <c r="D20" s="344"/>
      <c r="E20" s="345">
        <v>15</v>
      </c>
    </row>
    <row r="21" ht="12.75">
      <c r="A21" s="411" t="s">
        <v>7821</v>
      </c>
      <c r="B21" s="347">
        <v>239</v>
      </c>
      <c r="C21" s="348">
        <v>4</v>
      </c>
      <c r="D21" s="348">
        <v>4</v>
      </c>
      <c r="E21" s="349">
        <v>247</v>
      </c>
    </row>
    <row r="25" ht="12.75">
      <c r="A25" s="331" t="s">
        <v>5</v>
      </c>
      <c r="B25" s="331" t="s">
        <v>7935</v>
      </c>
    </row>
    <row r="26" ht="12.75">
      <c r="A26" s="412" t="s">
        <v>7938</v>
      </c>
      <c r="B26" s="412"/>
      <c r="C26" s="412"/>
    </row>
    <row r="27" ht="12.75">
      <c r="A27" s="306" t="s">
        <v>7876</v>
      </c>
      <c r="B27" s="306" t="s">
        <v>18</v>
      </c>
      <c r="C27" s="308"/>
      <c r="D27" s="308"/>
      <c r="E27" s="308"/>
      <c r="F27" s="308"/>
      <c r="G27" s="308"/>
      <c r="H27" s="308"/>
      <c r="I27" s="309"/>
    </row>
    <row r="28" ht="12.75">
      <c r="A28" s="306" t="s">
        <v>7</v>
      </c>
      <c r="B28" s="335" t="s">
        <v>3999</v>
      </c>
      <c r="C28" s="336" t="s">
        <v>2102</v>
      </c>
      <c r="D28" s="336" t="s">
        <v>283</v>
      </c>
      <c r="E28" s="336" t="s">
        <v>195</v>
      </c>
      <c r="F28" s="336" t="s">
        <v>1749</v>
      </c>
      <c r="G28" s="336" t="s">
        <v>5758</v>
      </c>
      <c r="H28" s="336" t="s">
        <v>1980</v>
      </c>
      <c r="I28" s="337" t="s">
        <v>7821</v>
      </c>
    </row>
    <row r="29" ht="12.75">
      <c r="A29" s="306" t="s">
        <v>68</v>
      </c>
      <c r="B29" s="339"/>
      <c r="C29" s="340"/>
      <c r="D29" s="340">
        <v>11</v>
      </c>
      <c r="E29" s="340"/>
      <c r="F29" s="340"/>
      <c r="G29" s="340"/>
      <c r="H29" s="340">
        <v>1</v>
      </c>
      <c r="I29" s="341">
        <v>12</v>
      </c>
    </row>
    <row r="30" ht="12.75">
      <c r="A30" s="313" t="s">
        <v>257</v>
      </c>
      <c r="B30" s="343"/>
      <c r="C30" s="344"/>
      <c r="D30" s="344">
        <v>2</v>
      </c>
      <c r="E30" s="344"/>
      <c r="F30" s="344"/>
      <c r="G30" s="344"/>
      <c r="H30" s="344"/>
      <c r="I30" s="345">
        <v>2</v>
      </c>
    </row>
    <row r="31" ht="12.75">
      <c r="A31" s="313" t="s">
        <v>288</v>
      </c>
      <c r="B31" s="343"/>
      <c r="C31" s="344"/>
      <c r="D31" s="344">
        <v>5</v>
      </c>
      <c r="E31" s="344">
        <v>1</v>
      </c>
      <c r="F31" s="344"/>
      <c r="G31" s="344"/>
      <c r="H31" s="344"/>
      <c r="I31" s="345">
        <v>6</v>
      </c>
    </row>
    <row r="32" ht="12.75">
      <c r="A32" s="313" t="s">
        <v>57</v>
      </c>
      <c r="B32" s="343"/>
      <c r="C32" s="344">
        <v>1</v>
      </c>
      <c r="D32" s="344">
        <v>31</v>
      </c>
      <c r="E32" s="344">
        <v>3</v>
      </c>
      <c r="F32" s="344"/>
      <c r="G32" s="344"/>
      <c r="H32" s="344"/>
      <c r="I32" s="345">
        <v>35</v>
      </c>
    </row>
    <row r="33" ht="12.75">
      <c r="A33" s="313" t="s">
        <v>51</v>
      </c>
      <c r="B33" s="343"/>
      <c r="C33" s="344"/>
      <c r="D33" s="344">
        <v>5</v>
      </c>
      <c r="E33" s="344">
        <v>1</v>
      </c>
      <c r="F33" s="344"/>
      <c r="G33" s="344"/>
      <c r="H33" s="344"/>
      <c r="I33" s="345">
        <v>6</v>
      </c>
    </row>
    <row r="34" ht="12.75">
      <c r="A34" s="313" t="s">
        <v>501</v>
      </c>
      <c r="B34" s="343"/>
      <c r="C34" s="344"/>
      <c r="D34" s="344">
        <v>4</v>
      </c>
      <c r="E34" s="344">
        <v>1</v>
      </c>
      <c r="F34" s="344"/>
      <c r="G34" s="344"/>
      <c r="H34" s="344"/>
      <c r="I34" s="345">
        <v>5</v>
      </c>
    </row>
    <row r="35" ht="12.75">
      <c r="A35" s="313" t="s">
        <v>4501</v>
      </c>
      <c r="B35" s="343"/>
      <c r="C35" s="344"/>
      <c r="D35" s="344">
        <v>1</v>
      </c>
      <c r="E35" s="344"/>
      <c r="F35" s="344"/>
      <c r="G35" s="344"/>
      <c r="H35" s="344"/>
      <c r="I35" s="345">
        <v>1</v>
      </c>
    </row>
    <row r="36" ht="12.75">
      <c r="A36" s="313" t="s">
        <v>181</v>
      </c>
      <c r="B36" s="343"/>
      <c r="C36" s="344"/>
      <c r="D36" s="344">
        <v>2</v>
      </c>
      <c r="E36" s="344"/>
      <c r="F36" s="344"/>
      <c r="G36" s="344"/>
      <c r="H36" s="344"/>
      <c r="I36" s="345">
        <v>2</v>
      </c>
    </row>
    <row r="37" ht="12.75">
      <c r="A37" s="313" t="s">
        <v>977</v>
      </c>
      <c r="B37" s="343"/>
      <c r="C37" s="344"/>
      <c r="D37" s="344">
        <v>1</v>
      </c>
      <c r="E37" s="344"/>
      <c r="F37" s="344"/>
      <c r="G37" s="344"/>
      <c r="H37" s="344"/>
      <c r="I37" s="345">
        <v>1</v>
      </c>
    </row>
    <row r="38" ht="12.75">
      <c r="A38" s="313" t="s">
        <v>3735</v>
      </c>
      <c r="B38" s="343"/>
      <c r="C38" s="344"/>
      <c r="D38" s="344">
        <v>4</v>
      </c>
      <c r="E38" s="344"/>
      <c r="F38" s="344"/>
      <c r="G38" s="344"/>
      <c r="H38" s="344"/>
      <c r="I38" s="345">
        <v>4</v>
      </c>
    </row>
    <row r="39" ht="12.75">
      <c r="A39" s="313" t="s">
        <v>508</v>
      </c>
      <c r="B39" s="343"/>
      <c r="C39" s="344"/>
      <c r="D39" s="344">
        <v>5</v>
      </c>
      <c r="E39" s="344">
        <v>1</v>
      </c>
      <c r="F39" s="344"/>
      <c r="G39" s="344"/>
      <c r="H39" s="344"/>
      <c r="I39" s="345">
        <v>6</v>
      </c>
    </row>
    <row r="40" ht="12.75">
      <c r="A40" s="313" t="s">
        <v>88</v>
      </c>
      <c r="B40" s="343">
        <v>1</v>
      </c>
      <c r="C40" s="344">
        <v>1</v>
      </c>
      <c r="D40" s="344">
        <v>8</v>
      </c>
      <c r="E40" s="344">
        <v>1</v>
      </c>
      <c r="F40" s="344">
        <v>1</v>
      </c>
      <c r="G40" s="344">
        <v>1</v>
      </c>
      <c r="H40" s="344"/>
      <c r="I40" s="345">
        <v>13</v>
      </c>
    </row>
    <row r="41" ht="12.75">
      <c r="A41" s="313" t="s">
        <v>382</v>
      </c>
      <c r="B41" s="343"/>
      <c r="C41" s="344"/>
      <c r="D41" s="344">
        <v>4</v>
      </c>
      <c r="E41" s="344"/>
      <c r="F41" s="344"/>
      <c r="G41" s="344"/>
      <c r="H41" s="344">
        <v>2</v>
      </c>
      <c r="I41" s="345">
        <v>6</v>
      </c>
    </row>
    <row r="42" ht="12.75">
      <c r="A42" s="313" t="s">
        <v>491</v>
      </c>
      <c r="B42" s="343"/>
      <c r="C42" s="344"/>
      <c r="D42" s="344">
        <v>2</v>
      </c>
      <c r="E42" s="344">
        <v>1</v>
      </c>
      <c r="F42" s="344"/>
      <c r="G42" s="344"/>
      <c r="H42" s="344"/>
      <c r="I42" s="345">
        <v>3</v>
      </c>
    </row>
    <row r="43" ht="12.75">
      <c r="A43" s="413" t="s">
        <v>7821</v>
      </c>
      <c r="B43" s="347">
        <v>1</v>
      </c>
      <c r="C43" s="348">
        <v>2</v>
      </c>
      <c r="D43" s="348">
        <v>85</v>
      </c>
      <c r="E43" s="348">
        <v>9</v>
      </c>
      <c r="F43" s="348">
        <v>1</v>
      </c>
      <c r="G43" s="348">
        <v>1</v>
      </c>
      <c r="H43" s="348">
        <v>3</v>
      </c>
      <c r="I43" s="349">
        <v>102</v>
      </c>
    </row>
  </sheetData>
  <mergeCells count="6">
    <mergeCell ref="A1:E1"/>
    <mergeCell ref="A2:E2"/>
    <mergeCell ref="A3:E3"/>
    <mergeCell ref="A4:E4"/>
    <mergeCell ref="A7:E7"/>
    <mergeCell ref="A26:C26"/>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A29" activeCellId="0" sqref="A29"/>
    </sheetView>
  </sheetViews>
  <sheetFormatPr defaultColWidth="8.6796875" defaultRowHeight="12.75"/>
  <cols>
    <col customWidth="1" min="1" max="1" style="0" width="43.420000000000002"/>
    <col customWidth="1" min="2" max="3" style="0" width="34.289999999999999"/>
    <col customWidth="1" min="4" max="6"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331" t="s">
        <v>5</v>
      </c>
      <c r="B6" s="331" t="s">
        <v>7935</v>
      </c>
    </row>
    <row r="7" ht="12.75">
      <c r="A7" s="332" t="s">
        <v>7939</v>
      </c>
      <c r="B7" s="332"/>
      <c r="C7" s="332"/>
    </row>
    <row r="8" ht="12.75">
      <c r="A8" s="306" t="s">
        <v>7937</v>
      </c>
      <c r="B8" s="306" t="s">
        <v>10</v>
      </c>
      <c r="C8" s="309"/>
    </row>
    <row r="9" ht="12.75">
      <c r="A9" s="306" t="s">
        <v>7</v>
      </c>
      <c r="B9" s="337" t="s">
        <v>53</v>
      </c>
      <c r="C9" s="337" t="s">
        <v>7821</v>
      </c>
    </row>
    <row r="10" ht="12.75">
      <c r="A10" s="306" t="s">
        <v>51</v>
      </c>
      <c r="B10" s="339">
        <v>1</v>
      </c>
      <c r="C10" s="341">
        <v>1</v>
      </c>
    </row>
    <row r="11" ht="12.75">
      <c r="A11" s="413" t="s">
        <v>7821</v>
      </c>
      <c r="B11" s="347">
        <v>1</v>
      </c>
      <c r="C11" s="349">
        <v>1</v>
      </c>
    </row>
    <row r="15" ht="12.75">
      <c r="A15" s="331" t="s">
        <v>5</v>
      </c>
      <c r="B15" s="331" t="s">
        <v>7935</v>
      </c>
    </row>
    <row r="16" ht="12.75">
      <c r="A16" s="412" t="s">
        <v>7940</v>
      </c>
      <c r="B16" s="412"/>
      <c r="C16" s="412"/>
    </row>
    <row r="17" ht="12.75">
      <c r="A17" s="306" t="s">
        <v>7876</v>
      </c>
      <c r="B17" s="306" t="s">
        <v>18</v>
      </c>
      <c r="C17" s="308"/>
      <c r="D17" s="309"/>
    </row>
    <row r="18" ht="12.75">
      <c r="A18" s="306" t="s">
        <v>7</v>
      </c>
      <c r="B18" s="335" t="s">
        <v>283</v>
      </c>
      <c r="C18" s="414" t="s">
        <v>1749</v>
      </c>
      <c r="D18" s="337" t="s">
        <v>7821</v>
      </c>
    </row>
    <row r="19" ht="12.75">
      <c r="A19" s="306" t="s">
        <v>288</v>
      </c>
      <c r="B19" s="339">
        <v>1</v>
      </c>
      <c r="C19" s="340"/>
      <c r="D19" s="341">
        <v>1</v>
      </c>
    </row>
    <row r="20" ht="12.75">
      <c r="A20" s="313" t="s">
        <v>977</v>
      </c>
      <c r="B20" s="343"/>
      <c r="C20" s="344">
        <v>1</v>
      </c>
      <c r="D20" s="345">
        <v>1</v>
      </c>
    </row>
    <row r="21" ht="12.75">
      <c r="A21" s="413" t="s">
        <v>7821</v>
      </c>
      <c r="B21" s="347">
        <v>1</v>
      </c>
      <c r="C21" s="348">
        <v>1</v>
      </c>
      <c r="D21" s="349">
        <v>2</v>
      </c>
    </row>
  </sheetData>
  <mergeCells count="6">
    <mergeCell ref="A1:E1"/>
    <mergeCell ref="A2:E2"/>
    <mergeCell ref="A3:E3"/>
    <mergeCell ref="A4:E4"/>
    <mergeCell ref="A7:C7"/>
    <mergeCell ref="A16:C16"/>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C38" activeCellId="0" sqref="C38"/>
    </sheetView>
  </sheetViews>
  <sheetFormatPr defaultColWidth="8.6796875" defaultRowHeight="12.75"/>
  <cols>
    <col customWidth="1" min="1" max="1" style="0" width="43.420000000000002"/>
    <col customWidth="1" min="2" max="4" style="0" width="34.289999999999999"/>
    <col customWidth="1" min="5" max="6"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402" t="s">
        <v>5</v>
      </c>
      <c r="B6" s="403" t="s">
        <v>7935</v>
      </c>
    </row>
    <row r="7" ht="12.75">
      <c r="A7" s="404" t="s">
        <v>7941</v>
      </c>
      <c r="B7" s="404"/>
      <c r="C7" s="404"/>
      <c r="D7" s="404"/>
    </row>
    <row r="8" ht="12.75">
      <c r="A8" s="338" t="s">
        <v>7937</v>
      </c>
      <c r="B8" s="405" t="s">
        <v>10</v>
      </c>
      <c r="C8" s="406"/>
      <c r="D8" s="407"/>
    </row>
    <row r="9" ht="12.75">
      <c r="A9" s="408" t="s">
        <v>7</v>
      </c>
      <c r="B9" s="369" t="s">
        <v>53</v>
      </c>
      <c r="C9" s="410" t="s">
        <v>1978</v>
      </c>
      <c r="D9" s="337" t="s">
        <v>7821</v>
      </c>
    </row>
    <row r="10" ht="12.75">
      <c r="A10" s="408" t="s">
        <v>68</v>
      </c>
      <c r="B10" s="339">
        <v>1</v>
      </c>
      <c r="C10" s="340"/>
      <c r="D10" s="341">
        <v>1</v>
      </c>
    </row>
    <row r="11" ht="12.75">
      <c r="A11" s="342" t="s">
        <v>288</v>
      </c>
      <c r="B11" s="343">
        <v>3</v>
      </c>
      <c r="C11" s="344"/>
      <c r="D11" s="345">
        <v>3</v>
      </c>
    </row>
    <row r="12" ht="12.75">
      <c r="A12" s="342" t="s">
        <v>57</v>
      </c>
      <c r="B12" s="343">
        <v>2</v>
      </c>
      <c r="C12" s="344"/>
      <c r="D12" s="345">
        <v>2</v>
      </c>
    </row>
    <row r="13" ht="12.75">
      <c r="A13" s="342" t="s">
        <v>51</v>
      </c>
      <c r="B13" s="343">
        <v>4</v>
      </c>
      <c r="C13" s="344">
        <v>1</v>
      </c>
      <c r="D13" s="345">
        <v>5</v>
      </c>
    </row>
    <row r="14" ht="12.75">
      <c r="A14" s="342" t="s">
        <v>508</v>
      </c>
      <c r="B14" s="343">
        <v>1</v>
      </c>
      <c r="C14" s="344"/>
      <c r="D14" s="345">
        <v>1</v>
      </c>
    </row>
    <row r="15" ht="12.75">
      <c r="A15" s="411" t="s">
        <v>7821</v>
      </c>
      <c r="B15" s="347">
        <v>11</v>
      </c>
      <c r="C15" s="348">
        <v>1</v>
      </c>
      <c r="D15" s="349">
        <v>12</v>
      </c>
    </row>
    <row r="17" ht="12.75">
      <c r="A17" s="331" t="s">
        <v>5</v>
      </c>
      <c r="B17" s="331" t="s">
        <v>7935</v>
      </c>
    </row>
    <row r="18" ht="12.75">
      <c r="A18" s="412" t="s">
        <v>7942</v>
      </c>
      <c r="B18" s="412"/>
      <c r="C18" s="412"/>
    </row>
    <row r="19" ht="12.75">
      <c r="A19" s="306" t="s">
        <v>7876</v>
      </c>
      <c r="B19" s="306" t="s">
        <v>18</v>
      </c>
      <c r="C19" s="308"/>
      <c r="D19" s="308"/>
      <c r="E19" s="309"/>
    </row>
    <row r="20" ht="12.75">
      <c r="A20" s="306" t="s">
        <v>7</v>
      </c>
      <c r="B20" s="335" t="s">
        <v>283</v>
      </c>
      <c r="C20" s="336" t="s">
        <v>195</v>
      </c>
      <c r="D20" s="336" t="s">
        <v>1980</v>
      </c>
      <c r="E20" s="337" t="s">
        <v>7821</v>
      </c>
    </row>
    <row r="21" ht="12.75">
      <c r="A21" s="306" t="s">
        <v>3994</v>
      </c>
      <c r="B21" s="339"/>
      <c r="C21" s="340"/>
      <c r="D21" s="340"/>
      <c r="E21" s="341"/>
    </row>
    <row r="22" ht="12.75">
      <c r="A22" s="313" t="s">
        <v>288</v>
      </c>
      <c r="B22" s="343">
        <v>3</v>
      </c>
      <c r="C22" s="344"/>
      <c r="D22" s="344"/>
      <c r="E22" s="345">
        <v>3</v>
      </c>
    </row>
    <row r="23" ht="12.75">
      <c r="A23" s="313" t="s">
        <v>51</v>
      </c>
      <c r="B23" s="343">
        <v>2</v>
      </c>
      <c r="C23" s="344">
        <v>1</v>
      </c>
      <c r="D23" s="344">
        <v>1</v>
      </c>
      <c r="E23" s="345">
        <v>4</v>
      </c>
    </row>
    <row r="24" ht="12.75">
      <c r="A24" s="313" t="s">
        <v>88</v>
      </c>
      <c r="B24" s="343">
        <v>1</v>
      </c>
      <c r="C24" s="344"/>
      <c r="D24" s="344"/>
      <c r="E24" s="345">
        <v>1</v>
      </c>
    </row>
    <row r="25" ht="12.75">
      <c r="A25" s="313" t="s">
        <v>382</v>
      </c>
      <c r="B25" s="343"/>
      <c r="C25" s="344"/>
      <c r="D25" s="344"/>
      <c r="E25" s="345"/>
    </row>
    <row r="26" ht="12.75">
      <c r="A26" s="413" t="s">
        <v>7821</v>
      </c>
      <c r="B26" s="347">
        <v>6</v>
      </c>
      <c r="C26" s="348">
        <v>1</v>
      </c>
      <c r="D26" s="348">
        <v>1</v>
      </c>
      <c r="E26" s="349">
        <v>8</v>
      </c>
    </row>
  </sheetData>
  <mergeCells count="6">
    <mergeCell ref="A1:E1"/>
    <mergeCell ref="A2:E2"/>
    <mergeCell ref="A3:E3"/>
    <mergeCell ref="A4:E4"/>
    <mergeCell ref="A7:D7"/>
    <mergeCell ref="A18:C18"/>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B24" activeCellId="0" sqref="B24"/>
    </sheetView>
  </sheetViews>
  <sheetFormatPr defaultColWidth="8.6796875" defaultRowHeight="12.75"/>
  <cols>
    <col customWidth="1" min="1" max="1" style="0" width="43.420000000000002"/>
    <col customWidth="1" min="2" max="3" style="0" width="34.289999999999999"/>
    <col customWidth="1" min="4" max="4" style="0" width="11.140000000000001"/>
    <col customWidth="1" min="5" max="5" style="0" width="22"/>
    <col customWidth="1" min="6" max="6"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331" t="s">
        <v>5</v>
      </c>
      <c r="B6" s="331" t="s">
        <v>7935</v>
      </c>
    </row>
    <row r="7" ht="12.75">
      <c r="A7" s="332" t="s">
        <v>7943</v>
      </c>
      <c r="B7" s="332"/>
      <c r="C7" s="332"/>
      <c r="D7" s="332"/>
    </row>
    <row r="8" ht="12.75">
      <c r="A8" s="306" t="s">
        <v>7937</v>
      </c>
      <c r="B8" s="306" t="s">
        <v>10</v>
      </c>
      <c r="C8" s="308"/>
      <c r="D8" s="309"/>
    </row>
    <row r="9" ht="12.75">
      <c r="A9" s="306" t="s">
        <v>7</v>
      </c>
      <c r="B9" s="369" t="s">
        <v>53</v>
      </c>
      <c r="C9" s="410" t="s">
        <v>1748</v>
      </c>
      <c r="D9" s="337" t="s">
        <v>7821</v>
      </c>
    </row>
    <row r="10" ht="12.75">
      <c r="A10" s="306" t="s">
        <v>68</v>
      </c>
      <c r="B10" s="339">
        <v>2</v>
      </c>
      <c r="C10" s="340"/>
      <c r="D10" s="341">
        <v>2</v>
      </c>
    </row>
    <row r="11" ht="12.75">
      <c r="A11" s="313" t="s">
        <v>288</v>
      </c>
      <c r="B11" s="343"/>
      <c r="C11" s="344">
        <v>1</v>
      </c>
      <c r="D11" s="345">
        <v>1</v>
      </c>
    </row>
    <row r="12" ht="12.75">
      <c r="A12" s="313" t="s">
        <v>57</v>
      </c>
      <c r="B12" s="343">
        <v>1</v>
      </c>
      <c r="C12" s="344"/>
      <c r="D12" s="345">
        <v>1</v>
      </c>
    </row>
    <row r="13" ht="12.75">
      <c r="A13" s="313" t="s">
        <v>508</v>
      </c>
      <c r="B13" s="343"/>
      <c r="C13" s="344">
        <v>1</v>
      </c>
      <c r="D13" s="345">
        <v>1</v>
      </c>
    </row>
    <row r="14" ht="12.75">
      <c r="A14" s="313" t="s">
        <v>491</v>
      </c>
      <c r="B14" s="343">
        <v>1</v>
      </c>
      <c r="C14" s="344"/>
      <c r="D14" s="345">
        <v>1</v>
      </c>
    </row>
    <row r="15" ht="12.75">
      <c r="A15" s="346" t="s">
        <v>7821</v>
      </c>
      <c r="B15" s="347">
        <v>4</v>
      </c>
      <c r="C15" s="348">
        <v>2</v>
      </c>
      <c r="D15" s="349">
        <v>6</v>
      </c>
    </row>
    <row r="18" ht="12.75">
      <c r="A18" s="331" t="s">
        <v>5</v>
      </c>
      <c r="B18" s="331" t="s">
        <v>7935</v>
      </c>
    </row>
    <row r="19" ht="12.75">
      <c r="A19" s="412" t="s">
        <v>7944</v>
      </c>
      <c r="B19" s="412"/>
      <c r="C19" s="412"/>
    </row>
    <row r="20" ht="12.75">
      <c r="A20" s="306" t="s">
        <v>7876</v>
      </c>
      <c r="B20" s="306" t="s">
        <v>18</v>
      </c>
      <c r="C20" s="308"/>
      <c r="D20" s="309"/>
    </row>
    <row r="21" ht="12.75">
      <c r="A21" s="306" t="s">
        <v>7</v>
      </c>
      <c r="B21" s="335" t="s">
        <v>283</v>
      </c>
      <c r="C21" s="336" t="s">
        <v>5957</v>
      </c>
      <c r="D21" s="337" t="s">
        <v>7821</v>
      </c>
    </row>
    <row r="22" ht="12.75">
      <c r="A22" s="306" t="s">
        <v>68</v>
      </c>
      <c r="B22" s="339">
        <v>2</v>
      </c>
      <c r="C22" s="340"/>
      <c r="D22" s="341">
        <v>2</v>
      </c>
    </row>
    <row r="23" ht="12.75">
      <c r="A23" s="313" t="s">
        <v>288</v>
      </c>
      <c r="B23" s="343"/>
      <c r="C23" s="344">
        <v>1</v>
      </c>
      <c r="D23" s="345">
        <v>1</v>
      </c>
    </row>
    <row r="24" ht="12.75">
      <c r="A24" s="313" t="s">
        <v>57</v>
      </c>
      <c r="B24" s="343">
        <v>1</v>
      </c>
      <c r="C24" s="344"/>
      <c r="D24" s="345">
        <v>1</v>
      </c>
    </row>
    <row r="25" ht="12.75">
      <c r="A25" s="313" t="s">
        <v>181</v>
      </c>
      <c r="B25" s="343">
        <v>1</v>
      </c>
      <c r="C25" s="344"/>
      <c r="D25" s="345">
        <v>1</v>
      </c>
    </row>
    <row r="26" ht="12.75">
      <c r="A26" s="313" t="s">
        <v>508</v>
      </c>
      <c r="B26" s="343"/>
      <c r="C26" s="344">
        <v>1</v>
      </c>
      <c r="D26" s="345">
        <v>1</v>
      </c>
    </row>
    <row r="27" ht="12.75">
      <c r="A27" s="413" t="s">
        <v>7821</v>
      </c>
      <c r="B27" s="347">
        <v>4</v>
      </c>
      <c r="C27" s="348">
        <v>2</v>
      </c>
      <c r="D27" s="349">
        <v>6</v>
      </c>
    </row>
  </sheetData>
  <mergeCells count="6">
    <mergeCell ref="A1:E1"/>
    <mergeCell ref="A2:E2"/>
    <mergeCell ref="A3:E3"/>
    <mergeCell ref="A4:E4"/>
    <mergeCell ref="A7:D7"/>
    <mergeCell ref="A19:C19"/>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A20" activeCellId="0" sqref="A20"/>
    </sheetView>
  </sheetViews>
  <sheetFormatPr defaultColWidth="8.6796875" defaultRowHeight="12.75"/>
  <cols>
    <col customWidth="1" min="1" max="1" style="0" width="43.420000000000002"/>
    <col customWidth="1" min="2" max="2" style="0" width="34.289999999999999"/>
    <col customWidth="1" min="3" max="4" style="0" width="11.140000000000001"/>
    <col customWidth="1" min="5" max="5" style="0" width="22"/>
    <col customWidth="1" min="6" max="6"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331" t="s">
        <v>5</v>
      </c>
      <c r="B6" s="331" t="s">
        <v>7935</v>
      </c>
    </row>
    <row r="7" ht="12.75">
      <c r="A7" s="332" t="s">
        <v>7945</v>
      </c>
      <c r="B7" s="332"/>
      <c r="C7" s="332"/>
    </row>
    <row r="8" ht="12.75">
      <c r="A8" s="306" t="s">
        <v>7937</v>
      </c>
      <c r="B8" s="306" t="s">
        <v>10</v>
      </c>
      <c r="C8" s="309"/>
    </row>
    <row r="9" ht="12.75">
      <c r="A9" s="306" t="s">
        <v>7</v>
      </c>
      <c r="B9" s="337" t="s">
        <v>53</v>
      </c>
      <c r="C9" s="337" t="s">
        <v>7821</v>
      </c>
    </row>
    <row r="10" ht="12.75">
      <c r="A10" s="306" t="s">
        <v>288</v>
      </c>
      <c r="B10" s="339">
        <v>1</v>
      </c>
      <c r="C10" s="341">
        <v>1</v>
      </c>
    </row>
    <row r="11" ht="12.75">
      <c r="A11" s="313" t="s">
        <v>57</v>
      </c>
      <c r="B11" s="343">
        <v>1</v>
      </c>
      <c r="C11" s="345">
        <v>1</v>
      </c>
    </row>
    <row r="12" ht="12.75">
      <c r="A12" s="411" t="s">
        <v>7821</v>
      </c>
      <c r="B12" s="347">
        <v>2</v>
      </c>
      <c r="C12" s="349">
        <v>2</v>
      </c>
    </row>
    <row r="16" ht="12.75">
      <c r="A16" s="331" t="s">
        <v>5</v>
      </c>
      <c r="B16" s="331" t="s">
        <v>7935</v>
      </c>
    </row>
    <row r="17" ht="12.75">
      <c r="A17" s="412" t="s">
        <v>7946</v>
      </c>
      <c r="B17" s="412"/>
      <c r="C17" s="412"/>
    </row>
    <row r="18" ht="12.75">
      <c r="A18" s="306" t="s">
        <v>7876</v>
      </c>
      <c r="B18" s="306" t="s">
        <v>18</v>
      </c>
      <c r="C18" s="309"/>
    </row>
    <row r="19" ht="12.75">
      <c r="A19" s="306" t="s">
        <v>7</v>
      </c>
      <c r="B19" s="335" t="s">
        <v>195</v>
      </c>
      <c r="C19" s="337" t="s">
        <v>7821</v>
      </c>
    </row>
    <row r="20" ht="12.75">
      <c r="A20" s="306" t="s">
        <v>288</v>
      </c>
      <c r="B20" s="339">
        <v>1</v>
      </c>
      <c r="C20" s="341">
        <v>1</v>
      </c>
    </row>
    <row r="21" ht="12.75">
      <c r="A21" s="313" t="s">
        <v>57</v>
      </c>
      <c r="B21" s="343">
        <v>1</v>
      </c>
      <c r="C21" s="345">
        <v>1</v>
      </c>
    </row>
    <row r="22" ht="12.75">
      <c r="A22" s="413" t="s">
        <v>7821</v>
      </c>
      <c r="B22" s="347">
        <v>2</v>
      </c>
      <c r="C22" s="349">
        <v>2</v>
      </c>
    </row>
  </sheetData>
  <mergeCells count="6">
    <mergeCell ref="A1:E1"/>
    <mergeCell ref="A2:E2"/>
    <mergeCell ref="A3:E3"/>
    <mergeCell ref="A4:E4"/>
    <mergeCell ref="A7:C7"/>
    <mergeCell ref="A17:C17"/>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A24" activeCellId="0" sqref="A24"/>
    </sheetView>
  </sheetViews>
  <sheetFormatPr defaultColWidth="8.6796875" defaultRowHeight="12.75"/>
  <cols>
    <col customWidth="1" min="1" max="1" style="0" width="43.420000000000002"/>
    <col customWidth="1" min="2" max="5" style="0" width="34.289999999999999"/>
    <col customWidth="1" min="6" max="10"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331" t="s">
        <v>5</v>
      </c>
      <c r="B6" s="331" t="s">
        <v>7935</v>
      </c>
    </row>
    <row r="7" ht="12.75">
      <c r="A7" s="332" t="s">
        <v>7947</v>
      </c>
      <c r="B7" s="332"/>
      <c r="C7" s="332"/>
      <c r="D7" s="332"/>
      <c r="E7" s="332"/>
    </row>
    <row r="8" ht="12.75">
      <c r="A8" s="306" t="s">
        <v>7937</v>
      </c>
      <c r="B8" s="306" t="s">
        <v>10</v>
      </c>
      <c r="C8" s="308"/>
      <c r="D8" s="309"/>
    </row>
    <row r="9" ht="12.75">
      <c r="A9" s="306" t="s">
        <v>7</v>
      </c>
      <c r="B9" s="369" t="s">
        <v>53</v>
      </c>
      <c r="C9" s="410" t="s">
        <v>1978</v>
      </c>
      <c r="D9" s="337" t="s">
        <v>7821</v>
      </c>
    </row>
    <row r="10" ht="12.75">
      <c r="A10" s="306" t="s">
        <v>68</v>
      </c>
      <c r="B10" s="339">
        <v>7</v>
      </c>
      <c r="C10" s="340"/>
      <c r="D10" s="341">
        <v>7</v>
      </c>
    </row>
    <row r="11" ht="12.75">
      <c r="A11" s="313" t="s">
        <v>257</v>
      </c>
      <c r="B11" s="343">
        <v>5</v>
      </c>
      <c r="C11" s="344"/>
      <c r="D11" s="345">
        <v>5</v>
      </c>
    </row>
    <row r="12" ht="12.75">
      <c r="A12" s="313" t="s">
        <v>288</v>
      </c>
      <c r="B12" s="343">
        <v>19</v>
      </c>
      <c r="C12" s="344"/>
      <c r="D12" s="345">
        <v>19</v>
      </c>
    </row>
    <row r="13" ht="12.75">
      <c r="A13" s="313" t="s">
        <v>57</v>
      </c>
      <c r="B13" s="343">
        <v>74</v>
      </c>
      <c r="C13" s="344">
        <v>1</v>
      </c>
      <c r="D13" s="345">
        <v>75</v>
      </c>
    </row>
    <row r="14" ht="12.75">
      <c r="A14" s="313" t="s">
        <v>51</v>
      </c>
      <c r="B14" s="343">
        <v>56</v>
      </c>
      <c r="C14" s="344"/>
      <c r="D14" s="345">
        <v>56</v>
      </c>
    </row>
    <row r="15" ht="12.75">
      <c r="A15" s="313" t="s">
        <v>501</v>
      </c>
      <c r="B15" s="343">
        <v>2</v>
      </c>
      <c r="C15" s="344"/>
      <c r="D15" s="345">
        <v>2</v>
      </c>
    </row>
    <row r="16" ht="12.75">
      <c r="A16" s="313" t="s">
        <v>181</v>
      </c>
      <c r="B16" s="343">
        <v>6</v>
      </c>
      <c r="C16" s="344"/>
      <c r="D16" s="345">
        <v>6</v>
      </c>
    </row>
    <row r="17" ht="12.75">
      <c r="A17" s="313" t="s">
        <v>3735</v>
      </c>
      <c r="B17" s="343">
        <v>9</v>
      </c>
      <c r="C17" s="344">
        <v>1</v>
      </c>
      <c r="D17" s="345">
        <v>10</v>
      </c>
    </row>
    <row r="18" ht="12.75">
      <c r="A18" s="313" t="s">
        <v>508</v>
      </c>
      <c r="B18" s="343">
        <v>2</v>
      </c>
      <c r="C18" s="344"/>
      <c r="D18" s="345">
        <v>2</v>
      </c>
    </row>
    <row r="19" ht="12.75">
      <c r="A19" s="313" t="s">
        <v>382</v>
      </c>
      <c r="B19" s="343">
        <v>8</v>
      </c>
      <c r="C19" s="344"/>
      <c r="D19" s="345">
        <v>8</v>
      </c>
    </row>
    <row r="20" ht="12.75">
      <c r="A20" s="313" t="s">
        <v>491</v>
      </c>
      <c r="B20" s="343">
        <v>2</v>
      </c>
      <c r="C20" s="344"/>
      <c r="D20" s="345">
        <v>2</v>
      </c>
    </row>
    <row r="21" ht="12.75">
      <c r="A21" s="346" t="s">
        <v>7821</v>
      </c>
      <c r="B21" s="347">
        <v>190</v>
      </c>
      <c r="C21" s="348">
        <v>2</v>
      </c>
      <c r="D21" s="349">
        <v>192</v>
      </c>
    </row>
    <row r="24" ht="12.75">
      <c r="A24" s="331" t="s">
        <v>5</v>
      </c>
      <c r="B24" s="331" t="s">
        <v>7935</v>
      </c>
    </row>
    <row r="25" ht="12.75">
      <c r="A25" s="412" t="s">
        <v>7948</v>
      </c>
      <c r="B25" s="412"/>
      <c r="C25" s="412"/>
    </row>
    <row r="26" ht="12.75">
      <c r="A26" s="306" t="s">
        <v>7876</v>
      </c>
      <c r="B26" s="306" t="s">
        <v>18</v>
      </c>
      <c r="C26" s="308"/>
      <c r="D26" s="308"/>
      <c r="E26" s="308"/>
      <c r="F26" s="309"/>
    </row>
    <row r="27" ht="12.75">
      <c r="A27" s="306" t="s">
        <v>7</v>
      </c>
      <c r="B27" s="335" t="s">
        <v>283</v>
      </c>
      <c r="C27" s="336" t="s">
        <v>5957</v>
      </c>
      <c r="D27" s="336" t="s">
        <v>195</v>
      </c>
      <c r="E27" s="336" t="s">
        <v>5758</v>
      </c>
      <c r="F27" s="337" t="s">
        <v>7821</v>
      </c>
    </row>
    <row r="28" ht="12.75">
      <c r="A28" s="306" t="s">
        <v>68</v>
      </c>
      <c r="B28" s="339">
        <v>1</v>
      </c>
      <c r="C28" s="340"/>
      <c r="D28" s="340"/>
      <c r="E28" s="340"/>
      <c r="F28" s="341">
        <v>1</v>
      </c>
    </row>
    <row r="29" ht="12.75">
      <c r="A29" s="313" t="s">
        <v>257</v>
      </c>
      <c r="B29" s="343">
        <v>1</v>
      </c>
      <c r="C29" s="344"/>
      <c r="D29" s="344"/>
      <c r="E29" s="344"/>
      <c r="F29" s="345">
        <v>1</v>
      </c>
    </row>
    <row r="30" ht="12.75">
      <c r="A30" s="313" t="s">
        <v>288</v>
      </c>
      <c r="B30" s="343">
        <v>3</v>
      </c>
      <c r="C30" s="344">
        <v>1</v>
      </c>
      <c r="D30" s="344">
        <v>8</v>
      </c>
      <c r="E30" s="344"/>
      <c r="F30" s="345">
        <v>12</v>
      </c>
    </row>
    <row r="31" ht="12.75">
      <c r="A31" s="313" t="s">
        <v>57</v>
      </c>
      <c r="B31" s="343">
        <v>6</v>
      </c>
      <c r="C31" s="344"/>
      <c r="D31" s="344"/>
      <c r="E31" s="344">
        <v>1</v>
      </c>
      <c r="F31" s="345">
        <v>7</v>
      </c>
    </row>
    <row r="32" ht="12.75">
      <c r="A32" s="313" t="s">
        <v>51</v>
      </c>
      <c r="B32" s="343">
        <v>4</v>
      </c>
      <c r="C32" s="344"/>
      <c r="D32" s="344"/>
      <c r="E32" s="344"/>
      <c r="F32" s="345">
        <v>4</v>
      </c>
    </row>
    <row r="33" ht="12.75">
      <c r="A33" s="313" t="s">
        <v>4501</v>
      </c>
      <c r="B33" s="343">
        <v>1</v>
      </c>
      <c r="C33" s="344"/>
      <c r="D33" s="344"/>
      <c r="E33" s="344"/>
      <c r="F33" s="345">
        <v>1</v>
      </c>
    </row>
    <row r="34" ht="12.75">
      <c r="A34" s="313" t="s">
        <v>3735</v>
      </c>
      <c r="B34" s="343">
        <v>12</v>
      </c>
      <c r="C34" s="344"/>
      <c r="D34" s="344"/>
      <c r="E34" s="344">
        <v>1</v>
      </c>
      <c r="F34" s="345">
        <v>13</v>
      </c>
    </row>
    <row r="35" ht="12.75">
      <c r="A35" s="313" t="s">
        <v>508</v>
      </c>
      <c r="B35" s="343">
        <v>4</v>
      </c>
      <c r="C35" s="344"/>
      <c r="D35" s="344"/>
      <c r="E35" s="344"/>
      <c r="F35" s="345">
        <v>4</v>
      </c>
    </row>
    <row r="36" ht="12.75">
      <c r="A36" s="313" t="s">
        <v>88</v>
      </c>
      <c r="B36" s="343">
        <v>2</v>
      </c>
      <c r="C36" s="344"/>
      <c r="D36" s="344"/>
      <c r="E36" s="344"/>
      <c r="F36" s="345">
        <v>2</v>
      </c>
    </row>
    <row r="37" ht="12.75">
      <c r="A37" s="313" t="s">
        <v>382</v>
      </c>
      <c r="B37" s="343">
        <v>2</v>
      </c>
      <c r="C37" s="344"/>
      <c r="D37" s="344"/>
      <c r="E37" s="344"/>
      <c r="F37" s="345">
        <v>2</v>
      </c>
    </row>
    <row r="38" ht="12.75">
      <c r="A38" s="313" t="s">
        <v>491</v>
      </c>
      <c r="B38" s="343">
        <v>1</v>
      </c>
      <c r="C38" s="344"/>
      <c r="D38" s="344"/>
      <c r="E38" s="344"/>
      <c r="F38" s="345">
        <v>1</v>
      </c>
    </row>
    <row r="39" ht="12.75">
      <c r="A39" s="413" t="s">
        <v>7821</v>
      </c>
      <c r="B39" s="347">
        <v>37</v>
      </c>
      <c r="C39" s="348">
        <v>1</v>
      </c>
      <c r="D39" s="348">
        <v>8</v>
      </c>
      <c r="E39" s="348">
        <v>2</v>
      </c>
      <c r="F39" s="349">
        <v>48</v>
      </c>
    </row>
  </sheetData>
  <mergeCells count="6">
    <mergeCell ref="A1:E1"/>
    <mergeCell ref="A2:E2"/>
    <mergeCell ref="A3:E3"/>
    <mergeCell ref="A4:E4"/>
    <mergeCell ref="A7:E7"/>
    <mergeCell ref="A25:C25"/>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C31" activeCellId="0" sqref="C31"/>
    </sheetView>
  </sheetViews>
  <sheetFormatPr defaultColWidth="8.6796875" defaultRowHeight="12.75"/>
  <cols>
    <col customWidth="1" min="1" max="1" style="0" width="43.420000000000002"/>
    <col customWidth="1" min="2" max="4" style="0" width="34.289999999999999"/>
    <col customWidth="1" min="5" max="5" style="0" width="11.140000000000001"/>
    <col customWidth="1" min="6" max="8" style="0" width="34.289999999999999"/>
    <col customWidth="1" min="9" max="9"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331" t="s">
        <v>5</v>
      </c>
      <c r="B6" s="331" t="s">
        <v>7935</v>
      </c>
    </row>
    <row r="7" ht="12.75">
      <c r="A7" s="332" t="s">
        <v>7949</v>
      </c>
      <c r="B7" s="332"/>
      <c r="C7" s="332"/>
    </row>
    <row r="8" ht="12.75">
      <c r="A8" s="306" t="s">
        <v>7937</v>
      </c>
      <c r="B8" s="306" t="s">
        <v>10</v>
      </c>
      <c r="C8" s="309"/>
    </row>
    <row r="9" ht="12.75">
      <c r="A9" s="306" t="s">
        <v>7</v>
      </c>
      <c r="B9" s="337" t="s">
        <v>53</v>
      </c>
      <c r="C9" s="337" t="s">
        <v>7821</v>
      </c>
    </row>
    <row r="10" ht="12.75">
      <c r="A10" s="306" t="s">
        <v>68</v>
      </c>
      <c r="B10" s="339">
        <v>1</v>
      </c>
      <c r="C10" s="341">
        <v>1</v>
      </c>
    </row>
    <row r="11" ht="12.75">
      <c r="A11" s="313" t="s">
        <v>288</v>
      </c>
      <c r="B11" s="343">
        <v>4</v>
      </c>
      <c r="C11" s="345">
        <v>4</v>
      </c>
    </row>
    <row r="12" ht="12.75">
      <c r="A12" s="313" t="s">
        <v>57</v>
      </c>
      <c r="B12" s="343">
        <v>9</v>
      </c>
      <c r="C12" s="345">
        <v>9</v>
      </c>
    </row>
    <row r="13" ht="12.75">
      <c r="A13" s="313" t="s">
        <v>51</v>
      </c>
      <c r="B13" s="343">
        <v>4</v>
      </c>
      <c r="C13" s="345">
        <v>4</v>
      </c>
    </row>
    <row r="14" ht="12.75">
      <c r="A14" s="313" t="s">
        <v>501</v>
      </c>
      <c r="B14" s="343">
        <v>1</v>
      </c>
      <c r="C14" s="345">
        <v>1</v>
      </c>
    </row>
    <row r="15" ht="12.75">
      <c r="A15" s="313" t="s">
        <v>508</v>
      </c>
      <c r="B15" s="343">
        <v>1</v>
      </c>
      <c r="C15" s="345">
        <v>1</v>
      </c>
    </row>
    <row r="16" ht="12.75">
      <c r="A16" s="313" t="s">
        <v>88</v>
      </c>
      <c r="B16" s="343">
        <v>1</v>
      </c>
      <c r="C16" s="345">
        <v>1</v>
      </c>
    </row>
    <row r="17" ht="12.75">
      <c r="A17" s="313" t="s">
        <v>491</v>
      </c>
      <c r="B17" s="343">
        <v>1</v>
      </c>
      <c r="C17" s="345">
        <v>1</v>
      </c>
    </row>
    <row r="18" ht="12.75">
      <c r="A18" s="346" t="s">
        <v>7821</v>
      </c>
      <c r="B18" s="347">
        <v>22</v>
      </c>
      <c r="C18" s="349">
        <v>22</v>
      </c>
    </row>
    <row r="20" ht="12.75">
      <c r="A20" s="331" t="s">
        <v>5</v>
      </c>
      <c r="B20" s="331" t="s">
        <v>7935</v>
      </c>
    </row>
    <row r="21" ht="12.75">
      <c r="A21" s="412" t="s">
        <v>7950</v>
      </c>
      <c r="B21" s="412"/>
      <c r="C21" s="412"/>
    </row>
    <row r="22" ht="12.75">
      <c r="A22" s="306" t="s">
        <v>7876</v>
      </c>
      <c r="B22" s="306" t="s">
        <v>18</v>
      </c>
      <c r="C22" s="308"/>
      <c r="D22" s="308"/>
      <c r="E22" s="309"/>
    </row>
    <row r="23" ht="12.75">
      <c r="A23" s="306" t="s">
        <v>7</v>
      </c>
      <c r="B23" s="335" t="s">
        <v>283</v>
      </c>
      <c r="C23" s="336" t="s">
        <v>5957</v>
      </c>
      <c r="D23" s="336" t="s">
        <v>195</v>
      </c>
      <c r="E23" s="337" t="s">
        <v>7821</v>
      </c>
    </row>
    <row r="24" ht="12.75">
      <c r="A24" s="306" t="s">
        <v>68</v>
      </c>
      <c r="B24" s="339">
        <v>3</v>
      </c>
      <c r="C24" s="340"/>
      <c r="D24" s="340"/>
      <c r="E24" s="341">
        <v>3</v>
      </c>
    </row>
    <row r="25" ht="12.75">
      <c r="A25" s="313" t="s">
        <v>288</v>
      </c>
      <c r="B25" s="343">
        <v>2</v>
      </c>
      <c r="C25" s="344"/>
      <c r="D25" s="344"/>
      <c r="E25" s="345">
        <v>2</v>
      </c>
    </row>
    <row r="26" ht="12.75">
      <c r="A26" s="313" t="s">
        <v>57</v>
      </c>
      <c r="B26" s="343">
        <v>11</v>
      </c>
      <c r="C26" s="344"/>
      <c r="D26" s="344">
        <v>1</v>
      </c>
      <c r="E26" s="345">
        <v>12</v>
      </c>
    </row>
    <row r="27" ht="12.75">
      <c r="A27" s="313" t="s">
        <v>51</v>
      </c>
      <c r="B27" s="343">
        <v>4</v>
      </c>
      <c r="C27" s="344"/>
      <c r="D27" s="344"/>
      <c r="E27" s="345">
        <v>4</v>
      </c>
    </row>
    <row r="28" ht="12.75">
      <c r="A28" s="313" t="s">
        <v>508</v>
      </c>
      <c r="B28" s="343">
        <v>1</v>
      </c>
      <c r="C28" s="344">
        <v>1</v>
      </c>
      <c r="D28" s="344">
        <v>1</v>
      </c>
      <c r="E28" s="345">
        <v>3</v>
      </c>
    </row>
    <row r="29" ht="12.75">
      <c r="A29" s="313" t="s">
        <v>88</v>
      </c>
      <c r="B29" s="343">
        <v>1</v>
      </c>
      <c r="C29" s="344"/>
      <c r="D29" s="344"/>
      <c r="E29" s="345">
        <v>1</v>
      </c>
    </row>
    <row r="30" ht="12.75">
      <c r="A30" s="313" t="s">
        <v>491</v>
      </c>
      <c r="B30" s="343">
        <v>2</v>
      </c>
      <c r="C30" s="344"/>
      <c r="D30" s="344"/>
      <c r="E30" s="345">
        <v>2</v>
      </c>
    </row>
    <row r="31" ht="12.75">
      <c r="A31" s="413" t="s">
        <v>7821</v>
      </c>
      <c r="B31" s="347">
        <v>24</v>
      </c>
      <c r="C31" s="348">
        <v>1</v>
      </c>
      <c r="D31" s="348">
        <v>2</v>
      </c>
      <c r="E31" s="349">
        <v>27</v>
      </c>
    </row>
  </sheetData>
  <mergeCells count="6">
    <mergeCell ref="A1:E1"/>
    <mergeCell ref="A2:E2"/>
    <mergeCell ref="A3:E3"/>
    <mergeCell ref="A4:E4"/>
    <mergeCell ref="A7:C7"/>
    <mergeCell ref="A21:C21"/>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B24" activeCellId="0" sqref="B24"/>
    </sheetView>
  </sheetViews>
  <sheetFormatPr defaultColWidth="8.6796875" defaultRowHeight="12.75"/>
  <cols>
    <col customWidth="1" min="1" max="1" style="0" width="43.420000000000002"/>
    <col customWidth="1" min="2" max="3" style="0" width="34.289999999999999"/>
    <col customWidth="1" min="4" max="6"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331" t="s">
        <v>5</v>
      </c>
      <c r="B6" s="331" t="s">
        <v>7935</v>
      </c>
    </row>
    <row r="7" ht="12.75">
      <c r="A7" s="332" t="s">
        <v>7951</v>
      </c>
      <c r="B7" s="332"/>
      <c r="C7" s="332"/>
      <c r="D7" s="332"/>
      <c r="E7" s="332"/>
    </row>
    <row r="8" ht="12.75">
      <c r="A8" s="306" t="s">
        <v>7937</v>
      </c>
      <c r="B8" s="306" t="s">
        <v>10</v>
      </c>
      <c r="C8" s="309"/>
    </row>
    <row r="9" ht="12.75">
      <c r="A9" s="306" t="s">
        <v>7</v>
      </c>
      <c r="B9" s="337" t="s">
        <v>53</v>
      </c>
      <c r="C9" s="337" t="s">
        <v>7821</v>
      </c>
    </row>
    <row r="10" ht="12.75">
      <c r="A10" s="306" t="s">
        <v>68</v>
      </c>
      <c r="B10" s="339">
        <v>7</v>
      </c>
      <c r="C10" s="341">
        <v>7</v>
      </c>
    </row>
    <row r="11" ht="12.75">
      <c r="A11" s="313" t="s">
        <v>288</v>
      </c>
      <c r="B11" s="343">
        <v>1</v>
      </c>
      <c r="C11" s="345">
        <v>1</v>
      </c>
    </row>
    <row r="12" ht="12.75">
      <c r="A12" s="313" t="s">
        <v>57</v>
      </c>
      <c r="B12" s="343">
        <v>18</v>
      </c>
      <c r="C12" s="345">
        <v>18</v>
      </c>
    </row>
    <row r="13" ht="12.75">
      <c r="A13" s="313" t="s">
        <v>51</v>
      </c>
      <c r="B13" s="343">
        <v>1</v>
      </c>
      <c r="C13" s="345">
        <v>1</v>
      </c>
    </row>
    <row r="14" ht="12.75">
      <c r="A14" s="313" t="s">
        <v>382</v>
      </c>
      <c r="B14" s="343">
        <v>1</v>
      </c>
      <c r="C14" s="345">
        <v>1</v>
      </c>
    </row>
    <row r="15" ht="12.75">
      <c r="A15" s="346" t="s">
        <v>7821</v>
      </c>
      <c r="B15" s="347">
        <v>28</v>
      </c>
      <c r="C15" s="349">
        <v>28</v>
      </c>
    </row>
    <row r="18" ht="12.75">
      <c r="A18" s="331" t="s">
        <v>5</v>
      </c>
      <c r="B18" s="331" t="s">
        <v>7935</v>
      </c>
    </row>
    <row r="19" ht="12.75">
      <c r="A19" s="412" t="s">
        <v>7952</v>
      </c>
      <c r="B19" s="412"/>
      <c r="C19" s="412"/>
    </row>
    <row r="20" ht="12.75">
      <c r="A20" s="306" t="s">
        <v>7876</v>
      </c>
      <c r="B20" s="306" t="s">
        <v>18</v>
      </c>
      <c r="C20" s="308"/>
      <c r="D20" s="309"/>
    </row>
    <row r="21" ht="12.75">
      <c r="A21" s="306" t="s">
        <v>7</v>
      </c>
      <c r="B21" s="335" t="s">
        <v>283</v>
      </c>
      <c r="C21" s="336" t="s">
        <v>195</v>
      </c>
      <c r="D21" s="337" t="s">
        <v>7821</v>
      </c>
    </row>
    <row r="22" ht="12.75">
      <c r="A22" s="306" t="s">
        <v>68</v>
      </c>
      <c r="B22" s="339"/>
      <c r="C22" s="340"/>
      <c r="D22" s="341"/>
    </row>
    <row r="23" ht="12.75">
      <c r="A23" s="313" t="s">
        <v>288</v>
      </c>
      <c r="B23" s="343">
        <v>1</v>
      </c>
      <c r="C23" s="344">
        <v>1</v>
      </c>
      <c r="D23" s="345">
        <v>2</v>
      </c>
    </row>
    <row r="24" ht="12.75">
      <c r="A24" s="313" t="s">
        <v>57</v>
      </c>
      <c r="B24" s="343">
        <v>5</v>
      </c>
      <c r="C24" s="344"/>
      <c r="D24" s="345">
        <v>5</v>
      </c>
    </row>
    <row r="25" ht="12.75">
      <c r="A25" s="313" t="s">
        <v>51</v>
      </c>
      <c r="B25" s="343">
        <v>1</v>
      </c>
      <c r="C25" s="344"/>
      <c r="D25" s="345">
        <v>1</v>
      </c>
    </row>
    <row r="26" ht="12.75">
      <c r="A26" s="313" t="s">
        <v>501</v>
      </c>
      <c r="B26" s="343">
        <v>1</v>
      </c>
      <c r="C26" s="344"/>
      <c r="D26" s="345">
        <v>1</v>
      </c>
    </row>
    <row r="27" ht="12.75">
      <c r="A27" s="313" t="s">
        <v>88</v>
      </c>
      <c r="B27" s="343">
        <v>2</v>
      </c>
      <c r="C27" s="344"/>
      <c r="D27" s="345">
        <v>2</v>
      </c>
    </row>
    <row r="28" ht="12.75">
      <c r="A28" s="313" t="s">
        <v>382</v>
      </c>
      <c r="B28" s="343">
        <v>1</v>
      </c>
      <c r="C28" s="344"/>
      <c r="D28" s="345">
        <v>1</v>
      </c>
    </row>
    <row r="29" ht="12.75">
      <c r="A29" s="413" t="s">
        <v>7821</v>
      </c>
      <c r="B29" s="347">
        <v>11</v>
      </c>
      <c r="C29" s="348">
        <v>1</v>
      </c>
      <c r="D29" s="349">
        <v>12</v>
      </c>
    </row>
  </sheetData>
  <mergeCells count="6">
    <mergeCell ref="A1:E1"/>
    <mergeCell ref="A2:E2"/>
    <mergeCell ref="A3:E3"/>
    <mergeCell ref="A4:E4"/>
    <mergeCell ref="A7:E7"/>
    <mergeCell ref="A19:C19"/>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A18" activeCellId="0" sqref="A18"/>
    </sheetView>
  </sheetViews>
  <sheetFormatPr defaultColWidth="8.6796875" defaultRowHeight="12.75"/>
  <cols>
    <col customWidth="1" min="1" max="1" style="0" width="43.420000000000002"/>
    <col customWidth="1" min="2" max="2" style="0" width="22"/>
    <col customWidth="1" min="3" max="3" style="0" width="11.140000000000001"/>
    <col customWidth="1" min="4" max="4" style="0" width="22"/>
    <col customWidth="1" min="5" max="6"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331" t="s">
        <v>5</v>
      </c>
      <c r="B6" s="331" t="s">
        <v>7935</v>
      </c>
    </row>
    <row r="7" ht="12.75">
      <c r="A7" s="332" t="s">
        <v>7953</v>
      </c>
      <c r="B7" s="332"/>
      <c r="C7" s="332"/>
    </row>
    <row r="8" ht="12.75">
      <c r="A8" s="306" t="s">
        <v>7937</v>
      </c>
      <c r="B8" s="306" t="s">
        <v>10</v>
      </c>
      <c r="C8" s="309"/>
    </row>
    <row r="9" ht="12.75">
      <c r="A9" s="306" t="s">
        <v>7</v>
      </c>
      <c r="B9" s="337" t="s">
        <v>53</v>
      </c>
      <c r="C9" s="337" t="s">
        <v>7821</v>
      </c>
    </row>
    <row r="10" ht="12.75">
      <c r="A10" s="306" t="s">
        <v>257</v>
      </c>
      <c r="B10" s="339">
        <v>1</v>
      </c>
      <c r="C10" s="341">
        <v>1</v>
      </c>
    </row>
    <row r="11" ht="12.75">
      <c r="A11" s="313" t="s">
        <v>57</v>
      </c>
      <c r="B11" s="343">
        <v>2</v>
      </c>
      <c r="C11" s="345">
        <v>2</v>
      </c>
    </row>
    <row r="12" ht="12.75">
      <c r="A12" s="313" t="s">
        <v>51</v>
      </c>
      <c r="B12" s="343">
        <v>9</v>
      </c>
      <c r="C12" s="345">
        <v>9</v>
      </c>
    </row>
    <row r="13" ht="12.75">
      <c r="A13" s="313" t="s">
        <v>382</v>
      </c>
      <c r="B13" s="343">
        <v>2</v>
      </c>
      <c r="C13" s="345">
        <v>2</v>
      </c>
    </row>
    <row r="14" ht="12.75">
      <c r="A14" s="346" t="s">
        <v>7821</v>
      </c>
      <c r="B14" s="347">
        <v>14</v>
      </c>
      <c r="C14" s="349">
        <v>14</v>
      </c>
    </row>
    <row r="18" ht="12.75">
      <c r="A18" s="331" t="s">
        <v>5</v>
      </c>
      <c r="B18" s="331" t="s">
        <v>7935</v>
      </c>
    </row>
    <row r="19" ht="12.75">
      <c r="A19" s="412" t="s">
        <v>7954</v>
      </c>
      <c r="B19" s="412"/>
      <c r="C19" s="412"/>
    </row>
    <row r="20" ht="12.75">
      <c r="A20" s="306" t="s">
        <v>7876</v>
      </c>
      <c r="B20" s="306" t="s">
        <v>18</v>
      </c>
      <c r="C20" s="309"/>
    </row>
    <row r="21" ht="12.75">
      <c r="A21" s="306" t="s">
        <v>7</v>
      </c>
      <c r="B21" s="335" t="s">
        <v>283</v>
      </c>
      <c r="C21" s="337" t="s">
        <v>7821</v>
      </c>
    </row>
    <row r="22" ht="12.75">
      <c r="A22" s="306" t="s">
        <v>68</v>
      </c>
      <c r="B22" s="339">
        <v>1</v>
      </c>
      <c r="C22" s="341">
        <v>1</v>
      </c>
    </row>
    <row r="23" ht="12.75">
      <c r="A23" s="313" t="s">
        <v>257</v>
      </c>
      <c r="B23" s="343"/>
      <c r="C23" s="345"/>
    </row>
    <row r="24" ht="12.75">
      <c r="A24" s="313" t="s">
        <v>288</v>
      </c>
      <c r="B24" s="343">
        <v>2</v>
      </c>
      <c r="C24" s="345">
        <v>2</v>
      </c>
    </row>
    <row r="25" ht="12.75">
      <c r="A25" s="313" t="s">
        <v>51</v>
      </c>
      <c r="B25" s="343">
        <v>3</v>
      </c>
      <c r="C25" s="345">
        <v>3</v>
      </c>
    </row>
    <row r="26" ht="12.75">
      <c r="A26" s="313" t="s">
        <v>977</v>
      </c>
      <c r="B26" s="343">
        <v>1</v>
      </c>
      <c r="C26" s="345">
        <v>1</v>
      </c>
    </row>
    <row r="27" ht="12.75">
      <c r="A27" s="313" t="s">
        <v>508</v>
      </c>
      <c r="B27" s="343"/>
      <c r="C27" s="345"/>
    </row>
    <row r="28" ht="12.75">
      <c r="A28" s="313" t="s">
        <v>382</v>
      </c>
      <c r="B28" s="343">
        <v>1</v>
      </c>
      <c r="C28" s="345">
        <v>1</v>
      </c>
    </row>
    <row r="29" ht="12.75">
      <c r="A29" s="413" t="s">
        <v>7821</v>
      </c>
      <c r="B29" s="347">
        <v>8</v>
      </c>
      <c r="C29" s="349">
        <v>8</v>
      </c>
    </row>
  </sheetData>
  <mergeCells count="6">
    <mergeCell ref="A1:E1"/>
    <mergeCell ref="A2:E2"/>
    <mergeCell ref="A3:E3"/>
    <mergeCell ref="A4:E4"/>
    <mergeCell ref="A7:C7"/>
    <mergeCell ref="A19:C19"/>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A6" activeCellId="0" sqref="A6"/>
    </sheetView>
  </sheetViews>
  <sheetFormatPr defaultColWidth="8.6796875" defaultRowHeight="12.75"/>
  <cols>
    <col customWidth="1" min="1" max="1" style="0" width="43.420000000000002"/>
    <col customWidth="1" min="2" max="2" style="0" width="22"/>
    <col customWidth="1" min="3" max="6"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331" t="s">
        <v>5</v>
      </c>
      <c r="B6" s="331" t="s">
        <v>7935</v>
      </c>
    </row>
    <row r="7" ht="12.75">
      <c r="A7" s="332" t="s">
        <v>7955</v>
      </c>
      <c r="B7" s="332"/>
      <c r="C7" s="332"/>
      <c r="D7" s="332"/>
    </row>
    <row r="8" ht="12.75">
      <c r="A8" s="306" t="s">
        <v>7937</v>
      </c>
      <c r="B8" s="306" t="s">
        <v>10</v>
      </c>
      <c r="C8" s="309"/>
    </row>
    <row r="9" ht="12.75">
      <c r="A9" s="306" t="s">
        <v>7</v>
      </c>
      <c r="B9" s="337" t="s">
        <v>53</v>
      </c>
      <c r="C9" s="337" t="s">
        <v>7821</v>
      </c>
    </row>
    <row r="10" ht="12.75">
      <c r="A10" s="306" t="s">
        <v>68</v>
      </c>
      <c r="B10" s="339">
        <v>2</v>
      </c>
      <c r="C10" s="341">
        <v>2</v>
      </c>
    </row>
    <row r="11" ht="12.75">
      <c r="A11" s="313" t="s">
        <v>257</v>
      </c>
      <c r="B11" s="343">
        <v>1</v>
      </c>
      <c r="C11" s="345">
        <v>1</v>
      </c>
    </row>
    <row r="12" ht="12.75">
      <c r="A12" s="313" t="s">
        <v>288</v>
      </c>
      <c r="B12" s="343">
        <v>5</v>
      </c>
      <c r="C12" s="345">
        <v>5</v>
      </c>
    </row>
    <row r="13" ht="12.75">
      <c r="A13" s="313" t="s">
        <v>57</v>
      </c>
      <c r="B13" s="343">
        <v>5</v>
      </c>
      <c r="C13" s="345">
        <v>5</v>
      </c>
    </row>
    <row r="14" ht="12.75">
      <c r="A14" s="313" t="s">
        <v>51</v>
      </c>
      <c r="B14" s="343">
        <v>9</v>
      </c>
      <c r="C14" s="345">
        <v>9</v>
      </c>
    </row>
    <row r="15" ht="12.75">
      <c r="A15" s="313" t="s">
        <v>181</v>
      </c>
      <c r="B15" s="343">
        <v>2</v>
      </c>
      <c r="C15" s="345">
        <v>2</v>
      </c>
    </row>
    <row r="16" ht="12.75">
      <c r="A16" s="313" t="s">
        <v>382</v>
      </c>
      <c r="B16" s="343">
        <v>1</v>
      </c>
      <c r="C16" s="345">
        <v>1</v>
      </c>
    </row>
    <row r="17" ht="12.75">
      <c r="A17" s="313" t="s">
        <v>491</v>
      </c>
      <c r="B17" s="343">
        <v>1</v>
      </c>
      <c r="C17" s="345">
        <v>1</v>
      </c>
    </row>
    <row r="18" ht="12.75">
      <c r="A18" s="346" t="s">
        <v>7821</v>
      </c>
      <c r="B18" s="347">
        <v>26</v>
      </c>
      <c r="C18" s="349">
        <v>26</v>
      </c>
    </row>
    <row r="22" ht="12.75">
      <c r="A22" s="331" t="s">
        <v>5</v>
      </c>
      <c r="B22" s="331" t="s">
        <v>7935</v>
      </c>
    </row>
    <row r="23" ht="12.75">
      <c r="A23" s="412" t="s">
        <v>7956</v>
      </c>
      <c r="B23" s="412"/>
      <c r="C23" s="412"/>
    </row>
    <row r="24" ht="12.75">
      <c r="A24" s="306" t="s">
        <v>7876</v>
      </c>
      <c r="B24" s="306" t="s">
        <v>18</v>
      </c>
      <c r="C24" s="308"/>
      <c r="D24" s="309"/>
    </row>
    <row r="25" ht="12.75">
      <c r="A25" s="306" t="s">
        <v>7</v>
      </c>
      <c r="B25" s="335" t="s">
        <v>283</v>
      </c>
      <c r="C25" s="336" t="s">
        <v>195</v>
      </c>
      <c r="D25" s="337" t="s">
        <v>7821</v>
      </c>
    </row>
    <row r="26" ht="12.75">
      <c r="A26" s="306" t="s">
        <v>288</v>
      </c>
      <c r="B26" s="339">
        <v>1</v>
      </c>
      <c r="C26" s="340">
        <v>1</v>
      </c>
      <c r="D26" s="341">
        <v>2</v>
      </c>
    </row>
    <row r="27" ht="12.75">
      <c r="A27" s="313" t="s">
        <v>57</v>
      </c>
      <c r="B27" s="343">
        <v>2</v>
      </c>
      <c r="C27" s="344"/>
      <c r="D27" s="345">
        <v>2</v>
      </c>
    </row>
    <row r="28" ht="12.75">
      <c r="A28" s="313" t="s">
        <v>51</v>
      </c>
      <c r="B28" s="343">
        <v>1</v>
      </c>
      <c r="C28" s="344"/>
      <c r="D28" s="345">
        <v>1</v>
      </c>
    </row>
    <row r="29" ht="12.75">
      <c r="A29" s="313" t="s">
        <v>4501</v>
      </c>
      <c r="B29" s="343">
        <v>1</v>
      </c>
      <c r="C29" s="344"/>
      <c r="D29" s="345">
        <v>1</v>
      </c>
    </row>
    <row r="30" ht="12.75">
      <c r="A30" s="313" t="s">
        <v>977</v>
      </c>
      <c r="B30" s="343">
        <v>2</v>
      </c>
      <c r="C30" s="344"/>
      <c r="D30" s="345">
        <v>2</v>
      </c>
    </row>
    <row r="31" ht="12.75">
      <c r="A31" s="313" t="s">
        <v>3735</v>
      </c>
      <c r="B31" s="343">
        <v>1</v>
      </c>
      <c r="C31" s="344"/>
      <c r="D31" s="345">
        <v>1</v>
      </c>
    </row>
    <row r="32" ht="12.75">
      <c r="A32" s="313" t="s">
        <v>508</v>
      </c>
      <c r="B32" s="343">
        <v>2</v>
      </c>
      <c r="C32" s="344"/>
      <c r="D32" s="345">
        <v>2</v>
      </c>
    </row>
    <row r="33" ht="12.75">
      <c r="A33" s="413" t="s">
        <v>7821</v>
      </c>
      <c r="B33" s="347">
        <v>10</v>
      </c>
      <c r="C33" s="348">
        <v>1</v>
      </c>
      <c r="D33" s="349">
        <v>11</v>
      </c>
    </row>
  </sheetData>
  <mergeCells count="6">
    <mergeCell ref="A1:E1"/>
    <mergeCell ref="A2:E2"/>
    <mergeCell ref="A3:E3"/>
    <mergeCell ref="A4:E4"/>
    <mergeCell ref="A7:D7"/>
    <mergeCell ref="A23:C23"/>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1"/>
  </sheetPr>
  <sheetViews>
    <sheetView showFormulas="0" showGridLines="1" showRowColHeaders="1" showZeros="1" rightToLeft="0" view="normal" topLeftCell="A1" zoomScale="100" workbookViewId="0">
      <selection activeCell="A23" activeCellId="0" sqref="A23"/>
    </sheetView>
  </sheetViews>
  <sheetFormatPr defaultColWidth="8.6796875" defaultRowHeight="12.75"/>
  <cols>
    <col customWidth="1" min="1" max="1" style="0" width="43.420000000000002"/>
    <col customWidth="1" min="2" max="4" style="0" width="34.289999999999999"/>
    <col customWidth="1" min="5" max="6"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331" t="s">
        <v>5</v>
      </c>
      <c r="B6" s="331" t="s">
        <v>7935</v>
      </c>
    </row>
    <row r="7" ht="12.75">
      <c r="A7" s="332" t="s">
        <v>7957</v>
      </c>
      <c r="B7" s="332"/>
      <c r="C7" s="332"/>
      <c r="D7" s="332"/>
      <c r="E7" s="332"/>
    </row>
    <row r="8" ht="12.75">
      <c r="A8" s="306" t="s">
        <v>7937</v>
      </c>
      <c r="B8" s="306" t="s">
        <v>10</v>
      </c>
      <c r="C8" s="308"/>
      <c r="D8" s="308"/>
      <c r="E8" s="309"/>
    </row>
    <row r="9" ht="12.75">
      <c r="A9" s="338" t="s">
        <v>7</v>
      </c>
      <c r="B9" s="369" t="s">
        <v>53</v>
      </c>
      <c r="C9" s="409" t="s">
        <v>1748</v>
      </c>
      <c r="D9" s="410" t="s">
        <v>1978</v>
      </c>
      <c r="E9" s="337" t="s">
        <v>7821</v>
      </c>
    </row>
    <row r="10" ht="12.75">
      <c r="A10" s="338" t="s">
        <v>68</v>
      </c>
      <c r="B10" s="339">
        <v>6</v>
      </c>
      <c r="C10" s="340"/>
      <c r="D10" s="340"/>
      <c r="E10" s="341">
        <v>6</v>
      </c>
    </row>
    <row r="11" ht="12.75">
      <c r="A11" s="342" t="s">
        <v>288</v>
      </c>
      <c r="B11" s="343">
        <v>2</v>
      </c>
      <c r="C11" s="344"/>
      <c r="D11" s="344"/>
      <c r="E11" s="345">
        <v>2</v>
      </c>
    </row>
    <row r="12" ht="12.75">
      <c r="A12" s="342" t="s">
        <v>57</v>
      </c>
      <c r="B12" s="343">
        <v>5</v>
      </c>
      <c r="C12" s="344"/>
      <c r="D12" s="344"/>
      <c r="E12" s="345">
        <v>5</v>
      </c>
    </row>
    <row r="13" ht="12.75">
      <c r="A13" s="342" t="s">
        <v>51</v>
      </c>
      <c r="B13" s="343">
        <v>1</v>
      </c>
      <c r="C13" s="344"/>
      <c r="D13" s="344"/>
      <c r="E13" s="345">
        <v>1</v>
      </c>
    </row>
    <row r="14" ht="12.75">
      <c r="A14" s="342" t="s">
        <v>181</v>
      </c>
      <c r="B14" s="343">
        <v>1</v>
      </c>
      <c r="C14" s="344">
        <v>1</v>
      </c>
      <c r="D14" s="344"/>
      <c r="E14" s="345">
        <v>2</v>
      </c>
    </row>
    <row r="15" ht="12.75">
      <c r="A15" s="342" t="s">
        <v>977</v>
      </c>
      <c r="B15" s="343">
        <v>2</v>
      </c>
      <c r="C15" s="344"/>
      <c r="D15" s="344"/>
      <c r="E15" s="345">
        <v>2</v>
      </c>
    </row>
    <row r="16" ht="12.75">
      <c r="A16" s="342" t="s">
        <v>3735</v>
      </c>
      <c r="B16" s="343">
        <v>1</v>
      </c>
      <c r="C16" s="344"/>
      <c r="D16" s="344"/>
      <c r="E16" s="345">
        <v>1</v>
      </c>
    </row>
    <row r="17" ht="12.75">
      <c r="A17" s="313" t="s">
        <v>382</v>
      </c>
      <c r="B17" s="343">
        <v>2</v>
      </c>
      <c r="C17" s="344"/>
      <c r="D17" s="344">
        <v>1</v>
      </c>
      <c r="E17" s="345">
        <v>3</v>
      </c>
    </row>
    <row r="18" ht="12.75">
      <c r="A18" s="313" t="s">
        <v>491</v>
      </c>
      <c r="B18" s="343">
        <v>1</v>
      </c>
      <c r="C18" s="344"/>
      <c r="D18" s="344"/>
      <c r="E18" s="345">
        <v>1</v>
      </c>
    </row>
    <row r="19" ht="12.75">
      <c r="A19" s="346" t="s">
        <v>7821</v>
      </c>
      <c r="B19" s="347">
        <v>21</v>
      </c>
      <c r="C19" s="348">
        <v>1</v>
      </c>
      <c r="D19" s="348">
        <v>1</v>
      </c>
      <c r="E19" s="349">
        <v>23</v>
      </c>
    </row>
    <row r="23" ht="12.75">
      <c r="A23" s="331" t="s">
        <v>5</v>
      </c>
      <c r="B23" s="331" t="s">
        <v>7935</v>
      </c>
    </row>
    <row r="24" ht="12.75">
      <c r="A24" s="412" t="s">
        <v>7958</v>
      </c>
      <c r="B24" s="412"/>
      <c r="C24" s="412"/>
    </row>
    <row r="25" ht="12.75">
      <c r="A25" s="306" t="s">
        <v>7876</v>
      </c>
      <c r="B25" s="306" t="s">
        <v>18</v>
      </c>
      <c r="C25" s="308"/>
      <c r="D25" s="308"/>
      <c r="E25" s="309"/>
    </row>
    <row r="26" ht="12.75">
      <c r="A26" s="306" t="s">
        <v>7</v>
      </c>
      <c r="B26" s="335" t="s">
        <v>2102</v>
      </c>
      <c r="C26" s="336" t="s">
        <v>283</v>
      </c>
      <c r="D26" s="336" t="s">
        <v>1980</v>
      </c>
      <c r="E26" s="337" t="s">
        <v>7821</v>
      </c>
    </row>
    <row r="27" ht="12.75">
      <c r="A27" s="306" t="s">
        <v>57</v>
      </c>
      <c r="B27" s="339"/>
      <c r="C27" s="340">
        <v>1</v>
      </c>
      <c r="D27" s="340"/>
      <c r="E27" s="341">
        <v>1</v>
      </c>
    </row>
    <row r="28" ht="12.75">
      <c r="A28" s="313" t="s">
        <v>51</v>
      </c>
      <c r="B28" s="343"/>
      <c r="C28" s="344">
        <v>1</v>
      </c>
      <c r="D28" s="344"/>
      <c r="E28" s="345">
        <v>1</v>
      </c>
    </row>
    <row r="29" ht="12.75">
      <c r="A29" s="313" t="s">
        <v>4501</v>
      </c>
      <c r="B29" s="343"/>
      <c r="C29" s="344">
        <v>2</v>
      </c>
      <c r="D29" s="344"/>
      <c r="E29" s="345">
        <v>2</v>
      </c>
    </row>
    <row r="30" ht="12.75">
      <c r="A30" s="313" t="s">
        <v>181</v>
      </c>
      <c r="B30" s="343">
        <v>1</v>
      </c>
      <c r="C30" s="344"/>
      <c r="D30" s="344"/>
      <c r="E30" s="345">
        <v>1</v>
      </c>
    </row>
    <row r="31" ht="12.75">
      <c r="A31" s="313" t="s">
        <v>382</v>
      </c>
      <c r="B31" s="343"/>
      <c r="C31" s="344"/>
      <c r="D31" s="344">
        <v>1</v>
      </c>
      <c r="E31" s="345">
        <v>1</v>
      </c>
    </row>
    <row r="32" ht="12.75">
      <c r="A32" s="413" t="s">
        <v>7821</v>
      </c>
      <c r="B32" s="347">
        <v>1</v>
      </c>
      <c r="C32" s="348">
        <v>4</v>
      </c>
      <c r="D32" s="348">
        <v>1</v>
      </c>
      <c r="E32" s="349">
        <v>6</v>
      </c>
    </row>
  </sheetData>
  <mergeCells count="6">
    <mergeCell ref="A1:E1"/>
    <mergeCell ref="A2:E2"/>
    <mergeCell ref="A3:E3"/>
    <mergeCell ref="A4:E4"/>
    <mergeCell ref="A7:E7"/>
    <mergeCell ref="A24:C24"/>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A25" activeCellId="0" sqref="A25"/>
    </sheetView>
  </sheetViews>
  <sheetFormatPr defaultColWidth="8.6796875" defaultRowHeight="12.75"/>
  <cols>
    <col customWidth="1" min="1" max="1" style="0" width="43.420000000000002"/>
    <col customWidth="1" min="2" max="3" style="0" width="22"/>
    <col customWidth="1" min="4" max="4" style="0" width="11.140000000000001"/>
    <col customWidth="1" min="5" max="5" style="0" width="34.289999999999999"/>
    <col customWidth="1" min="6" max="7"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331" t="s">
        <v>5</v>
      </c>
      <c r="B6" s="331" t="s">
        <v>7935</v>
      </c>
    </row>
    <row r="7" ht="12.75">
      <c r="A7" s="332" t="s">
        <v>7959</v>
      </c>
      <c r="B7" s="332"/>
      <c r="C7" s="332"/>
      <c r="D7" s="332"/>
    </row>
    <row r="8" ht="12.75">
      <c r="A8" s="306" t="s">
        <v>7937</v>
      </c>
      <c r="B8" s="306" t="s">
        <v>10</v>
      </c>
      <c r="C8" s="308"/>
      <c r="D8" s="309"/>
    </row>
    <row r="9" ht="12.75">
      <c r="A9" s="306" t="s">
        <v>7</v>
      </c>
      <c r="B9" s="369" t="s">
        <v>53</v>
      </c>
      <c r="C9" s="410" t="s">
        <v>1748</v>
      </c>
      <c r="D9" s="337" t="s">
        <v>7821</v>
      </c>
    </row>
    <row r="10" ht="12.75">
      <c r="A10" s="306" t="s">
        <v>68</v>
      </c>
      <c r="B10" s="339">
        <v>10</v>
      </c>
      <c r="C10" s="340">
        <v>1</v>
      </c>
      <c r="D10" s="341">
        <v>11</v>
      </c>
    </row>
    <row r="11" ht="12.75">
      <c r="A11" s="313" t="s">
        <v>257</v>
      </c>
      <c r="B11" s="343">
        <v>1</v>
      </c>
      <c r="C11" s="344"/>
      <c r="D11" s="345">
        <v>1</v>
      </c>
    </row>
    <row r="12" ht="12.75">
      <c r="A12" s="313" t="s">
        <v>288</v>
      </c>
      <c r="B12" s="343">
        <v>9</v>
      </c>
      <c r="C12" s="344"/>
      <c r="D12" s="345">
        <v>9</v>
      </c>
    </row>
    <row r="13" ht="12.75">
      <c r="A13" s="313" t="s">
        <v>57</v>
      </c>
      <c r="B13" s="343">
        <v>43</v>
      </c>
      <c r="C13" s="344"/>
      <c r="D13" s="345">
        <v>43</v>
      </c>
    </row>
    <row r="14" ht="12.75">
      <c r="A14" s="313" t="s">
        <v>51</v>
      </c>
      <c r="B14" s="343">
        <v>110</v>
      </c>
      <c r="C14" s="344"/>
      <c r="D14" s="345">
        <v>110</v>
      </c>
    </row>
    <row r="15" ht="12.75">
      <c r="A15" s="313" t="s">
        <v>4501</v>
      </c>
      <c r="B15" s="343">
        <v>1</v>
      </c>
      <c r="C15" s="344"/>
      <c r="D15" s="345">
        <v>1</v>
      </c>
    </row>
    <row r="16" ht="12.75">
      <c r="A16" s="313" t="s">
        <v>181</v>
      </c>
      <c r="B16" s="343">
        <v>2</v>
      </c>
      <c r="C16" s="344"/>
      <c r="D16" s="345">
        <v>2</v>
      </c>
    </row>
    <row r="17" ht="12.75">
      <c r="A17" s="313" t="s">
        <v>977</v>
      </c>
      <c r="B17" s="343">
        <v>1</v>
      </c>
      <c r="C17" s="344"/>
      <c r="D17" s="345">
        <v>1</v>
      </c>
    </row>
    <row r="18" ht="12.75">
      <c r="A18" s="313" t="s">
        <v>508</v>
      </c>
      <c r="B18" s="343">
        <v>1</v>
      </c>
      <c r="C18" s="344"/>
      <c r="D18" s="345">
        <v>1</v>
      </c>
    </row>
    <row r="19" ht="12.75">
      <c r="A19" s="313" t="s">
        <v>88</v>
      </c>
      <c r="B19" s="343">
        <v>3</v>
      </c>
      <c r="C19" s="344"/>
      <c r="D19" s="345">
        <v>3</v>
      </c>
    </row>
    <row r="20" ht="12.75">
      <c r="A20" s="313" t="s">
        <v>382</v>
      </c>
      <c r="B20" s="343">
        <v>8</v>
      </c>
      <c r="C20" s="344"/>
      <c r="D20" s="345">
        <v>8</v>
      </c>
    </row>
    <row r="21" ht="12.75">
      <c r="A21" s="313" t="s">
        <v>491</v>
      </c>
      <c r="B21" s="343">
        <v>17</v>
      </c>
      <c r="C21" s="344"/>
      <c r="D21" s="345">
        <v>17</v>
      </c>
    </row>
    <row r="22" ht="12.75">
      <c r="A22" s="346" t="s">
        <v>7821</v>
      </c>
      <c r="B22" s="347">
        <v>206</v>
      </c>
      <c r="C22" s="348">
        <v>1</v>
      </c>
      <c r="D22" s="349">
        <v>207</v>
      </c>
    </row>
    <row r="25" ht="12.75">
      <c r="A25" s="331" t="s">
        <v>5</v>
      </c>
      <c r="B25" s="331" t="s">
        <v>7935</v>
      </c>
    </row>
    <row r="26" ht="12.75">
      <c r="A26" s="412" t="s">
        <v>7960</v>
      </c>
      <c r="B26" s="412"/>
      <c r="C26" s="412"/>
    </row>
    <row r="27" ht="12.75">
      <c r="A27" s="306" t="s">
        <v>7876</v>
      </c>
      <c r="B27" s="306" t="s">
        <v>18</v>
      </c>
      <c r="C27" s="308"/>
      <c r="D27" s="308"/>
      <c r="E27" s="308"/>
      <c r="F27" s="309"/>
    </row>
    <row r="28" ht="12.75">
      <c r="A28" s="306" t="s">
        <v>7</v>
      </c>
      <c r="B28" s="335" t="s">
        <v>3999</v>
      </c>
      <c r="C28" s="336" t="s">
        <v>283</v>
      </c>
      <c r="D28" s="336" t="s">
        <v>195</v>
      </c>
      <c r="E28" s="336" t="s">
        <v>1749</v>
      </c>
      <c r="F28" s="337" t="s">
        <v>7821</v>
      </c>
    </row>
    <row r="29" ht="12.75">
      <c r="A29" s="306" t="s">
        <v>3994</v>
      </c>
      <c r="B29" s="339"/>
      <c r="C29" s="340">
        <v>1</v>
      </c>
      <c r="D29" s="340"/>
      <c r="E29" s="340"/>
      <c r="F29" s="341">
        <v>1</v>
      </c>
    </row>
    <row r="30" ht="12.75">
      <c r="A30" s="313" t="s">
        <v>68</v>
      </c>
      <c r="B30" s="343">
        <v>1</v>
      </c>
      <c r="C30" s="344">
        <v>4</v>
      </c>
      <c r="D30" s="344"/>
      <c r="E30" s="344">
        <v>1</v>
      </c>
      <c r="F30" s="345">
        <v>6</v>
      </c>
    </row>
    <row r="31" ht="12.75">
      <c r="A31" s="313" t="s">
        <v>257</v>
      </c>
      <c r="B31" s="343"/>
      <c r="C31" s="344">
        <v>3</v>
      </c>
      <c r="D31" s="344"/>
      <c r="E31" s="344"/>
      <c r="F31" s="345">
        <v>3</v>
      </c>
    </row>
    <row r="32" ht="12.75">
      <c r="A32" s="313" t="s">
        <v>288</v>
      </c>
      <c r="B32" s="343"/>
      <c r="C32" s="344"/>
      <c r="D32" s="344">
        <v>1</v>
      </c>
      <c r="E32" s="344"/>
      <c r="F32" s="345">
        <v>1</v>
      </c>
    </row>
    <row r="33" ht="12.75">
      <c r="A33" s="313" t="s">
        <v>57</v>
      </c>
      <c r="B33" s="343">
        <v>1</v>
      </c>
      <c r="C33" s="344">
        <v>14</v>
      </c>
      <c r="D33" s="344"/>
      <c r="E33" s="344"/>
      <c r="F33" s="345">
        <v>15</v>
      </c>
    </row>
    <row r="34" ht="12.75">
      <c r="A34" s="313" t="s">
        <v>51</v>
      </c>
      <c r="B34" s="343"/>
      <c r="C34" s="344">
        <v>13</v>
      </c>
      <c r="D34" s="344"/>
      <c r="E34" s="344"/>
      <c r="F34" s="345">
        <v>13</v>
      </c>
    </row>
    <row r="35" ht="12.75">
      <c r="A35" s="313" t="s">
        <v>4501</v>
      </c>
      <c r="B35" s="343"/>
      <c r="C35" s="344">
        <v>2</v>
      </c>
      <c r="D35" s="344"/>
      <c r="E35" s="344"/>
      <c r="F35" s="345">
        <v>2</v>
      </c>
    </row>
    <row r="36" ht="12.75">
      <c r="A36" s="313" t="s">
        <v>181</v>
      </c>
      <c r="B36" s="343"/>
      <c r="C36" s="344">
        <v>1</v>
      </c>
      <c r="D36" s="344"/>
      <c r="E36" s="344"/>
      <c r="F36" s="345">
        <v>1</v>
      </c>
    </row>
    <row r="37" ht="12.75">
      <c r="A37" s="313" t="s">
        <v>977</v>
      </c>
      <c r="B37" s="343"/>
      <c r="C37" s="344">
        <v>1</v>
      </c>
      <c r="D37" s="344"/>
      <c r="E37" s="344"/>
      <c r="F37" s="345">
        <v>1</v>
      </c>
    </row>
    <row r="38" ht="12.75">
      <c r="A38" s="313" t="s">
        <v>508</v>
      </c>
      <c r="B38" s="343">
        <v>1</v>
      </c>
      <c r="C38" s="344">
        <v>8</v>
      </c>
      <c r="D38" s="344">
        <v>1</v>
      </c>
      <c r="E38" s="344"/>
      <c r="F38" s="345">
        <v>10</v>
      </c>
    </row>
    <row r="39" ht="12.75">
      <c r="A39" s="313" t="s">
        <v>382</v>
      </c>
      <c r="B39" s="343"/>
      <c r="C39" s="344">
        <v>2</v>
      </c>
      <c r="D39" s="344"/>
      <c r="E39" s="344"/>
      <c r="F39" s="345">
        <v>2</v>
      </c>
    </row>
    <row r="40" ht="12.75">
      <c r="A40" s="413" t="s">
        <v>7821</v>
      </c>
      <c r="B40" s="347">
        <v>3</v>
      </c>
      <c r="C40" s="348">
        <v>49</v>
      </c>
      <c r="D40" s="348">
        <v>2</v>
      </c>
      <c r="E40" s="348">
        <v>1</v>
      </c>
      <c r="F40" s="349">
        <v>55</v>
      </c>
    </row>
  </sheetData>
  <mergeCells count="6">
    <mergeCell ref="A1:E1"/>
    <mergeCell ref="A2:E2"/>
    <mergeCell ref="A3:E3"/>
    <mergeCell ref="A4:E4"/>
    <mergeCell ref="A7:D7"/>
    <mergeCell ref="A26:C26"/>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A20" activeCellId="0" sqref="A20"/>
    </sheetView>
  </sheetViews>
  <sheetFormatPr defaultColWidth="8.6796875" defaultRowHeight="12.75"/>
  <cols>
    <col customWidth="1" min="1" max="1" style="0" width="43.420000000000002"/>
    <col customWidth="1" min="2" max="3" style="0" width="22"/>
    <col customWidth="1" min="4" max="6"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331" t="s">
        <v>5</v>
      </c>
      <c r="B6" s="331" t="s">
        <v>7935</v>
      </c>
    </row>
    <row r="7" ht="12.75">
      <c r="A7" s="332" t="s">
        <v>7961</v>
      </c>
      <c r="B7" s="332"/>
      <c r="C7" s="332"/>
      <c r="D7" s="332"/>
    </row>
    <row r="8" ht="12.75">
      <c r="A8" s="306" t="s">
        <v>7937</v>
      </c>
      <c r="B8" s="306" t="s">
        <v>10</v>
      </c>
      <c r="C8" s="308"/>
      <c r="D8" s="309"/>
    </row>
    <row r="9" ht="12.75">
      <c r="A9" s="306" t="s">
        <v>7</v>
      </c>
      <c r="B9" s="369" t="s">
        <v>53</v>
      </c>
      <c r="C9" s="410" t="s">
        <v>1748</v>
      </c>
      <c r="D9" s="337" t="s">
        <v>7821</v>
      </c>
    </row>
    <row r="10" ht="12.75">
      <c r="A10" s="306" t="s">
        <v>68</v>
      </c>
      <c r="B10" s="339">
        <v>2</v>
      </c>
      <c r="C10" s="340"/>
      <c r="D10" s="341">
        <v>2</v>
      </c>
    </row>
    <row r="11" ht="12.75">
      <c r="A11" s="313" t="s">
        <v>288</v>
      </c>
      <c r="B11" s="343">
        <v>2</v>
      </c>
      <c r="C11" s="344"/>
      <c r="D11" s="345">
        <v>2</v>
      </c>
    </row>
    <row r="12" ht="12.75">
      <c r="A12" s="313" t="s">
        <v>57</v>
      </c>
      <c r="B12" s="343"/>
      <c r="C12" s="344">
        <v>1</v>
      </c>
      <c r="D12" s="345">
        <v>1</v>
      </c>
    </row>
    <row r="13" ht="12.75">
      <c r="A13" s="313" t="s">
        <v>51</v>
      </c>
      <c r="B13" s="343"/>
      <c r="C13" s="344">
        <v>1</v>
      </c>
      <c r="D13" s="345">
        <v>1</v>
      </c>
    </row>
    <row r="14" ht="12.75">
      <c r="A14" s="313" t="s">
        <v>508</v>
      </c>
      <c r="B14" s="343">
        <v>1</v>
      </c>
      <c r="C14" s="344"/>
      <c r="D14" s="345">
        <v>1</v>
      </c>
    </row>
    <row r="15" ht="12.75">
      <c r="A15" s="313" t="s">
        <v>491</v>
      </c>
      <c r="B15" s="343">
        <v>1</v>
      </c>
      <c r="C15" s="344"/>
      <c r="D15" s="345">
        <v>1</v>
      </c>
    </row>
    <row r="16" ht="12.75">
      <c r="A16" s="346" t="s">
        <v>7821</v>
      </c>
      <c r="B16" s="347">
        <v>6</v>
      </c>
      <c r="C16" s="348">
        <v>2</v>
      </c>
      <c r="D16" s="349">
        <v>8</v>
      </c>
    </row>
    <row r="20" ht="12.75">
      <c r="A20" s="331" t="s">
        <v>5</v>
      </c>
      <c r="B20" s="331" t="s">
        <v>7935</v>
      </c>
    </row>
    <row r="21" ht="12.75">
      <c r="A21" s="412" t="s">
        <v>7962</v>
      </c>
      <c r="B21" s="412"/>
      <c r="C21" s="412"/>
    </row>
    <row r="22" ht="12.75">
      <c r="A22" s="306" t="s">
        <v>7876</v>
      </c>
      <c r="B22" s="306" t="s">
        <v>18</v>
      </c>
      <c r="C22" s="308"/>
      <c r="D22" s="309"/>
    </row>
    <row r="23" ht="12.75">
      <c r="A23" s="306" t="s">
        <v>7</v>
      </c>
      <c r="B23" s="335" t="s">
        <v>2102</v>
      </c>
      <c r="C23" s="336" t="s">
        <v>283</v>
      </c>
      <c r="D23" s="337" t="s">
        <v>7821</v>
      </c>
    </row>
    <row r="24" ht="12.75">
      <c r="A24" s="306" t="s">
        <v>57</v>
      </c>
      <c r="B24" s="339">
        <v>1</v>
      </c>
      <c r="C24" s="340">
        <v>2</v>
      </c>
      <c r="D24" s="341">
        <v>3</v>
      </c>
    </row>
    <row r="25" ht="12.75">
      <c r="A25" s="313" t="s">
        <v>51</v>
      </c>
      <c r="B25" s="343">
        <v>1</v>
      </c>
      <c r="C25" s="344"/>
      <c r="D25" s="345">
        <v>1</v>
      </c>
    </row>
    <row r="26" ht="12.75">
      <c r="A26" s="413" t="s">
        <v>7821</v>
      </c>
      <c r="B26" s="347">
        <v>2</v>
      </c>
      <c r="C26" s="348">
        <v>2</v>
      </c>
      <c r="D26" s="349">
        <v>4</v>
      </c>
    </row>
  </sheetData>
  <mergeCells count="6">
    <mergeCell ref="A1:E1"/>
    <mergeCell ref="A2:E2"/>
    <mergeCell ref="A3:E3"/>
    <mergeCell ref="A4:E4"/>
    <mergeCell ref="A7:D7"/>
    <mergeCell ref="A21:C21"/>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A21" activeCellId="0" sqref="A21"/>
    </sheetView>
  </sheetViews>
  <sheetFormatPr defaultColWidth="8.6796875" defaultRowHeight="12.75"/>
  <cols>
    <col customWidth="1" min="1" max="1" style="0" width="43.420000000000002"/>
    <col customWidth="1" min="2" max="3" style="0" width="22"/>
    <col customWidth="1" min="4" max="6"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331" t="s">
        <v>5</v>
      </c>
      <c r="B6" s="331" t="s">
        <v>7935</v>
      </c>
    </row>
    <row r="7" ht="12.75">
      <c r="A7" s="332" t="s">
        <v>7963</v>
      </c>
      <c r="B7" s="332"/>
      <c r="C7" s="332"/>
      <c r="D7" s="332"/>
      <c r="E7" s="332"/>
    </row>
    <row r="8" ht="12.75">
      <c r="A8" s="306" t="s">
        <v>7937</v>
      </c>
      <c r="B8" s="306" t="s">
        <v>10</v>
      </c>
      <c r="C8" s="308"/>
      <c r="D8" s="309"/>
    </row>
    <row r="9" ht="12.75">
      <c r="A9" s="306" t="s">
        <v>7</v>
      </c>
      <c r="B9" s="369" t="s">
        <v>53</v>
      </c>
      <c r="C9" s="410" t="s">
        <v>1978</v>
      </c>
      <c r="D9" s="337" t="s">
        <v>7821</v>
      </c>
    </row>
    <row r="10" ht="12.75">
      <c r="A10" s="306" t="s">
        <v>288</v>
      </c>
      <c r="B10" s="339">
        <v>2</v>
      </c>
      <c r="C10" s="340"/>
      <c r="D10" s="341">
        <v>2</v>
      </c>
    </row>
    <row r="11" ht="12.75">
      <c r="A11" s="313" t="s">
        <v>51</v>
      </c>
      <c r="B11" s="343">
        <v>2</v>
      </c>
      <c r="C11" s="344"/>
      <c r="D11" s="345">
        <v>2</v>
      </c>
    </row>
    <row r="12" ht="12.75">
      <c r="A12" s="313" t="s">
        <v>181</v>
      </c>
      <c r="B12" s="343">
        <v>1</v>
      </c>
      <c r="C12" s="344"/>
      <c r="D12" s="345">
        <v>1</v>
      </c>
    </row>
    <row r="13" ht="12.75">
      <c r="A13" s="313" t="s">
        <v>508</v>
      </c>
      <c r="B13" s="343">
        <v>1</v>
      </c>
      <c r="C13" s="344"/>
      <c r="D13" s="345">
        <v>1</v>
      </c>
    </row>
    <row r="14" ht="12.75">
      <c r="A14" s="313" t="s">
        <v>382</v>
      </c>
      <c r="B14" s="343">
        <v>1</v>
      </c>
      <c r="C14" s="344">
        <v>1</v>
      </c>
      <c r="D14" s="345">
        <v>2</v>
      </c>
    </row>
    <row r="15" ht="12.75">
      <c r="A15" s="346" t="s">
        <v>7821</v>
      </c>
      <c r="B15" s="347">
        <v>7</v>
      </c>
      <c r="C15" s="348">
        <v>1</v>
      </c>
      <c r="D15" s="349">
        <v>8</v>
      </c>
    </row>
    <row r="20" ht="12.75">
      <c r="A20" s="331" t="s">
        <v>5</v>
      </c>
      <c r="B20" s="331" t="s">
        <v>7935</v>
      </c>
    </row>
    <row r="21" ht="12.75">
      <c r="A21" s="412" t="s">
        <v>7964</v>
      </c>
      <c r="B21" s="412"/>
      <c r="C21" s="412"/>
    </row>
    <row r="22" ht="12.75">
      <c r="A22" s="306" t="s">
        <v>7876</v>
      </c>
      <c r="B22" s="306" t="s">
        <v>18</v>
      </c>
      <c r="C22" s="308"/>
      <c r="D22" s="308"/>
      <c r="E22" s="309"/>
    </row>
    <row r="23" ht="12.75">
      <c r="A23" s="306" t="s">
        <v>7</v>
      </c>
      <c r="B23" s="335" t="s">
        <v>283</v>
      </c>
      <c r="C23" s="336" t="s">
        <v>195</v>
      </c>
      <c r="D23" s="336" t="s">
        <v>1980</v>
      </c>
      <c r="E23" s="337" t="s">
        <v>7821</v>
      </c>
    </row>
    <row r="24" ht="12.75">
      <c r="A24" s="306" t="s">
        <v>288</v>
      </c>
      <c r="B24" s="339">
        <v>1</v>
      </c>
      <c r="C24" s="340"/>
      <c r="D24" s="340"/>
      <c r="E24" s="341">
        <v>1</v>
      </c>
    </row>
    <row r="25" ht="12.75">
      <c r="A25" s="313" t="s">
        <v>977</v>
      </c>
      <c r="B25" s="343">
        <v>2</v>
      </c>
      <c r="C25" s="344"/>
      <c r="D25" s="344"/>
      <c r="E25" s="345">
        <v>2</v>
      </c>
    </row>
    <row r="26" ht="12.75">
      <c r="A26" s="313" t="s">
        <v>508</v>
      </c>
      <c r="B26" s="343"/>
      <c r="C26" s="344">
        <v>1</v>
      </c>
      <c r="D26" s="344"/>
      <c r="E26" s="345">
        <v>1</v>
      </c>
    </row>
    <row r="27" ht="12.75">
      <c r="A27" s="313" t="s">
        <v>382</v>
      </c>
      <c r="B27" s="343"/>
      <c r="C27" s="344"/>
      <c r="D27" s="344">
        <v>1</v>
      </c>
      <c r="E27" s="345">
        <v>1</v>
      </c>
    </row>
    <row r="28" ht="12.75">
      <c r="A28" s="413" t="s">
        <v>7821</v>
      </c>
      <c r="B28" s="347">
        <v>3</v>
      </c>
      <c r="C28" s="348">
        <v>1</v>
      </c>
      <c r="D28" s="348">
        <v>1</v>
      </c>
      <c r="E28" s="349">
        <v>5</v>
      </c>
    </row>
  </sheetData>
  <mergeCells count="6">
    <mergeCell ref="A1:E1"/>
    <mergeCell ref="A2:E2"/>
    <mergeCell ref="A3:E3"/>
    <mergeCell ref="A4:E4"/>
    <mergeCell ref="A7:E7"/>
    <mergeCell ref="A21:C21"/>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A28" activeCellId="0" sqref="A28"/>
    </sheetView>
  </sheetViews>
  <sheetFormatPr defaultColWidth="8.6796875" defaultRowHeight="12.75"/>
  <cols>
    <col customWidth="1" min="1" max="1" style="0" width="43.420000000000002"/>
    <col customWidth="1" min="2" max="4" style="0" width="34.289999999999999"/>
    <col customWidth="1" min="5" max="6"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402" t="s">
        <v>5</v>
      </c>
      <c r="B6" s="403" t="s">
        <v>7935</v>
      </c>
    </row>
    <row r="7" ht="12.75">
      <c r="A7" s="415" t="s">
        <v>7965</v>
      </c>
      <c r="B7" s="415"/>
      <c r="C7" s="415"/>
      <c r="D7" s="415"/>
      <c r="E7" s="415"/>
    </row>
    <row r="8" ht="12.75">
      <c r="A8" s="338" t="s">
        <v>7937</v>
      </c>
      <c r="B8" s="405" t="s">
        <v>10</v>
      </c>
      <c r="C8" s="406"/>
      <c r="D8" s="406"/>
      <c r="E8" s="407"/>
    </row>
    <row r="9" ht="12.75">
      <c r="A9" s="408" t="s">
        <v>7</v>
      </c>
      <c r="B9" s="369" t="s">
        <v>53</v>
      </c>
      <c r="C9" s="409" t="s">
        <v>1748</v>
      </c>
      <c r="D9" s="410" t="s">
        <v>1978</v>
      </c>
      <c r="E9" s="337" t="s">
        <v>7821</v>
      </c>
    </row>
    <row r="10" ht="12.75">
      <c r="A10" s="408" t="s">
        <v>68</v>
      </c>
      <c r="B10" s="339">
        <v>6</v>
      </c>
      <c r="C10" s="340">
        <v>1</v>
      </c>
      <c r="D10" s="340"/>
      <c r="E10" s="341">
        <v>7</v>
      </c>
    </row>
    <row r="11" ht="12.75">
      <c r="A11" s="342" t="s">
        <v>288</v>
      </c>
      <c r="B11" s="343">
        <v>1</v>
      </c>
      <c r="C11" s="344"/>
      <c r="D11" s="344"/>
      <c r="E11" s="345">
        <v>1</v>
      </c>
    </row>
    <row r="12" ht="12.75">
      <c r="A12" s="342" t="s">
        <v>57</v>
      </c>
      <c r="B12" s="343">
        <v>9</v>
      </c>
      <c r="C12" s="344"/>
      <c r="D12" s="344"/>
      <c r="E12" s="345">
        <v>9</v>
      </c>
    </row>
    <row r="13" ht="12.75">
      <c r="A13" s="342" t="s">
        <v>51</v>
      </c>
      <c r="B13" s="343">
        <v>7</v>
      </c>
      <c r="C13" s="344"/>
      <c r="D13" s="344"/>
      <c r="E13" s="345">
        <v>7</v>
      </c>
    </row>
    <row r="14" ht="12.75">
      <c r="A14" s="342" t="s">
        <v>501</v>
      </c>
      <c r="B14" s="343">
        <v>1</v>
      </c>
      <c r="C14" s="344"/>
      <c r="D14" s="344"/>
      <c r="E14" s="345">
        <v>1</v>
      </c>
    </row>
    <row r="15" ht="12.75">
      <c r="A15" s="342" t="s">
        <v>181</v>
      </c>
      <c r="B15" s="343">
        <v>1</v>
      </c>
      <c r="C15" s="344">
        <v>1</v>
      </c>
      <c r="D15" s="344"/>
      <c r="E15" s="345">
        <v>2</v>
      </c>
    </row>
    <row r="16" ht="12.75">
      <c r="A16" s="342" t="s">
        <v>88</v>
      </c>
      <c r="B16" s="343">
        <v>1</v>
      </c>
      <c r="C16" s="344"/>
      <c r="D16" s="344">
        <v>1</v>
      </c>
      <c r="E16" s="345">
        <v>2</v>
      </c>
    </row>
    <row r="17" ht="12.75">
      <c r="A17" s="342" t="s">
        <v>382</v>
      </c>
      <c r="B17" s="343"/>
      <c r="C17" s="344"/>
      <c r="D17" s="344">
        <v>1</v>
      </c>
      <c r="E17" s="345">
        <v>1</v>
      </c>
    </row>
    <row r="18" ht="12.75">
      <c r="A18" s="411" t="s">
        <v>7821</v>
      </c>
      <c r="B18" s="347">
        <v>26</v>
      </c>
      <c r="C18" s="348">
        <v>2</v>
      </c>
      <c r="D18" s="348">
        <v>2</v>
      </c>
      <c r="E18" s="349">
        <v>30</v>
      </c>
    </row>
    <row r="21" ht="12.75">
      <c r="A21" s="331" t="s">
        <v>5</v>
      </c>
      <c r="B21" s="331" t="s">
        <v>7935</v>
      </c>
    </row>
    <row r="22" ht="12.75">
      <c r="A22" s="412" t="s">
        <v>7966</v>
      </c>
      <c r="B22" s="412"/>
      <c r="C22" s="412"/>
    </row>
    <row r="23" ht="12.75">
      <c r="A23" s="306" t="s">
        <v>7876</v>
      </c>
      <c r="B23" s="306" t="s">
        <v>18</v>
      </c>
      <c r="C23" s="308"/>
      <c r="D23" s="308"/>
      <c r="E23" s="309"/>
    </row>
    <row r="24" ht="12.75">
      <c r="A24" s="306" t="s">
        <v>7</v>
      </c>
      <c r="B24" s="335" t="s">
        <v>2102</v>
      </c>
      <c r="C24" s="336" t="s">
        <v>283</v>
      </c>
      <c r="D24" s="336" t="s">
        <v>1980</v>
      </c>
      <c r="E24" s="337" t="s">
        <v>7821</v>
      </c>
    </row>
    <row r="25" ht="12.75">
      <c r="A25" s="306" t="s">
        <v>68</v>
      </c>
      <c r="B25" s="339">
        <v>1</v>
      </c>
      <c r="C25" s="340">
        <v>3</v>
      </c>
      <c r="D25" s="340"/>
      <c r="E25" s="341">
        <v>4</v>
      </c>
    </row>
    <row r="26" ht="12.75">
      <c r="A26" s="313" t="s">
        <v>257</v>
      </c>
      <c r="B26" s="343"/>
      <c r="C26" s="344">
        <v>1</v>
      </c>
      <c r="D26" s="344"/>
      <c r="E26" s="345">
        <v>1</v>
      </c>
    </row>
    <row r="27" ht="12.75">
      <c r="A27" s="313" t="s">
        <v>288</v>
      </c>
      <c r="B27" s="343"/>
      <c r="C27" s="344">
        <v>4</v>
      </c>
      <c r="D27" s="344"/>
      <c r="E27" s="345">
        <v>4</v>
      </c>
    </row>
    <row r="28" ht="12.75">
      <c r="A28" s="313" t="s">
        <v>57</v>
      </c>
      <c r="B28" s="343"/>
      <c r="C28" s="344">
        <v>12</v>
      </c>
      <c r="D28" s="344"/>
      <c r="E28" s="345">
        <v>12</v>
      </c>
    </row>
    <row r="29" ht="12.75">
      <c r="A29" s="313" t="s">
        <v>51</v>
      </c>
      <c r="B29" s="343"/>
      <c r="C29" s="344">
        <v>1</v>
      </c>
      <c r="D29" s="344"/>
      <c r="E29" s="345">
        <v>1</v>
      </c>
    </row>
    <row r="30" ht="12.75">
      <c r="A30" s="313" t="s">
        <v>501</v>
      </c>
      <c r="B30" s="343"/>
      <c r="C30" s="344">
        <v>1</v>
      </c>
      <c r="D30" s="344"/>
      <c r="E30" s="345">
        <v>1</v>
      </c>
    </row>
    <row r="31" ht="12.75">
      <c r="A31" s="313" t="s">
        <v>4501</v>
      </c>
      <c r="B31" s="343"/>
      <c r="C31" s="344">
        <v>1</v>
      </c>
      <c r="D31" s="344"/>
      <c r="E31" s="345">
        <v>1</v>
      </c>
    </row>
    <row r="32" ht="12.75">
      <c r="A32" s="313" t="s">
        <v>181</v>
      </c>
      <c r="B32" s="343">
        <v>1</v>
      </c>
      <c r="C32" s="344">
        <v>1</v>
      </c>
      <c r="D32" s="344"/>
      <c r="E32" s="345">
        <v>2</v>
      </c>
    </row>
    <row r="33" ht="12.75">
      <c r="A33" s="313" t="s">
        <v>508</v>
      </c>
      <c r="B33" s="343"/>
      <c r="C33" s="344">
        <v>2</v>
      </c>
      <c r="D33" s="344"/>
      <c r="E33" s="345">
        <v>2</v>
      </c>
    </row>
    <row r="34" ht="12.75">
      <c r="A34" s="313" t="s">
        <v>88</v>
      </c>
      <c r="B34" s="343"/>
      <c r="C34" s="344">
        <v>4</v>
      </c>
      <c r="D34" s="344">
        <v>1</v>
      </c>
      <c r="E34" s="345">
        <v>5</v>
      </c>
    </row>
    <row r="35" ht="12.75">
      <c r="A35" s="313" t="s">
        <v>382</v>
      </c>
      <c r="B35" s="343"/>
      <c r="C35" s="344">
        <v>1</v>
      </c>
      <c r="D35" s="344">
        <v>1</v>
      </c>
      <c r="E35" s="345">
        <v>2</v>
      </c>
    </row>
    <row r="36" ht="12.75">
      <c r="A36" s="413" t="s">
        <v>7821</v>
      </c>
      <c r="B36" s="347">
        <v>2</v>
      </c>
      <c r="C36" s="348">
        <v>31</v>
      </c>
      <c r="D36" s="348">
        <v>2</v>
      </c>
      <c r="E36" s="349">
        <v>35</v>
      </c>
    </row>
  </sheetData>
  <mergeCells count="6">
    <mergeCell ref="A1:E1"/>
    <mergeCell ref="A2:E2"/>
    <mergeCell ref="A3:E3"/>
    <mergeCell ref="A4:E4"/>
    <mergeCell ref="A7:E7"/>
    <mergeCell ref="A22:C22"/>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A22" activeCellId="0" sqref="A22"/>
    </sheetView>
  </sheetViews>
  <sheetFormatPr defaultColWidth="8.6796875" defaultRowHeight="12.75"/>
  <cols>
    <col customWidth="1" min="1" max="1" style="0" width="43.420000000000002"/>
    <col customWidth="1" min="2" max="5" style="0" width="34.289999999999999"/>
    <col customWidth="1" min="6" max="7"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331" t="s">
        <v>5</v>
      </c>
      <c r="B6" s="331" t="s">
        <v>7935</v>
      </c>
    </row>
    <row r="7" ht="12.75">
      <c r="A7" s="332" t="s">
        <v>7967</v>
      </c>
      <c r="B7" s="332"/>
      <c r="C7" s="332"/>
      <c r="D7" s="332"/>
    </row>
    <row r="8" ht="12.75">
      <c r="A8" s="306" t="s">
        <v>7937</v>
      </c>
      <c r="B8" s="306" t="s">
        <v>10</v>
      </c>
      <c r="C8" s="308"/>
      <c r="D8" s="309"/>
    </row>
    <row r="9" ht="12.75">
      <c r="A9" s="306" t="s">
        <v>7</v>
      </c>
      <c r="B9" s="369" t="s">
        <v>53</v>
      </c>
      <c r="C9" s="410" t="s">
        <v>1978</v>
      </c>
      <c r="D9" s="337" t="s">
        <v>7821</v>
      </c>
    </row>
    <row r="10" ht="12.75">
      <c r="A10" s="306" t="s">
        <v>68</v>
      </c>
      <c r="B10" s="339">
        <v>1</v>
      </c>
      <c r="C10" s="340"/>
      <c r="D10" s="341">
        <v>1</v>
      </c>
    </row>
    <row r="11" ht="12.75">
      <c r="A11" s="313" t="s">
        <v>257</v>
      </c>
      <c r="B11" s="343">
        <v>1</v>
      </c>
      <c r="C11" s="344"/>
      <c r="D11" s="345">
        <v>1</v>
      </c>
    </row>
    <row r="12" ht="12.75">
      <c r="A12" s="313" t="s">
        <v>288</v>
      </c>
      <c r="B12" s="343">
        <v>2</v>
      </c>
      <c r="C12" s="344"/>
      <c r="D12" s="345">
        <v>2</v>
      </c>
    </row>
    <row r="13" ht="12.75">
      <c r="A13" s="313" t="s">
        <v>57</v>
      </c>
      <c r="B13" s="343">
        <v>6</v>
      </c>
      <c r="C13" s="344"/>
      <c r="D13" s="345">
        <v>6</v>
      </c>
    </row>
    <row r="14" ht="12.75">
      <c r="A14" s="313" t="s">
        <v>51</v>
      </c>
      <c r="B14" s="343">
        <v>9</v>
      </c>
      <c r="C14" s="344"/>
      <c r="D14" s="345">
        <v>9</v>
      </c>
    </row>
    <row r="15" ht="12.75">
      <c r="A15" s="313" t="s">
        <v>181</v>
      </c>
      <c r="B15" s="343">
        <v>3</v>
      </c>
      <c r="C15" s="344"/>
      <c r="D15" s="345">
        <v>3</v>
      </c>
    </row>
    <row r="16" ht="12.75">
      <c r="A16" s="313" t="s">
        <v>977</v>
      </c>
      <c r="B16" s="343">
        <v>1</v>
      </c>
      <c r="C16" s="344"/>
      <c r="D16" s="345">
        <v>1</v>
      </c>
    </row>
    <row r="17" ht="12.75">
      <c r="A17" s="313" t="s">
        <v>508</v>
      </c>
      <c r="B17" s="343"/>
      <c r="C17" s="344">
        <v>1</v>
      </c>
      <c r="D17" s="345">
        <v>1</v>
      </c>
    </row>
    <row r="18" ht="12.75">
      <c r="A18" s="346" t="s">
        <v>7821</v>
      </c>
      <c r="B18" s="347">
        <v>23</v>
      </c>
      <c r="C18" s="348">
        <v>1</v>
      </c>
      <c r="D18" s="349">
        <v>24</v>
      </c>
    </row>
    <row r="22" ht="12.75">
      <c r="A22" s="331" t="s">
        <v>5</v>
      </c>
      <c r="B22" s="331" t="s">
        <v>7935</v>
      </c>
    </row>
    <row r="23" ht="12.75">
      <c r="A23" s="412" t="s">
        <v>7968</v>
      </c>
      <c r="B23" s="412"/>
      <c r="C23" s="412"/>
    </row>
    <row r="24" ht="12.75">
      <c r="A24" s="306" t="s">
        <v>7876</v>
      </c>
      <c r="B24" s="306" t="s">
        <v>18</v>
      </c>
      <c r="C24" s="308"/>
      <c r="D24" s="308"/>
      <c r="E24" s="308"/>
      <c r="F24" s="309"/>
    </row>
    <row r="25" ht="12.75">
      <c r="A25" s="306" t="s">
        <v>7</v>
      </c>
      <c r="B25" s="335" t="s">
        <v>283</v>
      </c>
      <c r="C25" s="336" t="s">
        <v>5957</v>
      </c>
      <c r="D25" s="336" t="s">
        <v>195</v>
      </c>
      <c r="E25" s="336" t="s">
        <v>1980</v>
      </c>
      <c r="F25" s="337" t="s">
        <v>7821</v>
      </c>
    </row>
    <row r="26" ht="12.75">
      <c r="A26" s="306" t="s">
        <v>4337</v>
      </c>
      <c r="B26" s="339">
        <v>1</v>
      </c>
      <c r="C26" s="340"/>
      <c r="D26" s="340"/>
      <c r="E26" s="340"/>
      <c r="F26" s="341">
        <v>1</v>
      </c>
    </row>
    <row r="27" ht="12.75">
      <c r="A27" s="313" t="s">
        <v>68</v>
      </c>
      <c r="B27" s="343">
        <v>1</v>
      </c>
      <c r="C27" s="344"/>
      <c r="D27" s="344"/>
      <c r="E27" s="344"/>
      <c r="F27" s="345">
        <v>1</v>
      </c>
    </row>
    <row r="28" ht="12.75">
      <c r="A28" s="313" t="s">
        <v>57</v>
      </c>
      <c r="B28" s="343">
        <v>5</v>
      </c>
      <c r="C28" s="344"/>
      <c r="D28" s="344"/>
      <c r="E28" s="344"/>
      <c r="F28" s="345">
        <v>5</v>
      </c>
    </row>
    <row r="29" ht="12.75">
      <c r="A29" s="313" t="s">
        <v>51</v>
      </c>
      <c r="B29" s="343"/>
      <c r="C29" s="344">
        <v>1</v>
      </c>
      <c r="D29" s="344"/>
      <c r="E29" s="344"/>
      <c r="F29" s="345">
        <v>1</v>
      </c>
    </row>
    <row r="30" ht="12.75">
      <c r="A30" s="313" t="s">
        <v>181</v>
      </c>
      <c r="B30" s="343"/>
      <c r="C30" s="344"/>
      <c r="D30" s="344">
        <v>1</v>
      </c>
      <c r="E30" s="344"/>
      <c r="F30" s="345">
        <v>1</v>
      </c>
    </row>
    <row r="31" ht="12.75">
      <c r="A31" s="313" t="s">
        <v>977</v>
      </c>
      <c r="B31" s="343"/>
      <c r="C31" s="344"/>
      <c r="D31" s="344">
        <v>1</v>
      </c>
      <c r="E31" s="344"/>
      <c r="F31" s="345">
        <v>1</v>
      </c>
    </row>
    <row r="32" ht="12.75">
      <c r="A32" s="313" t="s">
        <v>508</v>
      </c>
      <c r="B32" s="343">
        <v>1</v>
      </c>
      <c r="C32" s="344"/>
      <c r="D32" s="344"/>
      <c r="E32" s="344">
        <v>1</v>
      </c>
      <c r="F32" s="345">
        <v>2</v>
      </c>
    </row>
    <row r="33" ht="12.75">
      <c r="A33" s="413" t="s">
        <v>7821</v>
      </c>
      <c r="B33" s="347">
        <v>8</v>
      </c>
      <c r="C33" s="348">
        <v>1</v>
      </c>
      <c r="D33" s="348">
        <v>2</v>
      </c>
      <c r="E33" s="348">
        <v>1</v>
      </c>
      <c r="F33" s="349">
        <v>12</v>
      </c>
    </row>
  </sheetData>
  <mergeCells count="6">
    <mergeCell ref="A1:E1"/>
    <mergeCell ref="A2:E2"/>
    <mergeCell ref="A3:E3"/>
    <mergeCell ref="A4:E4"/>
    <mergeCell ref="A7:D7"/>
    <mergeCell ref="A23:C23"/>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1"/>
  </sheetPr>
  <sheetViews>
    <sheetView showFormulas="0" showGridLines="1" showRowColHeaders="1" showZeros="1" rightToLeft="0" view="normal" topLeftCell="A1" zoomScale="100" workbookViewId="0">
      <selection activeCell="A24" activeCellId="0" sqref="A24"/>
    </sheetView>
  </sheetViews>
  <sheetFormatPr defaultColWidth="8.6796875" defaultRowHeight="12.75"/>
  <cols>
    <col customWidth="1" min="1" max="1" style="0" width="43.420000000000002"/>
    <col customWidth="1" min="2" max="5" style="0" width="34.289999999999999"/>
    <col customWidth="1" min="6" max="10"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402" t="s">
        <v>5</v>
      </c>
      <c r="B6" s="403" t="s">
        <v>7935</v>
      </c>
    </row>
    <row r="7" ht="12.75">
      <c r="A7" s="415" t="s">
        <v>7969</v>
      </c>
      <c r="B7" s="415"/>
      <c r="C7" s="415"/>
      <c r="D7" s="415"/>
      <c r="E7" s="415"/>
    </row>
    <row r="8" ht="12.75">
      <c r="A8" s="338" t="s">
        <v>7937</v>
      </c>
      <c r="B8" s="405" t="s">
        <v>10</v>
      </c>
      <c r="C8" s="406"/>
      <c r="D8" s="406"/>
      <c r="E8" s="407"/>
    </row>
    <row r="9" ht="12.75">
      <c r="A9" s="408" t="s">
        <v>7</v>
      </c>
      <c r="B9" s="369" t="s">
        <v>53</v>
      </c>
      <c r="C9" s="409" t="s">
        <v>1748</v>
      </c>
      <c r="D9" s="410" t="s">
        <v>1978</v>
      </c>
      <c r="E9" s="337" t="s">
        <v>7821</v>
      </c>
    </row>
    <row r="10" ht="12.75">
      <c r="A10" s="408" t="s">
        <v>68</v>
      </c>
      <c r="B10" s="339">
        <v>4</v>
      </c>
      <c r="C10" s="340"/>
      <c r="D10" s="340"/>
      <c r="E10" s="341">
        <v>4</v>
      </c>
    </row>
    <row r="11" ht="12.75">
      <c r="A11" s="342" t="s">
        <v>257</v>
      </c>
      <c r="B11" s="343">
        <v>2</v>
      </c>
      <c r="C11" s="344"/>
      <c r="D11" s="344"/>
      <c r="E11" s="345">
        <v>2</v>
      </c>
    </row>
    <row r="12" ht="12.75">
      <c r="A12" s="342" t="s">
        <v>288</v>
      </c>
      <c r="B12" s="343">
        <v>3</v>
      </c>
      <c r="C12" s="344"/>
      <c r="D12" s="344">
        <v>1</v>
      </c>
      <c r="E12" s="345">
        <v>4</v>
      </c>
    </row>
    <row r="13" ht="12.75">
      <c r="A13" s="342" t="s">
        <v>57</v>
      </c>
      <c r="B13" s="343">
        <v>23</v>
      </c>
      <c r="C13" s="344"/>
      <c r="D13" s="344"/>
      <c r="E13" s="345">
        <v>23</v>
      </c>
    </row>
    <row r="14" ht="12.75">
      <c r="A14" s="342" t="s">
        <v>51</v>
      </c>
      <c r="B14" s="343">
        <v>45</v>
      </c>
      <c r="C14" s="344"/>
      <c r="D14" s="344"/>
      <c r="E14" s="345">
        <v>45</v>
      </c>
    </row>
    <row r="15" ht="12.75">
      <c r="A15" s="342" t="s">
        <v>501</v>
      </c>
      <c r="B15" s="343">
        <v>7</v>
      </c>
      <c r="C15" s="344"/>
      <c r="D15" s="344"/>
      <c r="E15" s="345">
        <v>7</v>
      </c>
    </row>
    <row r="16" ht="12.75">
      <c r="A16" s="342" t="s">
        <v>181</v>
      </c>
      <c r="B16" s="343">
        <v>2</v>
      </c>
      <c r="C16" s="344">
        <v>1</v>
      </c>
      <c r="D16" s="344"/>
      <c r="E16" s="345">
        <v>3</v>
      </c>
    </row>
    <row r="17" ht="12.75">
      <c r="A17" s="342" t="s">
        <v>3735</v>
      </c>
      <c r="B17" s="343">
        <v>1</v>
      </c>
      <c r="C17" s="344"/>
      <c r="D17" s="344"/>
      <c r="E17" s="345">
        <v>1</v>
      </c>
    </row>
    <row r="18" ht="12.75">
      <c r="A18" s="342" t="s">
        <v>508</v>
      </c>
      <c r="B18" s="343">
        <v>1</v>
      </c>
      <c r="C18" s="344"/>
      <c r="D18" s="344"/>
      <c r="E18" s="345">
        <v>1</v>
      </c>
    </row>
    <row r="19" ht="12.75">
      <c r="A19" s="342" t="s">
        <v>88</v>
      </c>
      <c r="B19" s="343">
        <v>1</v>
      </c>
      <c r="C19" s="344"/>
      <c r="D19" s="344"/>
      <c r="E19" s="345">
        <v>1</v>
      </c>
    </row>
    <row r="20" ht="12.75">
      <c r="A20" s="342" t="s">
        <v>382</v>
      </c>
      <c r="B20" s="343">
        <v>1</v>
      </c>
      <c r="C20" s="344"/>
      <c r="D20" s="344"/>
      <c r="E20" s="345">
        <v>1</v>
      </c>
    </row>
    <row r="21" ht="12.75">
      <c r="A21" s="411" t="s">
        <v>7821</v>
      </c>
      <c r="B21" s="347">
        <v>90</v>
      </c>
      <c r="C21" s="348">
        <v>1</v>
      </c>
      <c r="D21" s="348">
        <v>1</v>
      </c>
      <c r="E21" s="349">
        <v>92</v>
      </c>
    </row>
    <row r="24" ht="12.75">
      <c r="A24" s="331" t="s">
        <v>5</v>
      </c>
      <c r="B24" s="331" t="s">
        <v>7935</v>
      </c>
    </row>
    <row r="25" ht="12.75">
      <c r="A25" s="412" t="s">
        <v>7970</v>
      </c>
      <c r="B25" s="412"/>
      <c r="C25" s="412"/>
    </row>
    <row r="26" ht="12.75">
      <c r="A26" s="306" t="s">
        <v>7876</v>
      </c>
      <c r="B26" s="306" t="s">
        <v>18</v>
      </c>
      <c r="C26" s="308"/>
      <c r="D26" s="308"/>
      <c r="E26" s="308"/>
      <c r="F26" s="309"/>
    </row>
    <row r="27" ht="12.75">
      <c r="A27" s="306" t="s">
        <v>7</v>
      </c>
      <c r="B27" s="335" t="s">
        <v>2102</v>
      </c>
      <c r="C27" s="336" t="s">
        <v>283</v>
      </c>
      <c r="D27" s="336" t="s">
        <v>195</v>
      </c>
      <c r="E27" s="336" t="s">
        <v>1980</v>
      </c>
      <c r="F27" s="337" t="s">
        <v>7821</v>
      </c>
    </row>
    <row r="28" ht="12.75">
      <c r="A28" s="306" t="s">
        <v>3994</v>
      </c>
      <c r="B28" s="339"/>
      <c r="C28" s="340">
        <v>1</v>
      </c>
      <c r="D28" s="340"/>
      <c r="E28" s="340"/>
      <c r="F28" s="341">
        <v>1</v>
      </c>
    </row>
    <row r="29" ht="12.75">
      <c r="A29" s="313" t="s">
        <v>68</v>
      </c>
      <c r="B29" s="343"/>
      <c r="C29" s="344">
        <v>1</v>
      </c>
      <c r="D29" s="344"/>
      <c r="E29" s="344"/>
      <c r="F29" s="345">
        <v>1</v>
      </c>
    </row>
    <row r="30" ht="12.75">
      <c r="A30" s="313" t="s">
        <v>257</v>
      </c>
      <c r="B30" s="343"/>
      <c r="C30" s="344">
        <v>2</v>
      </c>
      <c r="D30" s="344"/>
      <c r="E30" s="344"/>
      <c r="F30" s="345">
        <v>2</v>
      </c>
    </row>
    <row r="31" ht="12.75">
      <c r="A31" s="313" t="s">
        <v>288</v>
      </c>
      <c r="B31" s="343"/>
      <c r="C31" s="344">
        <v>1</v>
      </c>
      <c r="D31" s="344">
        <v>1</v>
      </c>
      <c r="E31" s="344">
        <v>1</v>
      </c>
      <c r="F31" s="345">
        <v>3</v>
      </c>
    </row>
    <row r="32" ht="12.75">
      <c r="A32" s="313" t="s">
        <v>57</v>
      </c>
      <c r="B32" s="343"/>
      <c r="C32" s="344">
        <v>8</v>
      </c>
      <c r="D32" s="344"/>
      <c r="E32" s="344"/>
      <c r="F32" s="345">
        <v>8</v>
      </c>
    </row>
    <row r="33" ht="12.75">
      <c r="A33" s="313" t="s">
        <v>51</v>
      </c>
      <c r="B33" s="343"/>
      <c r="C33" s="344">
        <v>6</v>
      </c>
      <c r="D33" s="344">
        <v>1</v>
      </c>
      <c r="E33" s="344"/>
      <c r="F33" s="345">
        <v>7</v>
      </c>
    </row>
    <row r="34" ht="12.75">
      <c r="A34" s="313" t="s">
        <v>4501</v>
      </c>
      <c r="B34" s="343"/>
      <c r="C34" s="344">
        <v>1</v>
      </c>
      <c r="D34" s="344"/>
      <c r="E34" s="344"/>
      <c r="F34" s="345">
        <v>1</v>
      </c>
    </row>
    <row r="35" ht="12.75">
      <c r="A35" s="313" t="s">
        <v>181</v>
      </c>
      <c r="B35" s="343">
        <v>1</v>
      </c>
      <c r="C35" s="344"/>
      <c r="D35" s="344"/>
      <c r="E35" s="344"/>
      <c r="F35" s="345">
        <v>1</v>
      </c>
    </row>
    <row r="36" ht="12.75">
      <c r="A36" s="313" t="s">
        <v>508</v>
      </c>
      <c r="B36" s="343"/>
      <c r="C36" s="344">
        <v>3</v>
      </c>
      <c r="D36" s="344"/>
      <c r="E36" s="344"/>
      <c r="F36" s="345">
        <v>3</v>
      </c>
    </row>
    <row r="37" ht="12.75">
      <c r="A37" s="413" t="s">
        <v>7821</v>
      </c>
      <c r="B37" s="347">
        <v>1</v>
      </c>
      <c r="C37" s="348">
        <v>23</v>
      </c>
      <c r="D37" s="348">
        <v>2</v>
      </c>
      <c r="E37" s="348">
        <v>1</v>
      </c>
      <c r="F37" s="349">
        <v>27</v>
      </c>
    </row>
  </sheetData>
  <mergeCells count="6">
    <mergeCell ref="A1:E1"/>
    <mergeCell ref="A2:E2"/>
    <mergeCell ref="A3:E3"/>
    <mergeCell ref="A4:E4"/>
    <mergeCell ref="A7:E7"/>
    <mergeCell ref="A25:C25"/>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A22" activeCellId="0" sqref="A22"/>
    </sheetView>
  </sheetViews>
  <sheetFormatPr defaultColWidth="8.6796875" defaultRowHeight="12.75"/>
  <cols>
    <col customWidth="1" min="1" max="1" style="0" width="43.420000000000002"/>
    <col customWidth="1" min="2" max="3" style="0" width="34.289999999999999"/>
    <col customWidth="1" min="4" max="6"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331" t="s">
        <v>5</v>
      </c>
      <c r="B6" s="331" t="s">
        <v>7935</v>
      </c>
    </row>
    <row r="7" ht="12.75">
      <c r="A7" s="332" t="s">
        <v>7971</v>
      </c>
      <c r="B7" s="332"/>
      <c r="C7" s="332"/>
      <c r="D7" s="332"/>
      <c r="E7" s="332"/>
    </row>
    <row r="8" ht="12.75">
      <c r="A8" s="306" t="s">
        <v>7937</v>
      </c>
      <c r="B8" s="306" t="s">
        <v>10</v>
      </c>
      <c r="C8" s="308"/>
      <c r="D8" s="309"/>
    </row>
    <row r="9" ht="12.75">
      <c r="A9" s="306" t="s">
        <v>7</v>
      </c>
      <c r="B9" s="369" t="s">
        <v>53</v>
      </c>
      <c r="C9" s="410" t="s">
        <v>1978</v>
      </c>
      <c r="D9" s="337" t="s">
        <v>7821</v>
      </c>
    </row>
    <row r="10" ht="12.75">
      <c r="A10" s="306" t="s">
        <v>4337</v>
      </c>
      <c r="B10" s="339">
        <v>1</v>
      </c>
      <c r="C10" s="340"/>
      <c r="D10" s="341">
        <v>1</v>
      </c>
    </row>
    <row r="11" ht="12.75">
      <c r="A11" s="313" t="s">
        <v>68</v>
      </c>
      <c r="B11" s="343">
        <v>2</v>
      </c>
      <c r="C11" s="344"/>
      <c r="D11" s="345">
        <v>2</v>
      </c>
    </row>
    <row r="12" ht="12.75">
      <c r="A12" s="313" t="s">
        <v>288</v>
      </c>
      <c r="B12" s="343">
        <v>3</v>
      </c>
      <c r="C12" s="344"/>
      <c r="D12" s="345">
        <v>3</v>
      </c>
    </row>
    <row r="13" ht="12.75">
      <c r="A13" s="313" t="s">
        <v>57</v>
      </c>
      <c r="B13" s="343">
        <v>3</v>
      </c>
      <c r="C13" s="344"/>
      <c r="D13" s="345">
        <v>3</v>
      </c>
    </row>
    <row r="14" ht="12.75">
      <c r="A14" s="313" t="s">
        <v>51</v>
      </c>
      <c r="B14" s="343">
        <v>2</v>
      </c>
      <c r="C14" s="344">
        <v>1</v>
      </c>
      <c r="D14" s="345">
        <v>3</v>
      </c>
    </row>
    <row r="15" ht="12.75">
      <c r="A15" s="313" t="s">
        <v>977</v>
      </c>
      <c r="B15" s="343">
        <v>1</v>
      </c>
      <c r="C15" s="344"/>
      <c r="D15" s="345">
        <v>1</v>
      </c>
    </row>
    <row r="16" ht="12.75">
      <c r="A16" s="313" t="s">
        <v>382</v>
      </c>
      <c r="B16" s="343">
        <v>1</v>
      </c>
      <c r="C16" s="344"/>
      <c r="D16" s="345">
        <v>1</v>
      </c>
    </row>
    <row r="17" ht="12.75">
      <c r="A17" s="313" t="s">
        <v>491</v>
      </c>
      <c r="B17" s="343">
        <v>2</v>
      </c>
      <c r="C17" s="344"/>
      <c r="D17" s="345">
        <v>2</v>
      </c>
    </row>
    <row r="18" ht="12.75">
      <c r="A18" s="346" t="s">
        <v>7821</v>
      </c>
      <c r="B18" s="347">
        <v>15</v>
      </c>
      <c r="C18" s="348">
        <v>1</v>
      </c>
      <c r="D18" s="349">
        <v>16</v>
      </c>
    </row>
    <row r="22" ht="12.75">
      <c r="A22" s="331" t="s">
        <v>5</v>
      </c>
      <c r="B22" s="331" t="s">
        <v>7935</v>
      </c>
    </row>
    <row r="23" ht="12.75">
      <c r="A23" s="412" t="s">
        <v>7972</v>
      </c>
      <c r="B23" s="412"/>
      <c r="C23" s="412"/>
    </row>
    <row r="24" ht="12.75">
      <c r="A24" s="306" t="s">
        <v>7876</v>
      </c>
      <c r="B24" s="306" t="s">
        <v>18</v>
      </c>
      <c r="C24" s="308"/>
      <c r="D24" s="309"/>
    </row>
    <row r="25" ht="12.75">
      <c r="A25" s="306" t="s">
        <v>7</v>
      </c>
      <c r="B25" s="335" t="s">
        <v>283</v>
      </c>
      <c r="C25" s="336" t="s">
        <v>1980</v>
      </c>
      <c r="D25" s="337" t="s">
        <v>7821</v>
      </c>
    </row>
    <row r="26" ht="12.75">
      <c r="A26" s="306" t="s">
        <v>257</v>
      </c>
      <c r="B26" s="339">
        <v>1</v>
      </c>
      <c r="C26" s="340"/>
      <c r="D26" s="341">
        <v>1</v>
      </c>
    </row>
    <row r="27" ht="12.75">
      <c r="A27" s="313" t="s">
        <v>288</v>
      </c>
      <c r="B27" s="343"/>
      <c r="C27" s="344"/>
      <c r="D27" s="345"/>
    </row>
    <row r="28" ht="12.75">
      <c r="A28" s="313" t="s">
        <v>57</v>
      </c>
      <c r="B28" s="343">
        <v>1</v>
      </c>
      <c r="C28" s="344"/>
      <c r="D28" s="345">
        <v>1</v>
      </c>
    </row>
    <row r="29" ht="12.75">
      <c r="A29" s="313" t="s">
        <v>51</v>
      </c>
      <c r="B29" s="343">
        <v>1</v>
      </c>
      <c r="C29" s="344">
        <v>1</v>
      </c>
      <c r="D29" s="345">
        <v>2</v>
      </c>
    </row>
    <row r="30" ht="12.75">
      <c r="A30" s="413" t="s">
        <v>7821</v>
      </c>
      <c r="B30" s="347">
        <v>3</v>
      </c>
      <c r="C30" s="348">
        <v>1</v>
      </c>
      <c r="D30" s="349">
        <v>4</v>
      </c>
    </row>
  </sheetData>
  <mergeCells count="6">
    <mergeCell ref="A1:E1"/>
    <mergeCell ref="A2:E2"/>
    <mergeCell ref="A3:E3"/>
    <mergeCell ref="A4:E4"/>
    <mergeCell ref="A7:E7"/>
    <mergeCell ref="A23:C23"/>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C44" activeCellId="0" sqref="C44"/>
    </sheetView>
  </sheetViews>
  <sheetFormatPr defaultColWidth="8.6796875" defaultRowHeight="12.75"/>
  <cols>
    <col customWidth="1" min="1" max="1" style="0" width="43.420000000000002"/>
    <col customWidth="1" min="2" max="3" style="0" width="34.289999999999999"/>
    <col customWidth="1" min="4" max="6"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402" t="s">
        <v>5</v>
      </c>
      <c r="B6" s="403" t="s">
        <v>7935</v>
      </c>
    </row>
    <row r="7" ht="12.75">
      <c r="A7" s="404" t="s">
        <v>7973</v>
      </c>
      <c r="B7" s="404"/>
      <c r="C7" s="404"/>
      <c r="D7" s="404"/>
    </row>
    <row r="8" ht="12.75">
      <c r="A8" s="338" t="s">
        <v>7937</v>
      </c>
      <c r="B8" s="405" t="s">
        <v>10</v>
      </c>
      <c r="C8" s="406"/>
      <c r="D8" s="407"/>
    </row>
    <row r="9" ht="12.75">
      <c r="A9" s="408" t="s">
        <v>7</v>
      </c>
      <c r="B9" s="369" t="s">
        <v>53</v>
      </c>
      <c r="C9" s="410" t="s">
        <v>1978</v>
      </c>
      <c r="D9" s="337" t="s">
        <v>7821</v>
      </c>
    </row>
    <row r="10" ht="12.75">
      <c r="A10" s="408" t="s">
        <v>257</v>
      </c>
      <c r="B10" s="339">
        <v>1</v>
      </c>
      <c r="C10" s="340"/>
      <c r="D10" s="341">
        <v>1</v>
      </c>
    </row>
    <row r="11" ht="12.75">
      <c r="A11" s="342" t="s">
        <v>288</v>
      </c>
      <c r="B11" s="343">
        <v>3</v>
      </c>
      <c r="C11" s="344"/>
      <c r="D11" s="345">
        <v>3</v>
      </c>
    </row>
    <row r="12" ht="12.75">
      <c r="A12" s="342" t="s">
        <v>57</v>
      </c>
      <c r="B12" s="343">
        <v>8</v>
      </c>
      <c r="C12" s="344">
        <v>1</v>
      </c>
      <c r="D12" s="345">
        <v>9</v>
      </c>
    </row>
    <row r="13" ht="12.75">
      <c r="A13" s="342" t="s">
        <v>51</v>
      </c>
      <c r="B13" s="343">
        <v>4</v>
      </c>
      <c r="C13" s="344">
        <v>1</v>
      </c>
      <c r="D13" s="345">
        <v>5</v>
      </c>
    </row>
    <row r="14" ht="12.75">
      <c r="A14" s="342" t="s">
        <v>88</v>
      </c>
      <c r="B14" s="343">
        <v>2</v>
      </c>
      <c r="C14" s="344"/>
      <c r="D14" s="345">
        <v>2</v>
      </c>
    </row>
    <row r="15" ht="12.75">
      <c r="A15" s="411" t="s">
        <v>7821</v>
      </c>
      <c r="B15" s="347">
        <v>18</v>
      </c>
      <c r="C15" s="348">
        <v>2</v>
      </c>
      <c r="D15" s="349">
        <v>20</v>
      </c>
    </row>
    <row r="19" ht="12.75">
      <c r="A19" s="331" t="s">
        <v>5</v>
      </c>
      <c r="B19" s="331" t="s">
        <v>7935</v>
      </c>
    </row>
    <row r="20" ht="12.75">
      <c r="A20" s="412" t="s">
        <v>7974</v>
      </c>
      <c r="B20" s="412"/>
      <c r="C20" s="412"/>
    </row>
    <row r="21" ht="12.75">
      <c r="A21" s="306" t="s">
        <v>7876</v>
      </c>
      <c r="B21" s="306" t="s">
        <v>18</v>
      </c>
      <c r="C21" s="308"/>
      <c r="D21" s="309"/>
    </row>
    <row r="22" ht="12.75">
      <c r="A22" s="306" t="s">
        <v>7</v>
      </c>
      <c r="B22" s="335" t="s">
        <v>283</v>
      </c>
      <c r="C22" s="336" t="s">
        <v>1980</v>
      </c>
      <c r="D22" s="337" t="s">
        <v>7821</v>
      </c>
    </row>
    <row r="23" ht="12.75">
      <c r="A23" s="306" t="s">
        <v>68</v>
      </c>
      <c r="B23" s="339">
        <v>1</v>
      </c>
      <c r="C23" s="340"/>
      <c r="D23" s="341">
        <v>1</v>
      </c>
    </row>
    <row r="24" ht="12.75">
      <c r="A24" s="313" t="s">
        <v>257</v>
      </c>
      <c r="B24" s="343">
        <v>1</v>
      </c>
      <c r="C24" s="344"/>
      <c r="D24" s="345">
        <v>1</v>
      </c>
    </row>
    <row r="25" ht="12.75">
      <c r="A25" s="313" t="s">
        <v>57</v>
      </c>
      <c r="B25" s="343">
        <v>4</v>
      </c>
      <c r="C25" s="344">
        <v>1</v>
      </c>
      <c r="D25" s="345">
        <v>5</v>
      </c>
    </row>
    <row r="26" ht="12.75">
      <c r="A26" s="313" t="s">
        <v>51</v>
      </c>
      <c r="B26" s="343">
        <v>1</v>
      </c>
      <c r="C26" s="344">
        <v>1</v>
      </c>
      <c r="D26" s="345">
        <v>2</v>
      </c>
    </row>
    <row r="27" ht="12.75">
      <c r="A27" s="313" t="s">
        <v>491</v>
      </c>
      <c r="B27" s="343">
        <v>2</v>
      </c>
      <c r="C27" s="344"/>
      <c r="D27" s="345">
        <v>2</v>
      </c>
    </row>
    <row r="28" ht="12.75">
      <c r="A28" s="413" t="s">
        <v>7821</v>
      </c>
      <c r="B28" s="347">
        <v>9</v>
      </c>
      <c r="C28" s="348">
        <v>2</v>
      </c>
      <c r="D28" s="349">
        <v>11</v>
      </c>
    </row>
  </sheetData>
  <mergeCells count="6">
    <mergeCell ref="A1:E1"/>
    <mergeCell ref="A2:E2"/>
    <mergeCell ref="A3:E3"/>
    <mergeCell ref="A4:E4"/>
    <mergeCell ref="A7:D7"/>
    <mergeCell ref="A20:C20"/>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A20" activeCellId="0" sqref="A20"/>
    </sheetView>
  </sheetViews>
  <sheetFormatPr defaultColWidth="8.6796875" defaultRowHeight="12.75"/>
  <cols>
    <col customWidth="1" min="1" max="1" style="0" width="43.420000000000002"/>
    <col customWidth="1" min="2" max="2" style="0" width="34.289999999999999"/>
    <col customWidth="1" min="3" max="6"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331" t="s">
        <v>5</v>
      </c>
      <c r="B6" s="331" t="s">
        <v>7935</v>
      </c>
    </row>
    <row r="7" ht="12.75">
      <c r="A7" s="332" t="s">
        <v>7975</v>
      </c>
      <c r="B7" s="332"/>
      <c r="C7" s="332"/>
      <c r="D7" s="332"/>
    </row>
    <row r="8" ht="12.75">
      <c r="A8" s="306" t="s">
        <v>7937</v>
      </c>
      <c r="B8" s="306" t="s">
        <v>10</v>
      </c>
      <c r="C8" s="309"/>
    </row>
    <row r="9" ht="12.75">
      <c r="A9" s="306" t="s">
        <v>7</v>
      </c>
      <c r="B9" s="337" t="s">
        <v>53</v>
      </c>
      <c r="C9" s="337" t="s">
        <v>7821</v>
      </c>
    </row>
    <row r="10" ht="12.75">
      <c r="A10" s="306" t="s">
        <v>288</v>
      </c>
      <c r="B10" s="339">
        <v>1</v>
      </c>
      <c r="C10" s="341">
        <v>1</v>
      </c>
    </row>
    <row r="11" ht="12.75">
      <c r="A11" s="313" t="s">
        <v>57</v>
      </c>
      <c r="B11" s="343">
        <v>5</v>
      </c>
      <c r="C11" s="345">
        <v>5</v>
      </c>
    </row>
    <row r="12" ht="12.75">
      <c r="A12" s="313" t="s">
        <v>51</v>
      </c>
      <c r="B12" s="343">
        <v>2</v>
      </c>
      <c r="C12" s="345">
        <v>2</v>
      </c>
    </row>
    <row r="13" ht="12.75">
      <c r="A13" s="313" t="s">
        <v>181</v>
      </c>
      <c r="B13" s="343">
        <v>1</v>
      </c>
      <c r="C13" s="345">
        <v>1</v>
      </c>
    </row>
    <row r="14" ht="12.75">
      <c r="A14" s="313" t="s">
        <v>382</v>
      </c>
      <c r="B14" s="343">
        <v>5</v>
      </c>
      <c r="C14" s="345">
        <v>5</v>
      </c>
    </row>
    <row r="15" ht="12.75">
      <c r="A15" s="313" t="s">
        <v>491</v>
      </c>
      <c r="B15" s="343">
        <v>1</v>
      </c>
      <c r="C15" s="345">
        <v>1</v>
      </c>
    </row>
    <row r="16" ht="12.75">
      <c r="A16" s="346" t="s">
        <v>7821</v>
      </c>
      <c r="B16" s="347">
        <v>15</v>
      </c>
      <c r="C16" s="349">
        <v>15</v>
      </c>
    </row>
    <row r="20" ht="12.75">
      <c r="A20" s="331" t="s">
        <v>5</v>
      </c>
      <c r="B20" s="331" t="s">
        <v>7935</v>
      </c>
    </row>
    <row r="21" ht="12.75">
      <c r="A21" s="412" t="s">
        <v>7976</v>
      </c>
      <c r="B21" s="412"/>
      <c r="C21" s="412"/>
    </row>
    <row r="22" ht="12.75">
      <c r="A22" s="306" t="s">
        <v>7876</v>
      </c>
      <c r="B22" s="306" t="s">
        <v>18</v>
      </c>
      <c r="C22" s="309"/>
    </row>
    <row r="23" ht="12.75">
      <c r="A23" s="306" t="s">
        <v>7</v>
      </c>
      <c r="B23" s="335" t="s">
        <v>283</v>
      </c>
      <c r="C23" s="337" t="s">
        <v>7821</v>
      </c>
    </row>
    <row r="24" ht="12.75">
      <c r="A24" s="306" t="s">
        <v>57</v>
      </c>
      <c r="B24" s="339">
        <v>1</v>
      </c>
      <c r="C24" s="341">
        <v>1</v>
      </c>
    </row>
    <row r="25" ht="12.75">
      <c r="A25" s="313" t="s">
        <v>977</v>
      </c>
      <c r="B25" s="343"/>
      <c r="C25" s="345"/>
    </row>
    <row r="26" ht="12.75">
      <c r="A26" s="413" t="s">
        <v>7821</v>
      </c>
      <c r="B26" s="347">
        <v>1</v>
      </c>
      <c r="C26" s="349">
        <v>1</v>
      </c>
    </row>
  </sheetData>
  <mergeCells count="6">
    <mergeCell ref="A1:E1"/>
    <mergeCell ref="A2:E2"/>
    <mergeCell ref="A3:E3"/>
    <mergeCell ref="A4:E4"/>
    <mergeCell ref="A7:D7"/>
    <mergeCell ref="A21:C21"/>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A16" activeCellId="0" sqref="A16"/>
    </sheetView>
  </sheetViews>
  <sheetFormatPr defaultColWidth="8.6796875" defaultRowHeight="12.75"/>
  <cols>
    <col customWidth="1" min="1" max="1" style="0" width="43.420000000000002"/>
    <col customWidth="1" min="2" max="3" style="0" width="34.289999999999999"/>
    <col customWidth="1" min="4" max="6"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331" t="s">
        <v>5</v>
      </c>
      <c r="B6" s="331" t="s">
        <v>7935</v>
      </c>
    </row>
    <row r="7" ht="12.75">
      <c r="A7" s="332" t="s">
        <v>7977</v>
      </c>
      <c r="B7" s="332"/>
      <c r="C7" s="332"/>
      <c r="D7" s="332"/>
    </row>
    <row r="8" ht="12.75">
      <c r="A8" s="306" t="s">
        <v>7937</v>
      </c>
      <c r="B8" s="306" t="s">
        <v>10</v>
      </c>
      <c r="C8" s="309"/>
    </row>
    <row r="9" ht="12.75">
      <c r="A9" s="306" t="s">
        <v>7</v>
      </c>
      <c r="B9" s="337" t="s">
        <v>53</v>
      </c>
      <c r="C9" s="337" t="s">
        <v>7821</v>
      </c>
    </row>
    <row r="10" ht="12.75">
      <c r="A10" s="306" t="s">
        <v>68</v>
      </c>
      <c r="B10" s="339">
        <v>1</v>
      </c>
      <c r="C10" s="341">
        <v>1</v>
      </c>
    </row>
    <row r="11" ht="12.75">
      <c r="A11" s="313" t="s">
        <v>57</v>
      </c>
      <c r="B11" s="343">
        <v>3</v>
      </c>
      <c r="C11" s="345">
        <v>3</v>
      </c>
    </row>
    <row r="12" ht="12.75">
      <c r="A12" s="346" t="s">
        <v>7821</v>
      </c>
      <c r="B12" s="347">
        <v>4</v>
      </c>
      <c r="C12" s="349">
        <v>4</v>
      </c>
    </row>
    <row r="16" ht="12.75">
      <c r="A16" s="331" t="s">
        <v>5</v>
      </c>
      <c r="B16" s="331" t="s">
        <v>7935</v>
      </c>
    </row>
    <row r="17" ht="12.75">
      <c r="A17" s="412" t="s">
        <v>7978</v>
      </c>
      <c r="B17" s="412"/>
      <c r="C17" s="412"/>
    </row>
    <row r="18" ht="12.75">
      <c r="A18" s="306" t="s">
        <v>7876</v>
      </c>
      <c r="B18" s="306" t="s">
        <v>18</v>
      </c>
      <c r="C18" s="308"/>
      <c r="D18" s="309"/>
    </row>
    <row r="19" ht="12.75">
      <c r="A19" s="306" t="s">
        <v>7</v>
      </c>
      <c r="B19" s="335" t="s">
        <v>283</v>
      </c>
      <c r="C19" s="336" t="s">
        <v>195</v>
      </c>
      <c r="D19" s="337" t="s">
        <v>7821</v>
      </c>
    </row>
    <row r="20" ht="12.75">
      <c r="A20" s="306" t="s">
        <v>68</v>
      </c>
      <c r="B20" s="339"/>
      <c r="C20" s="340">
        <v>1</v>
      </c>
      <c r="D20" s="341">
        <v>1</v>
      </c>
    </row>
    <row r="21" ht="12.75">
      <c r="A21" s="313" t="s">
        <v>491</v>
      </c>
      <c r="B21" s="343">
        <v>1</v>
      </c>
      <c r="C21" s="344"/>
      <c r="D21" s="345">
        <v>1</v>
      </c>
    </row>
    <row r="22" ht="12.75">
      <c r="A22" s="413" t="s">
        <v>7821</v>
      </c>
      <c r="B22" s="347">
        <v>1</v>
      </c>
      <c r="C22" s="348">
        <v>1</v>
      </c>
      <c r="D22" s="349">
        <v>2</v>
      </c>
    </row>
  </sheetData>
  <mergeCells count="6">
    <mergeCell ref="A1:E1"/>
    <mergeCell ref="A2:E2"/>
    <mergeCell ref="A3:E3"/>
    <mergeCell ref="A4:E4"/>
    <mergeCell ref="A7:D7"/>
    <mergeCell ref="A17:C17"/>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A15" activeCellId="0" sqref="A15"/>
    </sheetView>
  </sheetViews>
  <sheetFormatPr defaultColWidth="8.6796875" defaultRowHeight="12.75"/>
  <cols>
    <col customWidth="1" min="1" max="1" style="0" width="43.420000000000002"/>
    <col customWidth="1" min="2" max="3" style="0" width="34.289999999999999"/>
    <col customWidth="1" min="4" max="6"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331" t="s">
        <v>5</v>
      </c>
      <c r="B6" s="331" t="s">
        <v>7935</v>
      </c>
    </row>
    <row r="7" ht="12.75">
      <c r="A7" s="332" t="s">
        <v>7979</v>
      </c>
      <c r="B7" s="332"/>
      <c r="C7" s="332"/>
    </row>
    <row r="8" ht="12.75">
      <c r="A8" s="306" t="s">
        <v>7937</v>
      </c>
      <c r="B8" s="306" t="s">
        <v>10</v>
      </c>
      <c r="C8" s="309"/>
    </row>
    <row r="9" ht="12.75">
      <c r="A9" s="306" t="s">
        <v>7</v>
      </c>
      <c r="B9" s="337" t="s">
        <v>1748</v>
      </c>
      <c r="C9" s="337" t="s">
        <v>7821</v>
      </c>
    </row>
    <row r="10" ht="12.75">
      <c r="A10" s="306" t="s">
        <v>181</v>
      </c>
      <c r="B10" s="339">
        <v>1</v>
      </c>
      <c r="C10" s="341">
        <v>1</v>
      </c>
    </row>
    <row r="11" ht="12.75">
      <c r="A11" s="413" t="s">
        <v>7821</v>
      </c>
      <c r="B11" s="347">
        <v>1</v>
      </c>
      <c r="C11" s="349">
        <v>1</v>
      </c>
    </row>
    <row r="15" ht="12.75">
      <c r="A15" s="331" t="s">
        <v>5</v>
      </c>
      <c r="B15" s="331" t="s">
        <v>7935</v>
      </c>
    </row>
    <row r="16" ht="12.75">
      <c r="A16" s="412" t="s">
        <v>7980</v>
      </c>
      <c r="B16" s="412"/>
      <c r="C16" s="412"/>
    </row>
    <row r="17" ht="12.75">
      <c r="A17" s="306" t="s">
        <v>7876</v>
      </c>
      <c r="B17" s="306" t="s">
        <v>18</v>
      </c>
      <c r="C17" s="308"/>
      <c r="D17" s="309"/>
    </row>
    <row r="18" ht="12.75">
      <c r="A18" s="306" t="s">
        <v>7</v>
      </c>
      <c r="B18" s="335" t="s">
        <v>2102</v>
      </c>
      <c r="C18" s="336" t="s">
        <v>283</v>
      </c>
      <c r="D18" s="337" t="s">
        <v>7821</v>
      </c>
    </row>
    <row r="19" ht="12.75">
      <c r="A19" s="306" t="s">
        <v>257</v>
      </c>
      <c r="B19" s="339"/>
      <c r="C19" s="340">
        <v>1</v>
      </c>
      <c r="D19" s="341">
        <v>1</v>
      </c>
    </row>
    <row r="20" ht="12.75">
      <c r="A20" s="313" t="s">
        <v>57</v>
      </c>
      <c r="B20" s="343"/>
      <c r="C20" s="344">
        <v>1</v>
      </c>
      <c r="D20" s="345">
        <v>1</v>
      </c>
    </row>
    <row r="21" ht="12.75">
      <c r="A21" s="313" t="s">
        <v>181</v>
      </c>
      <c r="B21" s="343">
        <v>1</v>
      </c>
      <c r="C21" s="344"/>
      <c r="D21" s="345">
        <v>1</v>
      </c>
    </row>
    <row r="22" ht="12.75">
      <c r="A22" s="413" t="s">
        <v>7821</v>
      </c>
      <c r="B22" s="347">
        <v>1</v>
      </c>
      <c r="C22" s="348">
        <v>2</v>
      </c>
      <c r="D22" s="349">
        <v>3</v>
      </c>
    </row>
  </sheetData>
  <mergeCells count="6">
    <mergeCell ref="A1:E1"/>
    <mergeCell ref="A2:E2"/>
    <mergeCell ref="A3:E3"/>
    <mergeCell ref="A4:E4"/>
    <mergeCell ref="A7:C7"/>
    <mergeCell ref="A16:C16"/>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A22" activeCellId="0" sqref="A22"/>
    </sheetView>
  </sheetViews>
  <sheetFormatPr defaultColWidth="8.6796875" defaultRowHeight="12.75"/>
  <cols>
    <col customWidth="1" min="1" max="1" style="0" width="43.420000000000002"/>
    <col customWidth="1" min="2" max="5" style="0" width="34.289999999999999"/>
    <col customWidth="1" min="6" max="6"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331" t="s">
        <v>5</v>
      </c>
      <c r="B6" s="331" t="s">
        <v>7935</v>
      </c>
    </row>
    <row r="7" ht="12.75">
      <c r="A7" s="332" t="s">
        <v>7981</v>
      </c>
      <c r="B7" s="332"/>
      <c r="C7" s="332"/>
      <c r="D7" s="332"/>
    </row>
    <row r="8" ht="12.75">
      <c r="A8" s="306" t="s">
        <v>7937</v>
      </c>
      <c r="B8" s="306" t="s">
        <v>10</v>
      </c>
      <c r="C8" s="308"/>
      <c r="D8" s="308"/>
      <c r="E8" s="309"/>
    </row>
    <row r="9" ht="12.75">
      <c r="A9" s="306" t="s">
        <v>7</v>
      </c>
      <c r="B9" s="369" t="s">
        <v>53</v>
      </c>
      <c r="C9" s="409" t="s">
        <v>1748</v>
      </c>
      <c r="D9" s="337" t="s">
        <v>1978</v>
      </c>
      <c r="E9" s="337" t="s">
        <v>7821</v>
      </c>
    </row>
    <row r="10" ht="12.75">
      <c r="A10" s="306" t="s">
        <v>68</v>
      </c>
      <c r="B10" s="339">
        <v>5</v>
      </c>
      <c r="C10" s="340"/>
      <c r="D10" s="340"/>
      <c r="E10" s="341">
        <v>5</v>
      </c>
    </row>
    <row r="11" ht="12.75">
      <c r="A11" s="313" t="s">
        <v>288</v>
      </c>
      <c r="B11" s="343">
        <v>3</v>
      </c>
      <c r="C11" s="344">
        <v>1</v>
      </c>
      <c r="D11" s="344">
        <v>1</v>
      </c>
      <c r="E11" s="345">
        <v>5</v>
      </c>
    </row>
    <row r="12" ht="12.75">
      <c r="A12" s="313" t="s">
        <v>57</v>
      </c>
      <c r="B12" s="343">
        <v>15</v>
      </c>
      <c r="C12" s="344"/>
      <c r="D12" s="344"/>
      <c r="E12" s="345">
        <v>15</v>
      </c>
    </row>
    <row r="13" ht="12.75">
      <c r="A13" s="313" t="s">
        <v>51</v>
      </c>
      <c r="B13" s="343">
        <v>4</v>
      </c>
      <c r="C13" s="344"/>
      <c r="D13" s="344">
        <v>1</v>
      </c>
      <c r="E13" s="345">
        <v>5</v>
      </c>
    </row>
    <row r="14" ht="12.75">
      <c r="A14" s="313" t="s">
        <v>181</v>
      </c>
      <c r="B14" s="343">
        <v>5</v>
      </c>
      <c r="C14" s="344"/>
      <c r="D14" s="344"/>
      <c r="E14" s="345">
        <v>5</v>
      </c>
    </row>
    <row r="15" ht="12.75">
      <c r="A15" s="313" t="s">
        <v>88</v>
      </c>
      <c r="B15" s="343">
        <v>3</v>
      </c>
      <c r="C15" s="344"/>
      <c r="D15" s="344">
        <v>1</v>
      </c>
      <c r="E15" s="345">
        <v>4</v>
      </c>
    </row>
    <row r="16" ht="12.75">
      <c r="A16" s="313" t="s">
        <v>382</v>
      </c>
      <c r="B16" s="343">
        <v>3</v>
      </c>
      <c r="C16" s="344"/>
      <c r="D16" s="344"/>
      <c r="E16" s="345">
        <v>3</v>
      </c>
    </row>
    <row r="17" ht="12.75">
      <c r="A17" s="313" t="s">
        <v>491</v>
      </c>
      <c r="B17" s="343">
        <v>4</v>
      </c>
      <c r="C17" s="344"/>
      <c r="D17" s="344"/>
      <c r="E17" s="345">
        <v>4</v>
      </c>
    </row>
    <row r="18" ht="12.75">
      <c r="A18" s="346" t="s">
        <v>7821</v>
      </c>
      <c r="B18" s="347">
        <v>42</v>
      </c>
      <c r="C18" s="348">
        <v>1</v>
      </c>
      <c r="D18" s="348">
        <v>3</v>
      </c>
      <c r="E18" s="349">
        <v>46</v>
      </c>
    </row>
    <row r="22" ht="12.75">
      <c r="A22" s="331" t="s">
        <v>5</v>
      </c>
      <c r="B22" s="331" t="s">
        <v>7935</v>
      </c>
    </row>
    <row r="23" ht="12.75">
      <c r="A23" s="412" t="s">
        <v>7982</v>
      </c>
      <c r="B23" s="412"/>
      <c r="C23" s="412"/>
    </row>
    <row r="24" ht="12.75">
      <c r="A24" s="306" t="s">
        <v>7876</v>
      </c>
      <c r="B24" s="306" t="s">
        <v>18</v>
      </c>
      <c r="C24" s="308"/>
      <c r="D24" s="308"/>
      <c r="E24" s="308"/>
      <c r="F24" s="309"/>
    </row>
    <row r="25" ht="12.75">
      <c r="A25" s="306" t="s">
        <v>7</v>
      </c>
      <c r="B25" s="335" t="s">
        <v>283</v>
      </c>
      <c r="C25" s="336" t="s">
        <v>1749</v>
      </c>
      <c r="D25" s="336" t="s">
        <v>5758</v>
      </c>
      <c r="E25" s="336" t="s">
        <v>1980</v>
      </c>
      <c r="F25" s="337" t="s">
        <v>7821</v>
      </c>
    </row>
    <row r="26" ht="12.75">
      <c r="A26" s="306" t="s">
        <v>4337</v>
      </c>
      <c r="B26" s="339">
        <v>1</v>
      </c>
      <c r="C26" s="340"/>
      <c r="D26" s="340"/>
      <c r="E26" s="340"/>
      <c r="F26" s="341">
        <v>1</v>
      </c>
    </row>
    <row r="27" ht="12.75">
      <c r="A27" s="313" t="s">
        <v>68</v>
      </c>
      <c r="B27" s="343">
        <v>2</v>
      </c>
      <c r="C27" s="344"/>
      <c r="D27" s="344"/>
      <c r="E27" s="344"/>
      <c r="F27" s="345">
        <v>2</v>
      </c>
    </row>
    <row r="28" ht="12.75">
      <c r="A28" s="313" t="s">
        <v>288</v>
      </c>
      <c r="B28" s="343"/>
      <c r="C28" s="344">
        <v>1</v>
      </c>
      <c r="D28" s="344">
        <v>1</v>
      </c>
      <c r="E28" s="344"/>
      <c r="F28" s="345">
        <v>2</v>
      </c>
    </row>
    <row r="29" ht="12.75">
      <c r="A29" s="313" t="s">
        <v>57</v>
      </c>
      <c r="B29" s="343">
        <v>2</v>
      </c>
      <c r="C29" s="344"/>
      <c r="D29" s="344"/>
      <c r="E29" s="344"/>
      <c r="F29" s="345">
        <v>2</v>
      </c>
    </row>
    <row r="30" ht="12.75">
      <c r="A30" s="313" t="s">
        <v>51</v>
      </c>
      <c r="B30" s="343">
        <v>1</v>
      </c>
      <c r="C30" s="344"/>
      <c r="D30" s="344">
        <v>1</v>
      </c>
      <c r="E30" s="344"/>
      <c r="F30" s="345">
        <v>2</v>
      </c>
    </row>
    <row r="31" ht="12.75">
      <c r="A31" s="313" t="s">
        <v>501</v>
      </c>
      <c r="B31" s="343">
        <v>2</v>
      </c>
      <c r="C31" s="344"/>
      <c r="D31" s="344"/>
      <c r="E31" s="344"/>
      <c r="F31" s="345">
        <v>2</v>
      </c>
    </row>
    <row r="32" ht="12.75">
      <c r="A32" s="313" t="s">
        <v>4501</v>
      </c>
      <c r="B32" s="343">
        <v>2</v>
      </c>
      <c r="C32" s="344"/>
      <c r="D32" s="344"/>
      <c r="E32" s="344"/>
      <c r="F32" s="345">
        <v>2</v>
      </c>
    </row>
    <row r="33" ht="12.75">
      <c r="A33" s="313" t="s">
        <v>3735</v>
      </c>
      <c r="B33" s="343">
        <v>1</v>
      </c>
      <c r="C33" s="344"/>
      <c r="D33" s="344"/>
      <c r="E33" s="344"/>
      <c r="F33" s="345">
        <v>1</v>
      </c>
    </row>
    <row r="34" ht="12.75">
      <c r="A34" s="313" t="s">
        <v>508</v>
      </c>
      <c r="B34" s="343">
        <v>2</v>
      </c>
      <c r="C34" s="344"/>
      <c r="D34" s="344"/>
      <c r="E34" s="344"/>
      <c r="F34" s="345">
        <v>2</v>
      </c>
    </row>
    <row r="35" ht="12.75">
      <c r="A35" s="313" t="s">
        <v>88</v>
      </c>
      <c r="B35" s="343">
        <v>2</v>
      </c>
      <c r="C35" s="344"/>
      <c r="D35" s="344"/>
      <c r="E35" s="344">
        <v>1</v>
      </c>
      <c r="F35" s="345">
        <v>3</v>
      </c>
    </row>
    <row r="36" ht="12.75">
      <c r="A36" s="413" t="s">
        <v>7821</v>
      </c>
      <c r="B36" s="347">
        <v>15</v>
      </c>
      <c r="C36" s="348">
        <v>1</v>
      </c>
      <c r="D36" s="348">
        <v>2</v>
      </c>
      <c r="E36" s="348">
        <v>1</v>
      </c>
      <c r="F36" s="349">
        <v>19</v>
      </c>
    </row>
  </sheetData>
  <mergeCells count="6">
    <mergeCell ref="A1:E1"/>
    <mergeCell ref="A2:E2"/>
    <mergeCell ref="A3:E3"/>
    <mergeCell ref="A4:E4"/>
    <mergeCell ref="A7:D7"/>
    <mergeCell ref="A23:C23"/>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A24" activeCellId="0" sqref="A24"/>
    </sheetView>
  </sheetViews>
  <sheetFormatPr defaultColWidth="8.6796875" defaultRowHeight="12.75"/>
  <cols>
    <col customWidth="1" min="1" max="1" style="0" width="43.420000000000002"/>
    <col customWidth="1" min="2" max="6" style="0" width="34.289999999999999"/>
    <col customWidth="1" min="7" max="8"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402" t="s">
        <v>5</v>
      </c>
      <c r="B6" s="403" t="s">
        <v>7935</v>
      </c>
    </row>
    <row r="7" ht="12.75">
      <c r="A7" s="415" t="s">
        <v>7983</v>
      </c>
      <c r="B7" s="415"/>
      <c r="C7" s="415"/>
      <c r="D7" s="415"/>
      <c r="E7" s="415"/>
    </row>
    <row r="8" ht="12.75">
      <c r="A8" s="338" t="s">
        <v>7937</v>
      </c>
      <c r="B8" s="405" t="s">
        <v>10</v>
      </c>
      <c r="C8" s="406"/>
      <c r="D8" s="406"/>
      <c r="E8" s="407"/>
    </row>
    <row r="9" ht="12.75">
      <c r="A9" s="408" t="s">
        <v>7</v>
      </c>
      <c r="B9" s="369" t="s">
        <v>53</v>
      </c>
      <c r="C9" s="409" t="s">
        <v>1748</v>
      </c>
      <c r="D9" s="410" t="s">
        <v>1978</v>
      </c>
      <c r="E9" s="337" t="s">
        <v>7821</v>
      </c>
    </row>
    <row r="10" ht="12.75">
      <c r="A10" s="408" t="s">
        <v>68</v>
      </c>
      <c r="B10" s="339">
        <v>3</v>
      </c>
      <c r="C10" s="340"/>
      <c r="D10" s="340"/>
      <c r="E10" s="341">
        <v>3</v>
      </c>
    </row>
    <row r="11" ht="12.75">
      <c r="A11" s="342" t="s">
        <v>257</v>
      </c>
      <c r="B11" s="343">
        <v>4</v>
      </c>
      <c r="C11" s="344"/>
      <c r="D11" s="344"/>
      <c r="E11" s="345">
        <v>4</v>
      </c>
    </row>
    <row r="12" ht="12.75">
      <c r="A12" s="342" t="s">
        <v>288</v>
      </c>
      <c r="B12" s="343">
        <v>3</v>
      </c>
      <c r="C12" s="344"/>
      <c r="D12" s="344">
        <v>3</v>
      </c>
      <c r="E12" s="345">
        <v>6</v>
      </c>
    </row>
    <row r="13" ht="12.75">
      <c r="A13" s="342" t="s">
        <v>57</v>
      </c>
      <c r="B13" s="343">
        <v>61</v>
      </c>
      <c r="C13" s="344"/>
      <c r="D13" s="344"/>
      <c r="E13" s="345">
        <v>61</v>
      </c>
    </row>
    <row r="14" ht="12.75">
      <c r="A14" s="342" t="s">
        <v>51</v>
      </c>
      <c r="B14" s="343">
        <v>8</v>
      </c>
      <c r="C14" s="344">
        <v>1</v>
      </c>
      <c r="D14" s="344"/>
      <c r="E14" s="345">
        <v>9</v>
      </c>
    </row>
    <row r="15" ht="12.75">
      <c r="A15" s="342" t="s">
        <v>501</v>
      </c>
      <c r="B15" s="343">
        <v>1</v>
      </c>
      <c r="C15" s="344"/>
      <c r="D15" s="344"/>
      <c r="E15" s="345">
        <v>1</v>
      </c>
    </row>
    <row r="16" ht="12.75">
      <c r="A16" s="342" t="s">
        <v>977</v>
      </c>
      <c r="B16" s="343">
        <v>1</v>
      </c>
      <c r="C16" s="344"/>
      <c r="D16" s="344"/>
      <c r="E16" s="345">
        <v>1</v>
      </c>
    </row>
    <row r="17" ht="12.75">
      <c r="A17" s="342" t="s">
        <v>88</v>
      </c>
      <c r="B17" s="343">
        <v>2</v>
      </c>
      <c r="C17" s="344"/>
      <c r="D17" s="344"/>
      <c r="E17" s="345">
        <v>2</v>
      </c>
    </row>
    <row r="18" ht="12.75">
      <c r="A18" s="342" t="s">
        <v>382</v>
      </c>
      <c r="B18" s="343">
        <v>1</v>
      </c>
      <c r="C18" s="344"/>
      <c r="D18" s="344"/>
      <c r="E18" s="345">
        <v>1</v>
      </c>
    </row>
    <row r="19" ht="12.75">
      <c r="A19" s="342" t="s">
        <v>491</v>
      </c>
      <c r="B19" s="343">
        <v>1</v>
      </c>
      <c r="C19" s="344"/>
      <c r="D19" s="344"/>
      <c r="E19" s="345">
        <v>1</v>
      </c>
    </row>
    <row r="20" ht="12.75">
      <c r="A20" s="411" t="s">
        <v>7821</v>
      </c>
      <c r="B20" s="347">
        <v>85</v>
      </c>
      <c r="C20" s="348">
        <v>1</v>
      </c>
      <c r="D20" s="348">
        <v>3</v>
      </c>
      <c r="E20" s="349">
        <v>89</v>
      </c>
    </row>
    <row r="24" ht="12.75">
      <c r="A24" s="331" t="s">
        <v>5</v>
      </c>
      <c r="B24" s="331" t="s">
        <v>7935</v>
      </c>
    </row>
    <row r="25" ht="12.75">
      <c r="A25" s="412" t="s">
        <v>7984</v>
      </c>
      <c r="B25" s="412"/>
      <c r="C25" s="412"/>
    </row>
    <row r="26" ht="12.75">
      <c r="A26" s="306" t="s">
        <v>7876</v>
      </c>
      <c r="B26" s="306" t="s">
        <v>18</v>
      </c>
      <c r="C26" s="308"/>
      <c r="D26" s="308"/>
      <c r="E26" s="308"/>
      <c r="F26" s="308"/>
      <c r="G26" s="309"/>
    </row>
    <row r="27" ht="12.75">
      <c r="A27" s="306" t="s">
        <v>7</v>
      </c>
      <c r="B27" s="335" t="s">
        <v>3999</v>
      </c>
      <c r="C27" s="336" t="s">
        <v>283</v>
      </c>
      <c r="D27" s="336" t="s">
        <v>195</v>
      </c>
      <c r="E27" s="336" t="s">
        <v>1749</v>
      </c>
      <c r="F27" s="336" t="s">
        <v>1980</v>
      </c>
      <c r="G27" s="337" t="s">
        <v>7821</v>
      </c>
    </row>
    <row r="28" ht="12.75">
      <c r="A28" s="306" t="s">
        <v>68</v>
      </c>
      <c r="B28" s="339"/>
      <c r="C28" s="340">
        <v>5</v>
      </c>
      <c r="D28" s="340"/>
      <c r="E28" s="340"/>
      <c r="F28" s="340"/>
      <c r="G28" s="341">
        <v>5</v>
      </c>
    </row>
    <row r="29" ht="12.75">
      <c r="A29" s="313" t="s">
        <v>257</v>
      </c>
      <c r="B29" s="343"/>
      <c r="C29" s="344">
        <v>1</v>
      </c>
      <c r="D29" s="344"/>
      <c r="E29" s="344"/>
      <c r="F29" s="344"/>
      <c r="G29" s="345">
        <v>1</v>
      </c>
    </row>
    <row r="30" ht="12.75">
      <c r="A30" s="313" t="s">
        <v>288</v>
      </c>
      <c r="B30" s="343"/>
      <c r="C30" s="344"/>
      <c r="D30" s="344"/>
      <c r="E30" s="344"/>
      <c r="F30" s="344">
        <v>3</v>
      </c>
      <c r="G30" s="345">
        <v>3</v>
      </c>
    </row>
    <row r="31" ht="12.75">
      <c r="A31" s="313" t="s">
        <v>57</v>
      </c>
      <c r="B31" s="343"/>
      <c r="C31" s="344">
        <v>5</v>
      </c>
      <c r="D31" s="344"/>
      <c r="E31" s="344"/>
      <c r="F31" s="344"/>
      <c r="G31" s="345">
        <v>5</v>
      </c>
    </row>
    <row r="32" ht="12.75">
      <c r="A32" s="313" t="s">
        <v>51</v>
      </c>
      <c r="B32" s="343"/>
      <c r="C32" s="344">
        <v>2</v>
      </c>
      <c r="D32" s="344">
        <v>1</v>
      </c>
      <c r="E32" s="344">
        <v>1</v>
      </c>
      <c r="F32" s="344"/>
      <c r="G32" s="345">
        <v>4</v>
      </c>
    </row>
    <row r="33" ht="12.75">
      <c r="A33" s="313" t="s">
        <v>382</v>
      </c>
      <c r="B33" s="343"/>
      <c r="C33" s="344">
        <v>1</v>
      </c>
      <c r="D33" s="344"/>
      <c r="E33" s="344"/>
      <c r="F33" s="344"/>
      <c r="G33" s="345">
        <v>1</v>
      </c>
    </row>
    <row r="34" ht="12.75">
      <c r="A34" s="313" t="s">
        <v>491</v>
      </c>
      <c r="B34" s="343">
        <v>1</v>
      </c>
      <c r="C34" s="344">
        <v>2</v>
      </c>
      <c r="D34" s="344"/>
      <c r="E34" s="344"/>
      <c r="F34" s="344"/>
      <c r="G34" s="345">
        <v>3</v>
      </c>
    </row>
    <row r="35" ht="12.75">
      <c r="A35" s="413" t="s">
        <v>7821</v>
      </c>
      <c r="B35" s="347">
        <v>1</v>
      </c>
      <c r="C35" s="348">
        <v>16</v>
      </c>
      <c r="D35" s="348">
        <v>1</v>
      </c>
      <c r="E35" s="348">
        <v>1</v>
      </c>
      <c r="F35" s="348">
        <v>3</v>
      </c>
      <c r="G35" s="349">
        <v>22</v>
      </c>
    </row>
  </sheetData>
  <mergeCells count="6">
    <mergeCell ref="A1:E1"/>
    <mergeCell ref="A2:E2"/>
    <mergeCell ref="A3:E3"/>
    <mergeCell ref="A4:E4"/>
    <mergeCell ref="A7:E7"/>
    <mergeCell ref="A25:C25"/>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A20" activeCellId="0" sqref="A20"/>
    </sheetView>
  </sheetViews>
  <sheetFormatPr defaultColWidth="8.6796875" defaultRowHeight="12.75"/>
  <cols>
    <col customWidth="1" min="1" max="1" style="0" width="43.420000000000002"/>
    <col customWidth="1" min="2" max="3" style="0" width="34.289999999999999"/>
    <col customWidth="1" min="4" max="6"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331" t="s">
        <v>5</v>
      </c>
      <c r="B6" s="331" t="s">
        <v>7935</v>
      </c>
    </row>
    <row r="7" ht="12.75">
      <c r="A7" s="332" t="s">
        <v>7985</v>
      </c>
      <c r="B7" s="332"/>
      <c r="C7" s="332"/>
      <c r="D7" s="332"/>
    </row>
    <row r="8" ht="12.75">
      <c r="A8" s="306" t="s">
        <v>7937</v>
      </c>
      <c r="B8" s="306" t="s">
        <v>10</v>
      </c>
      <c r="C8" s="308"/>
      <c r="D8" s="309"/>
    </row>
    <row r="9" ht="12.75">
      <c r="A9" s="306" t="s">
        <v>7</v>
      </c>
      <c r="B9" s="369" t="s">
        <v>53</v>
      </c>
      <c r="C9" s="410" t="s">
        <v>1978</v>
      </c>
      <c r="D9" s="337" t="s">
        <v>7821</v>
      </c>
    </row>
    <row r="10" ht="12.75">
      <c r="A10" s="306" t="s">
        <v>68</v>
      </c>
      <c r="B10" s="339">
        <v>1</v>
      </c>
      <c r="C10" s="340"/>
      <c r="D10" s="341">
        <v>1</v>
      </c>
    </row>
    <row r="11" ht="12.75">
      <c r="A11" s="313" t="s">
        <v>257</v>
      </c>
      <c r="B11" s="343">
        <v>3</v>
      </c>
      <c r="C11" s="344"/>
      <c r="D11" s="345">
        <v>3</v>
      </c>
    </row>
    <row r="12" ht="12.75">
      <c r="A12" s="313" t="s">
        <v>288</v>
      </c>
      <c r="B12" s="343">
        <v>2</v>
      </c>
      <c r="C12" s="344"/>
      <c r="D12" s="345">
        <v>2</v>
      </c>
    </row>
    <row r="13" ht="12.75">
      <c r="A13" s="313" t="s">
        <v>57</v>
      </c>
      <c r="B13" s="343">
        <v>4</v>
      </c>
      <c r="C13" s="344"/>
      <c r="D13" s="345">
        <v>4</v>
      </c>
    </row>
    <row r="14" ht="12.75">
      <c r="A14" s="313" t="s">
        <v>51</v>
      </c>
      <c r="B14" s="343">
        <v>15</v>
      </c>
      <c r="C14" s="344">
        <v>1</v>
      </c>
      <c r="D14" s="345">
        <v>16</v>
      </c>
    </row>
    <row r="15" ht="12.75">
      <c r="A15" s="313" t="s">
        <v>382</v>
      </c>
      <c r="B15" s="343">
        <v>1</v>
      </c>
      <c r="C15" s="344"/>
      <c r="D15" s="345">
        <v>1</v>
      </c>
    </row>
    <row r="16" ht="12.75">
      <c r="A16" s="346" t="s">
        <v>7821</v>
      </c>
      <c r="B16" s="347">
        <v>26</v>
      </c>
      <c r="C16" s="348">
        <v>1</v>
      </c>
      <c r="D16" s="349">
        <v>27</v>
      </c>
    </row>
    <row r="20" ht="12.75">
      <c r="A20" s="331" t="s">
        <v>5</v>
      </c>
      <c r="B20" s="331" t="s">
        <v>7935</v>
      </c>
    </row>
    <row r="21" ht="12.75">
      <c r="A21" s="412" t="s">
        <v>7986</v>
      </c>
      <c r="B21" s="412"/>
      <c r="C21" s="412"/>
    </row>
    <row r="22" ht="12.75">
      <c r="A22" s="306" t="s">
        <v>7876</v>
      </c>
      <c r="B22" s="306" t="s">
        <v>18</v>
      </c>
      <c r="C22" s="308"/>
      <c r="D22" s="309"/>
    </row>
    <row r="23" ht="12.75">
      <c r="A23" s="306" t="s">
        <v>7</v>
      </c>
      <c r="B23" s="335" t="s">
        <v>283</v>
      </c>
      <c r="C23" s="336" t="s">
        <v>1980</v>
      </c>
      <c r="D23" s="337" t="s">
        <v>7821</v>
      </c>
    </row>
    <row r="24" ht="12.75">
      <c r="A24" s="306" t="s">
        <v>288</v>
      </c>
      <c r="B24" s="339"/>
      <c r="C24" s="340"/>
      <c r="D24" s="341"/>
    </row>
    <row r="25" ht="12.75">
      <c r="A25" s="313" t="s">
        <v>51</v>
      </c>
      <c r="B25" s="343">
        <v>1</v>
      </c>
      <c r="C25" s="344">
        <v>1</v>
      </c>
      <c r="D25" s="345">
        <v>2</v>
      </c>
    </row>
    <row r="26" ht="12.75">
      <c r="A26" s="313" t="s">
        <v>4501</v>
      </c>
      <c r="B26" s="343">
        <v>1</v>
      </c>
      <c r="C26" s="344"/>
      <c r="D26" s="345">
        <v>1</v>
      </c>
    </row>
    <row r="27" ht="12.75">
      <c r="A27" s="313" t="s">
        <v>508</v>
      </c>
      <c r="B27" s="343">
        <v>1</v>
      </c>
      <c r="C27" s="344"/>
      <c r="D27" s="345">
        <v>1</v>
      </c>
    </row>
    <row r="28" ht="12.75">
      <c r="A28" s="413" t="s">
        <v>7821</v>
      </c>
      <c r="B28" s="347">
        <v>3</v>
      </c>
      <c r="C28" s="348">
        <v>1</v>
      </c>
      <c r="D28" s="349">
        <v>4</v>
      </c>
    </row>
  </sheetData>
  <mergeCells count="6">
    <mergeCell ref="A1:E1"/>
    <mergeCell ref="A2:E2"/>
    <mergeCell ref="A3:E3"/>
    <mergeCell ref="A4:E4"/>
    <mergeCell ref="A7:D7"/>
    <mergeCell ref="A21:C21"/>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A23" activeCellId="0" sqref="A23"/>
    </sheetView>
  </sheetViews>
  <sheetFormatPr defaultColWidth="8.6796875" defaultRowHeight="12.75"/>
  <cols>
    <col customWidth="1" min="1" max="1" style="0" width="43.420000000000002"/>
    <col customWidth="1" min="2" max="5" style="0" width="34.289999999999999"/>
    <col customWidth="1" min="6" max="9"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402" t="s">
        <v>5</v>
      </c>
      <c r="B6" s="403" t="s">
        <v>7935</v>
      </c>
    </row>
    <row r="7" ht="12.75">
      <c r="A7" s="404" t="s">
        <v>7987</v>
      </c>
      <c r="B7" s="404"/>
      <c r="C7" s="404"/>
      <c r="D7" s="404"/>
      <c r="E7" s="404"/>
    </row>
    <row r="8" ht="12.75">
      <c r="A8" s="338" t="s">
        <v>7937</v>
      </c>
      <c r="B8" s="405" t="s">
        <v>10</v>
      </c>
      <c r="C8" s="406"/>
      <c r="D8" s="406"/>
      <c r="E8" s="407"/>
    </row>
    <row r="9" ht="12.75">
      <c r="A9" s="408" t="s">
        <v>7</v>
      </c>
      <c r="B9" s="369" t="s">
        <v>53</v>
      </c>
      <c r="C9" s="409" t="s">
        <v>1748</v>
      </c>
      <c r="D9" s="410" t="s">
        <v>1978</v>
      </c>
      <c r="E9" s="337" t="s">
        <v>7821</v>
      </c>
    </row>
    <row r="10" ht="12.75">
      <c r="A10" s="408" t="s">
        <v>68</v>
      </c>
      <c r="B10" s="339">
        <v>11</v>
      </c>
      <c r="C10" s="340"/>
      <c r="D10" s="340">
        <v>1</v>
      </c>
      <c r="E10" s="341">
        <v>12</v>
      </c>
    </row>
    <row r="11" ht="12.75">
      <c r="A11" s="342" t="s">
        <v>257</v>
      </c>
      <c r="B11" s="343">
        <v>6</v>
      </c>
      <c r="C11" s="344"/>
      <c r="D11" s="344"/>
      <c r="E11" s="345">
        <v>6</v>
      </c>
    </row>
    <row r="12" ht="12.75">
      <c r="A12" s="342" t="s">
        <v>288</v>
      </c>
      <c r="B12" s="343">
        <v>4</v>
      </c>
      <c r="C12" s="344"/>
      <c r="D12" s="344"/>
      <c r="E12" s="345">
        <v>4</v>
      </c>
    </row>
    <row r="13" ht="12.75">
      <c r="A13" s="342" t="s">
        <v>57</v>
      </c>
      <c r="B13" s="343">
        <v>44</v>
      </c>
      <c r="C13" s="344"/>
      <c r="D13" s="344"/>
      <c r="E13" s="345">
        <v>44</v>
      </c>
    </row>
    <row r="14" ht="12.75">
      <c r="A14" s="342" t="s">
        <v>51</v>
      </c>
      <c r="B14" s="343">
        <v>17</v>
      </c>
      <c r="C14" s="344">
        <v>1</v>
      </c>
      <c r="D14" s="344"/>
      <c r="E14" s="345">
        <v>18</v>
      </c>
    </row>
    <row r="15" ht="12.75">
      <c r="A15" s="342" t="s">
        <v>181</v>
      </c>
      <c r="B15" s="343">
        <v>2</v>
      </c>
      <c r="C15" s="344"/>
      <c r="D15" s="344"/>
      <c r="E15" s="345">
        <v>2</v>
      </c>
    </row>
    <row r="16" ht="12.75">
      <c r="A16" s="342" t="s">
        <v>977</v>
      </c>
      <c r="B16" s="343">
        <v>1</v>
      </c>
      <c r="C16" s="344"/>
      <c r="D16" s="344"/>
      <c r="E16" s="345">
        <v>1</v>
      </c>
    </row>
    <row r="17" ht="12.75">
      <c r="A17" s="342" t="s">
        <v>88</v>
      </c>
      <c r="B17" s="343">
        <v>9</v>
      </c>
      <c r="C17" s="344"/>
      <c r="D17" s="344"/>
      <c r="E17" s="345">
        <v>9</v>
      </c>
    </row>
    <row r="18" ht="12.75">
      <c r="A18" s="342" t="s">
        <v>382</v>
      </c>
      <c r="B18" s="343">
        <v>20</v>
      </c>
      <c r="C18" s="344"/>
      <c r="D18" s="344"/>
      <c r="E18" s="345">
        <v>20</v>
      </c>
    </row>
    <row r="19" ht="12.75">
      <c r="A19" s="411" t="s">
        <v>7821</v>
      </c>
      <c r="B19" s="347">
        <v>114</v>
      </c>
      <c r="C19" s="348">
        <v>1</v>
      </c>
      <c r="D19" s="348">
        <v>1</v>
      </c>
      <c r="E19" s="349">
        <v>116</v>
      </c>
    </row>
    <row r="23" ht="12.75">
      <c r="A23" s="331" t="s">
        <v>5</v>
      </c>
      <c r="B23" s="331" t="s">
        <v>7935</v>
      </c>
    </row>
    <row r="24" ht="12.75">
      <c r="A24" s="412" t="s">
        <v>7988</v>
      </c>
      <c r="B24" s="412"/>
      <c r="C24" s="412"/>
    </row>
    <row r="25" ht="12.75">
      <c r="A25" s="306" t="s">
        <v>7876</v>
      </c>
      <c r="B25" s="306" t="s">
        <v>18</v>
      </c>
      <c r="C25" s="308"/>
      <c r="D25" s="308"/>
      <c r="E25" s="308"/>
      <c r="F25" s="309"/>
    </row>
    <row r="26" ht="12.75">
      <c r="A26" s="306" t="s">
        <v>7</v>
      </c>
      <c r="B26" s="335" t="s">
        <v>283</v>
      </c>
      <c r="C26" s="336" t="s">
        <v>195</v>
      </c>
      <c r="D26" s="336" t="s">
        <v>1749</v>
      </c>
      <c r="E26" s="336" t="s">
        <v>1980</v>
      </c>
      <c r="F26" s="337" t="s">
        <v>7821</v>
      </c>
    </row>
    <row r="27" ht="12.75">
      <c r="A27" s="306" t="s">
        <v>68</v>
      </c>
      <c r="B27" s="339">
        <v>8</v>
      </c>
      <c r="C27" s="340"/>
      <c r="D27" s="340"/>
      <c r="E27" s="340">
        <v>1</v>
      </c>
      <c r="F27" s="341">
        <v>9</v>
      </c>
    </row>
    <row r="28" ht="12.75">
      <c r="A28" s="313" t="s">
        <v>257</v>
      </c>
      <c r="B28" s="343">
        <v>1</v>
      </c>
      <c r="C28" s="344"/>
      <c r="D28" s="344"/>
      <c r="E28" s="344"/>
      <c r="F28" s="345">
        <v>1</v>
      </c>
    </row>
    <row r="29" ht="12.75">
      <c r="A29" s="313" t="s">
        <v>288</v>
      </c>
      <c r="B29" s="343">
        <v>5</v>
      </c>
      <c r="C29" s="344"/>
      <c r="D29" s="344"/>
      <c r="E29" s="344"/>
      <c r="F29" s="345">
        <v>5</v>
      </c>
    </row>
    <row r="30" ht="12.75">
      <c r="A30" s="313" t="s">
        <v>57</v>
      </c>
      <c r="B30" s="343">
        <v>16</v>
      </c>
      <c r="C30" s="344"/>
      <c r="D30" s="344"/>
      <c r="E30" s="344"/>
      <c r="F30" s="345">
        <v>16</v>
      </c>
    </row>
    <row r="31" ht="12.75">
      <c r="A31" s="313" t="s">
        <v>51</v>
      </c>
      <c r="B31" s="343">
        <v>8</v>
      </c>
      <c r="C31" s="344">
        <v>1</v>
      </c>
      <c r="D31" s="344">
        <v>1</v>
      </c>
      <c r="E31" s="344"/>
      <c r="F31" s="345">
        <v>10</v>
      </c>
    </row>
    <row r="32" ht="12.75">
      <c r="A32" s="313" t="s">
        <v>501</v>
      </c>
      <c r="B32" s="343">
        <v>2</v>
      </c>
      <c r="C32" s="344"/>
      <c r="D32" s="344"/>
      <c r="E32" s="344"/>
      <c r="F32" s="345">
        <v>2</v>
      </c>
    </row>
    <row r="33" ht="12.75">
      <c r="A33" s="313" t="s">
        <v>4501</v>
      </c>
      <c r="B33" s="343">
        <v>2</v>
      </c>
      <c r="C33" s="344"/>
      <c r="D33" s="344"/>
      <c r="E33" s="344"/>
      <c r="F33" s="345">
        <v>2</v>
      </c>
    </row>
    <row r="34" ht="12.75">
      <c r="A34" s="313" t="s">
        <v>3735</v>
      </c>
      <c r="B34" s="343">
        <v>2</v>
      </c>
      <c r="C34" s="344"/>
      <c r="D34" s="344"/>
      <c r="E34" s="344"/>
      <c r="F34" s="345">
        <v>2</v>
      </c>
    </row>
    <row r="35" ht="12.75">
      <c r="A35" s="313" t="s">
        <v>508</v>
      </c>
      <c r="B35" s="343">
        <v>2</v>
      </c>
      <c r="C35" s="344"/>
      <c r="D35" s="344"/>
      <c r="E35" s="344"/>
      <c r="F35" s="345">
        <v>2</v>
      </c>
    </row>
    <row r="36" ht="12.75">
      <c r="A36" s="313" t="s">
        <v>88</v>
      </c>
      <c r="B36" s="343">
        <v>3</v>
      </c>
      <c r="C36" s="344"/>
      <c r="D36" s="344"/>
      <c r="E36" s="344"/>
      <c r="F36" s="345">
        <v>3</v>
      </c>
    </row>
    <row r="37" ht="12.75">
      <c r="A37" s="313" t="s">
        <v>382</v>
      </c>
      <c r="B37" s="343">
        <v>1</v>
      </c>
      <c r="C37" s="344"/>
      <c r="D37" s="344"/>
      <c r="E37" s="344"/>
      <c r="F37" s="345">
        <v>1</v>
      </c>
    </row>
    <row r="38" ht="12.75">
      <c r="A38" s="313" t="s">
        <v>491</v>
      </c>
      <c r="B38" s="343">
        <v>1</v>
      </c>
      <c r="C38" s="344"/>
      <c r="D38" s="344"/>
      <c r="E38" s="344"/>
      <c r="F38" s="345">
        <v>1</v>
      </c>
    </row>
    <row r="39" ht="12.75">
      <c r="A39" s="413" t="s">
        <v>7821</v>
      </c>
      <c r="B39" s="347">
        <v>51</v>
      </c>
      <c r="C39" s="348">
        <v>1</v>
      </c>
      <c r="D39" s="348">
        <v>1</v>
      </c>
      <c r="E39" s="348">
        <v>1</v>
      </c>
      <c r="F39" s="349">
        <v>54</v>
      </c>
    </row>
  </sheetData>
  <mergeCells count="6">
    <mergeCell ref="A1:E1"/>
    <mergeCell ref="A2:E2"/>
    <mergeCell ref="A3:E3"/>
    <mergeCell ref="A4:E4"/>
    <mergeCell ref="A7:E7"/>
    <mergeCell ref="A24:C24"/>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B39" activeCellId="0" sqref="B39"/>
    </sheetView>
  </sheetViews>
  <sheetFormatPr defaultColWidth="8.6796875" defaultRowHeight="12.75"/>
  <cols>
    <col customWidth="1" min="1" max="1" style="0" width="43.420000000000002"/>
    <col customWidth="1" min="2" max="3" style="0" width="34.289999999999999"/>
    <col customWidth="1" min="4" max="6" style="0" width="11.140000000000001"/>
  </cols>
  <sheetData>
    <row r="1" ht="12.75">
      <c r="A1" s="337" t="s">
        <v>7931</v>
      </c>
      <c r="B1" s="337"/>
      <c r="C1" s="337"/>
      <c r="D1" s="337"/>
      <c r="E1" s="337"/>
    </row>
    <row r="2" ht="12.75">
      <c r="A2" s="401" t="s">
        <v>7932</v>
      </c>
      <c r="B2" s="401"/>
      <c r="C2" s="401"/>
      <c r="D2" s="401"/>
      <c r="E2" s="401"/>
    </row>
    <row r="3" ht="12.75">
      <c r="A3" s="401" t="s">
        <v>7933</v>
      </c>
      <c r="B3" s="401"/>
      <c r="C3" s="401"/>
      <c r="D3" s="401"/>
      <c r="E3" s="401"/>
    </row>
    <row r="4" ht="12.75">
      <c r="A4" s="401" t="s">
        <v>7934</v>
      </c>
      <c r="B4" s="401"/>
      <c r="C4" s="401"/>
      <c r="D4" s="401"/>
      <c r="E4" s="401"/>
    </row>
    <row r="6" ht="12.75">
      <c r="A6" s="331" t="s">
        <v>5</v>
      </c>
      <c r="B6" s="331" t="s">
        <v>7935</v>
      </c>
    </row>
    <row r="7" ht="12.75">
      <c r="A7" s="332" t="s">
        <v>7989</v>
      </c>
      <c r="B7" s="332"/>
      <c r="C7" s="332"/>
    </row>
    <row r="8" ht="12.75">
      <c r="A8" s="306" t="s">
        <v>7937</v>
      </c>
      <c r="B8" s="306" t="s">
        <v>10</v>
      </c>
      <c r="C8" s="309"/>
    </row>
    <row r="9" ht="12.75">
      <c r="A9" s="306" t="s">
        <v>7</v>
      </c>
      <c r="B9" s="337" t="s">
        <v>53</v>
      </c>
      <c r="C9" s="337" t="s">
        <v>7821</v>
      </c>
    </row>
    <row r="10" ht="12.75">
      <c r="A10" s="306" t="s">
        <v>288</v>
      </c>
      <c r="B10" s="339">
        <v>2</v>
      </c>
      <c r="C10" s="341">
        <v>2</v>
      </c>
    </row>
    <row r="11" ht="12.75">
      <c r="A11" s="413" t="s">
        <v>7821</v>
      </c>
      <c r="B11" s="347">
        <v>2</v>
      </c>
      <c r="C11" s="349">
        <v>2</v>
      </c>
    </row>
    <row r="16" ht="12.75">
      <c r="A16" s="331" t="s">
        <v>5</v>
      </c>
      <c r="B16" s="331" t="s">
        <v>7935</v>
      </c>
    </row>
    <row r="17" ht="12.75">
      <c r="A17" s="412" t="s">
        <v>7990</v>
      </c>
      <c r="B17" s="412"/>
      <c r="C17" s="412"/>
    </row>
    <row r="18" ht="12.75">
      <c r="A18" s="306" t="s">
        <v>7876</v>
      </c>
      <c r="B18" s="306" t="s">
        <v>18</v>
      </c>
      <c r="C18" s="308"/>
      <c r="D18" s="309"/>
    </row>
    <row r="19" ht="12.75">
      <c r="A19" s="306" t="s">
        <v>7</v>
      </c>
      <c r="B19" s="335" t="s">
        <v>283</v>
      </c>
      <c r="C19" s="336" t="s">
        <v>195</v>
      </c>
      <c r="D19" s="337" t="s">
        <v>7821</v>
      </c>
    </row>
    <row r="20" ht="12.75">
      <c r="A20" s="306" t="s">
        <v>288</v>
      </c>
      <c r="B20" s="339"/>
      <c r="C20" s="340">
        <v>1</v>
      </c>
      <c r="D20" s="341">
        <v>1</v>
      </c>
    </row>
    <row r="21" ht="12.75">
      <c r="A21" s="313" t="s">
        <v>57</v>
      </c>
      <c r="B21" s="343">
        <v>1</v>
      </c>
      <c r="C21" s="344"/>
      <c r="D21" s="345">
        <v>1</v>
      </c>
    </row>
    <row r="22" ht="12.75">
      <c r="A22" s="413" t="s">
        <v>7821</v>
      </c>
      <c r="B22" s="347">
        <v>1</v>
      </c>
      <c r="C22" s="348">
        <v>1</v>
      </c>
      <c r="D22" s="349">
        <v>2</v>
      </c>
    </row>
  </sheetData>
  <mergeCells count="6">
    <mergeCell ref="A1:E1"/>
    <mergeCell ref="A2:E2"/>
    <mergeCell ref="A3:E3"/>
    <mergeCell ref="A4:E4"/>
    <mergeCell ref="A7:C7"/>
    <mergeCell ref="A17:C17"/>
  </mergeCells>
  <printOptions headings="0" gridLines="0" horizontalCentered="0" verticalCentered="0"/>
  <pageMargins left="0.51180555555555596" right="0.51180555555555596" top="0.78750000000000009" bottom="0.78750000000000009"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ONLYOFFICE/9.2.0.100</Application>
  <HeadingPairs>
    <vt:vector size="0" baseType="variant"/>
  </HeadingPairs>
  <TitlesOfParts>
    <vt:vector size="0" baseType="lpstr"/>
  </TitlesOfParts>
  <Company>IPHAN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mariaregina</dc:creator>
  <dc:description/>
  <dc:language>pt-BR</dc:language>
  <cp:revision>2</cp:revision>
  <dcterms:created xsi:type="dcterms:W3CDTF">2008-09-09T18:11:28Z</dcterms:created>
  <dcterms:modified xsi:type="dcterms:W3CDTF">2025-12-19T12:26:35Z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0x010100D687777212992948A81FA35397FF6DD0</vt:lpwstr>
  </property>
</Properties>
</file>